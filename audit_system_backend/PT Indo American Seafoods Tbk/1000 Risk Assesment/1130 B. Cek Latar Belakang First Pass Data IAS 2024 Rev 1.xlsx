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 Irene\MGN\2024\PT Indo American Seafood\1000 Risk Assesment\"/>
    </mc:Choice>
  </mc:AlternateContent>
  <xr:revisionPtr revIDLastSave="0" documentId="13_ncr:1_{57F1B812-AAFB-428A-9E88-2A1C42177BF6}" xr6:coauthVersionLast="47" xr6:coauthVersionMax="47" xr10:uidLastSave="{00000000-0000-0000-0000-000000000000}"/>
  <bookViews>
    <workbookView xWindow="-120" yWindow="-120" windowWidth="20730" windowHeight="11040" tabRatio="449" xr2:uid="{00000000-000D-0000-FFFF-FFFF00000000}"/>
  </bookViews>
  <sheets>
    <sheet name="Kertas Kerja" sheetId="1" r:id="rId1"/>
    <sheet name="Tickmarks" sheetId="2" state="hidden" r:id="rId2"/>
  </sheets>
  <definedNames>
    <definedName name="AS2DocOpenMode" hidden="1">"AS2DocumentEdit"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F45" i="1"/>
  <c r="F44" i="1"/>
  <c r="E47" i="1"/>
  <c r="G46" i="1" s="1"/>
  <c r="F31" i="1"/>
  <c r="F29" i="1"/>
  <c r="F32" i="1"/>
  <c r="F30" i="1"/>
  <c r="E33" i="1"/>
  <c r="G32" i="1" s="1"/>
  <c r="F47" i="1" l="1"/>
  <c r="G44" i="1"/>
  <c r="G45" i="1"/>
  <c r="G29" i="1"/>
  <c r="G30" i="1"/>
  <c r="G31" i="1"/>
  <c r="F33" i="1"/>
</calcChain>
</file>

<file path=xl/sharedStrings.xml><?xml version="1.0" encoding="utf-8"?>
<sst xmlns="http://schemas.openxmlformats.org/spreadsheetml/2006/main" count="134" uniqueCount="107">
  <si>
    <t>Client</t>
  </si>
  <si>
    <t>Prepared by</t>
  </si>
  <si>
    <t>Date:</t>
  </si>
  <si>
    <t>Period</t>
  </si>
  <si>
    <t>Reviewed by</t>
  </si>
  <si>
    <t>Matter</t>
  </si>
  <si>
    <t>: Cek Latar Belakang - First Pass Data</t>
  </si>
  <si>
    <t>Approved by</t>
  </si>
  <si>
    <t>Index</t>
  </si>
  <si>
    <t>: 1130 B</t>
  </si>
  <si>
    <t>Company name:</t>
  </si>
  <si>
    <t>Address :</t>
  </si>
  <si>
    <t>Jl. Ir. Sutami Km. 13 Desa Sukanegara, Kec. Tanjung Bintang, Kab. Lampung Selatan</t>
  </si>
  <si>
    <t xml:space="preserve">Industry : </t>
  </si>
  <si>
    <t>Bidang pengolahan udang</t>
  </si>
  <si>
    <t>Company incorporated in:</t>
  </si>
  <si>
    <t>Lampung Selatan</t>
  </si>
  <si>
    <t>Date of Incorporation:</t>
  </si>
  <si>
    <t>Stockholders :</t>
  </si>
  <si>
    <t xml:space="preserve"> </t>
  </si>
  <si>
    <t>PT Indo American Seafoods (“Perusahaan”) didirikan berdasarkan Akta Notaris No. 5 tanggal 6 April 2006 dari Akhmadi Dachlan, S.H., Notaris di Bandar Lampung. Akta pendirian ini disahkan oleh Menteri Hukum dan Hak Asasi Manusia Republik Indonesia dalam Surat Keputusannya No. C-16465HT.01.01.TH.2006 tanggal 6 Juni 2006. Anggaran Dasar Perusahaan telah mengalami beberapa kali perubahan, terakhir sebagaimana dinyatakan dalam Akta Notaris No. 11 tanggal 20 Mei 2022 dari Akhmadi Dachlan, S.H., M.Kn., mengenai perubahan pasal 3 Anggaran Dasar maksud dan tujuan kegiatan usaha Perusahaan. Akta perubahan ini telah disahkan oleh Menteri Hukum dan Hak Asasi Manusia Republik Indonesia berdasarkan Surat Keputusan No. AHU-0095588.AH.01.11.Tahun 2022 tanggal 24 Mei 2022.</t>
  </si>
  <si>
    <t>Name</t>
  </si>
  <si>
    <t>Number of shares</t>
  </si>
  <si>
    <t>In IDR</t>
  </si>
  <si>
    <t>% of ownership</t>
  </si>
  <si>
    <t>Saimi Saleh</t>
  </si>
  <si>
    <t>Ibnu Syena Alfitra</t>
  </si>
  <si>
    <t>Commissioners and Directors:</t>
  </si>
  <si>
    <t>No.</t>
  </si>
  <si>
    <t>Gender</t>
  </si>
  <si>
    <t>No Identity</t>
  </si>
  <si>
    <t>Address</t>
  </si>
  <si>
    <t>Date of Birth</t>
  </si>
  <si>
    <t>Nationality</t>
  </si>
  <si>
    <t>Function</t>
  </si>
  <si>
    <t>Ibnu Surya Ramadhan</t>
  </si>
  <si>
    <t>Man</t>
  </si>
  <si>
    <t>3578262502930001</t>
  </si>
  <si>
    <t>Laguna Barat 7 Blok A-7/3-5, Kota Surabaya</t>
  </si>
  <si>
    <t>Indonesia</t>
  </si>
  <si>
    <t>Director</t>
  </si>
  <si>
    <t>3578260612580001</t>
  </si>
  <si>
    <t>President Commisioner</t>
  </si>
  <si>
    <t>3578260805890003</t>
  </si>
  <si>
    <t>President Director</t>
  </si>
  <si>
    <t>Subsidiary</t>
  </si>
  <si>
    <t>Investment</t>
  </si>
  <si>
    <t>Tickmarks</t>
  </si>
  <si>
    <t>{a}</t>
  </si>
  <si>
    <t>{b}</t>
  </si>
  <si>
    <t>{c}</t>
  </si>
  <si>
    <t>{d}</t>
  </si>
  <si>
    <t>{e}</t>
  </si>
  <si>
    <t>{f}</t>
  </si>
  <si>
    <t>{g}</t>
  </si>
  <si>
    <t>{h}</t>
  </si>
  <si>
    <t>{i}</t>
  </si>
  <si>
    <t>{j}</t>
  </si>
  <si>
    <t>{k}</t>
  </si>
  <si>
    <t>{l}</t>
  </si>
  <si>
    <t>{m}</t>
  </si>
  <si>
    <t>{n}</t>
  </si>
  <si>
    <t>{o}</t>
  </si>
  <si>
    <t>{p}</t>
  </si>
  <si>
    <t>{q}</t>
  </si>
  <si>
    <t>{r}</t>
  </si>
  <si>
    <t>{s}</t>
  </si>
  <si>
    <t>{t}</t>
  </si>
  <si>
    <t>{u}</t>
  </si>
  <si>
    <t>{v}</t>
  </si>
  <si>
    <t>{w}</t>
  </si>
  <si>
    <t>{x}</t>
  </si>
  <si>
    <t>{y}</t>
  </si>
  <si>
    <t>{z}</t>
  </si>
  <si>
    <t>No</t>
  </si>
  <si>
    <t xml:space="preserve">Entitas Anak </t>
  </si>
  <si>
    <t>Domisili</t>
  </si>
  <si>
    <t>PT Indokom Samudera Persada</t>
  </si>
  <si>
    <t>Bandar Lampung</t>
  </si>
  <si>
    <t>Jumlah Aset sebelum eliminasi</t>
  </si>
  <si>
    <t>Persentasi Kepemilikan</t>
  </si>
  <si>
    <t>: PT Indo American Seafoods Tbk</t>
  </si>
  <si>
    <t>PT Indo American Food</t>
  </si>
  <si>
    <t>PT INDO AMERICAN SEAFOODS Tbk dan Entitas Anak</t>
  </si>
  <si>
    <t>: 31 Desember 2024</t>
  </si>
  <si>
    <t>: IRA</t>
  </si>
  <si>
    <t>: KNW</t>
  </si>
  <si>
    <t>Masyarakat (masing-masing dibawah 5%)</t>
  </si>
  <si>
    <t>Leo Herlambang</t>
  </si>
  <si>
    <t>Abu Yazid</t>
  </si>
  <si>
    <t>Independent Commisioner</t>
  </si>
  <si>
    <t>Kegiatan Usaha</t>
  </si>
  <si>
    <t>Pembesaran Crustacea Air Payau, Industri Pembekuan Biota Air Lainnya, Industri Makanan dan Masakan Olahan. Perdagangan Besar  Hasil Perikanan.</t>
  </si>
  <si>
    <t>Tahun Pendirian</t>
  </si>
  <si>
    <t>Tahun Penyertaan</t>
  </si>
  <si>
    <t>2023</t>
  </si>
  <si>
    <t>PT Indokom Samudra Persada (“ISP”)</t>
  </si>
  <si>
    <t>Berdasarkan Akta No. 149/2023, struktur permodalan dan susunan pemegang saham ISP adalah</t>
  </si>
  <si>
    <t xml:space="preserve">ISP adalah suatu perseroan yang didirikan berdasarkan hukum Republik Indonesia, yang didirikan dengan nama PT Indokom Samudera Persada sesuai dengan Akta Pendirian ISP No. 9, tanggal </t>
  </si>
  <si>
    <t>16 Agustus 2000, dibuat di hadapan Imran Ma’aruf S.H., Notaris di Kota Bandar Lampung, dan telah mendapatkan pengesahan Menkumham berdasarkan Surat Keputusan No. C-1490 HT.01.01.TH 2001</t>
  </si>
  <si>
    <t>Tahun 2001 tertanggal 28 Februari 2001, yang telah diumumkan dalam TBNRI No. 5902 pada BNRI No. 74, tanggal 14 September 2001 serta telah didaftarkan dalam Daftar Perseroan No. 303/BH.07.01/VII/2001 tertanggal 17 Juli 2001</t>
  </si>
  <si>
    <t>Perseroan</t>
  </si>
  <si>
    <t>: MGN</t>
  </si>
  <si>
    <t>Florence J-9 No 9 Pakuwon City, Kota Surbaya</t>
  </si>
  <si>
    <t>3578012802690001</t>
  </si>
  <si>
    <t>Jalan Galunggung Raya F.19, Kota Bandar Lampung</t>
  </si>
  <si>
    <t>1871011612730002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</si>
</sst>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[$-409]mmmm\ d\,\ yyyy;@"/>
    <numFmt numFmtId="166" formatCode="_([$Rp-421]* #,##0_);_([$Rp-421]* \(#,##0\);_([$Rp-421]* &quot;-&quot;_);_(@_)"/>
    <numFmt numFmtId="167" formatCode="[$-409]d\-mmm\-yy;@"/>
    <numFmt numFmtId="168" formatCode="[$-421]dd\ mmmm\ yyyy;@"/>
  </numFmts>
  <fonts count="13" x14ac:knownFonts="1"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u/>
      <sz val="10"/>
      <color indexed="10"/>
      <name val="Arial"/>
      <family val="2"/>
    </font>
    <font>
      <sz val="11"/>
      <color rgb="FFFF0000"/>
      <name val="Calibri"/>
      <family val="2"/>
      <charset val="1"/>
      <scheme val="minor"/>
    </font>
    <font>
      <b/>
      <sz val="9"/>
      <color theme="0"/>
      <name val="Arial"/>
      <family val="2"/>
    </font>
    <font>
      <b/>
      <sz val="10"/>
      <color theme="0"/>
      <name val="Arial Narrow"/>
      <family val="2"/>
    </font>
    <font>
      <b/>
      <sz val="9"/>
      <color rgb="FFFF0000"/>
      <name val="Arial"/>
      <family val="2"/>
    </font>
    <font>
      <b/>
      <sz val="10"/>
      <color rgb="FFFF0000"/>
      <name val="Arial"/>
      <family val="2"/>
    </font>
    <font>
      <b/>
      <i/>
      <u/>
      <sz val="10"/>
      <color rgb="FFFF0000"/>
      <name val="Arial"/>
      <family val="2"/>
    </font>
    <font>
      <b/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4" fillId="0" borderId="0"/>
  </cellStyleXfs>
  <cellXfs count="108">
    <xf numFmtId="0" fontId="0" fillId="0" borderId="0" xfId="0"/>
    <xf numFmtId="0" fontId="2" fillId="0" borderId="0" xfId="0" applyFont="1" applyAlignment="1">
      <alignment horizontal="centerContinuous" vertical="top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" vertical="top"/>
    </xf>
    <xf numFmtId="0" fontId="5" fillId="2" borderId="0" xfId="0" applyFont="1" applyFill="1"/>
    <xf numFmtId="0" fontId="2" fillId="2" borderId="0" xfId="0" applyFont="1" applyFill="1"/>
    <xf numFmtId="0" fontId="0" fillId="2" borderId="0" xfId="0" applyFill="1"/>
    <xf numFmtId="9" fontId="0" fillId="2" borderId="0" xfId="0" applyNumberForma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0" fillId="2" borderId="0" xfId="0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0" fillId="2" borderId="4" xfId="0" applyFill="1" applyBorder="1"/>
    <xf numFmtId="0" fontId="0" fillId="2" borderId="7" xfId="0" applyFill="1" applyBorder="1"/>
    <xf numFmtId="9" fontId="2" fillId="2" borderId="0" xfId="0" applyNumberFormat="1" applyFont="1" applyFill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0" xfId="0" applyFont="1" applyFill="1"/>
    <xf numFmtId="0" fontId="4" fillId="2" borderId="13" xfId="0" applyFont="1" applyFill="1" applyBorder="1" applyAlignment="1">
      <alignment horizontal="center"/>
    </xf>
    <xf numFmtId="0" fontId="0" fillId="2" borderId="14" xfId="0" applyFill="1" applyBorder="1"/>
    <xf numFmtId="0" fontId="0" fillId="2" borderId="0" xfId="0" applyFill="1" applyAlignment="1">
      <alignment horizontal="right"/>
    </xf>
    <xf numFmtId="15" fontId="0" fillId="2" borderId="0" xfId="0" quotePrefix="1" applyNumberFormat="1" applyFill="1" applyAlignment="1">
      <alignment horizontal="left"/>
    </xf>
    <xf numFmtId="165" fontId="0" fillId="2" borderId="11" xfId="0" quotePrefix="1" applyNumberFormat="1" applyFill="1" applyBorder="1" applyAlignment="1">
      <alignment horizontal="center"/>
    </xf>
    <xf numFmtId="0" fontId="2" fillId="0" borderId="0" xfId="0" applyFont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0" xfId="0" applyFill="1" applyAlignment="1">
      <alignment horizontal="justify" vertical="justify"/>
    </xf>
    <xf numFmtId="164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10" fontId="0" fillId="2" borderId="0" xfId="0" applyNumberFormat="1" applyFill="1" applyAlignment="1">
      <alignment horizontal="center"/>
    </xf>
    <xf numFmtId="0" fontId="0" fillId="2" borderId="8" xfId="0" applyFill="1" applyBorder="1"/>
    <xf numFmtId="1" fontId="0" fillId="2" borderId="11" xfId="0" quotePrefix="1" applyNumberFormat="1" applyFill="1" applyBorder="1" applyAlignment="1">
      <alignment horizontal="center"/>
    </xf>
    <xf numFmtId="164" fontId="4" fillId="2" borderId="0" xfId="1" applyNumberFormat="1" applyFont="1" applyFill="1" applyBorder="1" applyAlignment="1">
      <alignment horizontal="righ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15" fontId="2" fillId="2" borderId="0" xfId="0" quotePrefix="1" applyNumberFormat="1" applyFont="1" applyFill="1" applyAlignment="1">
      <alignment horizontal="left"/>
    </xf>
    <xf numFmtId="9" fontId="4" fillId="2" borderId="0" xfId="0" applyNumberFormat="1" applyFont="1" applyFill="1"/>
    <xf numFmtId="0" fontId="0" fillId="2" borderId="4" xfId="0" applyFill="1" applyBorder="1" applyAlignment="1">
      <alignment horizontal="left"/>
    </xf>
    <xf numFmtId="164" fontId="4" fillId="2" borderId="0" xfId="1" applyNumberFormat="1" applyFont="1" applyFill="1" applyBorder="1" applyAlignment="1">
      <alignment horizontal="center"/>
    </xf>
    <xf numFmtId="164" fontId="2" fillId="2" borderId="17" xfId="0" applyNumberFormat="1" applyFont="1" applyFill="1" applyBorder="1" applyAlignment="1">
      <alignment horizontal="right"/>
    </xf>
    <xf numFmtId="0" fontId="6" fillId="0" borderId="0" xfId="0" applyFont="1"/>
    <xf numFmtId="0" fontId="7" fillId="3" borderId="18" xfId="3" applyFont="1" applyFill="1" applyBorder="1"/>
    <xf numFmtId="0" fontId="7" fillId="3" borderId="19" xfId="3" applyFont="1" applyFill="1" applyBorder="1" applyAlignment="1">
      <alignment horizontal="left"/>
    </xf>
    <xf numFmtId="0" fontId="7" fillId="3" borderId="19" xfId="3" applyFont="1" applyFill="1" applyBorder="1"/>
    <xf numFmtId="0" fontId="8" fillId="3" borderId="19" xfId="3" applyFont="1" applyFill="1" applyBorder="1" applyAlignment="1">
      <alignment horizontal="right"/>
    </xf>
    <xf numFmtId="0" fontId="8" fillId="3" borderId="19" xfId="3" applyFont="1" applyFill="1" applyBorder="1"/>
    <xf numFmtId="0" fontId="7" fillId="3" borderId="4" xfId="3" applyFont="1" applyFill="1" applyBorder="1"/>
    <xf numFmtId="0" fontId="7" fillId="3" borderId="0" xfId="3" applyFont="1" applyFill="1" applyAlignment="1">
      <alignment horizontal="left"/>
    </xf>
    <xf numFmtId="0" fontId="7" fillId="3" borderId="0" xfId="3" applyFont="1" applyFill="1"/>
    <xf numFmtId="0" fontId="8" fillId="3" borderId="0" xfId="3" applyFont="1" applyFill="1" applyAlignment="1">
      <alignment horizontal="right"/>
    </xf>
    <xf numFmtId="0" fontId="8" fillId="3" borderId="0" xfId="3" applyFont="1" applyFill="1"/>
    <xf numFmtId="167" fontId="7" fillId="3" borderId="0" xfId="3" applyNumberFormat="1" applyFont="1" applyFill="1"/>
    <xf numFmtId="15" fontId="8" fillId="3" borderId="0" xfId="3" applyNumberFormat="1" applyFont="1" applyFill="1"/>
    <xf numFmtId="0" fontId="7" fillId="3" borderId="4" xfId="4" applyFont="1" applyFill="1" applyBorder="1"/>
    <xf numFmtId="0" fontId="7" fillId="3" borderId="0" xfId="4" applyFont="1" applyFill="1" applyAlignment="1">
      <alignment horizontal="left"/>
    </xf>
    <xf numFmtId="167" fontId="7" fillId="3" borderId="0" xfId="4" applyNumberFormat="1" applyFont="1" applyFill="1"/>
    <xf numFmtId="167" fontId="7" fillId="3" borderId="0" xfId="4" applyNumberFormat="1" applyFont="1" applyFill="1" applyAlignment="1">
      <alignment horizontal="left"/>
    </xf>
    <xf numFmtId="167" fontId="9" fillId="3" borderId="0" xfId="4" applyNumberFormat="1" applyFont="1" applyFill="1" applyAlignment="1">
      <alignment horizontal="left"/>
    </xf>
    <xf numFmtId="167" fontId="9" fillId="3" borderId="5" xfId="4" applyNumberFormat="1" applyFont="1" applyFill="1" applyBorder="1" applyAlignment="1">
      <alignment horizontal="left"/>
    </xf>
    <xf numFmtId="2" fontId="7" fillId="3" borderId="0" xfId="3" applyNumberFormat="1" applyFont="1" applyFill="1"/>
    <xf numFmtId="0" fontId="7" fillId="0" borderId="0" xfId="4" applyFont="1"/>
    <xf numFmtId="0" fontId="7" fillId="0" borderId="0" xfId="3" applyFont="1" applyAlignment="1">
      <alignment horizontal="left"/>
    </xf>
    <xf numFmtId="2" fontId="7" fillId="0" borderId="0" xfId="3" applyNumberFormat="1" applyFont="1"/>
    <xf numFmtId="167" fontId="7" fillId="0" borderId="0" xfId="4" applyNumberFormat="1" applyFont="1" applyAlignment="1">
      <alignment horizontal="left"/>
    </xf>
    <xf numFmtId="167" fontId="9" fillId="0" borderId="0" xfId="4" applyNumberFormat="1" applyFont="1" applyAlignment="1">
      <alignment horizontal="left"/>
    </xf>
    <xf numFmtId="0" fontId="2" fillId="2" borderId="0" xfId="0" applyFont="1" applyFill="1" applyAlignment="1">
      <alignment horizontal="center"/>
    </xf>
    <xf numFmtId="43" fontId="2" fillId="2" borderId="0" xfId="1" applyFont="1" applyFill="1" applyBorder="1" applyAlignment="1">
      <alignment horizontal="center"/>
    </xf>
    <xf numFmtId="164" fontId="2" fillId="2" borderId="21" xfId="0" applyNumberFormat="1" applyFont="1" applyFill="1" applyBorder="1" applyAlignment="1">
      <alignment horizontal="right"/>
    </xf>
    <xf numFmtId="10" fontId="0" fillId="2" borderId="5" xfId="2" applyNumberFormat="1" applyFont="1" applyFill="1" applyBorder="1" applyAlignment="1">
      <alignment horizontal="center"/>
    </xf>
    <xf numFmtId="0" fontId="10" fillId="2" borderId="0" xfId="0" applyFont="1" applyFill="1"/>
    <xf numFmtId="0" fontId="2" fillId="4" borderId="23" xfId="0" applyFont="1" applyFill="1" applyBorder="1"/>
    <xf numFmtId="0" fontId="2" fillId="4" borderId="24" xfId="0" applyFont="1" applyFill="1" applyBorder="1"/>
    <xf numFmtId="0" fontId="0" fillId="5" borderId="22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11" fillId="5" borderId="26" xfId="0" applyFont="1" applyFill="1" applyBorder="1"/>
    <xf numFmtId="0" fontId="2" fillId="5" borderId="26" xfId="0" applyFont="1" applyFill="1" applyBorder="1"/>
    <xf numFmtId="0" fontId="0" fillId="5" borderId="26" xfId="0" applyFill="1" applyBorder="1"/>
    <xf numFmtId="0" fontId="0" fillId="5" borderId="0" xfId="0" applyFill="1" applyAlignment="1">
      <alignment horizontal="center"/>
    </xf>
    <xf numFmtId="0" fontId="0" fillId="5" borderId="0" xfId="0" applyFill="1" applyAlignment="1">
      <alignment wrapText="1"/>
    </xf>
    <xf numFmtId="0" fontId="0" fillId="5" borderId="0" xfId="0" applyFill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14" xfId="0" applyFill="1" applyBorder="1" applyAlignment="1">
      <alignment wrapText="1"/>
    </xf>
    <xf numFmtId="0" fontId="0" fillId="5" borderId="14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/>
    </xf>
    <xf numFmtId="0" fontId="0" fillId="0" borderId="12" xfId="0" applyBorder="1"/>
    <xf numFmtId="3" fontId="0" fillId="0" borderId="14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68" fontId="8" fillId="3" borderId="20" xfId="3" applyNumberFormat="1" applyFont="1" applyFill="1" applyBorder="1" applyAlignment="1">
      <alignment horizontal="left"/>
    </xf>
    <xf numFmtId="168" fontId="8" fillId="3" borderId="5" xfId="3" applyNumberFormat="1" applyFont="1" applyFill="1" applyBorder="1" applyAlignment="1">
      <alignment horizontal="left"/>
    </xf>
    <xf numFmtId="15" fontId="2" fillId="4" borderId="22" xfId="0" applyNumberFormat="1" applyFont="1" applyFill="1" applyBorder="1"/>
    <xf numFmtId="1" fontId="0" fillId="2" borderId="13" xfId="0" quotePrefix="1" applyNumberFormat="1" applyFill="1" applyBorder="1" applyAlignment="1">
      <alignment horizontal="center"/>
    </xf>
    <xf numFmtId="165" fontId="0" fillId="2" borderId="13" xfId="0" quotePrefix="1" applyNumberFormat="1" applyFill="1" applyBorder="1" applyAlignment="1">
      <alignment horizontal="center"/>
    </xf>
    <xf numFmtId="3" fontId="0" fillId="0" borderId="14" xfId="0" quotePrefix="1" applyNumberFormat="1" applyBorder="1" applyAlignment="1">
      <alignment horizontal="center" vertical="center"/>
    </xf>
    <xf numFmtId="0" fontId="12" fillId="0" borderId="0" xfId="0" applyFont="1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vertical="top" wrapText="1"/>
    </xf>
    <xf numFmtId="165" fontId="0" fillId="2" borderId="11" xfId="0" applyNumberFormat="1" applyFill="1" applyBorder="1"/>
    <xf numFmtId="0" fontId="0" fillId="2" borderId="6" xfId="0" applyFill="1" applyBorder="1"/>
    <xf numFmtId="1" fontId="0" fillId="2" borderId="16" xfId="0" quotePrefix="1" applyNumberFormat="1" applyFill="1" applyBorder="1" applyAlignment="1">
      <alignment horizontal="center"/>
    </xf>
    <xf numFmtId="165" fontId="0" fillId="2" borderId="16" xfId="0" quotePrefix="1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</cellXfs>
  <cellStyles count="5">
    <cellStyle name="Comma" xfId="1" builtinId="3"/>
    <cellStyle name="Normal" xfId="0" builtinId="0"/>
    <cellStyle name="Normal 2 3" xfId="3" xr:uid="{10A5ED7D-EACA-4196-860C-0878BBC0FFD6}"/>
    <cellStyle name="Normal 6 2" xfId="4" xr:uid="{125B8CC9-537F-4DD9-806C-AB52FC7863CC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96441</xdr:colOff>
      <xdr:row>0</xdr:row>
      <xdr:rowOff>76201</xdr:rowOff>
    </xdr:from>
    <xdr:to>
      <xdr:col>2</xdr:col>
      <xdr:colOff>126886</xdr:colOff>
      <xdr:row>3</xdr:row>
      <xdr:rowOff>27215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9539A0-4C9D-46D5-9E59-EF900F1AC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41" y="76201"/>
          <a:ext cx="91774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showGridLines="0" tabSelected="1" topLeftCell="B1" zoomScale="80" zoomScaleNormal="80" workbookViewId="0">
      <selection activeCell="F18" sqref="F18"/>
    </sheetView>
  </sheetViews>
  <sheetFormatPr defaultRowHeight="12.75" x14ac:dyDescent="0.2"/>
  <cols>
    <col min="1" max="1" width="2.42578125" customWidth="1"/>
    <col min="2" max="2" width="10.7109375" bestFit="1" customWidth="1"/>
    <col min="3" max="3" width="30.85546875" customWidth="1"/>
    <col min="4" max="4" width="18.28515625" customWidth="1"/>
    <col min="5" max="5" width="29" customWidth="1"/>
    <col min="6" max="6" width="23.7109375" customWidth="1"/>
    <col min="7" max="7" width="55.28515625" customWidth="1"/>
    <col min="8" max="8" width="28.28515625" customWidth="1"/>
    <col min="9" max="9" width="21.5703125" customWidth="1"/>
    <col min="10" max="10" width="24.28515625" customWidth="1"/>
    <col min="11" max="11" width="1.7109375" customWidth="1"/>
    <col min="12" max="12" width="20.5703125" bestFit="1" customWidth="1"/>
  </cols>
  <sheetData>
    <row r="1" spans="1:13" ht="15" x14ac:dyDescent="0.25">
      <c r="I1" s="47"/>
      <c r="J1" s="47"/>
    </row>
    <row r="2" spans="1:13" ht="15" x14ac:dyDescent="0.25">
      <c r="I2" s="47"/>
      <c r="J2" s="47"/>
    </row>
    <row r="3" spans="1:13" ht="15" x14ac:dyDescent="0.25">
      <c r="I3" s="47"/>
      <c r="J3" s="47"/>
    </row>
    <row r="4" spans="1:13" ht="9" customHeight="1" thickBot="1" x14ac:dyDescent="0.3">
      <c r="I4" s="47"/>
      <c r="J4" s="47"/>
    </row>
    <row r="5" spans="1:13" x14ac:dyDescent="0.2">
      <c r="A5" s="48"/>
      <c r="B5" s="49" t="s">
        <v>0</v>
      </c>
      <c r="C5" s="50" t="s">
        <v>81</v>
      </c>
      <c r="D5" s="50"/>
      <c r="E5" s="50"/>
      <c r="F5" s="50"/>
      <c r="G5" s="51" t="s">
        <v>1</v>
      </c>
      <c r="H5" s="52" t="s">
        <v>85</v>
      </c>
      <c r="I5" s="51" t="s">
        <v>2</v>
      </c>
      <c r="J5" s="94">
        <v>45572</v>
      </c>
    </row>
    <row r="6" spans="1:13" x14ac:dyDescent="0.2">
      <c r="A6" s="53"/>
      <c r="B6" s="54" t="s">
        <v>3</v>
      </c>
      <c r="C6" s="58" t="s">
        <v>84</v>
      </c>
      <c r="D6" s="55"/>
      <c r="E6" s="55"/>
      <c r="F6" s="55"/>
      <c r="G6" s="56" t="s">
        <v>4</v>
      </c>
      <c r="H6" s="57" t="s">
        <v>86</v>
      </c>
      <c r="I6" s="56" t="s">
        <v>2</v>
      </c>
      <c r="J6" s="95">
        <v>45574</v>
      </c>
    </row>
    <row r="7" spans="1:13" x14ac:dyDescent="0.2">
      <c r="A7" s="53"/>
      <c r="B7" s="61" t="s">
        <v>5</v>
      </c>
      <c r="C7" s="62" t="s">
        <v>6</v>
      </c>
      <c r="D7" s="58"/>
      <c r="E7" s="58"/>
      <c r="F7" s="58"/>
      <c r="G7" s="56" t="s">
        <v>7</v>
      </c>
      <c r="H7" s="59" t="s">
        <v>102</v>
      </c>
      <c r="I7" s="56" t="s">
        <v>2</v>
      </c>
      <c r="J7" s="95">
        <v>45576</v>
      </c>
    </row>
    <row r="8" spans="1:13" x14ac:dyDescent="0.2">
      <c r="A8" s="60"/>
      <c r="B8" s="54" t="s">
        <v>8</v>
      </c>
      <c r="C8" s="66" t="s">
        <v>9</v>
      </c>
      <c r="D8" s="63"/>
      <c r="E8" s="63"/>
      <c r="F8" s="63"/>
      <c r="G8" s="63"/>
      <c r="H8" s="63"/>
      <c r="I8" s="64"/>
      <c r="J8" s="65"/>
    </row>
    <row r="9" spans="1:13" x14ac:dyDescent="0.2">
      <c r="A9" s="67"/>
      <c r="B9" s="68"/>
      <c r="C9" s="69"/>
      <c r="D9" s="70"/>
      <c r="E9" s="70"/>
      <c r="F9" s="70"/>
      <c r="G9" s="70"/>
      <c r="H9" s="70"/>
      <c r="I9" s="71"/>
      <c r="J9" s="71"/>
    </row>
    <row r="10" spans="1:13" ht="12.75" customHeight="1" x14ac:dyDescent="0.2">
      <c r="A10" s="4">
        <v>1</v>
      </c>
      <c r="B10" s="5" t="s">
        <v>10</v>
      </c>
      <c r="C10" s="24"/>
      <c r="D10" s="24"/>
      <c r="E10" s="5" t="s">
        <v>83</v>
      </c>
      <c r="F10" s="5"/>
      <c r="G10" s="5"/>
      <c r="H10" s="24"/>
      <c r="I10" s="24"/>
      <c r="J10" s="24"/>
      <c r="K10" s="24"/>
      <c r="L10" s="24"/>
      <c r="M10" s="24"/>
    </row>
    <row r="11" spans="1:13" x14ac:dyDescent="0.2">
      <c r="A11" s="4"/>
      <c r="B11" s="6"/>
      <c r="C11" s="6"/>
      <c r="D11" s="6"/>
      <c r="E11" s="5"/>
      <c r="F11" s="6"/>
      <c r="G11" s="6"/>
      <c r="H11" s="6"/>
      <c r="I11" s="6"/>
      <c r="J11" s="6"/>
      <c r="K11" s="6"/>
      <c r="L11" s="6"/>
      <c r="M11" s="6"/>
    </row>
    <row r="12" spans="1:13" ht="12.75" customHeight="1" x14ac:dyDescent="0.2">
      <c r="A12" s="4">
        <v>2</v>
      </c>
      <c r="B12" s="5" t="s">
        <v>11</v>
      </c>
      <c r="C12" s="24"/>
      <c r="D12" s="24"/>
      <c r="E12" s="41" t="s">
        <v>12</v>
      </c>
      <c r="F12" s="24"/>
      <c r="G12" s="24"/>
      <c r="H12" s="24"/>
      <c r="I12" s="24"/>
      <c r="J12" s="43"/>
      <c r="K12" s="24"/>
      <c r="L12" s="24"/>
      <c r="M12" s="24"/>
    </row>
    <row r="13" spans="1:13" ht="12.75" customHeight="1" x14ac:dyDescent="0.2">
      <c r="A13" s="4"/>
      <c r="B13" s="5"/>
      <c r="C13" s="24"/>
      <c r="D13" s="24"/>
      <c r="E13" s="41"/>
      <c r="F13" s="24"/>
      <c r="G13" s="24"/>
      <c r="H13" s="24"/>
      <c r="I13" s="24"/>
      <c r="J13" s="43"/>
      <c r="K13" s="24"/>
      <c r="L13" s="24"/>
      <c r="M13" s="24"/>
    </row>
    <row r="14" spans="1:13" x14ac:dyDescent="0.2">
      <c r="A14" s="4">
        <v>3</v>
      </c>
      <c r="B14" s="5" t="s">
        <v>13</v>
      </c>
      <c r="C14" s="24"/>
      <c r="D14" s="24"/>
      <c r="E14" s="5" t="s">
        <v>14</v>
      </c>
      <c r="F14" s="6"/>
      <c r="G14" s="24"/>
      <c r="H14" s="24"/>
      <c r="I14" s="24"/>
      <c r="J14" s="43"/>
      <c r="K14" s="24"/>
      <c r="L14" s="24"/>
      <c r="M14" s="24"/>
    </row>
    <row r="15" spans="1:13" x14ac:dyDescent="0.2">
      <c r="A15" s="4"/>
      <c r="B15" s="5"/>
      <c r="C15" s="6"/>
      <c r="D15" s="6"/>
      <c r="E15" s="5"/>
      <c r="F15" s="6"/>
      <c r="G15" s="6"/>
      <c r="H15" s="6"/>
      <c r="I15" s="6"/>
      <c r="J15" s="7"/>
      <c r="K15" s="6"/>
      <c r="L15" s="6"/>
      <c r="M15" s="6"/>
    </row>
    <row r="16" spans="1:13" x14ac:dyDescent="0.2">
      <c r="A16" s="4">
        <v>4</v>
      </c>
      <c r="B16" s="5" t="s">
        <v>15</v>
      </c>
      <c r="C16" s="24"/>
      <c r="D16" s="24"/>
      <c r="E16" s="5" t="s">
        <v>16</v>
      </c>
      <c r="F16" s="6"/>
      <c r="G16" s="24"/>
      <c r="H16" s="24"/>
      <c r="I16" s="24"/>
      <c r="J16" s="43"/>
      <c r="K16" s="24"/>
      <c r="L16" s="24"/>
      <c r="M16" s="24"/>
    </row>
    <row r="17" spans="1:13" x14ac:dyDescent="0.2">
      <c r="A17" s="4"/>
      <c r="B17" s="5"/>
      <c r="C17" s="6"/>
      <c r="D17" s="6"/>
      <c r="E17" s="5"/>
      <c r="F17" s="6"/>
      <c r="G17" s="6"/>
      <c r="H17" s="6"/>
      <c r="I17" s="6"/>
      <c r="J17" s="7"/>
      <c r="K17" s="6"/>
      <c r="L17" s="6"/>
      <c r="M17" s="6"/>
    </row>
    <row r="18" spans="1:13" x14ac:dyDescent="0.2">
      <c r="A18" s="4">
        <v>5</v>
      </c>
      <c r="B18" s="5" t="s">
        <v>17</v>
      </c>
      <c r="C18" s="24"/>
      <c r="D18" s="24"/>
      <c r="E18" s="42">
        <v>38813</v>
      </c>
      <c r="F18" s="28"/>
      <c r="G18" s="24"/>
      <c r="H18" s="24"/>
      <c r="I18" s="24"/>
      <c r="J18" s="43"/>
      <c r="K18" s="24"/>
      <c r="L18" s="24"/>
      <c r="M18" s="24"/>
    </row>
    <row r="19" spans="1:13" x14ac:dyDescent="0.2">
      <c r="A19" s="4"/>
      <c r="B19" s="5"/>
      <c r="C19" s="6"/>
      <c r="D19" s="6"/>
      <c r="E19" s="6"/>
      <c r="F19" s="6"/>
      <c r="G19" s="6"/>
      <c r="H19" s="6"/>
      <c r="I19" s="6"/>
      <c r="J19" s="7"/>
      <c r="K19" s="6"/>
      <c r="L19" s="6"/>
      <c r="M19" s="6"/>
    </row>
    <row r="20" spans="1:13" x14ac:dyDescent="0.2">
      <c r="A20" s="4">
        <v>6</v>
      </c>
      <c r="B20" s="5" t="s">
        <v>18</v>
      </c>
      <c r="C20" s="24"/>
      <c r="D20" s="24"/>
      <c r="E20" s="24"/>
      <c r="F20" s="24"/>
      <c r="G20" s="24"/>
      <c r="H20" s="43"/>
      <c r="I20" s="43" t="s">
        <v>19</v>
      </c>
      <c r="J20" s="43"/>
      <c r="K20" s="24"/>
      <c r="L20" s="24"/>
      <c r="M20" s="24"/>
    </row>
    <row r="21" spans="1:13" x14ac:dyDescent="0.2">
      <c r="A21" s="4"/>
      <c r="B21" s="5"/>
      <c r="C21" s="24"/>
      <c r="D21" s="24"/>
      <c r="E21" s="24"/>
      <c r="F21" s="24"/>
      <c r="G21" s="24"/>
      <c r="H21" s="43"/>
      <c r="I21" s="43"/>
      <c r="J21" s="43"/>
      <c r="K21" s="24"/>
      <c r="L21" s="24"/>
      <c r="M21" s="24"/>
    </row>
    <row r="22" spans="1:13" ht="12.75" customHeight="1" x14ac:dyDescent="0.2">
      <c r="A22" s="4"/>
      <c r="B22" s="5"/>
      <c r="C22" s="101" t="s">
        <v>20</v>
      </c>
      <c r="D22" s="101"/>
      <c r="E22" s="101"/>
      <c r="F22" s="101"/>
      <c r="G22" s="101"/>
      <c r="H22" s="101"/>
      <c r="I22" s="101"/>
      <c r="J22" s="101"/>
      <c r="K22" s="24"/>
      <c r="L22" s="24"/>
      <c r="M22" s="24"/>
    </row>
    <row r="23" spans="1:13" x14ac:dyDescent="0.2">
      <c r="A23" s="4"/>
      <c r="B23" s="5"/>
      <c r="C23" s="101"/>
      <c r="D23" s="101"/>
      <c r="E23" s="101"/>
      <c r="F23" s="101"/>
      <c r="G23" s="101"/>
      <c r="H23" s="101"/>
      <c r="I23" s="101"/>
      <c r="J23" s="101"/>
      <c r="K23" s="24"/>
      <c r="L23" s="24"/>
      <c r="M23" s="24"/>
    </row>
    <row r="24" spans="1:13" x14ac:dyDescent="0.2">
      <c r="A24" s="4"/>
      <c r="B24" s="5"/>
      <c r="C24" s="101"/>
      <c r="D24" s="101"/>
      <c r="E24" s="101"/>
      <c r="F24" s="101"/>
      <c r="G24" s="101"/>
      <c r="H24" s="101"/>
      <c r="I24" s="101"/>
      <c r="J24" s="101"/>
      <c r="K24" s="24"/>
      <c r="L24" s="24"/>
      <c r="M24" s="24"/>
    </row>
    <row r="25" spans="1:13" x14ac:dyDescent="0.2">
      <c r="A25" s="4"/>
      <c r="B25" s="5"/>
      <c r="C25" s="101"/>
      <c r="D25" s="101"/>
      <c r="E25" s="101"/>
      <c r="F25" s="101"/>
      <c r="G25" s="101"/>
      <c r="H25" s="101"/>
      <c r="I25" s="101"/>
      <c r="J25" s="101"/>
      <c r="K25" s="24"/>
      <c r="L25" s="24"/>
      <c r="M25" s="24"/>
    </row>
    <row r="26" spans="1:13" ht="15" customHeight="1" thickBot="1" x14ac:dyDescent="0.25">
      <c r="A26" s="4"/>
      <c r="B26" s="6"/>
      <c r="C26" s="33"/>
      <c r="D26" s="33"/>
      <c r="E26" s="33"/>
      <c r="F26" s="33"/>
      <c r="G26" s="33"/>
      <c r="H26" s="7"/>
      <c r="I26" s="7"/>
      <c r="J26" s="7"/>
      <c r="K26" s="6"/>
      <c r="L26" s="6"/>
      <c r="M26" s="6"/>
    </row>
    <row r="27" spans="1:13" ht="15" customHeight="1" thickBot="1" x14ac:dyDescent="0.25">
      <c r="A27" s="4"/>
      <c r="B27" s="6"/>
      <c r="C27" s="8" t="s">
        <v>21</v>
      </c>
      <c r="D27" s="9"/>
      <c r="E27" s="9" t="s">
        <v>22</v>
      </c>
      <c r="F27" s="9" t="s">
        <v>23</v>
      </c>
      <c r="G27" s="10" t="s">
        <v>24</v>
      </c>
      <c r="H27" s="7"/>
      <c r="I27" s="7"/>
      <c r="J27" s="7"/>
      <c r="K27" s="6"/>
      <c r="L27" s="6"/>
      <c r="M27" s="6"/>
    </row>
    <row r="28" spans="1:13" ht="15" customHeight="1" x14ac:dyDescent="0.2">
      <c r="A28" s="4"/>
      <c r="B28" s="6"/>
      <c r="C28" s="12"/>
      <c r="D28" s="72"/>
      <c r="E28" s="73"/>
      <c r="F28" s="72"/>
      <c r="G28" s="13"/>
      <c r="H28" s="7"/>
      <c r="I28" s="7"/>
      <c r="J28" s="7"/>
      <c r="K28" s="6"/>
      <c r="L28" s="6"/>
      <c r="M28" s="6"/>
    </row>
    <row r="29" spans="1:13" ht="15" customHeight="1" x14ac:dyDescent="0.2">
      <c r="A29" s="4"/>
      <c r="B29" s="6"/>
      <c r="C29" s="14" t="s">
        <v>82</v>
      </c>
      <c r="D29" s="6"/>
      <c r="E29" s="39">
        <v>962500000</v>
      </c>
      <c r="F29" s="45">
        <f>50*E29</f>
        <v>48125000000</v>
      </c>
      <c r="G29" s="75">
        <f>E29/E33</f>
        <v>0.69244604316546765</v>
      </c>
      <c r="H29" s="7"/>
      <c r="I29" s="7"/>
      <c r="J29" s="7"/>
      <c r="K29" s="6"/>
      <c r="L29" s="6"/>
      <c r="M29" s="6"/>
    </row>
    <row r="30" spans="1:13" ht="15" customHeight="1" x14ac:dyDescent="0.2">
      <c r="A30" s="4"/>
      <c r="B30" s="6"/>
      <c r="C30" s="14" t="s">
        <v>25</v>
      </c>
      <c r="D30" s="6"/>
      <c r="E30" s="45">
        <v>82500000</v>
      </c>
      <c r="F30" s="45">
        <f>50*E30</f>
        <v>4125000000</v>
      </c>
      <c r="G30" s="75">
        <f>E30/E33</f>
        <v>5.935251798561151E-2</v>
      </c>
      <c r="H30" s="7"/>
      <c r="I30" s="7"/>
      <c r="J30" s="7"/>
      <c r="K30" s="6"/>
      <c r="L30" s="6"/>
      <c r="M30" s="6"/>
    </row>
    <row r="31" spans="1:13" ht="15" customHeight="1" x14ac:dyDescent="0.2">
      <c r="A31" s="4"/>
      <c r="B31" s="6"/>
      <c r="C31" s="44" t="s">
        <v>26</v>
      </c>
      <c r="D31" s="72"/>
      <c r="E31" s="45">
        <v>55000000</v>
      </c>
      <c r="F31" s="45">
        <f>50*E31</f>
        <v>2750000000</v>
      </c>
      <c r="G31" s="75">
        <f>E31/E33</f>
        <v>3.9568345323741004E-2</v>
      </c>
      <c r="H31" s="7"/>
      <c r="I31" s="7"/>
      <c r="J31" s="7"/>
      <c r="K31" s="6"/>
      <c r="L31" s="6"/>
      <c r="M31" s="6"/>
    </row>
    <row r="32" spans="1:13" ht="15" customHeight="1" x14ac:dyDescent="0.2">
      <c r="A32" s="4"/>
      <c r="B32" s="6"/>
      <c r="C32" s="44" t="s">
        <v>87</v>
      </c>
      <c r="D32" s="72"/>
      <c r="E32" s="45">
        <v>290000000</v>
      </c>
      <c r="F32" s="45">
        <f>50*E32</f>
        <v>14500000000</v>
      </c>
      <c r="G32" s="75">
        <f>E32/E33</f>
        <v>0.20863309352517986</v>
      </c>
      <c r="H32" s="7"/>
      <c r="I32" s="7"/>
      <c r="J32" s="7"/>
      <c r="K32" s="6"/>
      <c r="L32" s="6"/>
      <c r="M32" s="6"/>
    </row>
    <row r="33" spans="1:13" ht="13.5" thickBot="1" x14ac:dyDescent="0.25">
      <c r="A33" s="4"/>
      <c r="B33" s="6"/>
      <c r="C33" s="15"/>
      <c r="D33" s="37"/>
      <c r="E33" s="46">
        <f>SUM(E29:E32)</f>
        <v>1390000000</v>
      </c>
      <c r="F33" s="46">
        <f>SUM(F29:F32)</f>
        <v>69500000000</v>
      </c>
      <c r="G33" s="74"/>
      <c r="H33" s="7"/>
      <c r="I33" s="7"/>
      <c r="J33" s="7"/>
      <c r="K33" s="6"/>
      <c r="L33" s="6"/>
      <c r="M33" s="6"/>
    </row>
    <row r="34" spans="1:13" x14ac:dyDescent="0.2">
      <c r="A34" s="4"/>
      <c r="B34" s="6"/>
      <c r="C34" s="6"/>
      <c r="D34" s="6"/>
      <c r="E34" s="34"/>
      <c r="F34" s="35"/>
      <c r="G34" s="36"/>
      <c r="H34" s="7"/>
      <c r="I34" s="7"/>
      <c r="J34" s="7"/>
      <c r="K34" s="6"/>
      <c r="L34" s="6"/>
      <c r="M34" s="6"/>
    </row>
    <row r="35" spans="1:13" x14ac:dyDescent="0.2">
      <c r="A35" s="4"/>
      <c r="B35" s="6"/>
      <c r="C35" s="100" t="s">
        <v>96</v>
      </c>
      <c r="D35" s="6"/>
      <c r="E35" s="34"/>
      <c r="F35" s="35"/>
      <c r="G35" s="36"/>
      <c r="H35" s="7"/>
      <c r="I35" s="7"/>
      <c r="J35" s="7"/>
      <c r="K35" s="6"/>
      <c r="L35" s="6"/>
      <c r="M35" s="6"/>
    </row>
    <row r="36" spans="1:13" x14ac:dyDescent="0.2">
      <c r="A36" s="4"/>
      <c r="B36" s="6"/>
      <c r="C36" t="s">
        <v>98</v>
      </c>
      <c r="D36" s="6"/>
      <c r="E36" s="34"/>
      <c r="F36" s="35"/>
      <c r="G36" s="36"/>
      <c r="H36" s="7"/>
      <c r="I36" s="7"/>
      <c r="J36" s="7"/>
      <c r="K36" s="6"/>
      <c r="L36" s="6"/>
      <c r="M36" s="6"/>
    </row>
    <row r="37" spans="1:13" x14ac:dyDescent="0.2">
      <c r="A37" s="4"/>
      <c r="B37" s="6"/>
      <c r="C37" t="s">
        <v>99</v>
      </c>
      <c r="D37" s="6"/>
      <c r="E37" s="34"/>
      <c r="F37" s="35"/>
      <c r="G37" s="36"/>
      <c r="H37" s="7"/>
      <c r="I37" s="7"/>
      <c r="J37" s="7"/>
      <c r="K37" s="6"/>
      <c r="L37" s="6"/>
      <c r="M37" s="6"/>
    </row>
    <row r="38" spans="1:13" x14ac:dyDescent="0.2">
      <c r="A38" s="4"/>
      <c r="B38" s="6"/>
      <c r="C38" t="s">
        <v>100</v>
      </c>
      <c r="D38" s="6"/>
      <c r="E38" s="34"/>
      <c r="F38" s="35"/>
      <c r="G38" s="36"/>
      <c r="H38" s="7"/>
      <c r="I38" s="7"/>
      <c r="J38" s="7"/>
      <c r="K38" s="6"/>
      <c r="L38" s="6"/>
      <c r="M38" s="6"/>
    </row>
    <row r="39" spans="1:13" x14ac:dyDescent="0.2">
      <c r="A39" s="4"/>
      <c r="B39" s="6"/>
      <c r="D39" s="6"/>
      <c r="E39" s="34"/>
      <c r="F39" s="35"/>
      <c r="G39" s="36"/>
      <c r="H39" s="7"/>
      <c r="I39" s="7"/>
      <c r="J39" s="7"/>
      <c r="K39" s="6"/>
      <c r="L39" s="6"/>
      <c r="M39" s="6"/>
    </row>
    <row r="40" spans="1:13" x14ac:dyDescent="0.2">
      <c r="A40" s="4"/>
      <c r="B40" s="6"/>
      <c r="C40" t="s">
        <v>97</v>
      </c>
      <c r="D40" s="6"/>
      <c r="E40" s="34"/>
      <c r="F40" s="35"/>
      <c r="G40" s="36"/>
      <c r="H40" s="7"/>
      <c r="I40" s="7"/>
      <c r="J40" s="7"/>
      <c r="K40" s="6"/>
      <c r="L40" s="6"/>
      <c r="M40" s="6"/>
    </row>
    <row r="41" spans="1:13" ht="13.5" thickBot="1" x14ac:dyDescent="0.25">
      <c r="A41" s="4"/>
      <c r="B41" s="6"/>
      <c r="D41" s="6"/>
      <c r="E41" s="34"/>
      <c r="F41" s="35"/>
      <c r="G41" s="36"/>
      <c r="H41" s="7"/>
      <c r="I41" s="7"/>
      <c r="J41" s="7"/>
      <c r="K41" s="6"/>
      <c r="L41" s="6"/>
      <c r="M41" s="6"/>
    </row>
    <row r="42" spans="1:13" ht="13.5" thickBot="1" x14ac:dyDescent="0.25">
      <c r="A42" s="4"/>
      <c r="B42" s="6"/>
      <c r="C42" s="8" t="s">
        <v>21</v>
      </c>
      <c r="D42" s="9"/>
      <c r="E42" s="9" t="s">
        <v>22</v>
      </c>
      <c r="F42" s="9" t="s">
        <v>23</v>
      </c>
      <c r="G42" s="10" t="s">
        <v>24</v>
      </c>
      <c r="H42" s="7"/>
      <c r="I42" s="7"/>
      <c r="J42" s="7"/>
      <c r="K42" s="6"/>
      <c r="L42" s="6"/>
      <c r="M42" s="6"/>
    </row>
    <row r="43" spans="1:13" x14ac:dyDescent="0.2">
      <c r="A43" s="4"/>
      <c r="B43" s="6"/>
      <c r="C43" s="12"/>
      <c r="D43" s="72"/>
      <c r="E43" s="73"/>
      <c r="F43" s="72"/>
      <c r="G43" s="13"/>
      <c r="H43" s="7"/>
      <c r="I43" s="7"/>
      <c r="J43" s="7"/>
      <c r="K43" s="6"/>
      <c r="L43" s="6"/>
      <c r="M43" s="6"/>
    </row>
    <row r="44" spans="1:13" x14ac:dyDescent="0.2">
      <c r="A44" s="4"/>
      <c r="B44" s="6"/>
      <c r="C44" s="14" t="s">
        <v>101</v>
      </c>
      <c r="D44" s="6"/>
      <c r="E44" s="39">
        <v>1050</v>
      </c>
      <c r="F44" s="45">
        <f>1000000*E44</f>
        <v>1050000000</v>
      </c>
      <c r="G44" s="75">
        <f>E44/E47</f>
        <v>0.51219512195121952</v>
      </c>
      <c r="H44" s="7"/>
      <c r="I44" s="7"/>
      <c r="J44" s="7"/>
      <c r="K44" s="6"/>
      <c r="L44" s="6"/>
      <c r="M44" s="6"/>
    </row>
    <row r="45" spans="1:13" x14ac:dyDescent="0.2">
      <c r="A45" s="4"/>
      <c r="B45" s="6"/>
      <c r="C45" s="14" t="s">
        <v>25</v>
      </c>
      <c r="D45" s="6"/>
      <c r="E45" s="45">
        <v>600</v>
      </c>
      <c r="F45" s="45">
        <f t="shared" ref="F45:F46" si="0">1000000*E45</f>
        <v>600000000</v>
      </c>
      <c r="G45" s="75">
        <f>E45/E47</f>
        <v>0.29268292682926828</v>
      </c>
      <c r="H45" s="7"/>
      <c r="I45" s="7"/>
      <c r="J45" s="7"/>
      <c r="K45" s="6"/>
      <c r="L45" s="6"/>
      <c r="M45" s="6"/>
    </row>
    <row r="46" spans="1:13" x14ac:dyDescent="0.2">
      <c r="A46" s="4"/>
      <c r="B46" s="6"/>
      <c r="C46" s="44" t="s">
        <v>26</v>
      </c>
      <c r="D46" s="72"/>
      <c r="E46" s="45">
        <v>400</v>
      </c>
      <c r="F46" s="45">
        <f t="shared" si="0"/>
        <v>400000000</v>
      </c>
      <c r="G46" s="75">
        <f>E46/E47</f>
        <v>0.1951219512195122</v>
      </c>
      <c r="H46" s="7"/>
      <c r="I46" s="7"/>
      <c r="J46" s="7"/>
      <c r="K46" s="6"/>
      <c r="L46" s="6"/>
      <c r="M46" s="6"/>
    </row>
    <row r="47" spans="1:13" ht="13.5" thickBot="1" x14ac:dyDescent="0.25">
      <c r="A47" s="4"/>
      <c r="B47" s="6"/>
      <c r="C47" s="15"/>
      <c r="D47" s="37"/>
      <c r="E47" s="46">
        <f>SUM(E44:E46)</f>
        <v>2050</v>
      </c>
      <c r="F47" s="46">
        <f>SUM(F44:F46)</f>
        <v>2050000000</v>
      </c>
      <c r="G47" s="74"/>
      <c r="H47" s="7"/>
      <c r="I47" s="7"/>
      <c r="J47" s="7"/>
      <c r="K47" s="6"/>
      <c r="L47" s="6"/>
      <c r="M47" s="6"/>
    </row>
    <row r="48" spans="1:13" x14ac:dyDescent="0.2">
      <c r="A48" s="4"/>
      <c r="B48" s="6"/>
      <c r="C48" s="6"/>
      <c r="D48" s="6"/>
      <c r="E48" s="34"/>
      <c r="F48" s="35"/>
      <c r="G48" s="36"/>
      <c r="H48" s="7"/>
      <c r="I48" s="7"/>
      <c r="J48" s="7"/>
      <c r="K48" s="6"/>
      <c r="L48" s="6"/>
      <c r="M48" s="6"/>
    </row>
    <row r="49" spans="1:13" x14ac:dyDescent="0.2">
      <c r="A49" s="4"/>
      <c r="B49" s="6"/>
      <c r="C49" s="6"/>
      <c r="D49" s="6"/>
      <c r="E49" s="34"/>
      <c r="F49" s="35"/>
      <c r="G49" s="36"/>
      <c r="H49" s="7"/>
      <c r="I49" s="7"/>
      <c r="J49" s="7"/>
      <c r="K49" s="6"/>
      <c r="L49" s="6"/>
      <c r="M49" s="6"/>
    </row>
    <row r="50" spans="1:13" x14ac:dyDescent="0.2">
      <c r="A50" s="4">
        <v>7</v>
      </c>
      <c r="B50" s="5" t="s">
        <v>27</v>
      </c>
      <c r="C50" s="5"/>
      <c r="D50" s="5"/>
      <c r="E50" s="5"/>
      <c r="F50" s="5"/>
      <c r="G50" s="5"/>
      <c r="H50" s="5"/>
      <c r="I50" s="5"/>
      <c r="J50" s="16"/>
      <c r="K50" s="5"/>
      <c r="L50" s="5"/>
      <c r="M50" s="5"/>
    </row>
    <row r="51" spans="1:13" ht="13.5" thickBot="1" x14ac:dyDescent="0.25">
      <c r="A51" s="4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13.5" thickBot="1" x14ac:dyDescent="0.25">
      <c r="A52" s="4"/>
      <c r="B52" s="17" t="s">
        <v>28</v>
      </c>
      <c r="C52" s="9" t="s">
        <v>21</v>
      </c>
      <c r="D52" s="9"/>
      <c r="E52" s="18" t="s">
        <v>29</v>
      </c>
      <c r="F52" s="18" t="s">
        <v>30</v>
      </c>
      <c r="G52" s="18" t="s">
        <v>31</v>
      </c>
      <c r="H52" s="18" t="s">
        <v>32</v>
      </c>
      <c r="I52" s="18" t="s">
        <v>33</v>
      </c>
      <c r="J52" s="19" t="s">
        <v>34</v>
      </c>
      <c r="K52" s="6"/>
    </row>
    <row r="53" spans="1:13" x14ac:dyDescent="0.2">
      <c r="A53" s="4"/>
      <c r="B53" s="20"/>
      <c r="C53" s="6"/>
      <c r="D53" s="6"/>
      <c r="E53" s="20"/>
      <c r="F53" s="20"/>
      <c r="G53" s="20"/>
      <c r="H53" s="20"/>
      <c r="I53" s="20"/>
      <c r="J53" s="21"/>
      <c r="K53" s="6"/>
    </row>
    <row r="54" spans="1:13" x14ac:dyDescent="0.2">
      <c r="A54" s="4"/>
      <c r="B54" s="20">
        <v>1</v>
      </c>
      <c r="C54" s="6" t="s">
        <v>26</v>
      </c>
      <c r="D54" s="6"/>
      <c r="E54" s="22" t="s">
        <v>36</v>
      </c>
      <c r="F54" s="38" t="s">
        <v>43</v>
      </c>
      <c r="G54" s="22" t="s">
        <v>38</v>
      </c>
      <c r="H54" s="29">
        <v>32636</v>
      </c>
      <c r="I54" s="22" t="s">
        <v>39</v>
      </c>
      <c r="J54" s="23" t="s">
        <v>44</v>
      </c>
      <c r="K54" s="6"/>
      <c r="L54" s="11"/>
    </row>
    <row r="55" spans="1:13" x14ac:dyDescent="0.2">
      <c r="A55" s="4"/>
      <c r="B55" s="20"/>
      <c r="C55" s="6"/>
      <c r="D55" s="6"/>
      <c r="E55" s="22"/>
      <c r="F55" s="38"/>
      <c r="G55" s="22"/>
      <c r="H55" s="29"/>
      <c r="I55" s="22"/>
      <c r="J55" s="23"/>
      <c r="K55" s="6"/>
      <c r="L55" s="11"/>
    </row>
    <row r="56" spans="1:13" x14ac:dyDescent="0.2">
      <c r="A56" s="4"/>
      <c r="B56" s="20">
        <v>2</v>
      </c>
      <c r="C56" s="6" t="s">
        <v>35</v>
      </c>
      <c r="D56" s="6"/>
      <c r="E56" s="22" t="s">
        <v>36</v>
      </c>
      <c r="F56" s="38" t="s">
        <v>37</v>
      </c>
      <c r="G56" s="22" t="s">
        <v>38</v>
      </c>
      <c r="H56" s="29">
        <v>34025</v>
      </c>
      <c r="I56" s="22" t="s">
        <v>39</v>
      </c>
      <c r="J56" s="23" t="s">
        <v>40</v>
      </c>
      <c r="K56" s="6"/>
      <c r="L56" s="11"/>
    </row>
    <row r="57" spans="1:13" x14ac:dyDescent="0.2">
      <c r="A57" s="4"/>
      <c r="B57" s="20"/>
      <c r="C57" s="6"/>
      <c r="D57" s="6"/>
      <c r="E57" s="22"/>
      <c r="F57" s="38"/>
      <c r="G57" s="22"/>
      <c r="H57" s="29"/>
      <c r="I57" s="22"/>
      <c r="J57" s="23"/>
      <c r="K57" s="6"/>
      <c r="L57" s="11"/>
    </row>
    <row r="58" spans="1:13" x14ac:dyDescent="0.2">
      <c r="A58" s="4"/>
      <c r="B58" s="20">
        <v>3</v>
      </c>
      <c r="C58" s="6" t="s">
        <v>89</v>
      </c>
      <c r="D58" s="6"/>
      <c r="E58" s="22" t="s">
        <v>36</v>
      </c>
      <c r="F58" s="22" t="s">
        <v>106</v>
      </c>
      <c r="G58" s="22" t="s">
        <v>105</v>
      </c>
      <c r="H58" s="107">
        <v>27014</v>
      </c>
      <c r="I58" s="22" t="s">
        <v>39</v>
      </c>
      <c r="J58" s="23" t="s">
        <v>40</v>
      </c>
      <c r="K58" s="11"/>
      <c r="L58" s="6"/>
    </row>
    <row r="59" spans="1:13" x14ac:dyDescent="0.2">
      <c r="A59" s="4"/>
      <c r="B59" s="20"/>
      <c r="C59" s="6"/>
      <c r="D59" s="6"/>
      <c r="E59" s="20"/>
      <c r="F59" s="20"/>
      <c r="G59" s="20"/>
      <c r="H59" s="103"/>
      <c r="I59" s="20"/>
      <c r="J59" s="21"/>
      <c r="K59" s="6"/>
      <c r="L59" s="6"/>
    </row>
    <row r="60" spans="1:13" x14ac:dyDescent="0.2">
      <c r="A60" s="4"/>
      <c r="B60" s="20">
        <v>4</v>
      </c>
      <c r="C60" s="6" t="s">
        <v>25</v>
      </c>
      <c r="D60" s="6"/>
      <c r="E60" s="22" t="s">
        <v>36</v>
      </c>
      <c r="F60" s="38" t="s">
        <v>41</v>
      </c>
      <c r="G60" s="22" t="s">
        <v>38</v>
      </c>
      <c r="H60" s="29">
        <v>21525</v>
      </c>
      <c r="I60" s="22" t="s">
        <v>39</v>
      </c>
      <c r="J60" s="23" t="s">
        <v>42</v>
      </c>
      <c r="K60" s="6"/>
      <c r="L60" s="11"/>
    </row>
    <row r="61" spans="1:13" x14ac:dyDescent="0.2">
      <c r="A61" s="4"/>
      <c r="B61" s="20"/>
      <c r="C61" s="24"/>
      <c r="D61" s="24"/>
      <c r="E61" s="22"/>
      <c r="F61" s="25"/>
      <c r="G61" s="22"/>
      <c r="H61" s="25"/>
      <c r="I61" s="22"/>
      <c r="J61" s="23"/>
      <c r="K61" s="6"/>
      <c r="L61" s="11"/>
    </row>
    <row r="62" spans="1:13" x14ac:dyDescent="0.2">
      <c r="A62" s="4"/>
      <c r="B62" s="20">
        <v>5</v>
      </c>
      <c r="C62" s="6" t="s">
        <v>88</v>
      </c>
      <c r="D62" s="6"/>
      <c r="E62" s="22" t="s">
        <v>36</v>
      </c>
      <c r="F62" s="97" t="s">
        <v>104</v>
      </c>
      <c r="G62" s="22" t="s">
        <v>103</v>
      </c>
      <c r="H62" s="98">
        <v>25262</v>
      </c>
      <c r="I62" s="22" t="s">
        <v>39</v>
      </c>
      <c r="J62" s="23" t="s">
        <v>90</v>
      </c>
      <c r="K62" s="6"/>
      <c r="L62" s="11"/>
    </row>
    <row r="63" spans="1:13" x14ac:dyDescent="0.2">
      <c r="A63" s="4"/>
      <c r="B63" s="26"/>
      <c r="C63" s="104"/>
      <c r="D63" s="104"/>
      <c r="E63" s="31"/>
      <c r="F63" s="105"/>
      <c r="G63" s="31"/>
      <c r="H63" s="106"/>
      <c r="I63" s="31"/>
      <c r="J63" s="32"/>
      <c r="K63" s="6"/>
      <c r="L63" s="11"/>
    </row>
    <row r="64" spans="1:13" x14ac:dyDescent="0.2">
      <c r="A64" s="4"/>
      <c r="B64" s="6"/>
      <c r="C64" s="6"/>
      <c r="D64" s="6"/>
      <c r="E64" s="6"/>
      <c r="F64" s="6"/>
      <c r="G64" s="6"/>
      <c r="H64" s="27"/>
      <c r="I64" s="6"/>
      <c r="J64" s="6"/>
      <c r="K64" s="6"/>
      <c r="L64" s="6"/>
      <c r="M64" s="6"/>
    </row>
    <row r="65" spans="1:13" x14ac:dyDescent="0.2">
      <c r="A65" s="4"/>
      <c r="B65" s="6"/>
      <c r="C65" s="6"/>
      <c r="D65" s="6"/>
      <c r="E65" s="6"/>
      <c r="F65" s="6"/>
      <c r="G65" s="6"/>
      <c r="H65" s="27"/>
      <c r="I65" s="6"/>
      <c r="J65" s="6"/>
      <c r="K65" s="6"/>
      <c r="L65" s="6"/>
      <c r="M65" s="6"/>
    </row>
    <row r="66" spans="1:13" x14ac:dyDescent="0.2">
      <c r="A66" s="4">
        <v>8</v>
      </c>
      <c r="B66" s="5" t="s">
        <v>45</v>
      </c>
      <c r="C66" s="6"/>
      <c r="D66" s="6"/>
      <c r="E66" s="6"/>
      <c r="F66" s="6"/>
      <c r="G66" s="6"/>
      <c r="H66" s="27"/>
      <c r="I66" s="6"/>
      <c r="J66" s="11"/>
      <c r="K66" s="6"/>
      <c r="L66" s="6"/>
      <c r="M66" s="6"/>
    </row>
    <row r="67" spans="1:13" x14ac:dyDescent="0.2">
      <c r="A67" s="4"/>
      <c r="B67" s="40"/>
      <c r="C67" s="76"/>
      <c r="D67" s="6"/>
      <c r="E67" s="6"/>
      <c r="F67" s="6"/>
      <c r="G67" s="6"/>
      <c r="H67" s="27"/>
      <c r="I67" s="6"/>
      <c r="J67" s="6"/>
      <c r="K67" s="6"/>
      <c r="L67" s="6"/>
      <c r="M67" s="6"/>
    </row>
    <row r="68" spans="1:13" x14ac:dyDescent="0.2">
      <c r="A68" s="4"/>
      <c r="B68" s="96">
        <v>45657</v>
      </c>
      <c r="C68" s="77"/>
      <c r="D68" s="78"/>
      <c r="E68" s="6"/>
      <c r="F68" s="6"/>
      <c r="G68" s="6"/>
      <c r="H68" s="27"/>
      <c r="I68" s="6"/>
      <c r="J68" s="11"/>
      <c r="K68" s="6"/>
      <c r="L68" s="6"/>
      <c r="M68" s="6"/>
    </row>
    <row r="69" spans="1:13" x14ac:dyDescent="0.2">
      <c r="A69" s="4"/>
      <c r="B69" s="79" t="s">
        <v>74</v>
      </c>
      <c r="C69" s="80" t="s">
        <v>75</v>
      </c>
      <c r="D69" s="80" t="s">
        <v>76</v>
      </c>
      <c r="E69" s="6"/>
      <c r="F69" s="6"/>
      <c r="G69" s="6"/>
      <c r="H69" s="27"/>
      <c r="I69" s="6"/>
      <c r="J69" s="6"/>
      <c r="K69" s="6"/>
      <c r="L69" s="6"/>
      <c r="M69" s="6"/>
    </row>
    <row r="70" spans="1:13" x14ac:dyDescent="0.2">
      <c r="B70" s="81"/>
      <c r="C70" s="82"/>
      <c r="D70" s="83"/>
    </row>
    <row r="71" spans="1:13" x14ac:dyDescent="0.2">
      <c r="B71" s="87">
        <v>1</v>
      </c>
      <c r="C71" s="88" t="s">
        <v>77</v>
      </c>
      <c r="D71" s="89" t="s">
        <v>78</v>
      </c>
    </row>
    <row r="72" spans="1:13" x14ac:dyDescent="0.2">
      <c r="B72" s="84"/>
      <c r="C72" s="85"/>
      <c r="D72" s="86"/>
    </row>
    <row r="73" spans="1:13" x14ac:dyDescent="0.2">
      <c r="B73" s="84"/>
      <c r="C73" s="85"/>
      <c r="D73" s="86"/>
    </row>
    <row r="74" spans="1:13" x14ac:dyDescent="0.2">
      <c r="A74" s="4">
        <v>9</v>
      </c>
      <c r="B74" s="30" t="s">
        <v>46</v>
      </c>
    </row>
    <row r="75" spans="1:13" x14ac:dyDescent="0.2">
      <c r="B75" s="11"/>
    </row>
    <row r="76" spans="1:13" x14ac:dyDescent="0.2">
      <c r="B76" s="96">
        <v>45657</v>
      </c>
      <c r="C76" s="77"/>
      <c r="D76" s="77"/>
      <c r="E76" s="77"/>
      <c r="F76" s="77"/>
      <c r="G76" s="77"/>
      <c r="H76" s="77"/>
      <c r="I76" s="78"/>
    </row>
    <row r="77" spans="1:13" x14ac:dyDescent="0.2">
      <c r="B77" s="79" t="s">
        <v>74</v>
      </c>
      <c r="C77" s="80" t="s">
        <v>75</v>
      </c>
      <c r="D77" s="80" t="s">
        <v>91</v>
      </c>
      <c r="E77" s="80" t="s">
        <v>93</v>
      </c>
      <c r="F77" s="80" t="s">
        <v>94</v>
      </c>
      <c r="G77" s="80" t="s">
        <v>76</v>
      </c>
      <c r="H77" s="80" t="s">
        <v>79</v>
      </c>
      <c r="I77" s="90" t="s">
        <v>80</v>
      </c>
    </row>
    <row r="78" spans="1:13" x14ac:dyDescent="0.2">
      <c r="B78" s="81"/>
      <c r="C78" s="82"/>
      <c r="D78" s="83"/>
      <c r="E78" s="83"/>
      <c r="F78" s="83"/>
      <c r="G78" s="83"/>
      <c r="H78" s="83"/>
      <c r="I78" s="91"/>
    </row>
    <row r="79" spans="1:13" x14ac:dyDescent="0.2">
      <c r="B79" s="87">
        <v>1</v>
      </c>
      <c r="C79" s="88" t="s">
        <v>77</v>
      </c>
      <c r="D79" s="89" t="s">
        <v>92</v>
      </c>
      <c r="E79" s="89">
        <v>2020</v>
      </c>
      <c r="F79" s="99" t="s">
        <v>95</v>
      </c>
      <c r="G79" s="89" t="s">
        <v>78</v>
      </c>
      <c r="H79" s="92">
        <v>248490881601</v>
      </c>
      <c r="I79" s="93">
        <v>0.51219999999999999</v>
      </c>
    </row>
  </sheetData>
  <mergeCells count="1">
    <mergeCell ref="C22:J25"/>
  </mergeCells>
  <phoneticPr fontId="3" type="noConversion"/>
  <pageMargins left="0.28740157500000002" right="0.28740157500000002" top="0.43110236200000002" bottom="0.25" header="0.39370078740157499" footer="0.39370078740157499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showGridLines="0" topLeftCell="A189" workbookViewId="0">
      <selection activeCell="G4" sqref="G4"/>
    </sheetView>
  </sheetViews>
  <sheetFormatPr defaultRowHeight="12.75" outlineLevelRow="1" x14ac:dyDescent="0.2"/>
  <cols>
    <col min="1" max="1" width="8.85546875" style="3" customWidth="1"/>
  </cols>
  <sheetData>
    <row r="1" spans="1:8" x14ac:dyDescent="0.2">
      <c r="A1" s="1" t="s">
        <v>47</v>
      </c>
      <c r="B1" s="2"/>
      <c r="C1" s="2"/>
      <c r="D1" s="2"/>
      <c r="E1" s="2"/>
      <c r="F1" s="2"/>
      <c r="G1" s="2"/>
      <c r="H1" s="2"/>
    </row>
    <row r="3" spans="1:8" ht="45" customHeight="1" outlineLevel="1" x14ac:dyDescent="0.2">
      <c r="A3" s="3" t="s">
        <v>48</v>
      </c>
      <c r="B3" s="102"/>
      <c r="C3" s="102"/>
      <c r="D3" s="102"/>
      <c r="E3" s="102"/>
      <c r="F3" s="102"/>
      <c r="G3" s="102"/>
      <c r="H3" s="102"/>
    </row>
    <row r="5" spans="1:8" ht="45" customHeight="1" outlineLevel="1" x14ac:dyDescent="0.2">
      <c r="A5" s="3" t="s">
        <v>49</v>
      </c>
      <c r="B5" s="102"/>
      <c r="C5" s="102"/>
      <c r="D5" s="102"/>
      <c r="E5" s="102"/>
      <c r="F5" s="102"/>
      <c r="G5" s="102"/>
      <c r="H5" s="102"/>
    </row>
    <row r="7" spans="1:8" ht="45" customHeight="1" outlineLevel="1" x14ac:dyDescent="0.2">
      <c r="A7" s="3" t="s">
        <v>50</v>
      </c>
      <c r="B7" s="102"/>
      <c r="C7" s="102"/>
      <c r="D7" s="102"/>
      <c r="E7" s="102"/>
      <c r="F7" s="102"/>
      <c r="G7" s="102"/>
      <c r="H7" s="102"/>
    </row>
    <row r="9" spans="1:8" ht="45" customHeight="1" outlineLevel="1" x14ac:dyDescent="0.2">
      <c r="A9" s="3" t="s">
        <v>51</v>
      </c>
      <c r="B9" s="102"/>
      <c r="C9" s="102"/>
      <c r="D9" s="102"/>
      <c r="E9" s="102"/>
      <c r="F9" s="102"/>
      <c r="G9" s="102"/>
      <c r="H9" s="102"/>
    </row>
    <row r="11" spans="1:8" ht="45" customHeight="1" outlineLevel="1" x14ac:dyDescent="0.2">
      <c r="A11" s="3" t="s">
        <v>52</v>
      </c>
      <c r="B11" s="102"/>
      <c r="C11" s="102"/>
      <c r="D11" s="102"/>
      <c r="E11" s="102"/>
      <c r="F11" s="102"/>
      <c r="G11" s="102"/>
      <c r="H11" s="102"/>
    </row>
    <row r="12" spans="1:8" ht="13.15" customHeight="1" x14ac:dyDescent="0.2"/>
    <row r="13" spans="1:8" ht="45" customHeight="1" outlineLevel="1" x14ac:dyDescent="0.2">
      <c r="A13" s="3" t="s">
        <v>53</v>
      </c>
      <c r="B13" s="102"/>
      <c r="C13" s="102"/>
      <c r="D13" s="102"/>
      <c r="E13" s="102"/>
      <c r="F13" s="102"/>
      <c r="G13" s="102"/>
      <c r="H13" s="102"/>
    </row>
    <row r="14" spans="1:8" ht="13.15" customHeight="1" x14ac:dyDescent="0.2"/>
    <row r="15" spans="1:8" ht="45" customHeight="1" outlineLevel="1" x14ac:dyDescent="0.2">
      <c r="A15" s="3" t="s">
        <v>54</v>
      </c>
      <c r="B15" s="102"/>
      <c r="C15" s="102"/>
      <c r="D15" s="102"/>
      <c r="E15" s="102"/>
      <c r="F15" s="102"/>
      <c r="G15" s="102"/>
      <c r="H15" s="102"/>
    </row>
    <row r="16" spans="1:8" ht="13.15" customHeight="1" x14ac:dyDescent="0.2"/>
    <row r="17" spans="1:8" ht="45" customHeight="1" outlineLevel="1" x14ac:dyDescent="0.2">
      <c r="A17" s="3" t="s">
        <v>55</v>
      </c>
      <c r="B17" s="102"/>
      <c r="C17" s="102"/>
      <c r="D17" s="102"/>
      <c r="E17" s="102"/>
      <c r="F17" s="102"/>
      <c r="G17" s="102"/>
      <c r="H17" s="102"/>
    </row>
    <row r="18" spans="1:8" ht="13.15" customHeight="1" x14ac:dyDescent="0.2"/>
    <row r="19" spans="1:8" ht="45" customHeight="1" outlineLevel="1" x14ac:dyDescent="0.2">
      <c r="A19" s="3" t="s">
        <v>56</v>
      </c>
      <c r="B19" s="102"/>
      <c r="C19" s="102"/>
      <c r="D19" s="102"/>
      <c r="E19" s="102"/>
      <c r="F19" s="102"/>
      <c r="G19" s="102"/>
      <c r="H19" s="102"/>
    </row>
    <row r="20" spans="1:8" ht="13.15" customHeight="1" x14ac:dyDescent="0.2"/>
    <row r="21" spans="1:8" ht="45" customHeight="1" outlineLevel="1" x14ac:dyDescent="0.2">
      <c r="A21" s="3" t="s">
        <v>57</v>
      </c>
      <c r="B21" s="102"/>
      <c r="C21" s="102"/>
      <c r="D21" s="102"/>
      <c r="E21" s="102"/>
      <c r="F21" s="102"/>
      <c r="G21" s="102"/>
      <c r="H21" s="102"/>
    </row>
    <row r="22" spans="1:8" ht="13.15" customHeight="1" x14ac:dyDescent="0.2"/>
    <row r="23" spans="1:8" ht="45" customHeight="1" outlineLevel="1" x14ac:dyDescent="0.2">
      <c r="A23" s="3" t="s">
        <v>58</v>
      </c>
      <c r="B23" s="102"/>
      <c r="C23" s="102"/>
      <c r="D23" s="102"/>
      <c r="E23" s="102"/>
      <c r="F23" s="102"/>
      <c r="G23" s="102"/>
      <c r="H23" s="102"/>
    </row>
    <row r="24" spans="1:8" ht="13.15" customHeight="1" x14ac:dyDescent="0.2"/>
    <row r="25" spans="1:8" ht="45" customHeight="1" outlineLevel="1" x14ac:dyDescent="0.2">
      <c r="A25" s="3" t="s">
        <v>59</v>
      </c>
      <c r="B25" s="102"/>
      <c r="C25" s="102"/>
      <c r="D25" s="102"/>
      <c r="E25" s="102"/>
      <c r="F25" s="102"/>
      <c r="G25" s="102"/>
      <c r="H25" s="102"/>
    </row>
    <row r="26" spans="1:8" ht="13.15" customHeight="1" x14ac:dyDescent="0.2"/>
    <row r="27" spans="1:8" ht="45" customHeight="1" outlineLevel="1" x14ac:dyDescent="0.2">
      <c r="A27" s="3" t="s">
        <v>60</v>
      </c>
      <c r="B27" s="102"/>
      <c r="C27" s="102"/>
      <c r="D27" s="102"/>
      <c r="E27" s="102"/>
      <c r="F27" s="102"/>
      <c r="G27" s="102"/>
      <c r="H27" s="102"/>
    </row>
    <row r="28" spans="1:8" ht="13.15" customHeight="1" x14ac:dyDescent="0.2"/>
    <row r="29" spans="1:8" ht="45" customHeight="1" outlineLevel="1" x14ac:dyDescent="0.2">
      <c r="A29" s="3" t="s">
        <v>61</v>
      </c>
      <c r="B29" s="102"/>
      <c r="C29" s="102"/>
      <c r="D29" s="102"/>
      <c r="E29" s="102"/>
      <c r="F29" s="102"/>
      <c r="G29" s="102"/>
      <c r="H29" s="102"/>
    </row>
    <row r="30" spans="1:8" ht="13.15" customHeight="1" x14ac:dyDescent="0.2"/>
    <row r="31" spans="1:8" ht="45" customHeight="1" outlineLevel="1" x14ac:dyDescent="0.2">
      <c r="A31" s="3" t="s">
        <v>62</v>
      </c>
      <c r="B31" s="102"/>
      <c r="C31" s="102"/>
      <c r="D31" s="102"/>
      <c r="E31" s="102"/>
      <c r="F31" s="102"/>
      <c r="G31" s="102"/>
      <c r="H31" s="102"/>
    </row>
    <row r="32" spans="1:8" ht="13.15" customHeight="1" x14ac:dyDescent="0.2"/>
    <row r="33" spans="1:8" ht="45" customHeight="1" outlineLevel="1" x14ac:dyDescent="0.2">
      <c r="A33" s="3" t="s">
        <v>63</v>
      </c>
      <c r="B33" s="102"/>
      <c r="C33" s="102"/>
      <c r="D33" s="102"/>
      <c r="E33" s="102"/>
      <c r="F33" s="102"/>
      <c r="G33" s="102"/>
      <c r="H33" s="102"/>
    </row>
    <row r="34" spans="1:8" ht="13.15" customHeight="1" x14ac:dyDescent="0.2"/>
    <row r="35" spans="1:8" ht="45" customHeight="1" outlineLevel="1" x14ac:dyDescent="0.2">
      <c r="A35" s="3" t="s">
        <v>64</v>
      </c>
      <c r="B35" s="102"/>
      <c r="C35" s="102"/>
      <c r="D35" s="102"/>
      <c r="E35" s="102"/>
      <c r="F35" s="102"/>
      <c r="G35" s="102"/>
      <c r="H35" s="102"/>
    </row>
    <row r="36" spans="1:8" ht="13.15" customHeight="1" x14ac:dyDescent="0.2"/>
    <row r="37" spans="1:8" ht="45" customHeight="1" outlineLevel="1" x14ac:dyDescent="0.2">
      <c r="A37" s="3" t="s">
        <v>65</v>
      </c>
      <c r="B37" s="102"/>
      <c r="C37" s="102"/>
      <c r="D37" s="102"/>
      <c r="E37" s="102"/>
      <c r="F37" s="102"/>
      <c r="G37" s="102"/>
      <c r="H37" s="102"/>
    </row>
    <row r="38" spans="1:8" ht="13.15" customHeight="1" x14ac:dyDescent="0.2"/>
    <row r="39" spans="1:8" ht="45" customHeight="1" outlineLevel="1" x14ac:dyDescent="0.2">
      <c r="A39" s="3" t="s">
        <v>66</v>
      </c>
      <c r="B39" s="102"/>
      <c r="C39" s="102"/>
      <c r="D39" s="102"/>
      <c r="E39" s="102"/>
      <c r="F39" s="102"/>
      <c r="G39" s="102"/>
      <c r="H39" s="102"/>
    </row>
    <row r="40" spans="1:8" ht="13.15" customHeight="1" x14ac:dyDescent="0.2"/>
    <row r="41" spans="1:8" ht="45" customHeight="1" outlineLevel="1" x14ac:dyDescent="0.2">
      <c r="A41" s="3" t="s">
        <v>67</v>
      </c>
      <c r="B41" s="102"/>
      <c r="C41" s="102"/>
      <c r="D41" s="102"/>
      <c r="E41" s="102"/>
      <c r="F41" s="102"/>
      <c r="G41" s="102"/>
      <c r="H41" s="102"/>
    </row>
    <row r="42" spans="1:8" ht="13.15" customHeight="1" x14ac:dyDescent="0.2"/>
    <row r="43" spans="1:8" ht="45" customHeight="1" outlineLevel="1" x14ac:dyDescent="0.2">
      <c r="A43" s="3" t="s">
        <v>68</v>
      </c>
      <c r="B43" s="102"/>
      <c r="C43" s="102"/>
      <c r="D43" s="102"/>
      <c r="E43" s="102"/>
      <c r="F43" s="102"/>
      <c r="G43" s="102"/>
      <c r="H43" s="102"/>
    </row>
    <row r="44" spans="1:8" ht="13.15" customHeight="1" x14ac:dyDescent="0.2"/>
    <row r="45" spans="1:8" ht="45" customHeight="1" outlineLevel="1" x14ac:dyDescent="0.2">
      <c r="A45" s="3" t="s">
        <v>69</v>
      </c>
      <c r="B45" s="102"/>
      <c r="C45" s="102"/>
      <c r="D45" s="102"/>
      <c r="E45" s="102"/>
      <c r="F45" s="102"/>
      <c r="G45" s="102"/>
      <c r="H45" s="102"/>
    </row>
    <row r="46" spans="1:8" ht="13.15" customHeight="1" x14ac:dyDescent="0.2"/>
    <row r="47" spans="1:8" ht="45" customHeight="1" outlineLevel="1" x14ac:dyDescent="0.2">
      <c r="A47" s="3" t="s">
        <v>70</v>
      </c>
      <c r="B47" s="102"/>
      <c r="C47" s="102"/>
      <c r="D47" s="102"/>
      <c r="E47" s="102"/>
      <c r="F47" s="102"/>
      <c r="G47" s="102"/>
      <c r="H47" s="102"/>
    </row>
    <row r="48" spans="1:8" ht="13.15" customHeight="1" x14ac:dyDescent="0.2"/>
    <row r="49" spans="1:8" ht="45" customHeight="1" outlineLevel="1" x14ac:dyDescent="0.2">
      <c r="A49" s="3" t="s">
        <v>71</v>
      </c>
      <c r="B49" s="102"/>
      <c r="C49" s="102"/>
      <c r="D49" s="102"/>
      <c r="E49" s="102"/>
      <c r="F49" s="102"/>
      <c r="G49" s="102"/>
      <c r="H49" s="102"/>
    </row>
    <row r="50" spans="1:8" ht="13.15" customHeight="1" x14ac:dyDescent="0.2"/>
    <row r="51" spans="1:8" ht="45" customHeight="1" outlineLevel="1" x14ac:dyDescent="0.2">
      <c r="A51" s="3" t="s">
        <v>72</v>
      </c>
      <c r="B51" s="102"/>
      <c r="C51" s="102"/>
      <c r="D51" s="102"/>
      <c r="E51" s="102"/>
      <c r="F51" s="102"/>
      <c r="G51" s="102"/>
      <c r="H51" s="102"/>
    </row>
    <row r="52" spans="1:8" ht="13.15" customHeight="1" x14ac:dyDescent="0.2"/>
    <row r="53" spans="1:8" ht="45" customHeight="1" outlineLevel="1" x14ac:dyDescent="0.2">
      <c r="A53" s="3" t="s">
        <v>73</v>
      </c>
      <c r="B53" s="102"/>
      <c r="C53" s="102"/>
      <c r="D53" s="102"/>
      <c r="E53" s="102"/>
      <c r="F53" s="102"/>
      <c r="G53" s="102"/>
      <c r="H53" s="102"/>
    </row>
  </sheetData>
  <mergeCells count="26">
    <mergeCell ref="B3:H3"/>
    <mergeCell ref="B5:H5"/>
    <mergeCell ref="B7:H7"/>
    <mergeCell ref="B9:H9"/>
    <mergeCell ref="B11:H11"/>
    <mergeCell ref="B13:H13"/>
    <mergeCell ref="B15:H15"/>
    <mergeCell ref="B17:H17"/>
    <mergeCell ref="B19:H19"/>
    <mergeCell ref="B21:H21"/>
    <mergeCell ref="B23:H23"/>
    <mergeCell ref="B25:H25"/>
    <mergeCell ref="B27:H27"/>
    <mergeCell ref="B29:H29"/>
    <mergeCell ref="B31:H31"/>
    <mergeCell ref="B33:H33"/>
    <mergeCell ref="B35:H35"/>
    <mergeCell ref="B37:H37"/>
    <mergeCell ref="B39:H39"/>
    <mergeCell ref="B41:H41"/>
    <mergeCell ref="B51:H51"/>
    <mergeCell ref="B53:H53"/>
    <mergeCell ref="B43:H43"/>
    <mergeCell ref="B45:H45"/>
    <mergeCell ref="B47:H47"/>
    <mergeCell ref="B49:H49"/>
  </mergeCells>
  <phoneticPr fontId="3" type="noConversion"/>
  <printOptions gridLinesSet="0"/>
  <pageMargins left="0.78740157480314965" right="0.78740157480314965" top="1.1811023622047245" bottom="0.78740157480314965" header="0.39370078740157483" footer="0.39370078740157483"/>
  <pageSetup paperSize="9" orientation="portrait" horizontalDpi="8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Kertas Kerja</vt:lpstr>
      <vt:lpstr>Tickmarks</vt:lpstr>
    </vt:vector>
  </TitlesOfParts>
  <Manager/>
  <Company>Deloitte Touche Tohmatsu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Deloitte Touche Tohmatsu</dc:creator>
  <cp:keywords/>
  <dc:description/>
  <cp:lastModifiedBy>KAP MGN</cp:lastModifiedBy>
  <cp:revision/>
  <dcterms:created xsi:type="dcterms:W3CDTF">2010-06-10T17:58:57Z</dcterms:created>
  <dcterms:modified xsi:type="dcterms:W3CDTF">2024-12-03T02:55:44Z</dcterms:modified>
  <cp:category/>
  <cp:contentStatus/>
</cp:coreProperties>
</file>