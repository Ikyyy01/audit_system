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Backup  Irene\MGN\2024\PT Indo American Seafood\1000 Risk Assesment\"/>
    </mc:Choice>
  </mc:AlternateContent>
  <xr:revisionPtr revIDLastSave="0" documentId="13_ncr:1_{86BB88F9-0CCE-44D9-8D74-2C014EE1F6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B65" i="1" s="1"/>
  <c r="B66" i="1" s="1"/>
  <c r="B67" i="1" s="1"/>
  <c r="B68" i="1" s="1"/>
  <c r="B69" i="1" s="1"/>
  <c r="B70" i="1" s="1"/>
  <c r="B71" i="1" s="1"/>
  <c r="B63" i="1"/>
  <c r="B34" i="1"/>
  <c r="B35" i="1" s="1"/>
  <c r="B36" i="1" s="1"/>
  <c r="B37" i="1" s="1"/>
  <c r="B38" i="1" s="1"/>
  <c r="B39" i="1" s="1"/>
  <c r="B40" i="1" s="1"/>
  <c r="B41" i="1" s="1"/>
  <c r="B42" i="1" s="1"/>
  <c r="U44" i="1"/>
  <c r="S44" i="1"/>
  <c r="Q44" i="1"/>
  <c r="O44" i="1"/>
  <c r="M44" i="1"/>
  <c r="K44" i="1"/>
  <c r="AB9" i="1"/>
  <c r="AB5" i="1"/>
  <c r="Z20" i="1"/>
  <c r="U45" i="1" l="1"/>
  <c r="O45" i="1"/>
  <c r="B75" i="1"/>
  <c r="B44" i="1"/>
  <c r="H43" i="1"/>
  <c r="N23" i="1"/>
  <c r="Z21" i="1"/>
  <c r="J19" i="1"/>
  <c r="J22" i="1" s="1"/>
  <c r="J23" i="1" s="1"/>
  <c r="AI10" i="1"/>
  <c r="AI9" i="1"/>
  <c r="Z24" i="1" l="1"/>
</calcChain>
</file>

<file path=xl/sharedStrings.xml><?xml version="1.0" encoding="utf-8"?>
<sst xmlns="http://schemas.openxmlformats.org/spreadsheetml/2006/main" count="223" uniqueCount="98">
  <si>
    <t>Nama KAP</t>
  </si>
  <si>
    <t>:</t>
  </si>
  <si>
    <t>KAP MAURICE GANDA NAINGGOLAN &amp; REKAN</t>
  </si>
  <si>
    <t>Disiapkan oleh</t>
  </si>
  <si>
    <t>Nama AP</t>
  </si>
  <si>
    <t>Tanggal mulai</t>
  </si>
  <si>
    <t>Nama Klien</t>
  </si>
  <si>
    <t>Tanggal selesai</t>
  </si>
  <si>
    <t>Alamat klien</t>
  </si>
  <si>
    <t>Jumlah hari</t>
  </si>
  <si>
    <t>Tahun Buku</t>
  </si>
  <si>
    <t>Direview oleh</t>
  </si>
  <si>
    <t>Indeks KKP</t>
  </si>
  <si>
    <t>A120</t>
  </si>
  <si>
    <t>Nama Indeks</t>
  </si>
  <si>
    <t>Alokasi Jam Jasa dan Perencanaan Lainnya</t>
  </si>
  <si>
    <t>SA yang relevan</t>
  </si>
  <si>
    <t xml:space="preserve">Standar Pengendalian Mutu No 1 </t>
  </si>
  <si>
    <t>Peraturan Pengurus IAPI No 2</t>
  </si>
  <si>
    <t>ALOKASI JAM JASA</t>
  </si>
  <si>
    <t>1.</t>
  </si>
  <si>
    <t>Rencana jadwal pelaksanaan perikatan audit yang telah disepakati</t>
  </si>
  <si>
    <t>2.</t>
  </si>
  <si>
    <t>Rencana penggunaan jam jasa dalam setiap tahapan :</t>
  </si>
  <si>
    <t>Mulai</t>
  </si>
  <si>
    <t>Jam Mulai Kerja</t>
  </si>
  <si>
    <t>Tahapan PraPerikatan dan Risk Asessment</t>
  </si>
  <si>
    <t>jam kerja</t>
  </si>
  <si>
    <t>Akhir</t>
  </si>
  <si>
    <t>Tahapan Risk Response</t>
  </si>
  <si>
    <t>Jumlah Hari</t>
  </si>
  <si>
    <t>Jumlah jam Istirahat</t>
  </si>
  <si>
    <t>Tahapan Pelaporan</t>
  </si>
  <si>
    <t>Jumlah Hari Libur (Sabtu-Minggu)</t>
  </si>
  <si>
    <t>Jumlah</t>
  </si>
  <si>
    <t>Jumlah Hari Libur Lain</t>
  </si>
  <si>
    <t>Jam Pulang</t>
  </si>
  <si>
    <t>Tahapan Perencanaan</t>
  </si>
  <si>
    <t>hari efektif</t>
  </si>
  <si>
    <t>Jumlah Hari Efektif</t>
  </si>
  <si>
    <t>Jumlah Jam Kerja Efektif per hari</t>
  </si>
  <si>
    <t>3.</t>
  </si>
  <si>
    <t xml:space="preserve">Rencana alokasi jam jasa per Tim pada setiap tahapan audit </t>
  </si>
  <si>
    <t>Susunan Tim Perikatan bersumber dari A1103 A</t>
  </si>
  <si>
    <t>No</t>
  </si>
  <si>
    <t>Nama</t>
  </si>
  <si>
    <t>Peran dalam tim</t>
  </si>
  <si>
    <t>Alokasi Rencana Kerja Otomatis</t>
  </si>
  <si>
    <t>Alokasi Rencana Kerja Aktual</t>
  </si>
  <si>
    <t>Total Tahap Perencanaan (jam jasa efektif)</t>
  </si>
  <si>
    <t>Total Tahap Risk Respon (jam jasa efektif)</t>
  </si>
  <si>
    <t>Total Tahap Reporting    (jam jasa efektif)</t>
  </si>
  <si>
    <t>Partner</t>
  </si>
  <si>
    <t xml:space="preserve">Artha Dame </t>
  </si>
  <si>
    <t>EQCR</t>
  </si>
  <si>
    <t>Anggota Tim</t>
  </si>
  <si>
    <t>Irene Rizka Amalia</t>
  </si>
  <si>
    <t/>
  </si>
  <si>
    <t>Total</t>
  </si>
  <si>
    <t xml:space="preserve">ANALISIS KOMPETENSI SUMBER DAYA UNTUK PELATIHAN BERKELANJUTAN </t>
  </si>
  <si>
    <t>Risiko Penerimaan dan Keberlanjutan Hubungan dengan Klien</t>
  </si>
  <si>
    <t>Tinggi</t>
  </si>
  <si>
    <t>Jenis Usaha Klien *</t>
  </si>
  <si>
    <t>Status Kepemilikan Klien *</t>
  </si>
  <si>
    <t>Swasta - Go Publik</t>
  </si>
  <si>
    <t>EQCR (Pemantauan)</t>
  </si>
  <si>
    <t>Ya</t>
  </si>
  <si>
    <t xml:space="preserve">Tema pendidikan dan pelatihan berkelanjutan </t>
  </si>
  <si>
    <t>Pemahaman lanjutan terkait entitas</t>
  </si>
  <si>
    <t>Pemahaman lanjutan Standar Audit</t>
  </si>
  <si>
    <t>Pemahaman lanjutan Peraturan yang Relevan dengan Klien</t>
  </si>
  <si>
    <t>Pemahaman lanjutan  Teknologi Informasi yang  Relevan dengan klien</t>
  </si>
  <si>
    <t>Pemahaman lanjutan penggunaan pertimbangan profesional dalam audit</t>
  </si>
  <si>
    <t>Pemahaman lanjutan Kebijakan dan Prosedur dalam KAP</t>
  </si>
  <si>
    <t>Lampirkan Dokumentasi</t>
  </si>
  <si>
    <t>Perlu</t>
  </si>
  <si>
    <t>Tidak Perlu</t>
  </si>
  <si>
    <t>Review Berjenjang, Jumlah SKP Setiap tahun minimal 40 skp untuk Partner dan Staff Audit.</t>
  </si>
  <si>
    <t>Status KKP</t>
  </si>
  <si>
    <t>Simpulan</t>
  </si>
  <si>
    <t>Alokasi jam kerja sudah memadai</t>
  </si>
  <si>
    <t>Completed</t>
  </si>
  <si>
    <t>IRA</t>
  </si>
  <si>
    <t>PT Indo American Seafoods Tbk dan Entitas Anak</t>
  </si>
  <si>
    <t xml:space="preserve">Jl. Ir. Sutami Km. 13 Desa Sukanegara, Kec. Tanjung Bintang, Kab Lampung Selatan. </t>
  </si>
  <si>
    <t>1 Januari - 31 Desember 2024</t>
  </si>
  <si>
    <t>Maurice Ganda Nainggola</t>
  </si>
  <si>
    <t>Ahalik</t>
  </si>
  <si>
    <t>Netty Lidya Simanjuntak</t>
  </si>
  <si>
    <t>Raynaldi Tribuana</t>
  </si>
  <si>
    <t>Daniel Gerald H</t>
  </si>
  <si>
    <t>Aryn Sasikirana</t>
  </si>
  <si>
    <t>Kurotun Ainiyah</t>
  </si>
  <si>
    <t>Kenny Nurardi Wijaya</t>
  </si>
  <si>
    <t>Manager</t>
  </si>
  <si>
    <t xml:space="preserve"> bidang pengolahan udang</t>
  </si>
  <si>
    <t>Audit  bidang pengolahan udang</t>
  </si>
  <si>
    <t>KNW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</si>
</sst>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[$-13809]h:mm;@"/>
    <numFmt numFmtId="165" formatCode="[$-421]dd\ mmmm\ yyyy;@"/>
    <numFmt numFmtId="166" formatCode="0.0"/>
    <numFmt numFmtId="167" formatCode="[h]:mm;@"/>
    <numFmt numFmtId="168" formatCode="[$-13809]hh:mm;@"/>
    <numFmt numFmtId="169" formatCode="dd/mm/yy;@"/>
    <numFmt numFmtId="170" formatCode="_(* #,##0.0_);_(* \(#,##0.0\);_(* &quot;-&quot;??_);_(@_)"/>
    <numFmt numFmtId="171" formatCode="_(* #,##0.0_);_(* \(#,##0.0\);_(* &quot;-&quot;_);_(@_)"/>
    <numFmt numFmtId="172" formatCode="0.00;;;@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Microsoft Sans Serif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Microsoft Sans Serif"/>
      <family val="2"/>
    </font>
    <font>
      <sz val="11"/>
      <name val="Calibri"/>
      <family val="2"/>
      <scheme val="minor"/>
    </font>
    <font>
      <sz val="11"/>
      <color theme="1"/>
      <name val="Abadi"/>
      <family val="2"/>
    </font>
    <font>
      <sz val="10"/>
      <color theme="1"/>
      <name val="Abadi"/>
      <family val="2"/>
    </font>
    <font>
      <sz val="10"/>
      <color theme="1"/>
      <name val="Microsoft Sans Serif"/>
      <family val="2"/>
    </font>
    <font>
      <sz val="10"/>
      <color rgb="FFFF0000"/>
      <name val="Calibri"/>
      <family val="2"/>
      <scheme val="minor"/>
    </font>
    <font>
      <sz val="12"/>
      <color theme="1"/>
      <name val="Microsoft Sans Serif"/>
      <family val="2"/>
    </font>
    <font>
      <sz val="10"/>
      <color theme="0"/>
      <name val="Calibri"/>
      <family val="2"/>
      <scheme val="minor"/>
    </font>
    <font>
      <sz val="12"/>
      <color theme="1"/>
      <name val="Abadi"/>
      <family val="2"/>
    </font>
    <font>
      <b/>
      <sz val="11"/>
      <color theme="1"/>
      <name val="Microsoft Sans Serif"/>
      <family val="2"/>
    </font>
    <font>
      <sz val="11"/>
      <color rgb="FFFF0000"/>
      <name val="Abadi"/>
      <family val="2"/>
    </font>
    <font>
      <b/>
      <u/>
      <sz val="11"/>
      <color theme="1"/>
      <name val="Microsoft Sans Serif"/>
      <family val="2"/>
    </font>
    <font>
      <b/>
      <sz val="12"/>
      <color theme="1"/>
      <name val="Abadi"/>
      <family val="2"/>
    </font>
    <font>
      <b/>
      <u/>
      <sz val="11"/>
      <color theme="1"/>
      <name val="Abadi"/>
      <family val="2"/>
    </font>
    <font>
      <sz val="12"/>
      <color rgb="FFFF0000"/>
      <name val="Abadi"/>
      <family val="2"/>
    </font>
    <font>
      <b/>
      <i/>
      <sz val="11"/>
      <color rgb="FFFF0000"/>
      <name val="Abadi"/>
      <family val="2"/>
    </font>
    <font>
      <sz val="10"/>
      <color rgb="FFFF0000"/>
      <name val="Abadi"/>
      <family val="2"/>
    </font>
    <font>
      <i/>
      <sz val="11"/>
      <color theme="1"/>
      <name val="Microsoft Sans Serif"/>
      <family val="2"/>
    </font>
    <font>
      <sz val="10"/>
      <name val="Microsoft Sans Serif"/>
      <family val="2"/>
    </font>
    <font>
      <b/>
      <sz val="10"/>
      <name val="Microsoft Sans Serif"/>
      <family val="2"/>
    </font>
    <font>
      <sz val="12"/>
      <color theme="0"/>
      <name val="Abadi"/>
      <family val="2"/>
    </font>
    <font>
      <sz val="11"/>
      <color theme="0"/>
      <name val="Abadi"/>
      <family val="2"/>
    </font>
    <font>
      <b/>
      <i/>
      <sz val="11"/>
      <color theme="0"/>
      <name val="Abadi"/>
      <family val="2"/>
    </font>
    <font>
      <b/>
      <sz val="10"/>
      <color theme="1"/>
      <name val="Microsoft Sans Serif"/>
      <family val="2"/>
    </font>
    <font>
      <b/>
      <sz val="12"/>
      <color theme="0"/>
      <name val="Abadi"/>
      <family val="2"/>
    </font>
    <font>
      <b/>
      <sz val="11"/>
      <color theme="0"/>
      <name val="Abadi"/>
      <family val="2"/>
    </font>
    <font>
      <u/>
      <sz val="11"/>
      <color theme="10"/>
      <name val="Calibri"/>
      <family val="2"/>
      <scheme val="minor"/>
    </font>
    <font>
      <b/>
      <u/>
      <sz val="11"/>
      <name val="Microsoft Sans Serif"/>
      <family val="2"/>
    </font>
    <font>
      <sz val="11"/>
      <name val="Abadi"/>
      <family val="2"/>
    </font>
    <font>
      <b/>
      <sz val="10"/>
      <name val="Abadi"/>
      <family val="2"/>
    </font>
    <font>
      <b/>
      <sz val="9"/>
      <name val="Abadi"/>
      <family val="2"/>
    </font>
    <font>
      <b/>
      <sz val="11"/>
      <name val="Abad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12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theme="1"/>
      <name val="Bahnschrift"/>
      <family val="2"/>
    </font>
    <font>
      <b/>
      <i/>
      <sz val="10"/>
      <color rgb="FFFF0000"/>
      <name val="Calibri"/>
      <family val="2"/>
      <scheme val="minor"/>
    </font>
    <font>
      <b/>
      <sz val="11"/>
      <color rgb="FFFF0000"/>
      <name val="Abadi"/>
      <family val="2"/>
    </font>
    <font>
      <b/>
      <i/>
      <sz val="11"/>
      <color rgb="FFC00000"/>
      <name val="Abadi"/>
      <family val="2"/>
    </font>
    <font>
      <b/>
      <sz val="11"/>
      <color theme="1"/>
      <name val="Abad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</fills>
  <borders count="2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99">
    <xf numFmtId="0" fontId="0" fillId="0" borderId="0" xfId="0"/>
    <xf numFmtId="0" fontId="1" fillId="0" borderId="0" xfId="0" applyFont="1"/>
    <xf numFmtId="0" fontId="5" fillId="0" borderId="0" xfId="0" applyFont="1"/>
    <xf numFmtId="0" fontId="1" fillId="2" borderId="0" xfId="0" applyFont="1" applyFill="1"/>
    <xf numFmtId="0" fontId="6" fillId="3" borderId="0" xfId="0" applyFont="1" applyFill="1" applyProtection="1">
      <protection hidden="1"/>
    </xf>
    <xf numFmtId="0" fontId="1" fillId="3" borderId="0" xfId="0" applyFont="1" applyFill="1" applyProtection="1"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3" borderId="0" xfId="0" applyFont="1" applyFill="1"/>
    <xf numFmtId="0" fontId="5" fillId="3" borderId="0" xfId="0" applyFont="1" applyFill="1"/>
    <xf numFmtId="0" fontId="7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8" fillId="3" borderId="0" xfId="0" applyFont="1" applyFill="1"/>
    <xf numFmtId="164" fontId="9" fillId="3" borderId="0" xfId="0" applyNumberFormat="1" applyFont="1" applyFill="1"/>
    <xf numFmtId="0" fontId="10" fillId="3" borderId="0" xfId="0" applyFont="1" applyFill="1" applyProtection="1">
      <protection hidden="1"/>
    </xf>
    <xf numFmtId="0" fontId="10" fillId="3" borderId="0" xfId="0" applyFont="1" applyFill="1"/>
    <xf numFmtId="0" fontId="11" fillId="3" borderId="0" xfId="0" applyFont="1" applyFill="1"/>
    <xf numFmtId="165" fontId="12" fillId="4" borderId="1" xfId="0" applyNumberFormat="1" applyFont="1" applyFill="1" applyBorder="1" applyProtection="1">
      <protection locked="0"/>
    </xf>
    <xf numFmtId="43" fontId="5" fillId="3" borderId="0" xfId="1" applyFont="1" applyFill="1"/>
    <xf numFmtId="0" fontId="0" fillId="2" borderId="0" xfId="0" quotePrefix="1" applyFill="1"/>
    <xf numFmtId="0" fontId="10" fillId="0" borderId="0" xfId="0" applyFont="1" applyProtection="1">
      <protection hidden="1"/>
    </xf>
    <xf numFmtId="0" fontId="10" fillId="0" borderId="0" xfId="0" applyFont="1"/>
    <xf numFmtId="0" fontId="11" fillId="0" borderId="0" xfId="0" applyFont="1"/>
    <xf numFmtId="2" fontId="5" fillId="3" borderId="0" xfId="0" applyNumberFormat="1" applyFont="1" applyFill="1"/>
    <xf numFmtId="0" fontId="0" fillId="2" borderId="0" xfId="0" applyFill="1"/>
    <xf numFmtId="166" fontId="0" fillId="2" borderId="0" xfId="0" applyNumberFormat="1" applyFill="1"/>
    <xf numFmtId="0" fontId="6" fillId="3" borderId="1" xfId="0" applyFont="1" applyFill="1" applyBorder="1" applyProtection="1">
      <protection hidden="1"/>
    </xf>
    <xf numFmtId="168" fontId="13" fillId="3" borderId="0" xfId="1" applyNumberFormat="1" applyFont="1" applyFill="1"/>
    <xf numFmtId="43" fontId="13" fillId="3" borderId="0" xfId="0" applyNumberFormat="1" applyFont="1" applyFill="1"/>
    <xf numFmtId="2" fontId="1" fillId="2" borderId="0" xfId="0" applyNumberFormat="1" applyFont="1" applyFill="1"/>
    <xf numFmtId="0" fontId="14" fillId="0" borderId="0" xfId="0" applyFont="1" applyAlignment="1" applyProtection="1">
      <alignment horizontal="left"/>
      <protection hidden="1"/>
    </xf>
    <xf numFmtId="0" fontId="15" fillId="3" borderId="0" xfId="0" applyFont="1" applyFill="1"/>
    <xf numFmtId="39" fontId="15" fillId="3" borderId="0" xfId="1" applyNumberFormat="1" applyFont="1" applyFill="1"/>
    <xf numFmtId="0" fontId="1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5" fillId="3" borderId="0" xfId="0" applyNumberFormat="1" applyFont="1" applyFill="1"/>
    <xf numFmtId="39" fontId="5" fillId="3" borderId="0" xfId="1" applyNumberFormat="1" applyFont="1" applyFill="1"/>
    <xf numFmtId="0" fontId="5" fillId="2" borderId="0" xfId="0" applyFont="1" applyFill="1"/>
    <xf numFmtId="0" fontId="17" fillId="3" borderId="0" xfId="0" applyFont="1" applyFill="1"/>
    <xf numFmtId="0" fontId="18" fillId="3" borderId="0" xfId="0" applyFont="1" applyFill="1"/>
    <xf numFmtId="0" fontId="2" fillId="3" borderId="0" xfId="0" applyFont="1" applyFill="1"/>
    <xf numFmtId="0" fontId="17" fillId="3" borderId="0" xfId="0" applyFont="1" applyFill="1" applyAlignment="1">
      <alignment horizontal="left"/>
    </xf>
    <xf numFmtId="0" fontId="20" fillId="3" borderId="0" xfId="0" applyFont="1" applyFill="1" applyAlignment="1">
      <alignment horizontal="right"/>
    </xf>
    <xf numFmtId="0" fontId="22" fillId="3" borderId="0" xfId="0" applyFont="1" applyFill="1" applyAlignment="1">
      <alignment horizontal="left"/>
    </xf>
    <xf numFmtId="0" fontId="23" fillId="3" borderId="0" xfId="0" applyFont="1" applyFill="1" applyAlignment="1">
      <alignment horizontal="center"/>
    </xf>
    <xf numFmtId="9" fontId="24" fillId="3" borderId="0" xfId="3" applyFont="1" applyFill="1"/>
    <xf numFmtId="9" fontId="15" fillId="3" borderId="0" xfId="3" applyFont="1" applyFill="1"/>
    <xf numFmtId="0" fontId="4" fillId="3" borderId="0" xfId="0" applyFont="1" applyFill="1"/>
    <xf numFmtId="0" fontId="6" fillId="3" borderId="0" xfId="0" applyFont="1" applyFill="1" applyAlignment="1">
      <alignment horizontal="left"/>
    </xf>
    <xf numFmtId="0" fontId="12" fillId="3" borderId="0" xfId="0" applyFont="1" applyFill="1"/>
    <xf numFmtId="169" fontId="6" fillId="3" borderId="0" xfId="0" applyNumberFormat="1" applyFont="1" applyFill="1"/>
    <xf numFmtId="0" fontId="25" fillId="3" borderId="0" xfId="0" applyFont="1" applyFill="1"/>
    <xf numFmtId="0" fontId="26" fillId="3" borderId="0" xfId="0" applyFont="1" applyFill="1"/>
    <xf numFmtId="43" fontId="26" fillId="3" borderId="5" xfId="1" applyFont="1" applyFill="1" applyBorder="1" applyAlignment="1" applyProtection="1">
      <alignment horizontal="center"/>
      <protection hidden="1"/>
    </xf>
    <xf numFmtId="9" fontId="13" fillId="3" borderId="0" xfId="3" applyFont="1" applyFill="1"/>
    <xf numFmtId="170" fontId="13" fillId="3" borderId="0" xfId="1" applyNumberFormat="1" applyFont="1" applyFill="1"/>
    <xf numFmtId="0" fontId="13" fillId="3" borderId="0" xfId="0" applyFont="1" applyFill="1"/>
    <xf numFmtId="43" fontId="2" fillId="3" borderId="0" xfId="0" applyNumberFormat="1" applyFont="1" applyFill="1"/>
    <xf numFmtId="164" fontId="6" fillId="4" borderId="5" xfId="0" applyNumberFormat="1" applyFont="1" applyFill="1" applyBorder="1" applyProtection="1">
      <protection locked="0"/>
    </xf>
    <xf numFmtId="0" fontId="25" fillId="3" borderId="0" xfId="0" applyFont="1" applyFill="1" applyProtection="1">
      <protection locked="0"/>
    </xf>
    <xf numFmtId="43" fontId="24" fillId="3" borderId="0" xfId="0" applyNumberFormat="1" applyFont="1" applyFill="1"/>
    <xf numFmtId="43" fontId="13" fillId="3" borderId="0" xfId="1" applyFont="1" applyFill="1"/>
    <xf numFmtId="0" fontId="27" fillId="3" borderId="0" xfId="0" applyFont="1" applyFill="1"/>
    <xf numFmtId="43" fontId="26" fillId="6" borderId="5" xfId="1" applyFont="1" applyFill="1" applyBorder="1" applyAlignment="1" applyProtection="1">
      <alignment horizontal="center"/>
      <protection hidden="1"/>
    </xf>
    <xf numFmtId="0" fontId="24" fillId="3" borderId="0" xfId="0" applyFont="1" applyFill="1"/>
    <xf numFmtId="0" fontId="28" fillId="3" borderId="0" xfId="0" applyFont="1" applyFill="1"/>
    <xf numFmtId="0" fontId="29" fillId="3" borderId="0" xfId="0" applyFont="1" applyFill="1"/>
    <xf numFmtId="0" fontId="30" fillId="3" borderId="0" xfId="0" applyFont="1" applyFill="1"/>
    <xf numFmtId="170" fontId="29" fillId="3" borderId="0" xfId="0" applyNumberFormat="1" applyFont="1" applyFill="1"/>
    <xf numFmtId="0" fontId="31" fillId="3" borderId="0" xfId="0" applyFont="1" applyFill="1"/>
    <xf numFmtId="169" fontId="17" fillId="3" borderId="0" xfId="0" applyNumberFormat="1" applyFont="1" applyFill="1"/>
    <xf numFmtId="0" fontId="17" fillId="4" borderId="5" xfId="0" applyFont="1" applyFill="1" applyBorder="1" applyAlignment="1" applyProtection="1">
      <alignment horizontal="center"/>
      <protection hidden="1"/>
    </xf>
    <xf numFmtId="164" fontId="6" fillId="3" borderId="5" xfId="0" applyNumberFormat="1" applyFont="1" applyFill="1" applyBorder="1"/>
    <xf numFmtId="0" fontId="32" fillId="3" borderId="0" xfId="0" applyFont="1" applyFill="1"/>
    <xf numFmtId="0" fontId="33" fillId="3" borderId="0" xfId="0" applyFont="1" applyFill="1"/>
    <xf numFmtId="170" fontId="33" fillId="3" borderId="0" xfId="1" applyNumberFormat="1" applyFont="1" applyFill="1"/>
    <xf numFmtId="0" fontId="19" fillId="3" borderId="0" xfId="0" applyFont="1" applyFill="1"/>
    <xf numFmtId="0" fontId="10" fillId="3" borderId="0" xfId="0" quotePrefix="1" applyFont="1" applyFill="1"/>
    <xf numFmtId="0" fontId="36" fillId="3" borderId="0" xfId="0" applyFont="1" applyFill="1"/>
    <xf numFmtId="0" fontId="16" fillId="3" borderId="6" xfId="0" applyFont="1" applyFill="1" applyBorder="1" applyAlignment="1" applyProtection="1">
      <alignment horizontal="left"/>
      <protection hidden="1"/>
    </xf>
    <xf numFmtId="0" fontId="16" fillId="3" borderId="6" xfId="0" applyFont="1" applyFill="1" applyBorder="1" applyAlignment="1">
      <alignment horizontal="left"/>
    </xf>
    <xf numFmtId="0" fontId="9" fillId="3" borderId="0" xfId="0" applyFont="1" applyFill="1"/>
    <xf numFmtId="0" fontId="40" fillId="3" borderId="0" xfId="0" applyFont="1" applyFill="1"/>
    <xf numFmtId="0" fontId="41" fillId="3" borderId="0" xfId="0" applyFont="1" applyFill="1"/>
    <xf numFmtId="0" fontId="42" fillId="3" borderId="0" xfId="0" applyFont="1" applyFill="1"/>
    <xf numFmtId="170" fontId="41" fillId="3" borderId="0" xfId="1" applyNumberFormat="1" applyFont="1" applyFill="1"/>
    <xf numFmtId="0" fontId="43" fillId="3" borderId="0" xfId="0" applyFont="1" applyFill="1"/>
    <xf numFmtId="170" fontId="5" fillId="3" borderId="0" xfId="1" applyNumberFormat="1" applyFont="1" applyFill="1" applyAlignment="1">
      <alignment horizontal="center"/>
    </xf>
    <xf numFmtId="43" fontId="1" fillId="3" borderId="0" xfId="0" applyNumberFormat="1" applyFont="1" applyFill="1" applyAlignment="1">
      <alignment horizontal="center"/>
    </xf>
    <xf numFmtId="0" fontId="44" fillId="3" borderId="0" xfId="0" applyFont="1" applyFill="1"/>
    <xf numFmtId="0" fontId="45" fillId="3" borderId="0" xfId="0" applyFont="1" applyFill="1"/>
    <xf numFmtId="0" fontId="47" fillId="3" borderId="0" xfId="0" applyFont="1" applyFill="1"/>
    <xf numFmtId="170" fontId="48" fillId="3" borderId="0" xfId="1" applyNumberFormat="1" applyFont="1" applyFill="1" applyAlignment="1">
      <alignment horizontal="left"/>
    </xf>
    <xf numFmtId="0" fontId="12" fillId="3" borderId="20" xfId="0" applyFont="1" applyFill="1" applyBorder="1" applyProtection="1">
      <protection hidden="1"/>
    </xf>
    <xf numFmtId="0" fontId="3" fillId="3" borderId="20" xfId="0" applyFont="1" applyFill="1" applyBorder="1" applyAlignment="1" applyProtection="1">
      <alignment horizontal="center"/>
      <protection hidden="1"/>
    </xf>
    <xf numFmtId="170" fontId="48" fillId="3" borderId="0" xfId="1" applyNumberFormat="1" applyFont="1" applyFill="1" applyAlignment="1" applyProtection="1">
      <alignment horizontal="left"/>
      <protection hidden="1"/>
    </xf>
    <xf numFmtId="0" fontId="12" fillId="3" borderId="0" xfId="0" applyFont="1" applyFill="1" applyProtection="1"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3" fillId="3" borderId="0" xfId="0" applyFont="1" applyFill="1" applyAlignment="1">
      <alignment horizontal="center"/>
    </xf>
    <xf numFmtId="0" fontId="16" fillId="3" borderId="21" xfId="0" applyFont="1" applyFill="1" applyBorder="1" applyAlignment="1" applyProtection="1">
      <alignment horizontal="left"/>
      <protection hidden="1"/>
    </xf>
    <xf numFmtId="0" fontId="45" fillId="3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43" fillId="3" borderId="0" xfId="0" applyFont="1" applyFill="1" applyProtection="1">
      <protection locked="0"/>
    </xf>
    <xf numFmtId="0" fontId="49" fillId="3" borderId="0" xfId="0" applyFont="1" applyFill="1"/>
    <xf numFmtId="0" fontId="50" fillId="3" borderId="0" xfId="0" applyFont="1" applyFill="1"/>
    <xf numFmtId="0" fontId="51" fillId="3" borderId="0" xfId="0" applyFont="1" applyFill="1" applyProtection="1">
      <protection hidden="1"/>
    </xf>
    <xf numFmtId="0" fontId="10" fillId="0" borderId="0" xfId="0" quotePrefix="1" applyFont="1" applyAlignment="1" applyProtection="1">
      <alignment vertical="top" wrapText="1"/>
      <protection locked="0"/>
    </xf>
    <xf numFmtId="0" fontId="10" fillId="0" borderId="0" xfId="0" quotePrefix="1" applyFont="1" applyAlignment="1" applyProtection="1">
      <alignment vertical="top" wrapText="1"/>
      <protection hidden="1"/>
    </xf>
    <xf numFmtId="2" fontId="24" fillId="3" borderId="0" xfId="0" applyNumberFormat="1" applyFont="1" applyFill="1"/>
    <xf numFmtId="43" fontId="0" fillId="3" borderId="0" xfId="0" applyNumberFormat="1" applyFill="1" applyAlignment="1">
      <alignment horizontal="left"/>
    </xf>
    <xf numFmtId="167" fontId="12" fillId="3" borderId="0" xfId="0" applyNumberFormat="1" applyFont="1" applyFill="1" applyAlignment="1" applyProtection="1">
      <alignment horizontal="right"/>
      <protection hidden="1"/>
    </xf>
    <xf numFmtId="167" fontId="12" fillId="3" borderId="0" xfId="0" applyNumberFormat="1" applyFont="1" applyFill="1" applyProtection="1">
      <protection hidden="1"/>
    </xf>
    <xf numFmtId="164" fontId="6" fillId="0" borderId="0" xfId="0" applyNumberFormat="1" applyFont="1"/>
    <xf numFmtId="164" fontId="12" fillId="0" borderId="0" xfId="0" applyNumberFormat="1" applyFont="1" applyProtection="1">
      <protection locked="0"/>
    </xf>
    <xf numFmtId="167" fontId="12" fillId="0" borderId="0" xfId="0" applyNumberFormat="1" applyFont="1" applyAlignment="1" applyProtection="1">
      <alignment horizontal="right"/>
      <protection hidden="1"/>
    </xf>
    <xf numFmtId="43" fontId="12" fillId="0" borderId="0" xfId="1" applyFont="1" applyFill="1" applyBorder="1" applyProtection="1">
      <protection locked="0"/>
    </xf>
    <xf numFmtId="41" fontId="36" fillId="3" borderId="0" xfId="2" applyFont="1" applyFill="1"/>
    <xf numFmtId="170" fontId="36" fillId="3" borderId="0" xfId="0" applyNumberFormat="1" applyFont="1" applyFill="1"/>
    <xf numFmtId="0" fontId="16" fillId="3" borderId="6" xfId="0" applyFont="1" applyFill="1" applyBorder="1" applyAlignment="1" applyProtection="1">
      <alignment horizontal="center"/>
      <protection hidden="1"/>
    </xf>
    <xf numFmtId="0" fontId="16" fillId="3" borderId="21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right"/>
      <protection hidden="1"/>
    </xf>
    <xf numFmtId="0" fontId="36" fillId="0" borderId="0" xfId="0" quotePrefix="1" applyFont="1" applyAlignment="1" applyProtection="1">
      <alignment horizontal="justify" vertical="top" wrapText="1"/>
      <protection locked="0"/>
    </xf>
    <xf numFmtId="0" fontId="36" fillId="0" borderId="0" xfId="0" applyFont="1" applyAlignment="1" applyProtection="1">
      <alignment horizontal="justify" vertical="top" wrapText="1"/>
      <protection locked="0"/>
    </xf>
    <xf numFmtId="0" fontId="36" fillId="0" borderId="0" xfId="0" applyFont="1" applyAlignment="1" applyProtection="1">
      <alignment wrapText="1"/>
      <protection locked="0"/>
    </xf>
    <xf numFmtId="0" fontId="51" fillId="3" borderId="22" xfId="0" applyFont="1" applyFill="1" applyBorder="1" applyAlignment="1" applyProtection="1">
      <alignment horizontal="center" vertical="center" wrapText="1"/>
      <protection hidden="1"/>
    </xf>
    <xf numFmtId="0" fontId="51" fillId="3" borderId="23" xfId="0" applyFont="1" applyFill="1" applyBorder="1" applyAlignment="1" applyProtection="1">
      <alignment horizontal="center" vertical="center" wrapText="1"/>
      <protection hidden="1"/>
    </xf>
    <xf numFmtId="0" fontId="51" fillId="3" borderId="24" xfId="0" applyFont="1" applyFill="1" applyBorder="1" applyAlignment="1" applyProtection="1">
      <alignment horizontal="center" vertical="center" wrapText="1"/>
      <protection hidden="1"/>
    </xf>
    <xf numFmtId="0" fontId="51" fillId="3" borderId="25" xfId="0" applyFont="1" applyFill="1" applyBorder="1" applyAlignment="1" applyProtection="1">
      <alignment horizontal="center" vertical="center" wrapText="1"/>
      <protection hidden="1"/>
    </xf>
    <xf numFmtId="0" fontId="51" fillId="3" borderId="26" xfId="0" applyFont="1" applyFill="1" applyBorder="1" applyAlignment="1" applyProtection="1">
      <alignment horizontal="center" vertical="center" wrapText="1"/>
      <protection hidden="1"/>
    </xf>
    <xf numFmtId="0" fontId="51" fillId="3" borderId="27" xfId="0" applyFont="1" applyFill="1" applyBorder="1" applyAlignment="1" applyProtection="1">
      <alignment horizontal="center" vertical="center" wrapText="1"/>
      <protection hidden="1"/>
    </xf>
    <xf numFmtId="0" fontId="49" fillId="0" borderId="6" xfId="0" quotePrefix="1" applyFont="1" applyBorder="1" applyAlignment="1" applyProtection="1">
      <alignment horizontal="left" vertical="top" wrapText="1"/>
      <protection hidden="1"/>
    </xf>
    <xf numFmtId="0" fontId="49" fillId="8" borderId="2" xfId="0" applyFont="1" applyFill="1" applyBorder="1" applyAlignment="1" applyProtection="1">
      <alignment horizontal="center"/>
      <protection hidden="1"/>
    </xf>
    <xf numFmtId="0" fontId="49" fillId="8" borderId="3" xfId="0" applyFont="1" applyFill="1" applyBorder="1" applyAlignment="1" applyProtection="1">
      <alignment horizontal="center"/>
      <protection hidden="1"/>
    </xf>
    <xf numFmtId="0" fontId="49" fillId="8" borderId="4" xfId="0" applyFont="1" applyFill="1" applyBorder="1" applyAlignment="1" applyProtection="1">
      <alignment horizontal="center"/>
      <protection hidden="1"/>
    </xf>
    <xf numFmtId="0" fontId="16" fillId="3" borderId="6" xfId="0" applyFont="1" applyFill="1" applyBorder="1" applyAlignment="1" applyProtection="1">
      <alignment horizontal="left"/>
      <protection hidden="1"/>
    </xf>
    <xf numFmtId="0" fontId="10" fillId="3" borderId="21" xfId="0" applyFont="1" applyFill="1" applyBorder="1" applyAlignment="1" applyProtection="1">
      <alignment horizontal="center"/>
      <protection hidden="1"/>
    </xf>
    <xf numFmtId="0" fontId="10" fillId="5" borderId="21" xfId="0" applyFont="1" applyFill="1" applyBorder="1" applyAlignment="1" applyProtection="1">
      <alignment horizontal="center"/>
      <protection locked="0"/>
    </xf>
    <xf numFmtId="0" fontId="16" fillId="3" borderId="7" xfId="0" applyFont="1" applyFill="1" applyBorder="1" applyAlignment="1" applyProtection="1">
      <alignment horizontal="left"/>
      <protection hidden="1"/>
    </xf>
    <xf numFmtId="0" fontId="16" fillId="3" borderId="8" xfId="0" applyFont="1" applyFill="1" applyBorder="1" applyAlignment="1" applyProtection="1">
      <alignment horizontal="left"/>
      <protection hidden="1"/>
    </xf>
    <xf numFmtId="0" fontId="16" fillId="3" borderId="9" xfId="0" applyFont="1" applyFill="1" applyBorder="1" applyAlignment="1" applyProtection="1">
      <alignment horizontal="left"/>
      <protection hidden="1"/>
    </xf>
    <xf numFmtId="0" fontId="10" fillId="3" borderId="21" xfId="0" applyFont="1" applyFill="1" applyBorder="1" applyAlignment="1" applyProtection="1">
      <alignment horizontal="center" vertical="center" wrapText="1"/>
      <protection hidden="1"/>
    </xf>
    <xf numFmtId="0" fontId="10" fillId="3" borderId="21" xfId="0" applyFont="1" applyFill="1" applyBorder="1" applyAlignment="1">
      <alignment horizontal="center" vertical="center" wrapText="1"/>
    </xf>
    <xf numFmtId="2" fontId="39" fillId="3" borderId="16" xfId="1" applyNumberFormat="1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0" fontId="3" fillId="3" borderId="18" xfId="0" applyFont="1" applyFill="1" applyBorder="1" applyAlignment="1" applyProtection="1">
      <alignment horizontal="center"/>
      <protection hidden="1"/>
    </xf>
    <xf numFmtId="0" fontId="3" fillId="3" borderId="19" xfId="0" applyFont="1" applyFill="1" applyBorder="1" applyAlignment="1" applyProtection="1">
      <alignment horizontal="center"/>
      <protection hidden="1"/>
    </xf>
    <xf numFmtId="0" fontId="3" fillId="7" borderId="0" xfId="0" applyFont="1" applyFill="1" applyAlignment="1" applyProtection="1">
      <alignment horizontal="center"/>
      <protection locked="0"/>
    </xf>
    <xf numFmtId="0" fontId="16" fillId="3" borderId="21" xfId="0" applyFont="1" applyFill="1" applyBorder="1" applyAlignment="1" applyProtection="1">
      <alignment horizontal="center" vertical="center"/>
      <protection hidden="1"/>
    </xf>
    <xf numFmtId="0" fontId="20" fillId="3" borderId="16" xfId="0" applyFont="1" applyFill="1" applyBorder="1" applyAlignment="1">
      <alignment horizontal="right"/>
    </xf>
    <xf numFmtId="39" fontId="39" fillId="3" borderId="17" xfId="1" applyNumberFormat="1" applyFont="1" applyFill="1" applyBorder="1" applyAlignment="1" applyProtection="1">
      <alignment horizontal="center"/>
      <protection hidden="1"/>
    </xf>
    <xf numFmtId="39" fontId="39" fillId="3" borderId="0" xfId="1" applyNumberFormat="1" applyFont="1" applyFill="1" applyAlignment="1" applyProtection="1">
      <alignment horizontal="center"/>
      <protection hidden="1"/>
    </xf>
    <xf numFmtId="39" fontId="39" fillId="3" borderId="16" xfId="1" applyNumberFormat="1" applyFont="1" applyFill="1" applyBorder="1" applyAlignment="1" applyProtection="1">
      <alignment horizontal="center"/>
      <protection hidden="1"/>
    </xf>
    <xf numFmtId="39" fontId="39" fillId="3" borderId="17" xfId="1" applyNumberFormat="1" applyFont="1" applyFill="1" applyBorder="1" applyAlignment="1">
      <alignment horizontal="center"/>
    </xf>
    <xf numFmtId="39" fontId="39" fillId="3" borderId="0" xfId="1" applyNumberFormat="1" applyFont="1" applyFill="1" applyAlignment="1">
      <alignment horizontal="center"/>
    </xf>
    <xf numFmtId="167" fontId="36" fillId="5" borderId="6" xfId="1" applyNumberFormat="1" applyFont="1" applyFill="1" applyBorder="1" applyAlignment="1" applyProtection="1">
      <alignment horizontal="center"/>
      <protection locked="0"/>
    </xf>
    <xf numFmtId="0" fontId="16" fillId="3" borderId="6" xfId="0" applyFont="1" applyFill="1" applyBorder="1" applyAlignment="1">
      <alignment horizontal="right"/>
    </xf>
    <xf numFmtId="39" fontId="39" fillId="6" borderId="6" xfId="1" applyNumberFormat="1" applyFont="1" applyFill="1" applyBorder="1" applyAlignment="1" applyProtection="1">
      <alignment horizontal="center"/>
      <protection hidden="1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horizontal="center"/>
      <protection locked="0"/>
    </xf>
    <xf numFmtId="172" fontId="36" fillId="0" borderId="6" xfId="1" applyNumberFormat="1" applyFont="1" applyBorder="1" applyAlignment="1" applyProtection="1">
      <alignment horizontal="center"/>
      <protection hidden="1"/>
    </xf>
    <xf numFmtId="2" fontId="36" fillId="5" borderId="7" xfId="1" applyNumberFormat="1" applyFont="1" applyFill="1" applyBorder="1" applyAlignment="1" applyProtection="1">
      <alignment horizontal="center"/>
      <protection locked="0"/>
    </xf>
    <xf numFmtId="2" fontId="36" fillId="5" borderId="9" xfId="1" applyNumberFormat="1" applyFont="1" applyFill="1" applyBorder="1" applyAlignment="1" applyProtection="1">
      <alignment horizontal="center"/>
      <protection locked="0"/>
    </xf>
    <xf numFmtId="2" fontId="36" fillId="5" borderId="6" xfId="1" applyNumberFormat="1" applyFont="1" applyFill="1" applyBorder="1" applyAlignment="1" applyProtection="1">
      <alignment horizontal="center"/>
      <protection locked="0"/>
    </xf>
    <xf numFmtId="0" fontId="19" fillId="3" borderId="0" xfId="0" applyFont="1" applyFill="1" applyAlignment="1">
      <alignment horizontal="left"/>
    </xf>
    <xf numFmtId="0" fontId="2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3" borderId="0" xfId="0" applyFont="1" applyFill="1" applyAlignment="1">
      <alignment horizontal="center"/>
    </xf>
    <xf numFmtId="14" fontId="6" fillId="5" borderId="2" xfId="0" quotePrefix="1" applyNumberFormat="1" applyFont="1" applyFill="1" applyBorder="1" applyAlignment="1" applyProtection="1">
      <alignment horizontal="center"/>
      <protection locked="0"/>
    </xf>
    <xf numFmtId="14" fontId="6" fillId="5" borderId="3" xfId="0" applyNumberFormat="1" applyFont="1" applyFill="1" applyBorder="1" applyAlignment="1" applyProtection="1">
      <alignment horizontal="center"/>
      <protection locked="0"/>
    </xf>
    <xf numFmtId="14" fontId="6" fillId="5" borderId="4" xfId="0" applyNumberFormat="1" applyFont="1" applyFill="1" applyBorder="1" applyAlignment="1" applyProtection="1">
      <alignment horizontal="center"/>
      <protection locked="0"/>
    </xf>
    <xf numFmtId="171" fontId="6" fillId="3" borderId="2" xfId="2" applyNumberFormat="1" applyFont="1" applyFill="1" applyBorder="1" applyAlignment="1">
      <alignment horizontal="center"/>
    </xf>
    <xf numFmtId="171" fontId="6" fillId="3" borderId="3" xfId="2" applyNumberFormat="1" applyFont="1" applyFill="1" applyBorder="1" applyAlignment="1">
      <alignment horizontal="center"/>
    </xf>
    <xf numFmtId="171" fontId="6" fillId="3" borderId="4" xfId="2" applyNumberFormat="1" applyFont="1" applyFill="1" applyBorder="1" applyAlignment="1">
      <alignment horizontal="center"/>
    </xf>
    <xf numFmtId="170" fontId="37" fillId="3" borderId="7" xfId="1" applyNumberFormat="1" applyFont="1" applyFill="1" applyBorder="1" applyAlignment="1">
      <alignment horizontal="center" vertical="center" wrapText="1"/>
    </xf>
    <xf numFmtId="170" fontId="37" fillId="3" borderId="8" xfId="1" applyNumberFormat="1" applyFont="1" applyFill="1" applyBorder="1" applyAlignment="1">
      <alignment horizontal="center" vertical="center" wrapText="1"/>
    </xf>
    <xf numFmtId="170" fontId="37" fillId="3" borderId="9" xfId="1" applyNumberFormat="1" applyFont="1" applyFill="1" applyBorder="1" applyAlignment="1">
      <alignment horizontal="center" vertical="center" wrapText="1"/>
    </xf>
    <xf numFmtId="170" fontId="38" fillId="3" borderId="10" xfId="1" applyNumberFormat="1" applyFont="1" applyFill="1" applyBorder="1" applyAlignment="1">
      <alignment horizontal="center" vertical="center" wrapText="1"/>
    </xf>
    <xf numFmtId="170" fontId="38" fillId="3" borderId="11" xfId="1" applyNumberFormat="1" applyFont="1" applyFill="1" applyBorder="1" applyAlignment="1">
      <alignment horizontal="center" vertical="center" wrapText="1"/>
    </xf>
    <xf numFmtId="170" fontId="38" fillId="3" borderId="12" xfId="1" applyNumberFormat="1" applyFont="1" applyFill="1" applyBorder="1" applyAlignment="1">
      <alignment horizontal="center" vertical="center" wrapText="1"/>
    </xf>
    <xf numFmtId="170" fontId="38" fillId="3" borderId="13" xfId="1" applyNumberFormat="1" applyFont="1" applyFill="1" applyBorder="1" applyAlignment="1">
      <alignment horizontal="center" vertical="center" wrapText="1"/>
    </xf>
    <xf numFmtId="170" fontId="38" fillId="3" borderId="14" xfId="1" applyNumberFormat="1" applyFont="1" applyFill="1" applyBorder="1" applyAlignment="1">
      <alignment horizontal="center" vertical="center" wrapText="1"/>
    </xf>
    <xf numFmtId="170" fontId="38" fillId="3" borderId="15" xfId="1" applyNumberFormat="1" applyFont="1" applyFill="1" applyBorder="1" applyAlignment="1">
      <alignment horizontal="center" vertical="center" wrapText="1"/>
    </xf>
    <xf numFmtId="1" fontId="6" fillId="5" borderId="2" xfId="0" applyNumberFormat="1" applyFont="1" applyFill="1" applyBorder="1" applyAlignment="1" applyProtection="1">
      <alignment horizontal="center"/>
      <protection locked="0"/>
    </xf>
    <xf numFmtId="1" fontId="6" fillId="5" borderId="3" xfId="0" applyNumberFormat="1" applyFont="1" applyFill="1" applyBorder="1" applyAlignment="1" applyProtection="1">
      <alignment horizontal="center"/>
      <protection locked="0"/>
    </xf>
    <xf numFmtId="1" fontId="6" fillId="5" borderId="4" xfId="0" applyNumberFormat="1" applyFont="1" applyFill="1" applyBorder="1" applyAlignment="1" applyProtection="1">
      <alignment horizontal="center"/>
      <protection locked="0"/>
    </xf>
    <xf numFmtId="1" fontId="6" fillId="3" borderId="2" xfId="0" applyNumberFormat="1" applyFont="1" applyFill="1" applyBorder="1" applyAlignment="1">
      <alignment horizontal="center"/>
    </xf>
    <xf numFmtId="1" fontId="6" fillId="3" borderId="3" xfId="0" applyNumberFormat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/>
    </xf>
    <xf numFmtId="1" fontId="17" fillId="6" borderId="2" xfId="0" applyNumberFormat="1" applyFont="1" applyFill="1" applyBorder="1" applyAlignment="1">
      <alignment horizontal="center"/>
    </xf>
    <xf numFmtId="1" fontId="17" fillId="6" borderId="3" xfId="0" applyNumberFormat="1" applyFont="1" applyFill="1" applyBorder="1" applyAlignment="1">
      <alignment horizontal="center"/>
    </xf>
    <xf numFmtId="1" fontId="17" fillId="6" borderId="4" xfId="0" applyNumberFormat="1" applyFont="1" applyFill="1" applyBorder="1" applyAlignment="1">
      <alignment horizontal="center"/>
    </xf>
    <xf numFmtId="0" fontId="35" fillId="3" borderId="0" xfId="4" applyFont="1" applyFill="1" applyAlignment="1" applyProtection="1">
      <alignment horizontal="left"/>
      <protection locked="0"/>
    </xf>
    <xf numFmtId="0" fontId="16" fillId="3" borderId="6" xfId="0" applyFont="1" applyFill="1" applyBorder="1" applyAlignment="1" applyProtection="1">
      <alignment horizontal="center" vertical="center"/>
      <protection hidden="1"/>
    </xf>
    <xf numFmtId="0" fontId="10" fillId="3" borderId="6" xfId="0" applyFont="1" applyFill="1" applyBorder="1" applyAlignment="1">
      <alignment horizontal="center" vertical="center" wrapText="1"/>
    </xf>
  </cellXfs>
  <cellStyles count="5">
    <cellStyle name="Comma" xfId="1" builtinId="3"/>
    <cellStyle name="Comma [0]" xfId="2" builtinId="6"/>
    <cellStyle name="Hyperlink" xfId="4" builtinId="8"/>
    <cellStyle name="Normal" xfId="0" builtinId="0"/>
    <cellStyle name="Percent" xfId="3" builtinId="5"/>
  </cellStyles>
  <dxfs count="1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nda\Downloads\aplikasi-atlas-2018-version-2.0_Dea%20Mor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LAS"/>
      <sheetName val="Home"/>
      <sheetName val="AuditCycle"/>
      <sheetName val="Content"/>
      <sheetName val="A110"/>
      <sheetName val="INPUTDATALK"/>
      <sheetName val="A1101"/>
      <sheetName val="A1102"/>
      <sheetName val="A1102.1"/>
      <sheetName val="A1102.1A"/>
      <sheetName val="A1102.1B"/>
      <sheetName val="A1102.1C"/>
      <sheetName val="A1102.D"/>
      <sheetName val="A1103A"/>
      <sheetName val="A1103B"/>
      <sheetName val="A1105"/>
      <sheetName val="PERFORM"/>
      <sheetName val="ReFfLink"/>
      <sheetName val="A120"/>
      <sheetName val="JamKerja"/>
      <sheetName val="A130"/>
      <sheetName val="A140"/>
      <sheetName val="A150"/>
      <sheetName val="A160"/>
      <sheetName val="ASM"/>
      <sheetName val="A170"/>
      <sheetName val="A210"/>
      <sheetName val="A230.8"/>
      <sheetName val="Sheet4"/>
      <sheetName val="PREANALITICAL"/>
      <sheetName val="A220.1"/>
      <sheetName val="A220.2"/>
      <sheetName val="A230"/>
      <sheetName val="A230.1"/>
      <sheetName val="A230.2"/>
      <sheetName val="A230.3"/>
      <sheetName val="A230.3.1"/>
      <sheetName val="A230.4"/>
      <sheetName val="A230.5"/>
      <sheetName val="AKUNNTERDAMPAK"/>
      <sheetName val="A230.6"/>
      <sheetName val="A230.6A"/>
      <sheetName val="A230.7"/>
      <sheetName val="A240"/>
      <sheetName val="DataTim"/>
      <sheetName val="DataALK&amp;PB"/>
      <sheetName val="CR"/>
      <sheetName val="A250.1"/>
      <sheetName val="A250.1.1"/>
      <sheetName val="A250.2"/>
      <sheetName val="A.250.2.1"/>
      <sheetName val="A250.3"/>
      <sheetName val="A.250.3.1"/>
      <sheetName val="DAYHOUR"/>
      <sheetName val="A250.4"/>
      <sheetName val="A.250.4.1"/>
      <sheetName val="A250.5"/>
      <sheetName val="A.250.5.1"/>
      <sheetName val="A250.6"/>
      <sheetName val="A.250.6.1"/>
      <sheetName val="A250.7"/>
      <sheetName val="A.250.7.1"/>
      <sheetName val="A250.8"/>
      <sheetName val="A.250.8.1"/>
      <sheetName val="A250.9"/>
      <sheetName val="A.250.9.1"/>
      <sheetName val="A250.10"/>
      <sheetName val="A.250.10.1"/>
      <sheetName val="A250.11"/>
      <sheetName val="A.250.11.1"/>
      <sheetName val="A250.12"/>
      <sheetName val="A.250.12.1"/>
      <sheetName val="A250.13"/>
      <sheetName val="A.250.13.1"/>
      <sheetName val="DATAROMM"/>
      <sheetName val="A260"/>
      <sheetName val="DATACR"/>
      <sheetName val="Sheet2"/>
      <sheetName val="A270"/>
      <sheetName val="A2701"/>
      <sheetName val="A2702"/>
      <sheetName val="B100"/>
      <sheetName val="WSTB-FINAL"/>
      <sheetName val="COABARU"/>
      <sheetName val="AJE-RJE"/>
      <sheetName val="HEADERAKUNDOBEL"/>
      <sheetName val="DataLK (Kosong)"/>
      <sheetName val="LK(kosong)"/>
      <sheetName val="Data1"/>
      <sheetName val="HEADERAKUN"/>
      <sheetName val="FS"/>
      <sheetName val="prosedur horizontal"/>
      <sheetName val="RekapMapAKun"/>
      <sheetName val="B120"/>
      <sheetName val="2"/>
      <sheetName val="2.1"/>
      <sheetName val="3"/>
      <sheetName val="3.1"/>
      <sheetName val="5"/>
      <sheetName val="5.1"/>
      <sheetName val="6"/>
      <sheetName val="6.1"/>
      <sheetName val="7"/>
      <sheetName val="7.1"/>
      <sheetName val="8"/>
      <sheetName val="8.1"/>
      <sheetName val="9"/>
      <sheetName val="9.1"/>
      <sheetName val="10"/>
      <sheetName val="10.1"/>
      <sheetName val="11"/>
      <sheetName val="11.1"/>
      <sheetName val="12"/>
      <sheetName val="12.1"/>
      <sheetName val="13"/>
      <sheetName val="13.1"/>
      <sheetName val="14"/>
      <sheetName val="14.1"/>
      <sheetName val="15"/>
      <sheetName val="15.1"/>
      <sheetName val="16"/>
      <sheetName val="16.1"/>
      <sheetName val="17"/>
      <sheetName val="17.1"/>
      <sheetName val="18"/>
      <sheetName val="18.1"/>
      <sheetName val="19"/>
      <sheetName val="19.1"/>
      <sheetName val="20"/>
      <sheetName val="20.1"/>
      <sheetName val="21"/>
      <sheetName val="21.1"/>
      <sheetName val="22"/>
      <sheetName val="22.1"/>
      <sheetName val="23"/>
      <sheetName val="23.1"/>
      <sheetName val="24"/>
      <sheetName val="24.1"/>
      <sheetName val="25"/>
      <sheetName val="25.1"/>
      <sheetName val="26"/>
      <sheetName val="26.1"/>
      <sheetName val="27"/>
      <sheetName val="27.1"/>
      <sheetName val="28"/>
      <sheetName val="28.1"/>
      <sheetName val="29"/>
      <sheetName val="29.1"/>
      <sheetName val="30"/>
      <sheetName val="30.1"/>
      <sheetName val="31"/>
      <sheetName val="31.1"/>
      <sheetName val="32"/>
      <sheetName val="32.1"/>
      <sheetName val="33"/>
      <sheetName val="33.1"/>
      <sheetName val="34"/>
      <sheetName val="34.1"/>
      <sheetName val="35"/>
      <sheetName val="35.1"/>
      <sheetName val="36"/>
      <sheetName val="36.1"/>
      <sheetName val="37"/>
      <sheetName val="37.1"/>
      <sheetName val="38"/>
      <sheetName val="38.1"/>
      <sheetName val="39"/>
      <sheetName val="39.1"/>
      <sheetName val="40"/>
      <sheetName val="40.1"/>
      <sheetName val="41"/>
      <sheetName val="41.1"/>
      <sheetName val="42"/>
      <sheetName val="42.1"/>
      <sheetName val="43"/>
      <sheetName val="43.1"/>
      <sheetName val="44"/>
      <sheetName val="44.1"/>
      <sheetName val="45"/>
      <sheetName val="45.1"/>
      <sheetName val="46"/>
      <sheetName val="46.1"/>
      <sheetName val="47"/>
      <sheetName val="47.1"/>
      <sheetName val="MdanYa"/>
      <sheetName val="B210"/>
      <sheetName val="B220"/>
      <sheetName val="B230"/>
      <sheetName val="B240"/>
      <sheetName val="B250"/>
      <sheetName val="B260"/>
      <sheetName val="B270"/>
      <sheetName val="B280"/>
      <sheetName val="C110"/>
      <sheetName val="C120"/>
      <sheetName val="C120.1"/>
      <sheetName val="C120.2"/>
      <sheetName val="C220"/>
      <sheetName val="C220A"/>
      <sheetName val="C220B"/>
      <sheetName val="C220C"/>
      <sheetName val="C220D"/>
      <sheetName val="Sheet9"/>
      <sheetName val="C300"/>
      <sheetName val="C100"/>
      <sheetName val="C210"/>
      <sheetName val="C230"/>
      <sheetName val="C400"/>
      <sheetName val="OPINI1"/>
      <sheetName val="OPINI2"/>
      <sheetName val="OPINI3"/>
      <sheetName val="OPINI4"/>
      <sheetName val="DATASIGN"/>
      <sheetName val="Daftar Lampiran"/>
      <sheetName val="Singk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7">
          <cell r="B97"/>
          <cell r="S97"/>
        </row>
      </sheetData>
      <sheetData sheetId="14">
        <row r="60">
          <cell r="F60" t="str">
            <v>Agus</v>
          </cell>
          <cell r="G60"/>
          <cell r="H60"/>
          <cell r="I60"/>
          <cell r="J60"/>
          <cell r="K60" t="str">
            <v>Memadai</v>
          </cell>
          <cell r="L60"/>
          <cell r="M60"/>
          <cell r="N60"/>
          <cell r="O60"/>
          <cell r="P60" t="str">
            <v>Memadai</v>
          </cell>
          <cell r="Q60"/>
          <cell r="R60"/>
          <cell r="S60"/>
          <cell r="T60" t="str">
            <v>Memadai</v>
          </cell>
          <cell r="U60"/>
          <cell r="V60"/>
          <cell r="W60"/>
          <cell r="X60" t="str">
            <v>Ya</v>
          </cell>
          <cell r="Y60"/>
          <cell r="Z60"/>
          <cell r="AA60"/>
          <cell r="AB60" t="str">
            <v>AG</v>
          </cell>
          <cell r="AC60"/>
          <cell r="AD60" t="str">
            <v>Partner</v>
          </cell>
          <cell r="AE60"/>
        </row>
        <row r="61">
          <cell r="F61" t="str">
            <v>Triyanto</v>
          </cell>
          <cell r="G61"/>
          <cell r="H61"/>
          <cell r="I61"/>
          <cell r="J61"/>
          <cell r="K61" t="str">
            <v>Memadai</v>
          </cell>
          <cell r="L61"/>
          <cell r="M61"/>
          <cell r="N61"/>
          <cell r="O61"/>
          <cell r="P61" t="str">
            <v>Memadai</v>
          </cell>
          <cell r="Q61"/>
          <cell r="R61"/>
          <cell r="S61"/>
          <cell r="T61" t="str">
            <v>Memadai</v>
          </cell>
          <cell r="U61"/>
          <cell r="V61"/>
          <cell r="W61"/>
          <cell r="X61" t="str">
            <v>Ya</v>
          </cell>
          <cell r="Y61"/>
          <cell r="Z61"/>
          <cell r="AA61"/>
          <cell r="AB61" t="str">
            <v>TR</v>
          </cell>
          <cell r="AC61"/>
          <cell r="AD61" t="str">
            <v>Manager</v>
          </cell>
          <cell r="AE61"/>
        </row>
        <row r="62">
          <cell r="F62" t="str">
            <v>Adib</v>
          </cell>
          <cell r="G62"/>
          <cell r="H62"/>
          <cell r="I62"/>
          <cell r="J62"/>
          <cell r="K62" t="str">
            <v>Memadai</v>
          </cell>
          <cell r="L62"/>
          <cell r="M62"/>
          <cell r="N62"/>
          <cell r="O62"/>
          <cell r="P62" t="str">
            <v>Memadai</v>
          </cell>
          <cell r="Q62"/>
          <cell r="R62"/>
          <cell r="S62"/>
          <cell r="T62" t="str">
            <v>Memadai</v>
          </cell>
          <cell r="U62"/>
          <cell r="V62"/>
          <cell r="W62"/>
          <cell r="X62" t="str">
            <v>Ya</v>
          </cell>
          <cell r="Y62"/>
          <cell r="Z62"/>
          <cell r="AA62"/>
          <cell r="AB62" t="str">
            <v>AD</v>
          </cell>
          <cell r="AC62"/>
          <cell r="AD62" t="str">
            <v>Anggota Tim</v>
          </cell>
          <cell r="AE62"/>
        </row>
        <row r="63">
          <cell r="F63" t="str">
            <v>Yoga</v>
          </cell>
          <cell r="G63"/>
          <cell r="H63"/>
          <cell r="I63"/>
          <cell r="J63"/>
          <cell r="K63" t="str">
            <v>Memadai</v>
          </cell>
          <cell r="L63"/>
          <cell r="M63"/>
          <cell r="N63"/>
          <cell r="O63"/>
          <cell r="P63" t="str">
            <v>Memadai</v>
          </cell>
          <cell r="Q63"/>
          <cell r="R63"/>
          <cell r="S63"/>
          <cell r="T63" t="str">
            <v>Memadai</v>
          </cell>
          <cell r="U63"/>
          <cell r="V63"/>
          <cell r="W63"/>
          <cell r="X63" t="str">
            <v>Ya</v>
          </cell>
          <cell r="Y63"/>
          <cell r="Z63"/>
          <cell r="AA63"/>
          <cell r="AB63" t="str">
            <v>YO</v>
          </cell>
          <cell r="AC63"/>
          <cell r="AD63" t="str">
            <v>Anggota Tim</v>
          </cell>
          <cell r="AE63"/>
        </row>
        <row r="64">
          <cell r="F64" t="str">
            <v/>
          </cell>
          <cell r="G64"/>
          <cell r="H64"/>
          <cell r="I64"/>
          <cell r="J64"/>
          <cell r="K64" t="str">
            <v/>
          </cell>
          <cell r="L64"/>
          <cell r="M64"/>
          <cell r="N64"/>
          <cell r="O64"/>
          <cell r="P64" t="str">
            <v/>
          </cell>
          <cell r="Q64"/>
          <cell r="R64"/>
          <cell r="S64"/>
          <cell r="T64" t="str">
            <v/>
          </cell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</row>
        <row r="65">
          <cell r="F65" t="str">
            <v/>
          </cell>
          <cell r="G65"/>
          <cell r="H65"/>
          <cell r="I65"/>
          <cell r="J65"/>
          <cell r="K65" t="str">
            <v/>
          </cell>
          <cell r="L65"/>
          <cell r="M65"/>
          <cell r="N65"/>
          <cell r="O65"/>
          <cell r="P65" t="str">
            <v/>
          </cell>
          <cell r="Q65"/>
          <cell r="R65"/>
          <cell r="S65"/>
          <cell r="T65" t="str">
            <v/>
          </cell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</row>
        <row r="66">
          <cell r="F66" t="str">
            <v/>
          </cell>
          <cell r="G66"/>
          <cell r="H66"/>
          <cell r="I66"/>
          <cell r="J66"/>
          <cell r="K66" t="str">
            <v/>
          </cell>
          <cell r="L66"/>
          <cell r="M66"/>
          <cell r="N66"/>
          <cell r="O66"/>
          <cell r="P66" t="str">
            <v/>
          </cell>
          <cell r="Q66"/>
          <cell r="R66"/>
          <cell r="S66"/>
          <cell r="T66" t="str">
            <v/>
          </cell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</row>
        <row r="67">
          <cell r="F67" t="str">
            <v/>
          </cell>
          <cell r="G67"/>
          <cell r="H67"/>
          <cell r="I67"/>
          <cell r="J67"/>
          <cell r="K67" t="str">
            <v/>
          </cell>
          <cell r="L67"/>
          <cell r="M67"/>
          <cell r="N67"/>
          <cell r="O67"/>
          <cell r="P67" t="str">
            <v/>
          </cell>
          <cell r="Q67"/>
          <cell r="R67"/>
          <cell r="S67"/>
          <cell r="T67" t="str">
            <v/>
          </cell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</row>
        <row r="68">
          <cell r="F68" t="str">
            <v/>
          </cell>
          <cell r="G68"/>
          <cell r="H68"/>
          <cell r="I68"/>
          <cell r="J68"/>
          <cell r="K68" t="str">
            <v/>
          </cell>
          <cell r="L68"/>
          <cell r="M68"/>
          <cell r="N68"/>
          <cell r="O68"/>
          <cell r="P68" t="str">
            <v/>
          </cell>
          <cell r="Q68"/>
          <cell r="R68"/>
          <cell r="S68"/>
          <cell r="T68" t="str">
            <v/>
          </cell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</row>
        <row r="69">
          <cell r="F69" t="str">
            <v/>
          </cell>
          <cell r="G69"/>
          <cell r="H69"/>
          <cell r="I69"/>
          <cell r="J69"/>
          <cell r="K69" t="str">
            <v/>
          </cell>
          <cell r="L69"/>
          <cell r="M69"/>
          <cell r="N69"/>
          <cell r="O69"/>
          <cell r="P69" t="str">
            <v/>
          </cell>
          <cell r="Q69"/>
          <cell r="R69"/>
          <cell r="S69"/>
          <cell r="T69" t="str">
            <v/>
          </cell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</row>
        <row r="70">
          <cell r="F70" t="str">
            <v/>
          </cell>
          <cell r="G70"/>
          <cell r="H70"/>
          <cell r="I70"/>
          <cell r="J70"/>
          <cell r="K70" t="str">
            <v/>
          </cell>
          <cell r="L70"/>
          <cell r="M70"/>
          <cell r="N70"/>
          <cell r="O70"/>
          <cell r="P70" t="str">
            <v/>
          </cell>
          <cell r="Q70"/>
          <cell r="R70"/>
          <cell r="S70"/>
          <cell r="T70" t="str">
            <v/>
          </cell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</row>
        <row r="71">
          <cell r="F71" t="str">
            <v/>
          </cell>
          <cell r="G71"/>
          <cell r="H71"/>
          <cell r="I71"/>
          <cell r="J71"/>
          <cell r="K71" t="str">
            <v/>
          </cell>
          <cell r="L71"/>
          <cell r="M71"/>
          <cell r="N71"/>
          <cell r="O71"/>
          <cell r="P71" t="str">
            <v/>
          </cell>
          <cell r="Q71"/>
          <cell r="R71"/>
          <cell r="S71"/>
          <cell r="T71" t="str">
            <v/>
          </cell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</row>
        <row r="72">
          <cell r="F72" t="str">
            <v/>
          </cell>
          <cell r="G72"/>
          <cell r="H72"/>
          <cell r="I72"/>
          <cell r="J72"/>
          <cell r="K72" t="str">
            <v/>
          </cell>
          <cell r="L72"/>
          <cell r="M72"/>
          <cell r="N72"/>
          <cell r="O72"/>
          <cell r="P72" t="str">
            <v/>
          </cell>
          <cell r="Q72"/>
          <cell r="R72"/>
          <cell r="S72"/>
          <cell r="T72" t="str">
            <v/>
          </cell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</row>
        <row r="73">
          <cell r="F73" t="str">
            <v/>
          </cell>
          <cell r="G73"/>
          <cell r="H73"/>
          <cell r="I73"/>
          <cell r="J73"/>
          <cell r="K73" t="str">
            <v/>
          </cell>
          <cell r="L73"/>
          <cell r="M73"/>
          <cell r="N73"/>
          <cell r="O73"/>
          <cell r="P73" t="str">
            <v/>
          </cell>
          <cell r="Q73"/>
          <cell r="R73"/>
          <cell r="S73"/>
          <cell r="T73" t="str">
            <v/>
          </cell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</row>
        <row r="74">
          <cell r="F74" t="str">
            <v/>
          </cell>
          <cell r="G74"/>
          <cell r="H74"/>
          <cell r="I74"/>
          <cell r="J74"/>
          <cell r="K74" t="str">
            <v/>
          </cell>
          <cell r="L74"/>
          <cell r="M74"/>
          <cell r="N74"/>
          <cell r="O74"/>
          <cell r="P74" t="str">
            <v/>
          </cell>
          <cell r="Q74"/>
          <cell r="R74"/>
          <cell r="S74"/>
          <cell r="T74" t="str">
            <v/>
          </cell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6"/>
  <sheetViews>
    <sheetView showGridLines="0" tabSelected="1" topLeftCell="A62" workbookViewId="0">
      <selection activeCell="AB8" sqref="AB8"/>
    </sheetView>
  </sheetViews>
  <sheetFormatPr defaultRowHeight="15" x14ac:dyDescent="0.25"/>
  <cols>
    <col min="28" max="28" width="17.7109375" bestFit="1" customWidth="1"/>
  </cols>
  <sheetData>
    <row r="1" spans="1: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25">
      <c r="A2" s="4" t="s">
        <v>0</v>
      </c>
      <c r="B2" s="5"/>
      <c r="C2" s="5"/>
      <c r="D2" s="5"/>
      <c r="E2" s="5"/>
      <c r="F2" s="5"/>
      <c r="G2" s="6" t="s">
        <v>1</v>
      </c>
      <c r="H2" s="7" t="s">
        <v>2</v>
      </c>
      <c r="I2" s="8"/>
      <c r="J2" s="8"/>
      <c r="K2" s="8"/>
      <c r="L2" s="8"/>
      <c r="M2" s="8"/>
      <c r="N2" s="8"/>
      <c r="O2" s="8"/>
      <c r="P2" s="8"/>
      <c r="Q2" s="9"/>
      <c r="R2" s="8"/>
      <c r="S2" s="8"/>
      <c r="T2" s="10"/>
      <c r="U2" s="8"/>
      <c r="V2" s="8"/>
      <c r="W2" s="8"/>
      <c r="X2" s="11" t="s">
        <v>3</v>
      </c>
      <c r="Y2" s="11"/>
      <c r="Z2" s="11"/>
      <c r="AA2" s="12" t="s">
        <v>1</v>
      </c>
      <c r="AB2" s="124" t="s">
        <v>82</v>
      </c>
      <c r="AC2" s="11"/>
      <c r="AD2" s="13"/>
      <c r="AE2" s="11"/>
      <c r="AF2" s="11"/>
      <c r="AG2" s="11"/>
      <c r="AH2" s="116"/>
      <c r="AI2" s="14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25">
      <c r="A3" s="4" t="s">
        <v>4</v>
      </c>
      <c r="B3" s="15"/>
      <c r="C3" s="15"/>
      <c r="D3" s="15"/>
      <c r="E3" s="15"/>
      <c r="F3" s="15"/>
      <c r="G3" s="6" t="s">
        <v>1</v>
      </c>
      <c r="H3" s="7" t="s">
        <v>87</v>
      </c>
      <c r="I3" s="16"/>
      <c r="J3" s="16"/>
      <c r="K3" s="16"/>
      <c r="L3" s="16"/>
      <c r="M3" s="16"/>
      <c r="N3" s="16"/>
      <c r="O3" s="16"/>
      <c r="P3" s="16"/>
      <c r="Q3" s="17"/>
      <c r="R3" s="8"/>
      <c r="S3" s="8"/>
      <c r="T3" s="8"/>
      <c r="U3" s="8"/>
      <c r="V3" s="8"/>
      <c r="W3" s="8"/>
      <c r="X3" s="11" t="s">
        <v>5</v>
      </c>
      <c r="Y3" s="11"/>
      <c r="Z3" s="11"/>
      <c r="AA3" s="12" t="s">
        <v>1</v>
      </c>
      <c r="AB3" s="18">
        <v>45614</v>
      </c>
      <c r="AC3" s="11"/>
      <c r="AD3" s="11"/>
      <c r="AE3" s="11"/>
      <c r="AF3" s="11"/>
      <c r="AG3" s="12"/>
      <c r="AH3" s="117"/>
      <c r="AI3" s="19"/>
      <c r="AJ3" s="3"/>
      <c r="AK3" s="20"/>
      <c r="AL3" s="3"/>
      <c r="AM3" s="3"/>
      <c r="AN3" s="20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25">
      <c r="A4" s="4" t="s">
        <v>6</v>
      </c>
      <c r="B4" s="21"/>
      <c r="C4" s="21"/>
      <c r="D4" s="21"/>
      <c r="E4" s="21"/>
      <c r="F4" s="21"/>
      <c r="G4" s="6" t="s">
        <v>1</v>
      </c>
      <c r="H4" s="7" t="s">
        <v>83</v>
      </c>
      <c r="I4" s="22"/>
      <c r="J4" s="22"/>
      <c r="K4" s="22"/>
      <c r="L4" s="22"/>
      <c r="M4" s="22"/>
      <c r="N4" s="22"/>
      <c r="O4" s="22"/>
      <c r="P4" s="22"/>
      <c r="Q4" s="23"/>
      <c r="R4" s="1"/>
      <c r="S4" s="1"/>
      <c r="T4" s="1"/>
      <c r="U4" s="1"/>
      <c r="V4" s="1"/>
      <c r="W4" s="8"/>
      <c r="X4" s="11" t="s">
        <v>7</v>
      </c>
      <c r="Y4" s="11"/>
      <c r="Z4" s="11"/>
      <c r="AA4" s="12" t="s">
        <v>1</v>
      </c>
      <c r="AB4" s="18">
        <v>45614</v>
      </c>
      <c r="AC4" s="11"/>
      <c r="AD4" s="11"/>
      <c r="AE4" s="11"/>
      <c r="AF4" s="11"/>
      <c r="AG4" s="12"/>
      <c r="AH4" s="117"/>
      <c r="AI4" s="24"/>
      <c r="AJ4" s="25"/>
      <c r="AK4" s="3"/>
      <c r="AL4" s="3"/>
      <c r="AM4" s="3"/>
      <c r="AN4" s="26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25">
      <c r="A5" s="4" t="s">
        <v>8</v>
      </c>
      <c r="B5" s="21"/>
      <c r="C5" s="21"/>
      <c r="D5" s="21"/>
      <c r="E5" s="21"/>
      <c r="F5" s="21"/>
      <c r="G5" s="6" t="s">
        <v>1</v>
      </c>
      <c r="H5" s="7" t="s">
        <v>84</v>
      </c>
      <c r="I5" s="22"/>
      <c r="J5" s="22"/>
      <c r="K5" s="22"/>
      <c r="L5" s="22"/>
      <c r="M5" s="22"/>
      <c r="N5" s="22"/>
      <c r="O5" s="22"/>
      <c r="P5" s="22"/>
      <c r="Q5" s="23"/>
      <c r="R5" s="1"/>
      <c r="S5" s="1"/>
      <c r="T5" s="1"/>
      <c r="U5" s="1"/>
      <c r="V5" s="1"/>
      <c r="W5" s="8"/>
      <c r="X5" s="11" t="s">
        <v>9</v>
      </c>
      <c r="Y5" s="11"/>
      <c r="Z5" s="11"/>
      <c r="AA5" s="12" t="s">
        <v>1</v>
      </c>
      <c r="AB5" s="27">
        <f>AB4-AB3</f>
        <v>0</v>
      </c>
      <c r="AC5" s="11"/>
      <c r="AD5" s="11"/>
      <c r="AE5" s="11"/>
      <c r="AF5" s="11"/>
      <c r="AG5" s="12"/>
      <c r="AH5" s="118"/>
      <c r="AI5" s="28"/>
      <c r="AJ5" s="20"/>
      <c r="AK5" s="3"/>
      <c r="AL5" s="3"/>
      <c r="AM5" s="3"/>
      <c r="AN5" s="20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x14ac:dyDescent="0.25">
      <c r="A6" s="4" t="s">
        <v>10</v>
      </c>
      <c r="B6" s="21"/>
      <c r="C6" s="21"/>
      <c r="D6" s="21"/>
      <c r="E6" s="21"/>
      <c r="F6" s="21"/>
      <c r="G6" s="6" t="s">
        <v>1</v>
      </c>
      <c r="H6" s="7" t="s">
        <v>85</v>
      </c>
      <c r="I6" s="22"/>
      <c r="J6" s="22"/>
      <c r="K6" s="22"/>
      <c r="L6" s="22"/>
      <c r="M6" s="22"/>
      <c r="N6" s="22"/>
      <c r="O6" s="22"/>
      <c r="P6" s="22"/>
      <c r="Q6" s="23"/>
      <c r="R6" s="1"/>
      <c r="S6" s="1"/>
      <c r="T6" s="1"/>
      <c r="U6" s="1"/>
      <c r="V6" s="1"/>
      <c r="W6" s="8"/>
      <c r="X6" s="11" t="s">
        <v>11</v>
      </c>
      <c r="Y6" s="11"/>
      <c r="Z6" s="11"/>
      <c r="AA6" s="12" t="s">
        <v>1</v>
      </c>
      <c r="AB6" s="124" t="s">
        <v>97</v>
      </c>
      <c r="AC6" s="11"/>
      <c r="AD6" s="13"/>
      <c r="AE6" s="11"/>
      <c r="AF6" s="11"/>
      <c r="AG6" s="11"/>
      <c r="AH6" s="119"/>
      <c r="AI6" s="29"/>
      <c r="AJ6" s="3"/>
      <c r="AK6" s="3"/>
      <c r="AL6" s="3"/>
      <c r="AM6" s="3"/>
      <c r="AN6" s="30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15.75" x14ac:dyDescent="0.25">
      <c r="A7" s="4" t="s">
        <v>12</v>
      </c>
      <c r="B7" s="21"/>
      <c r="C7" s="21"/>
      <c r="D7" s="21"/>
      <c r="E7" s="21"/>
      <c r="F7" s="21"/>
      <c r="G7" s="6" t="s">
        <v>1</v>
      </c>
      <c r="H7" s="31" t="s">
        <v>13</v>
      </c>
      <c r="I7" s="22"/>
      <c r="J7" s="22"/>
      <c r="K7" s="22"/>
      <c r="L7" s="22"/>
      <c r="M7" s="22"/>
      <c r="N7" s="22"/>
      <c r="O7" s="22"/>
      <c r="P7" s="22"/>
      <c r="Q7" s="23"/>
      <c r="R7" s="1"/>
      <c r="S7" s="1"/>
      <c r="T7" s="1"/>
      <c r="U7" s="1"/>
      <c r="V7" s="1"/>
      <c r="W7" s="8"/>
      <c r="X7" s="11" t="s">
        <v>5</v>
      </c>
      <c r="Y7" s="11"/>
      <c r="Z7" s="11"/>
      <c r="AA7" s="12" t="s">
        <v>1</v>
      </c>
      <c r="AB7" s="18">
        <v>45616</v>
      </c>
      <c r="AC7" s="11"/>
      <c r="AD7" s="11"/>
      <c r="AE7" s="11"/>
      <c r="AF7" s="11"/>
      <c r="AG7" s="12"/>
      <c r="AH7" s="117"/>
      <c r="AI7" s="32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15.75" x14ac:dyDescent="0.25">
      <c r="A8" s="4" t="s">
        <v>14</v>
      </c>
      <c r="B8" s="21"/>
      <c r="C8" s="21"/>
      <c r="D8" s="21"/>
      <c r="E8" s="21"/>
      <c r="F8" s="21"/>
      <c r="G8" s="6" t="s">
        <v>1</v>
      </c>
      <c r="H8" s="31" t="s">
        <v>15</v>
      </c>
      <c r="I8" s="22"/>
      <c r="J8" s="22"/>
      <c r="K8" s="22"/>
      <c r="L8" s="22"/>
      <c r="M8" s="22"/>
      <c r="N8" s="22"/>
      <c r="O8" s="22"/>
      <c r="P8" s="22"/>
      <c r="Q8" s="23"/>
      <c r="R8" s="1"/>
      <c r="S8" s="1"/>
      <c r="T8" s="1"/>
      <c r="U8" s="1"/>
      <c r="V8" s="1"/>
      <c r="W8" s="8"/>
      <c r="X8" s="11" t="s">
        <v>7</v>
      </c>
      <c r="Y8" s="11"/>
      <c r="Z8" s="11"/>
      <c r="AA8" s="12" t="s">
        <v>1</v>
      </c>
      <c r="AB8" s="18">
        <v>45616</v>
      </c>
      <c r="AC8" s="11"/>
      <c r="AD8" s="11"/>
      <c r="AE8" s="11"/>
      <c r="AF8" s="11"/>
      <c r="AG8" s="12"/>
      <c r="AH8" s="117"/>
      <c r="AI8" s="32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15.75" x14ac:dyDescent="0.25">
      <c r="A9" s="4" t="s">
        <v>16</v>
      </c>
      <c r="B9" s="21"/>
      <c r="C9" s="21"/>
      <c r="D9" s="21"/>
      <c r="E9" s="21"/>
      <c r="F9" s="21"/>
      <c r="G9" s="6" t="s">
        <v>1</v>
      </c>
      <c r="H9" s="31" t="s">
        <v>17</v>
      </c>
      <c r="I9" s="22"/>
      <c r="J9" s="22"/>
      <c r="K9" s="22"/>
      <c r="L9" s="1"/>
      <c r="M9" s="22"/>
      <c r="N9" s="22"/>
      <c r="O9" s="22"/>
      <c r="P9" s="22"/>
      <c r="Q9" s="23"/>
      <c r="R9" s="1"/>
      <c r="S9" s="1"/>
      <c r="T9" s="1"/>
      <c r="U9" s="1"/>
      <c r="V9" s="1"/>
      <c r="W9" s="8"/>
      <c r="X9" s="11" t="s">
        <v>9</v>
      </c>
      <c r="Y9" s="11"/>
      <c r="Z9" s="11"/>
      <c r="AA9" s="12" t="s">
        <v>1</v>
      </c>
      <c r="AB9" s="27">
        <f>AB8-AB7</f>
        <v>0</v>
      </c>
      <c r="AC9" s="11"/>
      <c r="AD9" s="11"/>
      <c r="AE9" s="11"/>
      <c r="AF9" s="11"/>
      <c r="AG9" s="12"/>
      <c r="AH9" s="114"/>
      <c r="AI9" s="33" t="str">
        <f>IF(AH9="","",(AH9-INT(AH9))*24)</f>
        <v/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15.75" x14ac:dyDescent="0.25">
      <c r="A10" s="34"/>
      <c r="B10" s="21"/>
      <c r="C10" s="21"/>
      <c r="D10" s="21"/>
      <c r="E10" s="21"/>
      <c r="F10" s="21"/>
      <c r="G10" s="21"/>
      <c r="H10" s="35" t="s">
        <v>18</v>
      </c>
      <c r="I10" s="22"/>
      <c r="J10" s="22"/>
      <c r="K10" s="22"/>
      <c r="L10" s="22"/>
      <c r="M10" s="22"/>
      <c r="N10" s="22"/>
      <c r="O10" s="22"/>
      <c r="P10" s="22"/>
      <c r="Q10" s="23"/>
      <c r="R10" s="1"/>
      <c r="S10" s="1"/>
      <c r="T10" s="1"/>
      <c r="U10" s="1"/>
      <c r="V10" s="1"/>
      <c r="W10" s="8"/>
      <c r="X10" s="11"/>
      <c r="Y10" s="11"/>
      <c r="Z10" s="11"/>
      <c r="AA10" s="12"/>
      <c r="AB10" s="4"/>
      <c r="AC10" s="11"/>
      <c r="AD10" s="11"/>
      <c r="AE10" s="11"/>
      <c r="AF10" s="11"/>
      <c r="AG10" s="12"/>
      <c r="AH10" s="115"/>
      <c r="AI10" s="33" t="str">
        <f>IF(AH10="","",(AH10-INT(AH10))*24)</f>
        <v/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25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/>
      <c r="R11" s="1"/>
      <c r="S11" s="1"/>
      <c r="T11" s="1"/>
      <c r="U11" s="1"/>
      <c r="V11" s="1"/>
      <c r="W11" s="8"/>
      <c r="X11" s="36"/>
      <c r="Y11" s="8"/>
      <c r="Z11" s="8"/>
      <c r="AA11" s="37"/>
      <c r="AB11" s="8"/>
      <c r="AC11" s="8"/>
      <c r="AD11" s="36"/>
      <c r="AE11" s="36"/>
      <c r="AF11" s="36"/>
      <c r="AG11" s="38"/>
      <c r="AH11" s="39"/>
      <c r="AI11" s="40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25">
      <c r="A12" s="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3"/>
      <c r="R12" s="1"/>
      <c r="S12" s="1"/>
      <c r="T12" s="1"/>
      <c r="U12" s="1"/>
      <c r="V12" s="1"/>
      <c r="W12" s="8"/>
      <c r="X12" s="36"/>
      <c r="Y12" s="8"/>
      <c r="Z12" s="8"/>
      <c r="AA12" s="37"/>
      <c r="AB12" s="8"/>
      <c r="AC12" s="8"/>
      <c r="AD12" s="36"/>
      <c r="AE12" s="36"/>
      <c r="AF12" s="36"/>
      <c r="AG12" s="38"/>
      <c r="AH12" s="39"/>
      <c r="AI12" s="40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25">
      <c r="A14" s="42" t="s">
        <v>19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7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43"/>
      <c r="AD14" s="44"/>
      <c r="AE14" s="44"/>
      <c r="AF14" s="44"/>
      <c r="AG14" s="44"/>
      <c r="AH14" s="44"/>
      <c r="AI14" s="44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15.75" x14ac:dyDescent="0.25">
      <c r="A15" s="45" t="s">
        <v>20</v>
      </c>
      <c r="B15" s="168" t="s">
        <v>21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46" t="s">
        <v>22</v>
      </c>
      <c r="R15" s="169" t="s">
        <v>23</v>
      </c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44"/>
      <c r="AH15" s="44"/>
      <c r="AI15" s="44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15.75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71"/>
      <c r="K16" s="171"/>
      <c r="L16" s="171"/>
      <c r="M16" s="171"/>
      <c r="N16" s="11"/>
      <c r="O16" s="11"/>
      <c r="P16" s="11"/>
      <c r="Q16" s="47"/>
      <c r="R16" s="43"/>
      <c r="S16" s="43"/>
      <c r="T16" s="43"/>
      <c r="U16" s="43"/>
      <c r="V16" s="43"/>
      <c r="W16" s="43"/>
      <c r="X16" s="43"/>
      <c r="Y16" s="43"/>
      <c r="Z16" s="48"/>
      <c r="AA16" s="43"/>
      <c r="AB16" s="43"/>
      <c r="AC16" s="49"/>
      <c r="AD16" s="50"/>
      <c r="AE16" s="32"/>
      <c r="AF16" s="32"/>
      <c r="AG16" s="32"/>
      <c r="AH16" s="51"/>
      <c r="AI16" s="44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15.75" x14ac:dyDescent="0.25">
      <c r="A17" s="52"/>
      <c r="B17" s="53" t="s">
        <v>24</v>
      </c>
      <c r="C17" s="11"/>
      <c r="D17" s="11"/>
      <c r="E17" s="11"/>
      <c r="F17" s="11"/>
      <c r="G17" s="54"/>
      <c r="H17" s="54"/>
      <c r="I17" s="11"/>
      <c r="J17" s="172">
        <v>45590</v>
      </c>
      <c r="K17" s="173"/>
      <c r="L17" s="173"/>
      <c r="M17" s="174"/>
      <c r="N17" s="55" t="s">
        <v>25</v>
      </c>
      <c r="O17" s="11"/>
      <c r="P17" s="11"/>
      <c r="Q17" s="47"/>
      <c r="R17" s="56" t="s">
        <v>26</v>
      </c>
      <c r="S17" s="56"/>
      <c r="T17" s="56"/>
      <c r="U17" s="56"/>
      <c r="V17" s="56"/>
      <c r="W17" s="56"/>
      <c r="X17" s="56"/>
      <c r="Y17" s="56"/>
      <c r="Z17" s="57">
        <v>90</v>
      </c>
      <c r="AA17" s="56" t="s">
        <v>27</v>
      </c>
      <c r="AB17" s="43"/>
      <c r="AC17" s="49"/>
      <c r="AD17" s="58"/>
      <c r="AE17" s="59"/>
      <c r="AF17" s="59"/>
      <c r="AG17" s="60"/>
      <c r="AH17" s="61"/>
      <c r="AI17" s="44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15.75" x14ac:dyDescent="0.25">
      <c r="A18" s="52"/>
      <c r="B18" s="53" t="s">
        <v>28</v>
      </c>
      <c r="C18" s="11"/>
      <c r="D18" s="11"/>
      <c r="E18" s="11"/>
      <c r="F18" s="11"/>
      <c r="G18" s="54"/>
      <c r="H18" s="54"/>
      <c r="I18" s="11"/>
      <c r="J18" s="172">
        <v>45376</v>
      </c>
      <c r="K18" s="173"/>
      <c r="L18" s="173"/>
      <c r="M18" s="174"/>
      <c r="N18" s="62">
        <v>0.35416666666666669</v>
      </c>
      <c r="O18" s="11"/>
      <c r="P18" s="11"/>
      <c r="Q18" s="47"/>
      <c r="R18" s="56" t="s">
        <v>29</v>
      </c>
      <c r="S18" s="56"/>
      <c r="T18" s="56"/>
      <c r="U18" s="56"/>
      <c r="V18" s="56"/>
      <c r="W18" s="56"/>
      <c r="X18" s="56"/>
      <c r="Y18" s="56"/>
      <c r="Z18" s="57">
        <v>130</v>
      </c>
      <c r="AA18" s="56" t="s">
        <v>27</v>
      </c>
      <c r="AB18" s="43"/>
      <c r="AC18" s="49"/>
      <c r="AD18" s="58"/>
      <c r="AE18" s="59"/>
      <c r="AF18" s="59"/>
      <c r="AG18" s="60"/>
      <c r="AH18" s="61"/>
      <c r="AI18" s="44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25">
      <c r="A19" s="52"/>
      <c r="B19" s="53" t="s">
        <v>30</v>
      </c>
      <c r="C19" s="11"/>
      <c r="D19" s="11"/>
      <c r="E19" s="11"/>
      <c r="F19" s="11"/>
      <c r="G19" s="54"/>
      <c r="H19" s="11"/>
      <c r="I19" s="11"/>
      <c r="J19" s="175">
        <f>J18-J17</f>
        <v>-214</v>
      </c>
      <c r="K19" s="176"/>
      <c r="L19" s="176"/>
      <c r="M19" s="177"/>
      <c r="N19" s="63" t="s">
        <v>31</v>
      </c>
      <c r="O19" s="11"/>
      <c r="P19" s="11"/>
      <c r="Q19" s="43"/>
      <c r="R19" s="56" t="s">
        <v>32</v>
      </c>
      <c r="S19" s="56"/>
      <c r="T19" s="56"/>
      <c r="U19" s="56"/>
      <c r="V19" s="56"/>
      <c r="W19" s="56"/>
      <c r="X19" s="56"/>
      <c r="Y19" s="56"/>
      <c r="Z19" s="57">
        <v>100</v>
      </c>
      <c r="AA19" s="56" t="s">
        <v>27</v>
      </c>
      <c r="AB19" s="43"/>
      <c r="AC19" s="64"/>
      <c r="AD19" s="65"/>
      <c r="AE19" s="60"/>
      <c r="AF19" s="60"/>
      <c r="AG19" s="60"/>
      <c r="AH19" s="61"/>
      <c r="AI19" s="44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x14ac:dyDescent="0.25">
      <c r="A20" s="52"/>
      <c r="B20" s="53" t="s">
        <v>33</v>
      </c>
      <c r="C20" s="11"/>
      <c r="D20" s="11"/>
      <c r="E20" s="11"/>
      <c r="F20" s="11"/>
      <c r="G20" s="54"/>
      <c r="H20" s="11"/>
      <c r="I20" s="11"/>
      <c r="J20" s="187">
        <v>40</v>
      </c>
      <c r="K20" s="188"/>
      <c r="L20" s="188"/>
      <c r="M20" s="189"/>
      <c r="N20" s="62">
        <v>4.1666666666666664E-2</v>
      </c>
      <c r="O20" s="11"/>
      <c r="P20" s="11"/>
      <c r="Q20" s="43"/>
      <c r="R20" s="66" t="s">
        <v>34</v>
      </c>
      <c r="S20" s="56"/>
      <c r="T20" s="66"/>
      <c r="U20" s="66"/>
      <c r="V20" s="66"/>
      <c r="W20" s="66"/>
      <c r="X20" s="66"/>
      <c r="Y20" s="66"/>
      <c r="Z20" s="67">
        <f>SUM(Z17:Z19)</f>
        <v>320</v>
      </c>
      <c r="AA20" s="66" t="s">
        <v>27</v>
      </c>
      <c r="AB20" s="43"/>
      <c r="AC20" s="68"/>
      <c r="AD20" s="44"/>
      <c r="AE20" s="44"/>
      <c r="AF20" s="44"/>
      <c r="AG20" s="60"/>
      <c r="AH20" s="44"/>
      <c r="AI20" s="44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15.75" x14ac:dyDescent="0.25">
      <c r="A21" s="52"/>
      <c r="B21" s="53" t="s">
        <v>35</v>
      </c>
      <c r="C21" s="11"/>
      <c r="D21" s="11"/>
      <c r="E21" s="11"/>
      <c r="F21" s="11"/>
      <c r="G21" s="11"/>
      <c r="H21" s="11"/>
      <c r="I21" s="11"/>
      <c r="J21" s="187">
        <v>5</v>
      </c>
      <c r="K21" s="188"/>
      <c r="L21" s="188"/>
      <c r="M21" s="189"/>
      <c r="N21" s="63" t="s">
        <v>36</v>
      </c>
      <c r="O21" s="11"/>
      <c r="P21" s="11"/>
      <c r="Q21" s="68"/>
      <c r="R21" s="43"/>
      <c r="S21" s="69" t="s">
        <v>37</v>
      </c>
      <c r="T21" s="70"/>
      <c r="U21" s="71"/>
      <c r="V21" s="70"/>
      <c r="W21" s="70"/>
      <c r="X21" s="70"/>
      <c r="Y21" s="70"/>
      <c r="Z21" s="72">
        <f>Z17/I23</f>
        <v>11.25</v>
      </c>
      <c r="AA21" s="70" t="s">
        <v>38</v>
      </c>
      <c r="AB21" s="43"/>
      <c r="AC21" s="43"/>
      <c r="AD21" s="44"/>
      <c r="AE21" s="44"/>
      <c r="AF21" s="44"/>
      <c r="AG21" s="44"/>
      <c r="AH21" s="44"/>
      <c r="AI21" s="44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15.75" x14ac:dyDescent="0.25">
      <c r="A22" s="52"/>
      <c r="B22" s="53" t="s">
        <v>39</v>
      </c>
      <c r="C22" s="11"/>
      <c r="D22" s="11"/>
      <c r="E22" s="11"/>
      <c r="F22" s="11"/>
      <c r="G22" s="54"/>
      <c r="H22" s="11"/>
      <c r="I22" s="11"/>
      <c r="J22" s="190">
        <f>J19-J20-J21</f>
        <v>-259</v>
      </c>
      <c r="K22" s="191"/>
      <c r="L22" s="191"/>
      <c r="M22" s="192"/>
      <c r="N22" s="62">
        <v>0.72916666666666663</v>
      </c>
      <c r="O22" s="11"/>
      <c r="P22" s="11"/>
      <c r="Q22" s="68"/>
      <c r="R22" s="43"/>
      <c r="S22" s="69" t="s">
        <v>29</v>
      </c>
      <c r="T22" s="70"/>
      <c r="U22" s="71"/>
      <c r="V22" s="70"/>
      <c r="W22" s="70"/>
      <c r="X22" s="70"/>
      <c r="Y22" s="70"/>
      <c r="Z22" s="120"/>
      <c r="AA22" s="70" t="s">
        <v>38</v>
      </c>
      <c r="AB22" s="70"/>
      <c r="AC22" s="43"/>
      <c r="AD22" s="44"/>
      <c r="AE22" s="44"/>
      <c r="AF22" s="44"/>
      <c r="AG22" s="44"/>
      <c r="AH22" s="44"/>
      <c r="AI22" s="44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15.75" x14ac:dyDescent="0.25">
      <c r="A23" s="52"/>
      <c r="B23" s="73" t="s">
        <v>40</v>
      </c>
      <c r="C23" s="42"/>
      <c r="D23" s="42"/>
      <c r="E23" s="42"/>
      <c r="F23" s="42"/>
      <c r="G23" s="74"/>
      <c r="H23" s="42"/>
      <c r="I23" s="75">
        <v>8</v>
      </c>
      <c r="J23" s="193">
        <f>J22*I23</f>
        <v>-2072</v>
      </c>
      <c r="K23" s="194"/>
      <c r="L23" s="194"/>
      <c r="M23" s="195"/>
      <c r="N23" s="76">
        <f>N22-N18-N20</f>
        <v>0.33333333333333326</v>
      </c>
      <c r="O23" s="11"/>
      <c r="P23" s="11"/>
      <c r="Q23" s="68"/>
      <c r="R23" s="43"/>
      <c r="S23" s="69" t="s">
        <v>32</v>
      </c>
      <c r="T23" s="70"/>
      <c r="U23" s="71"/>
      <c r="V23" s="70"/>
      <c r="W23" s="70"/>
      <c r="X23" s="70"/>
      <c r="Y23" s="70"/>
      <c r="Z23" s="121"/>
      <c r="AA23" s="70" t="s">
        <v>38</v>
      </c>
      <c r="AB23" s="70"/>
      <c r="AC23" s="70"/>
      <c r="AD23" s="44"/>
      <c r="AE23" s="51"/>
      <c r="AF23" s="44"/>
      <c r="AG23" s="44"/>
      <c r="AH23" s="44"/>
      <c r="AI23" s="44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15.75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68"/>
      <c r="R24" s="43"/>
      <c r="S24" s="77" t="s">
        <v>34</v>
      </c>
      <c r="T24" s="78"/>
      <c r="U24" s="71"/>
      <c r="V24" s="78"/>
      <c r="W24" s="78"/>
      <c r="X24" s="78"/>
      <c r="Y24" s="78"/>
      <c r="Z24" s="79">
        <f>SUM(Z21:Z23)</f>
        <v>11.25</v>
      </c>
      <c r="AA24" s="78" t="s">
        <v>38</v>
      </c>
      <c r="AB24" s="70"/>
      <c r="AC24" s="70"/>
      <c r="AD24" s="44"/>
      <c r="AE24" s="51"/>
      <c r="AF24" s="44"/>
      <c r="AG24" s="44"/>
      <c r="AH24" s="44"/>
      <c r="AI24" s="44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15.75" x14ac:dyDescent="0.25">
      <c r="A25" s="45" t="s">
        <v>41</v>
      </c>
      <c r="B25" s="80" t="s">
        <v>42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68"/>
      <c r="R25" s="43"/>
      <c r="S25" s="77"/>
      <c r="T25" s="78"/>
      <c r="U25" s="71"/>
      <c r="V25" s="78"/>
      <c r="W25" s="78"/>
      <c r="X25" s="78"/>
      <c r="Y25" s="78"/>
      <c r="Z25" s="79"/>
      <c r="AA25" s="78"/>
      <c r="AB25" s="70"/>
      <c r="AC25" s="70"/>
      <c r="AD25" s="44"/>
      <c r="AE25" s="51"/>
      <c r="AF25" s="44"/>
      <c r="AG25" s="44"/>
      <c r="AH25" s="44"/>
      <c r="AI25" s="44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15.75" x14ac:dyDescent="0.25">
      <c r="A26" s="16"/>
      <c r="B26" s="81"/>
      <c r="C26" s="16"/>
      <c r="D26" s="16"/>
      <c r="E26" s="16"/>
      <c r="F26" s="16"/>
      <c r="G26" s="16"/>
      <c r="H26" s="16"/>
      <c r="I26" s="16"/>
      <c r="J26" s="81"/>
      <c r="K26" s="16"/>
      <c r="L26" s="16"/>
      <c r="M26" s="16"/>
      <c r="N26" s="16"/>
      <c r="O26" s="16"/>
      <c r="P26" s="16"/>
      <c r="Q26" s="68"/>
      <c r="R26" s="43"/>
      <c r="S26" s="77"/>
      <c r="T26" s="78"/>
      <c r="U26" s="71"/>
      <c r="V26" s="78"/>
      <c r="W26" s="78"/>
      <c r="X26" s="78"/>
      <c r="Y26" s="78"/>
      <c r="Z26" s="79"/>
      <c r="AA26" s="78"/>
      <c r="AB26" s="70"/>
      <c r="AC26" s="70"/>
      <c r="AD26" s="44"/>
      <c r="AE26" s="51"/>
      <c r="AF26" s="44"/>
      <c r="AG26" s="44"/>
      <c r="AH26" s="44"/>
      <c r="AI26" s="44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15.75" x14ac:dyDescent="0.25">
      <c r="A27" s="16"/>
      <c r="B27" s="196" t="s">
        <v>43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6"/>
      <c r="N27" s="16"/>
      <c r="O27" s="16"/>
      <c r="P27" s="16"/>
      <c r="Q27" s="68"/>
      <c r="R27" s="43"/>
      <c r="S27" s="77"/>
      <c r="T27" s="78"/>
      <c r="U27" s="71"/>
      <c r="V27" s="78"/>
      <c r="W27" s="78"/>
      <c r="X27" s="78"/>
      <c r="Y27" s="78"/>
      <c r="Z27" s="79"/>
      <c r="AA27" s="78"/>
      <c r="AB27" s="70"/>
      <c r="AC27" s="70"/>
      <c r="AD27" s="44"/>
      <c r="AE27" s="51"/>
      <c r="AF27" s="51"/>
      <c r="AG27" s="51"/>
      <c r="AH27" s="51"/>
      <c r="AI27" s="51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15.75" x14ac:dyDescent="0.25">
      <c r="A28" s="16"/>
      <c r="B28" s="8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82"/>
      <c r="S28" s="77"/>
      <c r="T28" s="78"/>
      <c r="U28" s="71"/>
      <c r="V28" s="78"/>
      <c r="W28" s="78"/>
      <c r="X28" s="78"/>
      <c r="Y28" s="78"/>
      <c r="Z28" s="79"/>
      <c r="AA28" s="78"/>
      <c r="AB28" s="70"/>
      <c r="AC28" s="70"/>
      <c r="AD28" s="51"/>
      <c r="AE28" s="51"/>
      <c r="AF28" s="51"/>
      <c r="AG28" s="51"/>
      <c r="AH28" s="51"/>
      <c r="AI28" s="51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25">
      <c r="A29" s="16"/>
      <c r="B29" s="197" t="s">
        <v>44</v>
      </c>
      <c r="C29" s="197" t="s">
        <v>45</v>
      </c>
      <c r="D29" s="197"/>
      <c r="E29" s="197"/>
      <c r="F29" s="197"/>
      <c r="G29" s="197"/>
      <c r="H29" s="198" t="s">
        <v>46</v>
      </c>
      <c r="I29" s="198"/>
      <c r="J29" s="198"/>
      <c r="K29" s="178" t="s">
        <v>47</v>
      </c>
      <c r="L29" s="179"/>
      <c r="M29" s="179"/>
      <c r="N29" s="179"/>
      <c r="O29" s="179"/>
      <c r="P29" s="180"/>
      <c r="Q29" s="178" t="s">
        <v>48</v>
      </c>
      <c r="R29" s="179"/>
      <c r="S29" s="179"/>
      <c r="T29" s="179"/>
      <c r="U29" s="179"/>
      <c r="V29" s="180"/>
      <c r="W29" s="68"/>
      <c r="X29" s="68"/>
      <c r="Y29" s="68"/>
      <c r="Z29" s="68"/>
      <c r="AA29" s="68"/>
      <c r="AB29" s="68"/>
      <c r="AC29" s="68"/>
      <c r="AD29" s="60"/>
      <c r="AE29" s="60"/>
      <c r="AF29" s="60"/>
      <c r="AG29" s="60"/>
      <c r="AH29" s="60"/>
      <c r="AI29" s="60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25">
      <c r="A30" s="16"/>
      <c r="B30" s="197"/>
      <c r="C30" s="197"/>
      <c r="D30" s="197"/>
      <c r="E30" s="197"/>
      <c r="F30" s="197"/>
      <c r="G30" s="197"/>
      <c r="H30" s="198"/>
      <c r="I30" s="198"/>
      <c r="J30" s="198"/>
      <c r="K30" s="181" t="s">
        <v>49</v>
      </c>
      <c r="L30" s="182"/>
      <c r="M30" s="181" t="s">
        <v>50</v>
      </c>
      <c r="N30" s="182"/>
      <c r="O30" s="181" t="s">
        <v>51</v>
      </c>
      <c r="P30" s="182"/>
      <c r="Q30" s="181" t="s">
        <v>49</v>
      </c>
      <c r="R30" s="182"/>
      <c r="S30" s="181" t="s">
        <v>50</v>
      </c>
      <c r="T30" s="182"/>
      <c r="U30" s="181" t="s">
        <v>51</v>
      </c>
      <c r="V30" s="182"/>
      <c r="W30" s="68"/>
      <c r="X30" s="68"/>
      <c r="Y30" s="68"/>
      <c r="Z30" s="68"/>
      <c r="AA30" s="68"/>
      <c r="AB30" s="68"/>
      <c r="AC30" s="68"/>
      <c r="AD30" s="60"/>
      <c r="AE30" s="60"/>
      <c r="AF30" s="60"/>
      <c r="AG30" s="60"/>
      <c r="AH30" s="60"/>
      <c r="AI30" s="60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25">
      <c r="A31" s="16"/>
      <c r="B31" s="197"/>
      <c r="C31" s="197"/>
      <c r="D31" s="197"/>
      <c r="E31" s="197"/>
      <c r="F31" s="197"/>
      <c r="G31" s="197"/>
      <c r="H31" s="198"/>
      <c r="I31" s="198"/>
      <c r="J31" s="198"/>
      <c r="K31" s="183"/>
      <c r="L31" s="184"/>
      <c r="M31" s="183"/>
      <c r="N31" s="184"/>
      <c r="O31" s="183"/>
      <c r="P31" s="184"/>
      <c r="Q31" s="183"/>
      <c r="R31" s="184"/>
      <c r="S31" s="183"/>
      <c r="T31" s="184"/>
      <c r="U31" s="183"/>
      <c r="V31" s="184"/>
      <c r="W31" s="68"/>
      <c r="X31" s="68"/>
      <c r="Y31" s="68"/>
      <c r="Z31" s="68"/>
      <c r="AA31" s="68"/>
      <c r="AB31" s="68"/>
      <c r="AC31" s="68"/>
      <c r="AD31" s="60"/>
      <c r="AE31" s="60"/>
      <c r="AF31" s="60"/>
      <c r="AG31" s="60"/>
      <c r="AH31" s="60"/>
      <c r="AI31" s="60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x14ac:dyDescent="0.25">
      <c r="A32" s="16"/>
      <c r="B32" s="197"/>
      <c r="C32" s="197"/>
      <c r="D32" s="197"/>
      <c r="E32" s="197"/>
      <c r="F32" s="197"/>
      <c r="G32" s="197"/>
      <c r="H32" s="198"/>
      <c r="I32" s="198"/>
      <c r="J32" s="198"/>
      <c r="K32" s="185"/>
      <c r="L32" s="186"/>
      <c r="M32" s="185"/>
      <c r="N32" s="186"/>
      <c r="O32" s="185"/>
      <c r="P32" s="186"/>
      <c r="Q32" s="185"/>
      <c r="R32" s="186"/>
      <c r="S32" s="185"/>
      <c r="T32" s="186"/>
      <c r="U32" s="185"/>
      <c r="V32" s="186"/>
      <c r="W32" s="68"/>
      <c r="X32" s="68"/>
      <c r="Y32" s="68"/>
      <c r="Z32" s="68"/>
      <c r="AA32" s="68"/>
      <c r="AB32" s="68"/>
      <c r="AC32" s="68"/>
      <c r="AD32" s="60"/>
      <c r="AE32" s="60"/>
      <c r="AF32" s="60"/>
      <c r="AG32" s="60"/>
      <c r="AH32" s="60"/>
      <c r="AI32" s="60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15.75" x14ac:dyDescent="0.25">
      <c r="A33" s="16"/>
      <c r="B33" s="122">
        <v>1</v>
      </c>
      <c r="C33" s="138" t="s">
        <v>86</v>
      </c>
      <c r="D33" s="138"/>
      <c r="E33" s="138"/>
      <c r="F33" s="138"/>
      <c r="G33" s="138"/>
      <c r="H33" s="161" t="s">
        <v>52</v>
      </c>
      <c r="I33" s="162"/>
      <c r="J33" s="163"/>
      <c r="K33" s="164">
        <v>12</v>
      </c>
      <c r="L33" s="164"/>
      <c r="M33" s="164">
        <v>10</v>
      </c>
      <c r="N33" s="164"/>
      <c r="O33" s="164">
        <v>15</v>
      </c>
      <c r="P33" s="164"/>
      <c r="Q33" s="167">
        <v>10</v>
      </c>
      <c r="R33" s="167"/>
      <c r="S33" s="167">
        <v>8</v>
      </c>
      <c r="T33" s="167"/>
      <c r="U33" s="167">
        <v>13</v>
      </c>
      <c r="V33" s="167"/>
      <c r="W33" s="68"/>
      <c r="X33" s="112"/>
      <c r="Y33" s="68"/>
      <c r="Z33" s="68"/>
      <c r="AA33" s="68"/>
      <c r="AB33" s="68"/>
      <c r="AC33" s="68"/>
      <c r="AD33" s="60"/>
      <c r="AE33" s="60"/>
      <c r="AF33" s="60"/>
      <c r="AG33" s="60"/>
      <c r="AH33" s="60"/>
      <c r="AI33" s="60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15.75" x14ac:dyDescent="0.25">
      <c r="A34" s="16"/>
      <c r="B34" s="122">
        <f>B33+1</f>
        <v>2</v>
      </c>
      <c r="C34" s="138" t="s">
        <v>87</v>
      </c>
      <c r="D34" s="138"/>
      <c r="E34" s="138"/>
      <c r="F34" s="138"/>
      <c r="G34" s="138"/>
      <c r="H34" s="161" t="s">
        <v>52</v>
      </c>
      <c r="I34" s="162"/>
      <c r="J34" s="163"/>
      <c r="K34" s="164">
        <v>12</v>
      </c>
      <c r="L34" s="164"/>
      <c r="M34" s="164">
        <v>10</v>
      </c>
      <c r="N34" s="164"/>
      <c r="O34" s="164">
        <v>15</v>
      </c>
      <c r="P34" s="164"/>
      <c r="Q34" s="167">
        <v>10</v>
      </c>
      <c r="R34" s="167"/>
      <c r="S34" s="167">
        <v>8</v>
      </c>
      <c r="T34" s="167"/>
      <c r="U34" s="167">
        <v>13</v>
      </c>
      <c r="V34" s="167"/>
      <c r="W34" s="68"/>
      <c r="X34" s="112"/>
      <c r="Y34" s="68"/>
      <c r="Z34" s="68"/>
      <c r="AA34" s="68"/>
      <c r="AB34" s="68"/>
      <c r="AC34" s="68"/>
      <c r="AD34" s="60"/>
      <c r="AE34" s="60"/>
      <c r="AF34" s="60"/>
      <c r="AG34" s="60"/>
      <c r="AH34" s="60"/>
      <c r="AI34" s="60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15.75" x14ac:dyDescent="0.25">
      <c r="A35" s="16"/>
      <c r="B35" s="122">
        <f t="shared" ref="B35:B42" si="0">B34+1</f>
        <v>3</v>
      </c>
      <c r="C35" s="138" t="s">
        <v>53</v>
      </c>
      <c r="D35" s="138"/>
      <c r="E35" s="138"/>
      <c r="F35" s="138"/>
      <c r="G35" s="138"/>
      <c r="H35" s="161" t="s">
        <v>54</v>
      </c>
      <c r="I35" s="162"/>
      <c r="J35" s="163"/>
      <c r="K35" s="164">
        <v>10</v>
      </c>
      <c r="L35" s="164"/>
      <c r="M35" s="164">
        <v>15</v>
      </c>
      <c r="N35" s="164"/>
      <c r="O35" s="164">
        <v>15</v>
      </c>
      <c r="P35" s="164"/>
      <c r="Q35" s="167">
        <v>10</v>
      </c>
      <c r="R35" s="167"/>
      <c r="S35" s="167">
        <v>15</v>
      </c>
      <c r="T35" s="167"/>
      <c r="U35" s="167">
        <v>15</v>
      </c>
      <c r="V35" s="167"/>
      <c r="W35" s="68"/>
      <c r="X35" s="49"/>
      <c r="Y35" s="68"/>
      <c r="Z35" s="68"/>
      <c r="AA35" s="68"/>
      <c r="AB35" s="68"/>
      <c r="AC35" s="68"/>
      <c r="AD35" s="60"/>
      <c r="AE35" s="60"/>
      <c r="AF35" s="60"/>
      <c r="AG35" s="60"/>
      <c r="AH35" s="60"/>
      <c r="AI35" s="60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15.75" x14ac:dyDescent="0.25">
      <c r="A36" s="16"/>
      <c r="B36" s="122">
        <f t="shared" si="0"/>
        <v>4</v>
      </c>
      <c r="C36" s="141" t="s">
        <v>93</v>
      </c>
      <c r="D36" s="142"/>
      <c r="E36" s="142"/>
      <c r="F36" s="142"/>
      <c r="G36" s="143"/>
      <c r="H36" s="161" t="s">
        <v>94</v>
      </c>
      <c r="I36" s="162"/>
      <c r="J36" s="163"/>
      <c r="K36" s="164">
        <v>20</v>
      </c>
      <c r="L36" s="164"/>
      <c r="M36" s="164">
        <v>30</v>
      </c>
      <c r="N36" s="164"/>
      <c r="O36" s="164">
        <v>25</v>
      </c>
      <c r="P36" s="164"/>
      <c r="Q36" s="167">
        <v>20</v>
      </c>
      <c r="R36" s="167"/>
      <c r="S36" s="167">
        <v>30</v>
      </c>
      <c r="T36" s="167"/>
      <c r="U36" s="167">
        <v>25</v>
      </c>
      <c r="V36" s="167"/>
      <c r="W36" s="68"/>
      <c r="X36" s="68"/>
      <c r="Y36" s="68"/>
      <c r="Z36" s="68"/>
      <c r="AA36" s="68"/>
      <c r="AB36" s="68"/>
      <c r="AC36" s="68"/>
      <c r="AD36" s="60"/>
      <c r="AE36" s="60"/>
      <c r="AF36" s="60"/>
      <c r="AG36" s="60"/>
      <c r="AH36" s="60"/>
      <c r="AI36" s="60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15.75" x14ac:dyDescent="0.25">
      <c r="A37" s="16"/>
      <c r="B37" s="122">
        <f t="shared" si="0"/>
        <v>5</v>
      </c>
      <c r="C37" s="141" t="s">
        <v>88</v>
      </c>
      <c r="D37" s="142"/>
      <c r="E37" s="142"/>
      <c r="F37" s="142"/>
      <c r="G37" s="143"/>
      <c r="H37" s="161" t="s">
        <v>55</v>
      </c>
      <c r="I37" s="162"/>
      <c r="J37" s="163"/>
      <c r="K37" s="164">
        <v>25</v>
      </c>
      <c r="L37" s="164"/>
      <c r="M37" s="164">
        <v>25</v>
      </c>
      <c r="N37" s="164"/>
      <c r="O37" s="164">
        <v>25</v>
      </c>
      <c r="P37" s="164"/>
      <c r="Q37" s="165">
        <v>25</v>
      </c>
      <c r="R37" s="166"/>
      <c r="S37" s="167">
        <v>25</v>
      </c>
      <c r="T37" s="167"/>
      <c r="U37" s="167">
        <v>25</v>
      </c>
      <c r="V37" s="167"/>
      <c r="W37" s="68"/>
      <c r="X37" s="112"/>
      <c r="Y37" s="68"/>
      <c r="Z37" s="68"/>
      <c r="AA37" s="68"/>
      <c r="AB37" s="68"/>
      <c r="AC37" s="68"/>
      <c r="AD37" s="60"/>
      <c r="AE37" s="60"/>
      <c r="AF37" s="60"/>
      <c r="AG37" s="60"/>
      <c r="AH37" s="60"/>
      <c r="AI37" s="60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15.75" x14ac:dyDescent="0.25">
      <c r="A38" s="16"/>
      <c r="B38" s="122">
        <f t="shared" si="0"/>
        <v>6</v>
      </c>
      <c r="C38" s="138" t="s">
        <v>89</v>
      </c>
      <c r="D38" s="138"/>
      <c r="E38" s="138"/>
      <c r="F38" s="138"/>
      <c r="G38" s="138"/>
      <c r="H38" s="161" t="s">
        <v>55</v>
      </c>
      <c r="I38" s="162"/>
      <c r="J38" s="163"/>
      <c r="K38" s="164">
        <v>25</v>
      </c>
      <c r="L38" s="164"/>
      <c r="M38" s="164">
        <v>25</v>
      </c>
      <c r="N38" s="164"/>
      <c r="O38" s="164">
        <v>25</v>
      </c>
      <c r="P38" s="164"/>
      <c r="Q38" s="165">
        <v>25</v>
      </c>
      <c r="R38" s="166"/>
      <c r="S38" s="167">
        <v>25</v>
      </c>
      <c r="T38" s="167"/>
      <c r="U38" s="167">
        <v>25</v>
      </c>
      <c r="V38" s="167"/>
      <c r="W38" s="68"/>
      <c r="X38" s="68"/>
      <c r="Y38" s="68"/>
      <c r="Z38" s="68"/>
      <c r="AA38" s="68"/>
      <c r="AB38" s="68"/>
      <c r="AC38" s="68"/>
      <c r="AD38" s="60"/>
      <c r="AE38" s="60"/>
      <c r="AF38" s="60"/>
      <c r="AG38" s="60"/>
      <c r="AH38" s="60"/>
      <c r="AI38" s="60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15.75" x14ac:dyDescent="0.25">
      <c r="A39" s="16"/>
      <c r="B39" s="122">
        <f t="shared" si="0"/>
        <v>7</v>
      </c>
      <c r="C39" s="141" t="s">
        <v>90</v>
      </c>
      <c r="D39" s="142"/>
      <c r="E39" s="142"/>
      <c r="F39" s="142"/>
      <c r="G39" s="143"/>
      <c r="H39" s="161" t="s">
        <v>55</v>
      </c>
      <c r="I39" s="162"/>
      <c r="J39" s="163"/>
      <c r="K39" s="164">
        <v>25</v>
      </c>
      <c r="L39" s="164"/>
      <c r="M39" s="164">
        <v>25</v>
      </c>
      <c r="N39" s="164"/>
      <c r="O39" s="164">
        <v>25</v>
      </c>
      <c r="P39" s="164"/>
      <c r="Q39" s="165">
        <v>25</v>
      </c>
      <c r="R39" s="166"/>
      <c r="S39" s="167">
        <v>25</v>
      </c>
      <c r="T39" s="167"/>
      <c r="U39" s="167">
        <v>25</v>
      </c>
      <c r="V39" s="167"/>
      <c r="W39" s="68"/>
      <c r="X39" s="112"/>
      <c r="Y39" s="68"/>
      <c r="Z39" s="68"/>
      <c r="AA39" s="68"/>
      <c r="AB39" s="68"/>
      <c r="AC39" s="68"/>
      <c r="AD39" s="60"/>
      <c r="AE39" s="60"/>
      <c r="AF39" s="60"/>
      <c r="AG39" s="60"/>
      <c r="AH39" s="60"/>
      <c r="AI39" s="60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15.75" x14ac:dyDescent="0.25">
      <c r="A40" s="16"/>
      <c r="B40" s="122">
        <f t="shared" si="0"/>
        <v>8</v>
      </c>
      <c r="C40" s="138" t="s">
        <v>56</v>
      </c>
      <c r="D40" s="138"/>
      <c r="E40" s="138"/>
      <c r="F40" s="138"/>
      <c r="G40" s="138"/>
      <c r="H40" s="161" t="s">
        <v>55</v>
      </c>
      <c r="I40" s="162"/>
      <c r="J40" s="163"/>
      <c r="K40" s="164">
        <v>25</v>
      </c>
      <c r="L40" s="164"/>
      <c r="M40" s="164">
        <v>25</v>
      </c>
      <c r="N40" s="164"/>
      <c r="O40" s="164">
        <v>25</v>
      </c>
      <c r="P40" s="164"/>
      <c r="Q40" s="165">
        <v>25</v>
      </c>
      <c r="R40" s="166"/>
      <c r="S40" s="167">
        <v>25</v>
      </c>
      <c r="T40" s="167"/>
      <c r="U40" s="167">
        <v>25</v>
      </c>
      <c r="V40" s="167"/>
      <c r="W40" s="68"/>
      <c r="X40" s="68"/>
      <c r="Y40" s="68"/>
      <c r="Z40" s="68"/>
      <c r="AA40" s="68"/>
      <c r="AB40" s="68"/>
      <c r="AC40" s="68"/>
      <c r="AD40" s="60"/>
      <c r="AE40" s="60"/>
      <c r="AF40" s="60"/>
      <c r="AG40" s="60"/>
      <c r="AH40" s="60"/>
      <c r="AI40" s="60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15.75" x14ac:dyDescent="0.25">
      <c r="A41" s="16"/>
      <c r="B41" s="122">
        <f t="shared" si="0"/>
        <v>9</v>
      </c>
      <c r="C41" s="141" t="s">
        <v>91</v>
      </c>
      <c r="D41" s="142"/>
      <c r="E41" s="142"/>
      <c r="F41" s="142"/>
      <c r="G41" s="143"/>
      <c r="H41" s="161" t="s">
        <v>55</v>
      </c>
      <c r="I41" s="162"/>
      <c r="J41" s="163"/>
      <c r="K41" s="164">
        <v>25</v>
      </c>
      <c r="L41" s="164"/>
      <c r="M41" s="164">
        <v>25</v>
      </c>
      <c r="N41" s="164"/>
      <c r="O41" s="164">
        <v>25</v>
      </c>
      <c r="P41" s="164"/>
      <c r="Q41" s="165">
        <v>25</v>
      </c>
      <c r="R41" s="166"/>
      <c r="S41" s="167">
        <v>25</v>
      </c>
      <c r="T41" s="167"/>
      <c r="U41" s="167">
        <v>25</v>
      </c>
      <c r="V41" s="167"/>
      <c r="W41" s="68"/>
      <c r="X41" s="112"/>
      <c r="Y41" s="68"/>
      <c r="Z41" s="68"/>
      <c r="AA41" s="68"/>
      <c r="AB41" s="68"/>
      <c r="AC41" s="68"/>
      <c r="AD41" s="60"/>
      <c r="AE41" s="60"/>
      <c r="AF41" s="60"/>
      <c r="AG41" s="60"/>
      <c r="AH41" s="60"/>
      <c r="AI41" s="60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15.75" x14ac:dyDescent="0.25">
      <c r="A42" s="16"/>
      <c r="B42" s="122">
        <f t="shared" si="0"/>
        <v>10</v>
      </c>
      <c r="C42" s="138" t="s">
        <v>92</v>
      </c>
      <c r="D42" s="138"/>
      <c r="E42" s="138"/>
      <c r="F42" s="138"/>
      <c r="G42" s="138"/>
      <c r="H42" s="161" t="s">
        <v>55</v>
      </c>
      <c r="I42" s="162"/>
      <c r="J42" s="163"/>
      <c r="K42" s="164">
        <v>25</v>
      </c>
      <c r="L42" s="164"/>
      <c r="M42" s="164">
        <v>25</v>
      </c>
      <c r="N42" s="164"/>
      <c r="O42" s="164">
        <v>25</v>
      </c>
      <c r="P42" s="164"/>
      <c r="Q42" s="165">
        <v>25</v>
      </c>
      <c r="R42" s="166"/>
      <c r="S42" s="167">
        <v>25</v>
      </c>
      <c r="T42" s="167"/>
      <c r="U42" s="167">
        <v>25</v>
      </c>
      <c r="V42" s="167"/>
      <c r="W42" s="68"/>
      <c r="X42" s="68"/>
      <c r="Y42" s="68"/>
      <c r="Z42" s="68"/>
      <c r="AA42" s="68"/>
      <c r="AB42" s="68"/>
      <c r="AC42" s="68"/>
      <c r="AD42" s="60"/>
      <c r="AE42" s="60"/>
      <c r="AF42" s="60"/>
      <c r="AG42" s="60"/>
      <c r="AH42" s="60"/>
      <c r="AI42" s="60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15.75" x14ac:dyDescent="0.25">
      <c r="A43" s="16"/>
      <c r="B43" s="83" t="s">
        <v>57</v>
      </c>
      <c r="C43" s="138" t="s">
        <v>57</v>
      </c>
      <c r="D43" s="138"/>
      <c r="E43" s="138"/>
      <c r="F43" s="138"/>
      <c r="G43" s="138"/>
      <c r="H43" s="161" t="str">
        <f>IF(C43="","",VLOOKUP(C43,[1]A1103B!$F$60:$AE$74,25,0))</f>
        <v/>
      </c>
      <c r="I43" s="162"/>
      <c r="J43" s="163"/>
      <c r="K43" s="164" t="s">
        <v>57</v>
      </c>
      <c r="L43" s="164"/>
      <c r="M43" s="164" t="s">
        <v>57</v>
      </c>
      <c r="N43" s="164"/>
      <c r="O43" s="164" t="s">
        <v>57</v>
      </c>
      <c r="P43" s="164"/>
      <c r="Q43" s="158"/>
      <c r="R43" s="158"/>
      <c r="S43" s="158"/>
      <c r="T43" s="158"/>
      <c r="U43" s="158"/>
      <c r="V43" s="158"/>
      <c r="W43" s="68"/>
      <c r="X43" s="68"/>
      <c r="Y43" s="68"/>
      <c r="Z43" s="68"/>
      <c r="AA43" s="68"/>
      <c r="AB43" s="68"/>
      <c r="AC43" s="68"/>
      <c r="AD43" s="60"/>
      <c r="AE43" s="60"/>
      <c r="AF43" s="60"/>
      <c r="AG43" s="60"/>
      <c r="AH43" s="60"/>
      <c r="AI43" s="60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x14ac:dyDescent="0.25">
      <c r="A44" s="16"/>
      <c r="B44" s="84" t="str">
        <f>IF([1]A1103A!S97="Ya",[1]A1103A!B97,"")</f>
        <v/>
      </c>
      <c r="C44" s="159" t="s">
        <v>34</v>
      </c>
      <c r="D44" s="159"/>
      <c r="E44" s="159"/>
      <c r="F44" s="159"/>
      <c r="G44" s="159"/>
      <c r="H44" s="159"/>
      <c r="I44" s="159"/>
      <c r="J44" s="159"/>
      <c r="K44" s="160">
        <f>SUM(K34:L43)</f>
        <v>192</v>
      </c>
      <c r="L44" s="160"/>
      <c r="M44" s="160">
        <f>SUM(M34:N43)</f>
        <v>205</v>
      </c>
      <c r="N44" s="160"/>
      <c r="O44" s="160">
        <f>SUM(O34:P43)</f>
        <v>205</v>
      </c>
      <c r="P44" s="160"/>
      <c r="Q44" s="160">
        <f>SUM(Q34:R43)</f>
        <v>190</v>
      </c>
      <c r="R44" s="160"/>
      <c r="S44" s="160">
        <f>SUM(S34:T43)</f>
        <v>203</v>
      </c>
      <c r="T44" s="160"/>
      <c r="U44" s="160">
        <f>SUM(U34:V43)</f>
        <v>203</v>
      </c>
      <c r="V44" s="160"/>
      <c r="W44" s="68"/>
      <c r="X44" s="68"/>
      <c r="Y44" s="68"/>
      <c r="Z44" s="68"/>
      <c r="AA44" s="68"/>
      <c r="AB44" s="68"/>
      <c r="AC44" s="68"/>
      <c r="AD44" s="60"/>
      <c r="AE44" s="60"/>
      <c r="AF44" s="60"/>
      <c r="AG44" s="60"/>
      <c r="AH44" s="60"/>
      <c r="AI44" s="60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15.75" x14ac:dyDescent="0.25">
      <c r="A45" s="16"/>
      <c r="B45" s="16"/>
      <c r="C45" s="152" t="s">
        <v>58</v>
      </c>
      <c r="D45" s="152"/>
      <c r="E45" s="152"/>
      <c r="F45" s="152"/>
      <c r="G45" s="152"/>
      <c r="H45" s="152"/>
      <c r="I45" s="152"/>
      <c r="J45" s="152"/>
      <c r="K45" s="153"/>
      <c r="L45" s="154"/>
      <c r="M45" s="154"/>
      <c r="N45" s="154"/>
      <c r="O45" s="155">
        <f>SUM(K44:P44)</f>
        <v>602</v>
      </c>
      <c r="P45" s="155"/>
      <c r="Q45" s="156"/>
      <c r="R45" s="157"/>
      <c r="S45" s="157"/>
      <c r="T45" s="157"/>
      <c r="U45" s="146">
        <f>SUM(Q44:V44)</f>
        <v>596</v>
      </c>
      <c r="V45" s="146"/>
      <c r="W45" s="68"/>
      <c r="X45" s="68"/>
      <c r="Y45" s="68"/>
      <c r="Z45" s="68"/>
      <c r="AA45" s="68"/>
      <c r="AB45" s="68"/>
      <c r="AC45" s="68"/>
      <c r="AD45" s="60"/>
      <c r="AE45" s="60"/>
      <c r="AF45" s="60"/>
      <c r="AG45" s="60"/>
      <c r="AH45" s="60"/>
      <c r="AI45" s="60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15.7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85"/>
      <c r="S46" s="86"/>
      <c r="T46" s="87"/>
      <c r="U46" s="88"/>
      <c r="V46" s="87"/>
      <c r="W46" s="87"/>
      <c r="X46" s="87"/>
      <c r="Y46" s="87"/>
      <c r="Z46" s="89"/>
      <c r="AA46" s="87"/>
      <c r="AB46" s="85"/>
      <c r="AC46" s="51"/>
      <c r="AD46" s="51"/>
      <c r="AE46" s="51"/>
      <c r="AF46" s="51"/>
      <c r="AG46" s="8"/>
      <c r="AH46" s="8"/>
      <c r="AI46" s="8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15.75" x14ac:dyDescent="0.25">
      <c r="A47" s="8"/>
      <c r="B47" s="8"/>
      <c r="C47" s="8"/>
      <c r="D47" s="90"/>
      <c r="E47" s="8"/>
      <c r="F47" s="8"/>
      <c r="G47" s="8"/>
      <c r="H47" s="8"/>
      <c r="I47" s="8"/>
      <c r="J47" s="8"/>
      <c r="K47" s="8"/>
      <c r="L47" s="8"/>
      <c r="M47" s="9"/>
      <c r="N47" s="8"/>
      <c r="O47" s="8"/>
      <c r="P47" s="8"/>
      <c r="Q47" s="91"/>
      <c r="R47" s="92"/>
      <c r="S47" s="37"/>
      <c r="T47" s="92"/>
      <c r="U47" s="37"/>
      <c r="V47" s="92"/>
      <c r="W47" s="37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15.75" x14ac:dyDescent="0.25">
      <c r="A48" s="93" t="s">
        <v>59</v>
      </c>
      <c r="B48" s="8"/>
      <c r="C48" s="8"/>
      <c r="D48" s="90"/>
      <c r="E48" s="37"/>
      <c r="F48" s="37"/>
      <c r="G48" s="8"/>
      <c r="H48" s="8"/>
      <c r="I48" s="8"/>
      <c r="J48" s="8"/>
      <c r="K48" s="8"/>
      <c r="L48" s="8"/>
      <c r="M48" s="9"/>
      <c r="N48" s="8"/>
      <c r="O48" s="8"/>
      <c r="P48" s="8"/>
      <c r="Q48" s="91"/>
      <c r="R48" s="92"/>
      <c r="S48" s="37"/>
      <c r="T48" s="92"/>
      <c r="U48" s="37"/>
      <c r="V48" s="92"/>
      <c r="W48" s="37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15.75" x14ac:dyDescent="0.25">
      <c r="A49" s="94"/>
      <c r="B49" s="8"/>
      <c r="C49" s="8"/>
      <c r="D49" s="90"/>
      <c r="E49" s="37"/>
      <c r="F49" s="37"/>
      <c r="G49" s="8"/>
      <c r="H49" s="8"/>
      <c r="I49" s="8"/>
      <c r="J49" s="8"/>
      <c r="K49" s="8"/>
      <c r="L49" s="8"/>
      <c r="M49" s="9"/>
      <c r="N49" s="8"/>
      <c r="O49" s="147"/>
      <c r="P49" s="147"/>
      <c r="Q49" s="91"/>
      <c r="R49" s="92"/>
      <c r="S49" s="37"/>
      <c r="T49" s="92"/>
      <c r="U49" s="37"/>
      <c r="V49" s="92"/>
      <c r="W49" s="37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15.75" x14ac:dyDescent="0.25">
      <c r="A50" s="95" t="s">
        <v>60</v>
      </c>
      <c r="B50" s="90"/>
      <c r="C50" s="8"/>
      <c r="D50" s="90"/>
      <c r="E50" s="37"/>
      <c r="F50" s="37"/>
      <c r="G50" s="8"/>
      <c r="H50" s="8"/>
      <c r="I50" s="8"/>
      <c r="J50" s="8"/>
      <c r="K50" s="8"/>
      <c r="L50" s="8"/>
      <c r="M50" s="9"/>
      <c r="N50" s="8" t="s">
        <v>1</v>
      </c>
      <c r="O50" s="148" t="s">
        <v>61</v>
      </c>
      <c r="P50" s="149"/>
      <c r="Q50" s="96"/>
      <c r="R50" s="92"/>
      <c r="S50" s="37"/>
      <c r="T50" s="92"/>
      <c r="U50" s="37"/>
      <c r="V50" s="92"/>
      <c r="W50" s="37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15.75" x14ac:dyDescent="0.25">
      <c r="A51" s="95" t="s">
        <v>62</v>
      </c>
      <c r="B51" s="90"/>
      <c r="C51" s="8"/>
      <c r="D51" s="90"/>
      <c r="E51" s="37"/>
      <c r="F51" s="37"/>
      <c r="G51" s="8"/>
      <c r="H51" s="8"/>
      <c r="I51" s="8"/>
      <c r="J51" s="8"/>
      <c r="K51" s="8"/>
      <c r="L51" s="8"/>
      <c r="M51" s="9"/>
      <c r="N51" s="8" t="s">
        <v>1</v>
      </c>
      <c r="O51" s="97" t="s">
        <v>95</v>
      </c>
      <c r="P51" s="98"/>
      <c r="Q51" s="99"/>
      <c r="R51" s="92"/>
      <c r="S51" s="37"/>
      <c r="T51" s="92"/>
      <c r="U51" s="37"/>
      <c r="V51" s="92"/>
      <c r="W51" s="37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ht="15.75" x14ac:dyDescent="0.25">
      <c r="A52" s="95" t="s">
        <v>63</v>
      </c>
      <c r="B52" s="90"/>
      <c r="C52" s="8"/>
      <c r="D52" s="90"/>
      <c r="E52" s="37"/>
      <c r="F52" s="37"/>
      <c r="G52" s="8"/>
      <c r="H52" s="8"/>
      <c r="I52" s="8"/>
      <c r="J52" s="8"/>
      <c r="K52" s="8"/>
      <c r="L52" s="8"/>
      <c r="M52" s="9"/>
      <c r="N52" s="8" t="s">
        <v>1</v>
      </c>
      <c r="O52" s="100" t="s">
        <v>64</v>
      </c>
      <c r="P52" s="101"/>
      <c r="Q52" s="99"/>
      <c r="R52" s="92"/>
      <c r="S52" s="37"/>
      <c r="T52" s="92"/>
      <c r="U52" s="37"/>
      <c r="V52" s="92"/>
      <c r="W52" s="37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15.75" x14ac:dyDescent="0.25">
      <c r="A53" s="95" t="s">
        <v>65</v>
      </c>
      <c r="B53" s="90"/>
      <c r="C53" s="8"/>
      <c r="D53" s="90"/>
      <c r="E53" s="37"/>
      <c r="F53" s="37"/>
      <c r="G53" s="8"/>
      <c r="H53" s="8"/>
      <c r="I53" s="8"/>
      <c r="J53" s="8"/>
      <c r="K53" s="8"/>
      <c r="L53" s="8"/>
      <c r="M53" s="9"/>
      <c r="N53" s="8" t="s">
        <v>1</v>
      </c>
      <c r="O53" s="150" t="s">
        <v>66</v>
      </c>
      <c r="P53" s="150"/>
      <c r="Q53" s="96"/>
      <c r="R53" s="92"/>
      <c r="S53" s="37"/>
      <c r="T53" s="92"/>
      <c r="U53" s="37"/>
      <c r="V53" s="92"/>
      <c r="W53" s="37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15.75" x14ac:dyDescent="0.25">
      <c r="A54" s="95" t="s">
        <v>67</v>
      </c>
      <c r="B54" s="8"/>
      <c r="C54" s="8"/>
      <c r="D54" s="90"/>
      <c r="E54" s="37"/>
      <c r="F54" s="37"/>
      <c r="G54" s="8"/>
      <c r="H54" s="8"/>
      <c r="I54" s="8"/>
      <c r="J54" s="8"/>
      <c r="K54" s="8"/>
      <c r="L54" s="8"/>
      <c r="M54" s="9"/>
      <c r="N54" s="8" t="s">
        <v>1</v>
      </c>
      <c r="O54" s="113" t="s">
        <v>96</v>
      </c>
      <c r="P54" s="92"/>
      <c r="Q54" s="92"/>
      <c r="R54" s="92"/>
      <c r="S54" s="37"/>
      <c r="T54" s="92"/>
      <c r="U54" s="37"/>
      <c r="V54" s="92"/>
      <c r="W54" s="37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15.75" x14ac:dyDescent="0.25">
      <c r="A55" s="90"/>
      <c r="B55" s="8"/>
      <c r="C55" s="8"/>
      <c r="D55" s="90"/>
      <c r="E55" s="37"/>
      <c r="F55" s="37"/>
      <c r="G55" s="8"/>
      <c r="H55" s="8"/>
      <c r="I55" s="8"/>
      <c r="J55" s="8"/>
      <c r="K55" s="8"/>
      <c r="L55" s="8"/>
      <c r="M55" s="9"/>
      <c r="N55" s="8"/>
      <c r="O55" s="102"/>
      <c r="P55" s="102"/>
      <c r="Q55" s="96"/>
      <c r="R55" s="92"/>
      <c r="S55" s="37"/>
      <c r="T55" s="92"/>
      <c r="U55" s="37"/>
      <c r="V55" s="92"/>
      <c r="W55" s="37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ht="15.75" x14ac:dyDescent="0.25">
      <c r="A56" s="90"/>
      <c r="B56" s="151" t="s">
        <v>44</v>
      </c>
      <c r="C56" s="151" t="s">
        <v>45</v>
      </c>
      <c r="D56" s="151"/>
      <c r="E56" s="151"/>
      <c r="F56" s="151"/>
      <c r="G56" s="151"/>
      <c r="H56" s="144" t="s">
        <v>68</v>
      </c>
      <c r="I56" s="144"/>
      <c r="J56" s="144"/>
      <c r="K56" s="144" t="s">
        <v>69</v>
      </c>
      <c r="L56" s="144"/>
      <c r="M56" s="144"/>
      <c r="N56" s="144" t="s">
        <v>70</v>
      </c>
      <c r="O56" s="144"/>
      <c r="P56" s="144"/>
      <c r="Q56" s="144"/>
      <c r="R56" s="144" t="s">
        <v>71</v>
      </c>
      <c r="S56" s="144"/>
      <c r="T56" s="144"/>
      <c r="U56" s="144" t="s">
        <v>72</v>
      </c>
      <c r="V56" s="144"/>
      <c r="W56" s="144"/>
      <c r="X56" s="144" t="s">
        <v>73</v>
      </c>
      <c r="Y56" s="144"/>
      <c r="Z56" s="144"/>
      <c r="AA56" s="145" t="s">
        <v>74</v>
      </c>
      <c r="AB56" s="145"/>
      <c r="AC56" s="145"/>
      <c r="AD56" s="8"/>
      <c r="AE56" s="8"/>
      <c r="AF56" s="8"/>
      <c r="AG56" s="8"/>
      <c r="AH56" s="8"/>
      <c r="AI56" s="8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15.75" x14ac:dyDescent="0.25">
      <c r="A57" s="90"/>
      <c r="B57" s="151"/>
      <c r="C57" s="151"/>
      <c r="D57" s="151"/>
      <c r="E57" s="151"/>
      <c r="F57" s="151"/>
      <c r="G57" s="151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5"/>
      <c r="AB57" s="145"/>
      <c r="AC57" s="145"/>
      <c r="AD57" s="8"/>
      <c r="AE57" s="8"/>
      <c r="AF57" s="8"/>
      <c r="AG57" s="8"/>
      <c r="AH57" s="8"/>
      <c r="AI57" s="8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15.75" x14ac:dyDescent="0.25">
      <c r="A58" s="90"/>
      <c r="B58" s="151"/>
      <c r="C58" s="151"/>
      <c r="D58" s="151"/>
      <c r="E58" s="151"/>
      <c r="F58" s="151"/>
      <c r="G58" s="151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5"/>
      <c r="AB58" s="145"/>
      <c r="AC58" s="145"/>
      <c r="AD58" s="8"/>
      <c r="AE58" s="8"/>
      <c r="AF58" s="8"/>
      <c r="AG58" s="8"/>
      <c r="AH58" s="8"/>
      <c r="AI58" s="8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15.75" x14ac:dyDescent="0.25">
      <c r="A59" s="90"/>
      <c r="B59" s="151"/>
      <c r="C59" s="151"/>
      <c r="D59" s="151"/>
      <c r="E59" s="151"/>
      <c r="F59" s="151"/>
      <c r="G59" s="151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5"/>
      <c r="AB59" s="145"/>
      <c r="AC59" s="145"/>
      <c r="AD59" s="8"/>
      <c r="AE59" s="8"/>
      <c r="AF59" s="8"/>
      <c r="AG59" s="8"/>
      <c r="AH59" s="8"/>
      <c r="AI59" s="8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15.75" x14ac:dyDescent="0.25">
      <c r="A60" s="90"/>
      <c r="B60" s="151"/>
      <c r="C60" s="151"/>
      <c r="D60" s="151"/>
      <c r="E60" s="151"/>
      <c r="F60" s="151"/>
      <c r="G60" s="151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5"/>
      <c r="AB60" s="145"/>
      <c r="AC60" s="145"/>
      <c r="AD60" s="8"/>
      <c r="AE60" s="8"/>
      <c r="AF60" s="8"/>
      <c r="AG60" s="8"/>
      <c r="AH60" s="8"/>
      <c r="AI60" s="8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15.75" x14ac:dyDescent="0.25">
      <c r="A61" s="90"/>
      <c r="B61" s="151"/>
      <c r="C61" s="151"/>
      <c r="D61" s="151"/>
      <c r="E61" s="151"/>
      <c r="F61" s="151"/>
      <c r="G61" s="151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5"/>
      <c r="AB61" s="145"/>
      <c r="AC61" s="145"/>
      <c r="AD61" s="8"/>
      <c r="AE61" s="8"/>
      <c r="AF61" s="8"/>
      <c r="AG61" s="8"/>
      <c r="AH61" s="8"/>
      <c r="AI61" s="8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15.75" x14ac:dyDescent="0.25">
      <c r="A62" s="90"/>
      <c r="B62" s="123">
        <v>1</v>
      </c>
      <c r="C62" s="138" t="s">
        <v>86</v>
      </c>
      <c r="D62" s="138"/>
      <c r="E62" s="138"/>
      <c r="F62" s="138"/>
      <c r="G62" s="138"/>
      <c r="H62" s="139" t="s">
        <v>75</v>
      </c>
      <c r="I62" s="139"/>
      <c r="J62" s="139"/>
      <c r="K62" s="139" t="s">
        <v>75</v>
      </c>
      <c r="L62" s="139"/>
      <c r="M62" s="139"/>
      <c r="N62" s="139" t="s">
        <v>75</v>
      </c>
      <c r="O62" s="139"/>
      <c r="P62" s="139"/>
      <c r="Q62" s="139"/>
      <c r="R62" s="139" t="s">
        <v>76</v>
      </c>
      <c r="S62" s="139"/>
      <c r="T62" s="139"/>
      <c r="U62" s="139" t="s">
        <v>75</v>
      </c>
      <c r="V62" s="139"/>
      <c r="W62" s="139"/>
      <c r="X62" s="139" t="s">
        <v>75</v>
      </c>
      <c r="Y62" s="139"/>
      <c r="Z62" s="139"/>
      <c r="AA62" s="140"/>
      <c r="AB62" s="140"/>
      <c r="AC62" s="140"/>
      <c r="AD62" s="8"/>
      <c r="AE62" s="8"/>
      <c r="AF62" s="8"/>
      <c r="AG62" s="8"/>
      <c r="AH62" s="8"/>
      <c r="AI62" s="8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15.75" x14ac:dyDescent="0.25">
      <c r="A63" s="90"/>
      <c r="B63" s="123">
        <f>B62+1</f>
        <v>2</v>
      </c>
      <c r="C63" s="138" t="s">
        <v>87</v>
      </c>
      <c r="D63" s="138"/>
      <c r="E63" s="138"/>
      <c r="F63" s="138"/>
      <c r="G63" s="138"/>
      <c r="H63" s="139" t="s">
        <v>75</v>
      </c>
      <c r="I63" s="139"/>
      <c r="J63" s="139"/>
      <c r="K63" s="139" t="s">
        <v>75</v>
      </c>
      <c r="L63" s="139"/>
      <c r="M63" s="139"/>
      <c r="N63" s="139" t="s">
        <v>75</v>
      </c>
      <c r="O63" s="139"/>
      <c r="P63" s="139"/>
      <c r="Q63" s="139"/>
      <c r="R63" s="139" t="s">
        <v>76</v>
      </c>
      <c r="S63" s="139"/>
      <c r="T63" s="139"/>
      <c r="U63" s="139" t="s">
        <v>75</v>
      </c>
      <c r="V63" s="139"/>
      <c r="W63" s="139"/>
      <c r="X63" s="139" t="s">
        <v>75</v>
      </c>
      <c r="Y63" s="139"/>
      <c r="Z63" s="139"/>
      <c r="AA63" s="140"/>
      <c r="AB63" s="140"/>
      <c r="AC63" s="140"/>
      <c r="AD63" s="8"/>
      <c r="AE63" s="8"/>
      <c r="AF63" s="8"/>
      <c r="AG63" s="8"/>
      <c r="AH63" s="8"/>
      <c r="AI63" s="8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15.75" x14ac:dyDescent="0.25">
      <c r="A64" s="90"/>
      <c r="B64" s="123">
        <f t="shared" ref="B64:B71" si="1">B63+1</f>
        <v>3</v>
      </c>
      <c r="C64" s="138" t="s">
        <v>53</v>
      </c>
      <c r="D64" s="138"/>
      <c r="E64" s="138"/>
      <c r="F64" s="138"/>
      <c r="G64" s="138"/>
      <c r="H64" s="139" t="s">
        <v>75</v>
      </c>
      <c r="I64" s="139"/>
      <c r="J64" s="139"/>
      <c r="K64" s="139" t="s">
        <v>75</v>
      </c>
      <c r="L64" s="139"/>
      <c r="M64" s="139"/>
      <c r="N64" s="139" t="s">
        <v>75</v>
      </c>
      <c r="O64" s="139"/>
      <c r="P64" s="139"/>
      <c r="Q64" s="139"/>
      <c r="R64" s="139" t="s">
        <v>76</v>
      </c>
      <c r="S64" s="139"/>
      <c r="T64" s="139"/>
      <c r="U64" s="139" t="s">
        <v>75</v>
      </c>
      <c r="V64" s="139"/>
      <c r="W64" s="139"/>
      <c r="X64" s="139" t="s">
        <v>75</v>
      </c>
      <c r="Y64" s="139"/>
      <c r="Z64" s="139"/>
      <c r="AA64" s="140"/>
      <c r="AB64" s="140"/>
      <c r="AC64" s="140"/>
      <c r="AD64" s="8"/>
      <c r="AE64" s="8"/>
      <c r="AF64" s="8"/>
      <c r="AG64" s="8"/>
      <c r="AH64" s="8"/>
      <c r="AI64" s="8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15.75" x14ac:dyDescent="0.25">
      <c r="A65" s="90"/>
      <c r="B65" s="123">
        <f t="shared" si="1"/>
        <v>4</v>
      </c>
      <c r="C65" s="141" t="s">
        <v>93</v>
      </c>
      <c r="D65" s="142"/>
      <c r="E65" s="142"/>
      <c r="F65" s="142"/>
      <c r="G65" s="143"/>
      <c r="H65" s="139" t="s">
        <v>75</v>
      </c>
      <c r="I65" s="139"/>
      <c r="J65" s="139"/>
      <c r="K65" s="139" t="s">
        <v>75</v>
      </c>
      <c r="L65" s="139"/>
      <c r="M65" s="139"/>
      <c r="N65" s="139" t="s">
        <v>75</v>
      </c>
      <c r="O65" s="139"/>
      <c r="P65" s="139"/>
      <c r="Q65" s="139"/>
      <c r="R65" s="139" t="s">
        <v>76</v>
      </c>
      <c r="S65" s="139"/>
      <c r="T65" s="139"/>
      <c r="U65" s="139" t="s">
        <v>75</v>
      </c>
      <c r="V65" s="139"/>
      <c r="W65" s="139"/>
      <c r="X65" s="139" t="s">
        <v>75</v>
      </c>
      <c r="Y65" s="139"/>
      <c r="Z65" s="139"/>
      <c r="AA65" s="140"/>
      <c r="AB65" s="140"/>
      <c r="AC65" s="140"/>
      <c r="AD65" s="8"/>
      <c r="AE65" s="8"/>
      <c r="AF65" s="8"/>
      <c r="AG65" s="8"/>
      <c r="AH65" s="8"/>
      <c r="AI65" s="8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15.75" x14ac:dyDescent="0.25">
      <c r="A66" s="90"/>
      <c r="B66" s="123">
        <f t="shared" si="1"/>
        <v>5</v>
      </c>
      <c r="C66" s="138" t="s">
        <v>88</v>
      </c>
      <c r="D66" s="138"/>
      <c r="E66" s="138"/>
      <c r="F66" s="138"/>
      <c r="G66" s="138"/>
      <c r="H66" s="139" t="s">
        <v>75</v>
      </c>
      <c r="I66" s="139"/>
      <c r="J66" s="139"/>
      <c r="K66" s="139" t="s">
        <v>75</v>
      </c>
      <c r="L66" s="139"/>
      <c r="M66" s="139"/>
      <c r="N66" s="139" t="s">
        <v>75</v>
      </c>
      <c r="O66" s="139"/>
      <c r="P66" s="139"/>
      <c r="Q66" s="139"/>
      <c r="R66" s="139" t="s">
        <v>76</v>
      </c>
      <c r="S66" s="139"/>
      <c r="T66" s="139"/>
      <c r="U66" s="139" t="s">
        <v>75</v>
      </c>
      <c r="V66" s="139"/>
      <c r="W66" s="139"/>
      <c r="X66" s="139" t="s">
        <v>75</v>
      </c>
      <c r="Y66" s="139"/>
      <c r="Z66" s="139"/>
      <c r="AA66" s="140"/>
      <c r="AB66" s="140"/>
      <c r="AC66" s="140"/>
      <c r="AD66" s="8"/>
      <c r="AE66" s="8"/>
      <c r="AF66" s="8"/>
      <c r="AG66" s="8"/>
      <c r="AH66" s="8"/>
      <c r="AI66" s="8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15.75" x14ac:dyDescent="0.25">
      <c r="A67" s="90"/>
      <c r="B67" s="123">
        <f t="shared" si="1"/>
        <v>6</v>
      </c>
      <c r="C67" s="138" t="s">
        <v>89</v>
      </c>
      <c r="D67" s="138"/>
      <c r="E67" s="138"/>
      <c r="F67" s="138"/>
      <c r="G67" s="138"/>
      <c r="H67" s="139" t="s">
        <v>75</v>
      </c>
      <c r="I67" s="139"/>
      <c r="J67" s="139"/>
      <c r="K67" s="139" t="s">
        <v>75</v>
      </c>
      <c r="L67" s="139"/>
      <c r="M67" s="139"/>
      <c r="N67" s="139" t="s">
        <v>75</v>
      </c>
      <c r="O67" s="139"/>
      <c r="P67" s="139"/>
      <c r="Q67" s="139"/>
      <c r="R67" s="139" t="s">
        <v>76</v>
      </c>
      <c r="S67" s="139"/>
      <c r="T67" s="139"/>
      <c r="U67" s="139" t="s">
        <v>75</v>
      </c>
      <c r="V67" s="139"/>
      <c r="W67" s="139"/>
      <c r="X67" s="139" t="s">
        <v>75</v>
      </c>
      <c r="Y67" s="139"/>
      <c r="Z67" s="139"/>
      <c r="AA67" s="140"/>
      <c r="AB67" s="140"/>
      <c r="AC67" s="140"/>
      <c r="AD67" s="8"/>
      <c r="AE67" s="8"/>
      <c r="AF67" s="8"/>
      <c r="AG67" s="8"/>
      <c r="AH67" s="8"/>
      <c r="AI67" s="8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15.75" x14ac:dyDescent="0.25">
      <c r="A68" s="90"/>
      <c r="B68" s="123">
        <f t="shared" si="1"/>
        <v>7</v>
      </c>
      <c r="C68" s="138" t="s">
        <v>90</v>
      </c>
      <c r="D68" s="138"/>
      <c r="E68" s="138"/>
      <c r="F68" s="138"/>
      <c r="G68" s="138"/>
      <c r="H68" s="139" t="s">
        <v>75</v>
      </c>
      <c r="I68" s="139"/>
      <c r="J68" s="139"/>
      <c r="K68" s="139" t="s">
        <v>75</v>
      </c>
      <c r="L68" s="139"/>
      <c r="M68" s="139"/>
      <c r="N68" s="139" t="s">
        <v>75</v>
      </c>
      <c r="O68" s="139"/>
      <c r="P68" s="139"/>
      <c r="Q68" s="139"/>
      <c r="R68" s="139" t="s">
        <v>76</v>
      </c>
      <c r="S68" s="139"/>
      <c r="T68" s="139"/>
      <c r="U68" s="139" t="s">
        <v>75</v>
      </c>
      <c r="V68" s="139"/>
      <c r="W68" s="139"/>
      <c r="X68" s="139" t="s">
        <v>75</v>
      </c>
      <c r="Y68" s="139"/>
      <c r="Z68" s="139"/>
      <c r="AA68" s="140"/>
      <c r="AB68" s="140"/>
      <c r="AC68" s="140"/>
      <c r="AD68" s="8"/>
      <c r="AE68" s="8"/>
      <c r="AF68" s="8"/>
      <c r="AG68" s="8"/>
      <c r="AH68" s="8"/>
      <c r="AI68" s="8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15.75" x14ac:dyDescent="0.25">
      <c r="A69" s="90"/>
      <c r="B69" s="123">
        <f t="shared" si="1"/>
        <v>8</v>
      </c>
      <c r="C69" s="141" t="s">
        <v>56</v>
      </c>
      <c r="D69" s="142"/>
      <c r="E69" s="142"/>
      <c r="F69" s="142"/>
      <c r="G69" s="143"/>
      <c r="H69" s="139" t="s">
        <v>75</v>
      </c>
      <c r="I69" s="139"/>
      <c r="J69" s="139"/>
      <c r="K69" s="139" t="s">
        <v>75</v>
      </c>
      <c r="L69" s="139"/>
      <c r="M69" s="139"/>
      <c r="N69" s="139" t="s">
        <v>75</v>
      </c>
      <c r="O69" s="139"/>
      <c r="P69" s="139"/>
      <c r="Q69" s="139"/>
      <c r="R69" s="139" t="s">
        <v>76</v>
      </c>
      <c r="S69" s="139"/>
      <c r="T69" s="139"/>
      <c r="U69" s="139" t="s">
        <v>75</v>
      </c>
      <c r="V69" s="139"/>
      <c r="W69" s="139"/>
      <c r="X69" s="139" t="s">
        <v>75</v>
      </c>
      <c r="Y69" s="139"/>
      <c r="Z69" s="139"/>
      <c r="AA69" s="140"/>
      <c r="AB69" s="140"/>
      <c r="AC69" s="140"/>
      <c r="AD69" s="8"/>
      <c r="AE69" s="8"/>
      <c r="AF69" s="8"/>
      <c r="AG69" s="8"/>
      <c r="AH69" s="8"/>
      <c r="AI69" s="8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15.75" x14ac:dyDescent="0.25">
      <c r="A70" s="90"/>
      <c r="B70" s="123">
        <f t="shared" si="1"/>
        <v>9</v>
      </c>
      <c r="C70" s="138" t="s">
        <v>91</v>
      </c>
      <c r="D70" s="138"/>
      <c r="E70" s="138"/>
      <c r="F70" s="138"/>
      <c r="G70" s="138"/>
      <c r="H70" s="139" t="s">
        <v>75</v>
      </c>
      <c r="I70" s="139"/>
      <c r="J70" s="139"/>
      <c r="K70" s="139" t="s">
        <v>75</v>
      </c>
      <c r="L70" s="139"/>
      <c r="M70" s="139"/>
      <c r="N70" s="139" t="s">
        <v>75</v>
      </c>
      <c r="O70" s="139"/>
      <c r="P70" s="139"/>
      <c r="Q70" s="139"/>
      <c r="R70" s="139" t="s">
        <v>76</v>
      </c>
      <c r="S70" s="139"/>
      <c r="T70" s="139"/>
      <c r="U70" s="139" t="s">
        <v>75</v>
      </c>
      <c r="V70" s="139"/>
      <c r="W70" s="139"/>
      <c r="X70" s="139" t="s">
        <v>75</v>
      </c>
      <c r="Y70" s="139"/>
      <c r="Z70" s="139"/>
      <c r="AA70" s="140"/>
      <c r="AB70" s="140"/>
      <c r="AC70" s="140"/>
      <c r="AD70" s="8"/>
      <c r="AE70" s="8"/>
      <c r="AF70" s="8"/>
      <c r="AG70" s="8"/>
      <c r="AH70" s="8"/>
      <c r="AI70" s="8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15.75" x14ac:dyDescent="0.25">
      <c r="A71" s="90"/>
      <c r="B71" s="123">
        <f t="shared" si="1"/>
        <v>10</v>
      </c>
      <c r="C71" s="138" t="s">
        <v>92</v>
      </c>
      <c r="D71" s="138"/>
      <c r="E71" s="138"/>
      <c r="F71" s="138"/>
      <c r="G71" s="138"/>
      <c r="H71" s="139" t="s">
        <v>75</v>
      </c>
      <c r="I71" s="139"/>
      <c r="J71" s="139"/>
      <c r="K71" s="139" t="s">
        <v>75</v>
      </c>
      <c r="L71" s="139"/>
      <c r="M71" s="139"/>
      <c r="N71" s="139" t="s">
        <v>75</v>
      </c>
      <c r="O71" s="139"/>
      <c r="P71" s="139"/>
      <c r="Q71" s="139"/>
      <c r="R71" s="139" t="s">
        <v>76</v>
      </c>
      <c r="S71" s="139"/>
      <c r="T71" s="139"/>
      <c r="U71" s="139" t="s">
        <v>75</v>
      </c>
      <c r="V71" s="139"/>
      <c r="W71" s="139"/>
      <c r="X71" s="139" t="s">
        <v>75</v>
      </c>
      <c r="Y71" s="139"/>
      <c r="Z71" s="139"/>
      <c r="AA71" s="140"/>
      <c r="AB71" s="140"/>
      <c r="AC71" s="140"/>
      <c r="AD71" s="8"/>
      <c r="AE71" s="8"/>
      <c r="AF71" s="8"/>
      <c r="AG71" s="8"/>
      <c r="AH71" s="8"/>
      <c r="AI71" s="8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15.75" x14ac:dyDescent="0.25">
      <c r="A72" s="90"/>
      <c r="B72" s="103" t="s">
        <v>57</v>
      </c>
      <c r="C72" s="138" t="s">
        <v>57</v>
      </c>
      <c r="D72" s="138"/>
      <c r="E72" s="138"/>
      <c r="F72" s="138"/>
      <c r="G72" s="138"/>
      <c r="H72" s="139" t="s">
        <v>57</v>
      </c>
      <c r="I72" s="139"/>
      <c r="J72" s="139"/>
      <c r="K72" s="139" t="s">
        <v>57</v>
      </c>
      <c r="L72" s="139"/>
      <c r="M72" s="139"/>
      <c r="N72" s="139" t="s">
        <v>57</v>
      </c>
      <c r="O72" s="139"/>
      <c r="P72" s="139"/>
      <c r="Q72" s="139"/>
      <c r="R72" s="139" t="s">
        <v>57</v>
      </c>
      <c r="S72" s="139"/>
      <c r="T72" s="139"/>
      <c r="U72" s="139" t="s">
        <v>57</v>
      </c>
      <c r="V72" s="139"/>
      <c r="W72" s="139"/>
      <c r="X72" s="139" t="s">
        <v>57</v>
      </c>
      <c r="Y72" s="139"/>
      <c r="Z72" s="139"/>
      <c r="AA72" s="140"/>
      <c r="AB72" s="140"/>
      <c r="AC72" s="140"/>
      <c r="AD72" s="8"/>
      <c r="AE72" s="8"/>
      <c r="AF72" s="8"/>
      <c r="AG72" s="8"/>
      <c r="AH72" s="8"/>
      <c r="AI72" s="8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15.75" x14ac:dyDescent="0.25">
      <c r="A73" s="8"/>
      <c r="B73" s="8"/>
      <c r="C73" s="8"/>
      <c r="D73" s="90"/>
      <c r="E73" s="37"/>
      <c r="F73" s="37"/>
      <c r="G73" s="8"/>
      <c r="H73" s="8"/>
      <c r="I73" s="8"/>
      <c r="J73" s="8"/>
      <c r="K73" s="8"/>
      <c r="L73" s="8"/>
      <c r="M73" s="9"/>
      <c r="N73" s="8"/>
      <c r="O73" s="8"/>
      <c r="P73" s="8"/>
      <c r="Q73" s="91"/>
      <c r="R73" s="92"/>
      <c r="S73" s="37"/>
      <c r="T73" s="92"/>
      <c r="U73" s="37"/>
      <c r="V73" s="92"/>
      <c r="W73" s="37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15.75" x14ac:dyDescent="0.25">
      <c r="A74" s="104"/>
      <c r="B74" s="105"/>
      <c r="C74" s="105"/>
      <c r="D74" s="106"/>
      <c r="E74" s="37"/>
      <c r="F74" s="37"/>
      <c r="G74" s="8"/>
      <c r="H74" s="8"/>
      <c r="I74" s="8"/>
      <c r="J74" s="8"/>
      <c r="K74" s="8"/>
      <c r="L74" s="8"/>
      <c r="M74" s="9"/>
      <c r="N74" s="8"/>
      <c r="O74" s="8"/>
      <c r="P74" s="8"/>
      <c r="Q74" s="91"/>
      <c r="R74" s="92"/>
      <c r="S74" s="37"/>
      <c r="T74" s="92"/>
      <c r="U74" s="37"/>
      <c r="V74" s="92"/>
      <c r="W74" s="37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x14ac:dyDescent="0.25">
      <c r="A75" s="105"/>
      <c r="B75" s="107" t="str">
        <f>IF(O53="Tidak","","Jelaskan bagaimana rencana proses pemantauan atas perikatan tersebut")</f>
        <v>Jelaskan bagaimana rencana proses pemantauan atas perikatan tersebut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08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70"/>
      <c r="AC75" s="8"/>
      <c r="AD75" s="8"/>
      <c r="AE75" s="8"/>
      <c r="AF75" s="8"/>
      <c r="AG75" s="8"/>
      <c r="AH75" s="8"/>
      <c r="AI75" s="8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x14ac:dyDescent="0.25">
      <c r="A76" s="105"/>
      <c r="B76" s="125" t="s">
        <v>77</v>
      </c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8"/>
      <c r="AD76" s="8"/>
      <c r="AE76" s="8"/>
      <c r="AF76" s="8"/>
      <c r="AG76" s="8"/>
      <c r="AH76" s="8"/>
      <c r="AI76" s="8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x14ac:dyDescent="0.25">
      <c r="A77" s="105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8"/>
      <c r="AD77" s="8"/>
      <c r="AE77" s="8"/>
      <c r="AF77" s="8"/>
      <c r="AG77" s="8"/>
      <c r="AH77" s="8"/>
      <c r="AI77" s="8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x14ac:dyDescent="0.25">
      <c r="A78" s="105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8"/>
      <c r="AD78" s="8"/>
      <c r="AE78" s="8"/>
      <c r="AF78" s="8"/>
      <c r="AG78" s="8"/>
      <c r="AH78" s="8"/>
      <c r="AI78" s="8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x14ac:dyDescent="0.25">
      <c r="A79" s="8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8"/>
      <c r="AD79" s="8"/>
      <c r="AE79" s="8"/>
      <c r="AF79" s="8"/>
      <c r="AG79" s="8"/>
      <c r="AH79" s="8"/>
      <c r="AI79" s="8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x14ac:dyDescent="0.25">
      <c r="A80" s="8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8"/>
      <c r="AD80" s="8"/>
      <c r="AE80" s="8"/>
      <c r="AF80" s="8"/>
      <c r="AG80" s="8"/>
      <c r="AH80" s="8"/>
      <c r="AI80" s="8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x14ac:dyDescent="0.25">
      <c r="A81" s="8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8"/>
      <c r="AD81" s="8"/>
      <c r="AE81" s="8"/>
      <c r="AF81" s="8"/>
      <c r="AG81" s="8"/>
      <c r="AH81" s="8"/>
      <c r="AI81" s="8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x14ac:dyDescent="0.25">
      <c r="A82" s="8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8"/>
      <c r="AD82" s="8"/>
      <c r="AE82" s="8"/>
      <c r="AF82" s="8"/>
      <c r="AG82" s="8"/>
      <c r="AH82" s="8"/>
      <c r="AI82" s="8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x14ac:dyDescent="0.25">
      <c r="A83" s="8"/>
      <c r="B83" s="128" t="s">
        <v>78</v>
      </c>
      <c r="C83" s="129"/>
      <c r="D83" s="130"/>
      <c r="E83" s="15"/>
      <c r="F83" s="15"/>
      <c r="G83" s="109" t="s">
        <v>79</v>
      </c>
      <c r="H83" s="15"/>
      <c r="I83" s="15"/>
      <c r="J83" s="15"/>
      <c r="K83" s="15"/>
      <c r="L83" s="15"/>
      <c r="M83" s="15"/>
      <c r="N83" s="15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8"/>
      <c r="AD83" s="8"/>
      <c r="AE83" s="8"/>
      <c r="AF83" s="8"/>
      <c r="AG83" s="8"/>
      <c r="AH83" s="8"/>
      <c r="AI83" s="8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x14ac:dyDescent="0.25">
      <c r="A84" s="8"/>
      <c r="B84" s="131"/>
      <c r="C84" s="132"/>
      <c r="D84" s="133"/>
      <c r="E84" s="15"/>
      <c r="F84" s="15"/>
      <c r="G84" s="134" t="s">
        <v>80</v>
      </c>
      <c r="H84" s="134"/>
      <c r="I84" s="134"/>
      <c r="J84" s="134"/>
      <c r="K84" s="134"/>
      <c r="L84" s="134"/>
      <c r="M84" s="134"/>
      <c r="N84" s="134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8"/>
      <c r="AD84" s="8"/>
      <c r="AE84" s="8"/>
      <c r="AF84" s="8"/>
      <c r="AG84" s="8"/>
      <c r="AH84" s="8"/>
      <c r="AI84" s="8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x14ac:dyDescent="0.25">
      <c r="A85" s="8"/>
      <c r="B85" s="135" t="s">
        <v>81</v>
      </c>
      <c r="C85" s="136"/>
      <c r="D85" s="137"/>
      <c r="E85" s="15"/>
      <c r="F85" s="15"/>
      <c r="G85" s="111"/>
      <c r="H85" s="111"/>
      <c r="I85" s="111"/>
      <c r="J85" s="111"/>
      <c r="K85" s="111"/>
      <c r="L85" s="111"/>
      <c r="M85" s="111"/>
      <c r="N85" s="111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8"/>
      <c r="AD85" s="8"/>
      <c r="AE85" s="8"/>
      <c r="AF85" s="8"/>
      <c r="AG85" s="8"/>
      <c r="AH85" s="8"/>
      <c r="AI85" s="8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9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</sheetData>
  <mergeCells count="228">
    <mergeCell ref="C69:G69"/>
    <mergeCell ref="H69:J69"/>
    <mergeCell ref="K69:M69"/>
    <mergeCell ref="N69:Q69"/>
    <mergeCell ref="R69:T69"/>
    <mergeCell ref="U69:W69"/>
    <mergeCell ref="X69:Z69"/>
    <mergeCell ref="AA69:AC69"/>
    <mergeCell ref="C70:G70"/>
    <mergeCell ref="H70:J70"/>
    <mergeCell ref="K70:M70"/>
    <mergeCell ref="N70:Q70"/>
    <mergeCell ref="R70:T70"/>
    <mergeCell ref="U70:W70"/>
    <mergeCell ref="X70:Z70"/>
    <mergeCell ref="AA70:AC70"/>
    <mergeCell ref="C65:G65"/>
    <mergeCell ref="H65:J65"/>
    <mergeCell ref="K65:M65"/>
    <mergeCell ref="N65:Q65"/>
    <mergeCell ref="R65:T65"/>
    <mergeCell ref="U65:W65"/>
    <mergeCell ref="X65:Z65"/>
    <mergeCell ref="AA65:AC65"/>
    <mergeCell ref="C66:G66"/>
    <mergeCell ref="H66:J66"/>
    <mergeCell ref="K66:M66"/>
    <mergeCell ref="N66:Q66"/>
    <mergeCell ref="R66:T66"/>
    <mergeCell ref="U66:W66"/>
    <mergeCell ref="X66:Z66"/>
    <mergeCell ref="AA66:AC66"/>
    <mergeCell ref="C63:G63"/>
    <mergeCell ref="H63:J63"/>
    <mergeCell ref="K63:M63"/>
    <mergeCell ref="N63:Q63"/>
    <mergeCell ref="R63:T63"/>
    <mergeCell ref="U63:W63"/>
    <mergeCell ref="X63:Z63"/>
    <mergeCell ref="AA63:AC63"/>
    <mergeCell ref="C64:G64"/>
    <mergeCell ref="H64:J64"/>
    <mergeCell ref="K64:M64"/>
    <mergeCell ref="N64:Q64"/>
    <mergeCell ref="R64:T64"/>
    <mergeCell ref="U64:W64"/>
    <mergeCell ref="X64:Z64"/>
    <mergeCell ref="AA64:AC64"/>
    <mergeCell ref="C33:G33"/>
    <mergeCell ref="H33:J33"/>
    <mergeCell ref="K33:L33"/>
    <mergeCell ref="M33:N33"/>
    <mergeCell ref="O33:P33"/>
    <mergeCell ref="Q33:R33"/>
    <mergeCell ref="S33:T33"/>
    <mergeCell ref="U33:V33"/>
    <mergeCell ref="S40:T40"/>
    <mergeCell ref="U40:V40"/>
    <mergeCell ref="C37:G37"/>
    <mergeCell ref="H37:J37"/>
    <mergeCell ref="K37:L37"/>
    <mergeCell ref="M37:N37"/>
    <mergeCell ref="O37:P37"/>
    <mergeCell ref="Q37:R37"/>
    <mergeCell ref="S37:T37"/>
    <mergeCell ref="U37:V37"/>
    <mergeCell ref="C38:G38"/>
    <mergeCell ref="H38:J38"/>
    <mergeCell ref="K38:L38"/>
    <mergeCell ref="M38:N38"/>
    <mergeCell ref="O38:P38"/>
    <mergeCell ref="Q38:R38"/>
    <mergeCell ref="S38:T38"/>
    <mergeCell ref="U38:V38"/>
    <mergeCell ref="B15:P15"/>
    <mergeCell ref="R15:AF15"/>
    <mergeCell ref="J16:M16"/>
    <mergeCell ref="J17:M17"/>
    <mergeCell ref="J18:M18"/>
    <mergeCell ref="J19:M19"/>
    <mergeCell ref="Q29:V29"/>
    <mergeCell ref="K30:L32"/>
    <mergeCell ref="M30:N32"/>
    <mergeCell ref="O30:P32"/>
    <mergeCell ref="Q30:R32"/>
    <mergeCell ref="S30:T32"/>
    <mergeCell ref="U30:V32"/>
    <mergeCell ref="J20:M20"/>
    <mergeCell ref="J21:M21"/>
    <mergeCell ref="J22:M22"/>
    <mergeCell ref="J23:M23"/>
    <mergeCell ref="B27:L27"/>
    <mergeCell ref="B29:B32"/>
    <mergeCell ref="C29:G32"/>
    <mergeCell ref="H29:J32"/>
    <mergeCell ref="K29:P29"/>
    <mergeCell ref="S34:T34"/>
    <mergeCell ref="U34:V34"/>
    <mergeCell ref="C35:G35"/>
    <mergeCell ref="H35:J35"/>
    <mergeCell ref="K35:L35"/>
    <mergeCell ref="M35:N35"/>
    <mergeCell ref="O35:P35"/>
    <mergeCell ref="Q35:R35"/>
    <mergeCell ref="S35:T35"/>
    <mergeCell ref="U35:V35"/>
    <mergeCell ref="C34:G34"/>
    <mergeCell ref="H34:J34"/>
    <mergeCell ref="K34:L34"/>
    <mergeCell ref="M34:N34"/>
    <mergeCell ref="O34:P34"/>
    <mergeCell ref="Q34:R34"/>
    <mergeCell ref="S36:T36"/>
    <mergeCell ref="U36:V36"/>
    <mergeCell ref="C36:G36"/>
    <mergeCell ref="H36:J36"/>
    <mergeCell ref="K36:L36"/>
    <mergeCell ref="M36:N36"/>
    <mergeCell ref="O36:P36"/>
    <mergeCell ref="Q36:R36"/>
    <mergeCell ref="S41:T41"/>
    <mergeCell ref="U41:V41"/>
    <mergeCell ref="C39:G39"/>
    <mergeCell ref="H39:J39"/>
    <mergeCell ref="K39:L39"/>
    <mergeCell ref="M39:N39"/>
    <mergeCell ref="O39:P39"/>
    <mergeCell ref="Q39:R39"/>
    <mergeCell ref="S39:T39"/>
    <mergeCell ref="U39:V39"/>
    <mergeCell ref="C40:G40"/>
    <mergeCell ref="H40:J40"/>
    <mergeCell ref="K40:L40"/>
    <mergeCell ref="M40:N40"/>
    <mergeCell ref="O40:P40"/>
    <mergeCell ref="Q40:R40"/>
    <mergeCell ref="C42:G42"/>
    <mergeCell ref="H42:J42"/>
    <mergeCell ref="K42:L42"/>
    <mergeCell ref="M42:N42"/>
    <mergeCell ref="O42:P42"/>
    <mergeCell ref="Q42:R42"/>
    <mergeCell ref="S42:T42"/>
    <mergeCell ref="U42:V42"/>
    <mergeCell ref="C41:G41"/>
    <mergeCell ref="H41:J41"/>
    <mergeCell ref="K41:L41"/>
    <mergeCell ref="M41:N41"/>
    <mergeCell ref="O41:P41"/>
    <mergeCell ref="Q41:R41"/>
    <mergeCell ref="S43:T43"/>
    <mergeCell ref="U43:V43"/>
    <mergeCell ref="C44:J44"/>
    <mergeCell ref="K44:L44"/>
    <mergeCell ref="M44:N44"/>
    <mergeCell ref="O44:P44"/>
    <mergeCell ref="Q44:R44"/>
    <mergeCell ref="S44:T44"/>
    <mergeCell ref="U44:V44"/>
    <mergeCell ref="C43:G43"/>
    <mergeCell ref="H43:J43"/>
    <mergeCell ref="K43:L43"/>
    <mergeCell ref="M43:N43"/>
    <mergeCell ref="O43:P43"/>
    <mergeCell ref="Q43:R43"/>
    <mergeCell ref="U45:V45"/>
    <mergeCell ref="O49:P49"/>
    <mergeCell ref="O50:P50"/>
    <mergeCell ref="O53:P53"/>
    <mergeCell ref="B56:B61"/>
    <mergeCell ref="C56:G61"/>
    <mergeCell ref="H56:J61"/>
    <mergeCell ref="K56:M61"/>
    <mergeCell ref="N56:Q61"/>
    <mergeCell ref="R56:T61"/>
    <mergeCell ref="C45:J45"/>
    <mergeCell ref="K45:L45"/>
    <mergeCell ref="M45:N45"/>
    <mergeCell ref="O45:P45"/>
    <mergeCell ref="Q45:R45"/>
    <mergeCell ref="S45:T45"/>
    <mergeCell ref="U56:W61"/>
    <mergeCell ref="X56:Z61"/>
    <mergeCell ref="AA56:AC61"/>
    <mergeCell ref="C62:G62"/>
    <mergeCell ref="H62:J62"/>
    <mergeCell ref="K62:M62"/>
    <mergeCell ref="N62:Q62"/>
    <mergeCell ref="R62:T62"/>
    <mergeCell ref="U62:W62"/>
    <mergeCell ref="X62:Z62"/>
    <mergeCell ref="AA62:AC62"/>
    <mergeCell ref="C67:G67"/>
    <mergeCell ref="H67:J67"/>
    <mergeCell ref="K67:M67"/>
    <mergeCell ref="N67:Q67"/>
    <mergeCell ref="R67:T67"/>
    <mergeCell ref="U67:W67"/>
    <mergeCell ref="X67:Z67"/>
    <mergeCell ref="AA67:AC67"/>
    <mergeCell ref="X71:Z71"/>
    <mergeCell ref="AA71:AC71"/>
    <mergeCell ref="C71:G71"/>
    <mergeCell ref="H71:J71"/>
    <mergeCell ref="K71:M71"/>
    <mergeCell ref="N71:Q71"/>
    <mergeCell ref="R71:T71"/>
    <mergeCell ref="U71:W71"/>
    <mergeCell ref="C68:G68"/>
    <mergeCell ref="H68:J68"/>
    <mergeCell ref="K68:M68"/>
    <mergeCell ref="N68:Q68"/>
    <mergeCell ref="R68:T68"/>
    <mergeCell ref="U68:W68"/>
    <mergeCell ref="X68:Z68"/>
    <mergeCell ref="AA68:AC68"/>
    <mergeCell ref="B76:AB80"/>
    <mergeCell ref="B83:D84"/>
    <mergeCell ref="G84:N84"/>
    <mergeCell ref="B85:D85"/>
    <mergeCell ref="C72:G72"/>
    <mergeCell ref="H72:J72"/>
    <mergeCell ref="K72:M72"/>
    <mergeCell ref="N72:Q72"/>
    <mergeCell ref="R72:T72"/>
    <mergeCell ref="U72:W72"/>
    <mergeCell ref="X72:Z72"/>
    <mergeCell ref="AA72:AC72"/>
  </mergeCells>
  <conditionalFormatting sqref="B76:AB80">
    <cfRule type="expression" dxfId="0" priority="1">
      <formula>IF($E$79&lt;&gt;"",TRUE,FALSE)</formula>
    </cfRule>
  </conditionalFormatting>
  <dataValidations count="10">
    <dataValidation allowBlank="1" showInputMessage="1" showErrorMessage="1" prompt="Diisi dengan format Jam : Menit" sqref="N20 N18 N22:N23" xr:uid="{00000000-0002-0000-0000-000001000000}"/>
    <dataValidation type="list" allowBlank="1" showInputMessage="1" showErrorMessage="1" sqref="O53:P53" xr:uid="{00000000-0002-0000-0000-000002000000}">
      <formula1>"Ya,Tidak"</formula1>
    </dataValidation>
    <dataValidation allowBlank="1" showInputMessage="1" showErrorMessage="1" prompt="Diisi dengan jumlah hari libur selain Sabtu-Minggu selama periode perikatan" sqref="J21:M21" xr:uid="{00000000-0002-0000-0000-000003000000}"/>
    <dataValidation allowBlank="1" showInputMessage="1" showErrorMessage="1" prompt="Diisi dengan jumlah sabtu-minggu selama periode perikatan" sqref="J20:M20" xr:uid="{00000000-0002-0000-0000-000004000000}"/>
    <dataValidation allowBlank="1" showInputMessage="1" showErrorMessage="1" prompt="Otomatis dan Tidak perlu diisi" sqref="J19:M19 J22:M22" xr:uid="{00000000-0002-0000-0000-000005000000}"/>
    <dataValidation allowBlank="1" showInputMessage="1" showErrorMessage="1" prompt="Diisi dengan format tanggal/bulan/tahun" sqref="J17:M18" xr:uid="{00000000-0002-0000-0000-000006000000}"/>
    <dataValidation allowBlank="1" showInputMessage="1" showErrorMessage="1" prompt="isi dengan format tanggal/bulan/tahun " sqref="AB3:AB4 AB7:AB8" xr:uid="{00000000-0002-0000-0000-000007000000}"/>
    <dataValidation allowBlank="1" showInputMessage="1" showErrorMessage="1" prompt="Cell ini otomatis terisi, tidak perlu diinput" sqref="AB2 AB5:AB6 AB9:AB10" xr:uid="{00000000-0002-0000-0000-000008000000}"/>
    <dataValidation allowBlank="1" showInputMessage="1" showErrorMessage="1" prompt="Tidak perlu diisi, otomatis terisi" sqref="AH5 AH9:AH10" xr:uid="{00000000-0002-0000-0000-000009000000}"/>
    <dataValidation type="time" operator="greaterThanOrEqual" allowBlank="1" showInputMessage="1" showErrorMessage="1" prompt="Input dengan format XX:YY" sqref="Q33:V43" xr:uid="{00000000-0002-0000-0000-000000000000}">
      <formula1>0</formula1>
    </dataValidation>
  </dataValidations>
  <hyperlinks>
    <hyperlink ref="B27:L27" location="A1103B!A1" display="Susunan Tim Perikatan bersumber dari A1104" xr:uid="{00000000-0004-0000-00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time" operator="greaterThanOrEqual" allowBlank="1" showInputMessage="1" showErrorMessage="1" error="Waktu Selesai harus sama dengan atau lebih dari Jam Mulai Kerja" prompt="Diisi dengan format jam : menit" xr:uid="{00000000-0002-0000-0000-00000A000000}">
          <x14:formula1>
            <xm:f>'C:\Users\Linda\Downloads\[aplikasi-atlas-2018-version-2.0_Dea Mora (1).xlsx]JamKerja'!#REF!</xm:f>
          </x14:formula1>
          <xm:sqref>AH4 AH8</xm:sqref>
        </x14:dataValidation>
        <x14:dataValidation type="time" operator="greaterThanOrEqual" allowBlank="1" showInputMessage="1" showErrorMessage="1" error="Waktu Mulai harus sama dengan atau diatas Jam Mulai Kerja" prompt="Diisi dengan format jam : menit" xr:uid="{00000000-0002-0000-0000-00000B000000}">
          <x14:formula1>
            <xm:f>'C:\Users\Linda\Downloads\[aplikasi-atlas-2018-version-2.0_Dea Mora (1).xlsx]JamKerja'!#REF!</xm:f>
          </x14:formula1>
          <xm:sqref>AH3 AH7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</dc:creator>
  <cp:keywords/>
  <dc:description/>
  <cp:lastModifiedBy>KAP MGN</cp:lastModifiedBy>
  <cp:revision/>
  <dcterms:created xsi:type="dcterms:W3CDTF">2021-03-29T08:40:04Z</dcterms:created>
  <dcterms:modified xsi:type="dcterms:W3CDTF">2024-11-19T03:37:44Z</dcterms:modified>
  <cp:category/>
  <cp:contentStatus/>
</cp:coreProperties>
</file>