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KAPMGN 1\Documents\Backup Lidya 2024\Backup Lidya 04.07.23\Backup Lidya\DATA LIDYA\Data Klien kap mgn\Klien 2024\PT IAS Tbk dan Entitas Anak_Des 2024\3000 Audit Evidence Documentation\3200 Profit and Loss\"/>
    </mc:Choice>
  </mc:AlternateContent>
  <xr:revisionPtr revIDLastSave="0" documentId="13_ncr:1_{F748464F-6DAB-4986-9FAC-264FC1AEA708}" xr6:coauthVersionLast="47" xr6:coauthVersionMax="47" xr10:uidLastSave="{00000000-0000-0000-0000-000000000000}"/>
  <bookViews>
    <workbookView xWindow="-110" yWindow="-110" windowWidth="19420" windowHeight="10300" activeTab="2" xr2:uid="{4A12DD22-85DB-43A5-9140-00566B4FFC89}"/>
  </bookViews>
  <sheets>
    <sheet name="Memo" sheetId="3" r:id="rId1"/>
    <sheet name="M. 200 Leadsheet " sheetId="2" r:id="rId2"/>
    <sheet name="Mapping to Report"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5" i="2" l="1"/>
  <c r="O16" i="2"/>
  <c r="T16" i="2" s="1"/>
  <c r="O17" i="2"/>
  <c r="T17" i="2" s="1"/>
  <c r="O18" i="2"/>
  <c r="T18" i="2" s="1"/>
  <c r="N20" i="2"/>
  <c r="M20" i="2"/>
  <c r="E20" i="2"/>
  <c r="D20" i="2"/>
  <c r="V19" i="2"/>
  <c r="W19" i="2" s="1"/>
  <c r="F18" i="2"/>
  <c r="K18" i="2" s="1"/>
  <c r="F17" i="2"/>
  <c r="K17" i="2" s="1"/>
  <c r="F16" i="2"/>
  <c r="K16" i="2" s="1"/>
  <c r="T15" i="2"/>
  <c r="F15" i="2"/>
  <c r="K15" i="2" s="1"/>
  <c r="O14" i="2"/>
  <c r="F14" i="2"/>
  <c r="N12" i="2"/>
  <c r="O12" i="2" s="1"/>
  <c r="T12" i="2" s="1"/>
  <c r="K12" i="2"/>
  <c r="V15" i="2" l="1"/>
  <c r="W15" i="2" s="1"/>
  <c r="O20" i="2"/>
  <c r="V17" i="2"/>
  <c r="W17" i="2" s="1"/>
  <c r="V18" i="2"/>
  <c r="W18" i="2" s="1"/>
  <c r="V16" i="2"/>
  <c r="W16" i="2" s="1"/>
  <c r="T14" i="2"/>
  <c r="T20" i="2" s="1"/>
  <c r="F20" i="2"/>
  <c r="K14" i="2"/>
  <c r="V14" i="2" l="1"/>
  <c r="W14" i="2" s="1"/>
  <c r="K20" i="2"/>
  <c r="V20" i="2" s="1"/>
  <c r="W20" i="2" s="1"/>
  <c r="Y20" i="2"/>
  <c r="Z20" i="2" s="1"/>
</calcChain>
</file>

<file path=xl/sharedStrings.xml><?xml version="1.0" encoding="utf-8"?>
<sst xmlns="http://schemas.openxmlformats.org/spreadsheetml/2006/main" count="106" uniqueCount="71">
  <si>
    <t>Client</t>
  </si>
  <si>
    <t>: PT Indo American Seafoods Tbk dan Entitas Anak</t>
  </si>
  <si>
    <t>Prepared by</t>
  </si>
  <si>
    <t>: LFS</t>
  </si>
  <si>
    <t>Date :</t>
  </si>
  <si>
    <t>15/07/2024</t>
  </si>
  <si>
    <t>Account</t>
  </si>
  <si>
    <t>: Beban bunga dan keuangan</t>
  </si>
  <si>
    <t>Reviewed by</t>
  </si>
  <si>
    <t>: FMN</t>
  </si>
  <si>
    <t>17/07/2024</t>
  </si>
  <si>
    <t>Period</t>
  </si>
  <si>
    <t>: 31 Desember 203,2022, dan 2021</t>
  </si>
  <si>
    <t>Approved by</t>
  </si>
  <si>
    <t>: AHL</t>
  </si>
  <si>
    <t>19/07/2024</t>
  </si>
  <si>
    <t>Index</t>
  </si>
  <si>
    <t>: Leadsheet</t>
  </si>
  <si>
    <t>NATURE OF ACCOUNTS</t>
  </si>
  <si>
    <t>Beban bunga dan Keuangan</t>
  </si>
  <si>
    <t xml:space="preserve">: </t>
  </si>
  <si>
    <t>Terdiri atas beban administrasi dan bank, beban provisi bank, beban bunga dan keuangan, beban bunga leasing, beban bunga aset hak guna</t>
  </si>
  <si>
    <t xml:space="preserve">PROCEDURES PERFORMED </t>
  </si>
  <si>
    <t xml:space="preserve">1. </t>
  </si>
  <si>
    <t>Meminta rincian beban bunga dan keuangan</t>
  </si>
  <si>
    <t>2.</t>
  </si>
  <si>
    <t>Melakukan pengecekan ke GL</t>
  </si>
  <si>
    <t>4.</t>
  </si>
  <si>
    <t>Mapping to Report</t>
  </si>
  <si>
    <t>FINDINGS &amp; NOTES</t>
  </si>
  <si>
    <t>Pada akun beban bunga dan keuangan tidak ditemukan temuan yang material</t>
  </si>
  <si>
    <t>CONCLUSION</t>
  </si>
  <si>
    <t>Semua transaksi terkait beban bunga dan keungan sudah disajikan dan telah sesuai dengan periode terjadinya transaksi, maka accrued expense telah disajikan secara wajar dan sesuai dengan aturan PSAK yang ada di Indonesia</t>
  </si>
  <si>
    <t>NO</t>
  </si>
  <si>
    <t>Description</t>
  </si>
  <si>
    <t>Audited PT IAS</t>
  </si>
  <si>
    <t>Audited PT ISP</t>
  </si>
  <si>
    <t>Audited PT Konsol</t>
  </si>
  <si>
    <t>Eliminasi</t>
  </si>
  <si>
    <t>Audited Konsol</t>
  </si>
  <si>
    <t>Incrase/Decrase 2022 dan 2021</t>
  </si>
  <si>
    <t>Incrase/Decrase 2021 dan 2020</t>
  </si>
  <si>
    <t>Ref</t>
  </si>
  <si>
    <t>Dr</t>
  </si>
  <si>
    <t>Cr</t>
  </si>
  <si>
    <t>Rp</t>
  </si>
  <si>
    <t>%</t>
  </si>
  <si>
    <t>Beban Administrasi Bank</t>
  </si>
  <si>
    <t xml:space="preserve">Beban Provisi Bank </t>
  </si>
  <si>
    <t xml:space="preserve">Beban Bunga/Keuangan </t>
  </si>
  <si>
    <t xml:space="preserve">Beban Bunga Leasing </t>
  </si>
  <si>
    <t>Beban Bunga aset Hak-guna</t>
  </si>
  <si>
    <t>Total beban bunga dan keuangan</t>
  </si>
  <si>
    <t>BEBAN BUNGA DAN KEUANGAN</t>
  </si>
  <si>
    <t>Jumlah</t>
  </si>
  <si>
    <t>: 31 Desember 2024</t>
  </si>
  <si>
    <t>: NLS</t>
  </si>
  <si>
    <t>: KNW</t>
  </si>
  <si>
    <t>: MGN</t>
  </si>
  <si>
    <t>31 Desember 2024</t>
  </si>
  <si>
    <t>Incrase/Decrase 2024 dan 2023</t>
  </si>
  <si>
    <t>Interest/Finance Expenses</t>
  </si>
  <si>
    <t>Bank Administrative</t>
  </si>
  <si>
    <t>Leasing Interest Expense</t>
  </si>
  <si>
    <t>Beban Provisi Bank</t>
  </si>
  <si>
    <t xml:space="preserve"> -</t>
  </si>
  <si>
    <t>Bank Provision Expenses</t>
  </si>
  <si>
    <t>Beban Bunga Aset Hak-guna</t>
  </si>
  <si>
    <t>Interest Expense on Right-of-Use Assets</t>
  </si>
  <si>
    <t>Total</t>
  </si>
  <si>
    <t>INTEREST AND FINANCE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</si>
</sst>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43" formatCode="_-* #,##0.00_-;\-* #,##0.00_-;_-* &quot;-&quot;??_-;_-@_-"/>
    <numFmt numFmtId="164" formatCode="dd/mm/yy;@"/>
    <numFmt numFmtId="165" formatCode="m/d/yyyy;@"/>
    <numFmt numFmtId="166" formatCode="_(* #,##0_);_(* \(#,##0\);_(* &quot;-&quot;_);_(@_)"/>
    <numFmt numFmtId="167" formatCode="[$-409]d\-mmm\-yy;@"/>
    <numFmt numFmtId="168" formatCode="_(* #,##0.00_);_(* \(#,##0.00\);_(* &quot;-&quot;??_);_(@_)"/>
    <numFmt numFmtId="169" formatCode="_(* #,##0_);_(* \(#,##0\);_(* &quot;-&quot;??_);_(@_)"/>
    <numFmt numFmtId="170" formatCode="_-* #,##0_-;\-* #,##0_-;_-* &quot;-&quot;??_-;_-@_-"/>
  </numFmts>
  <fonts count="42" x14ac:knownFonts="1">
    <font>
      <sz val="11"/>
      <color theme="1"/>
      <name val="Aptos Narrow"/>
      <family val="2"/>
      <charset val="1"/>
      <scheme val="minor"/>
    </font>
    <font>
      <sz val="11"/>
      <color theme="1"/>
      <name val="Aptos Narrow"/>
      <family val="2"/>
      <charset val="1"/>
      <scheme val="minor"/>
    </font>
    <font>
      <sz val="9"/>
      <name val="Arial"/>
      <family val="2"/>
      <charset val="1"/>
    </font>
    <font>
      <sz val="9"/>
      <color theme="0"/>
      <name val="Arial"/>
      <family val="2"/>
      <charset val="1"/>
    </font>
    <font>
      <sz val="9"/>
      <color rgb="FFFF0000"/>
      <name val="Arial"/>
      <family val="2"/>
      <charset val="1"/>
    </font>
    <font>
      <b/>
      <sz val="9"/>
      <color theme="0"/>
      <name val="Arial"/>
      <family val="2"/>
      <charset val="1"/>
    </font>
    <font>
      <b/>
      <sz val="9"/>
      <color theme="0"/>
      <name val="Arial Narrow"/>
      <family val="2"/>
      <charset val="1"/>
    </font>
    <font>
      <b/>
      <sz val="9"/>
      <color rgb="FFFF0000"/>
      <name val="Arial"/>
      <family val="2"/>
      <charset val="1"/>
    </font>
    <font>
      <b/>
      <sz val="9"/>
      <color rgb="FFFF0000"/>
      <name val="Arial Narrow"/>
      <family val="2"/>
      <charset val="1"/>
    </font>
    <font>
      <sz val="9"/>
      <color theme="1"/>
      <name val="Arial"/>
      <family val="2"/>
      <charset val="1"/>
    </font>
    <font>
      <b/>
      <sz val="9"/>
      <color indexed="62"/>
      <name val="Arial"/>
      <family val="2"/>
      <charset val="1"/>
    </font>
    <font>
      <b/>
      <sz val="9"/>
      <name val="Arial"/>
      <family val="2"/>
      <charset val="1"/>
    </font>
    <font>
      <b/>
      <sz val="9"/>
      <color theme="1"/>
      <name val="Arial"/>
      <family val="2"/>
      <charset val="1"/>
    </font>
    <font>
      <sz val="11"/>
      <color rgb="FF000000"/>
      <name val="Aptos Narrow"/>
      <family val="2"/>
      <scheme val="minor"/>
    </font>
    <font>
      <b/>
      <sz val="9"/>
      <name val="Arial"/>
      <family val="2"/>
    </font>
    <font>
      <sz val="9"/>
      <name val="Arial"/>
      <family val="2"/>
    </font>
    <font>
      <b/>
      <sz val="9"/>
      <color theme="1"/>
      <name val="Arial"/>
      <family val="2"/>
    </font>
    <font>
      <b/>
      <sz val="9"/>
      <color indexed="62"/>
      <name val="Arial"/>
      <family val="2"/>
    </font>
    <font>
      <sz val="9"/>
      <color rgb="FF000000"/>
      <name val="Arial"/>
      <family val="2"/>
    </font>
    <font>
      <sz val="10"/>
      <name val="Arial"/>
      <family val="2"/>
    </font>
    <font>
      <b/>
      <sz val="9"/>
      <color indexed="12"/>
      <name val="Arial"/>
      <family val="2"/>
    </font>
    <font>
      <sz val="12"/>
      <name val="Times New Roman"/>
      <family val="1"/>
    </font>
    <font>
      <b/>
      <sz val="9"/>
      <color theme="0"/>
      <name val="Arial"/>
      <family val="2"/>
    </font>
    <font>
      <sz val="9"/>
      <color indexed="8"/>
      <name val="Arial"/>
      <family val="2"/>
    </font>
    <font>
      <b/>
      <sz val="9"/>
      <color indexed="8"/>
      <name val="Arial"/>
      <family val="2"/>
    </font>
    <font>
      <u/>
      <sz val="11"/>
      <color theme="10"/>
      <name val="Aptos Narrow"/>
      <family val="2"/>
      <charset val="1"/>
      <scheme val="minor"/>
    </font>
    <font>
      <u/>
      <sz val="9"/>
      <color theme="10"/>
      <name val="Arial"/>
      <family val="2"/>
    </font>
    <font>
      <b/>
      <i/>
      <sz val="9"/>
      <color indexed="10"/>
      <name val="Arial"/>
      <family val="2"/>
    </font>
    <font>
      <b/>
      <sz val="9"/>
      <color indexed="9"/>
      <name val="Arial"/>
      <family val="2"/>
    </font>
    <font>
      <i/>
      <sz val="9"/>
      <color theme="1"/>
      <name val="Arial"/>
      <family val="2"/>
    </font>
    <font>
      <sz val="9"/>
      <color theme="1"/>
      <name val="Arial"/>
      <family val="2"/>
    </font>
    <font>
      <b/>
      <sz val="9"/>
      <color rgb="FF000000"/>
      <name val="Arial"/>
      <family val="2"/>
    </font>
    <font>
      <b/>
      <i/>
      <sz val="9"/>
      <color theme="1"/>
      <name val="Arial"/>
      <family val="2"/>
    </font>
    <font>
      <b/>
      <i/>
      <sz val="9"/>
      <color rgb="FF000000"/>
      <name val="Arial"/>
      <family val="2"/>
    </font>
    <font>
      <sz val="4"/>
      <color rgb="FF000000"/>
      <name val="Arial"/>
      <family val="2"/>
    </font>
    <font>
      <sz val="4"/>
      <color theme="1"/>
      <name val="Arial"/>
      <family val="2"/>
    </font>
    <font>
      <i/>
      <sz val="4"/>
      <color rgb="FF000000"/>
      <name val="Arial"/>
      <family val="2"/>
    </font>
    <font>
      <i/>
      <sz val="9"/>
      <color rgb="FF000000"/>
      <name val="Arial"/>
      <family val="2"/>
    </font>
    <font>
      <i/>
      <sz val="4"/>
      <color theme="1"/>
      <name val="Arial"/>
      <family val="2"/>
    </font>
    <font>
      <b/>
      <sz val="10"/>
      <color rgb="FF000000"/>
      <name val="Arial"/>
      <family val="2"/>
    </font>
    <font>
      <sz val="10"/>
      <color theme="1"/>
      <name val="Arial"/>
      <family val="2"/>
    </font>
    <font>
      <b/>
      <i/>
      <sz val="10"/>
      <color rgb="FF000000"/>
      <name val="Arial"/>
      <family val="2"/>
    </font>
  </fonts>
  <fills count="9">
    <fill>
      <patternFill patternType="none"/>
    </fill>
    <fill>
      <patternFill patternType="gray125"/>
    </fill>
    <fill>
      <patternFill patternType="solid">
        <fgColor theme="0"/>
        <bgColor indexed="64"/>
      </patternFill>
    </fill>
    <fill>
      <patternFill patternType="solid">
        <fgColor theme="7"/>
        <bgColor indexed="64"/>
      </patternFill>
    </fill>
    <fill>
      <patternFill patternType="solid">
        <fgColor theme="4"/>
        <bgColor indexed="64"/>
      </patternFill>
    </fill>
    <fill>
      <patternFill patternType="solid">
        <fgColor theme="4" tint="0.39997558519241921"/>
        <bgColor indexed="64"/>
      </patternFill>
    </fill>
    <fill>
      <patternFill patternType="solid">
        <fgColor rgb="FF00B0F0"/>
        <bgColor indexed="64"/>
      </patternFill>
    </fill>
    <fill>
      <patternFill patternType="solid">
        <fgColor indexed="9"/>
        <bgColor indexed="64"/>
      </patternFill>
    </fill>
    <fill>
      <patternFill patternType="solid">
        <fgColor theme="3" tint="0.79998168889431442"/>
        <bgColor indexed="64"/>
      </patternFill>
    </fill>
  </fills>
  <borders count="2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auto="1"/>
      </left>
      <right style="thin">
        <color auto="1"/>
      </right>
      <top style="thin">
        <color auto="1"/>
      </top>
      <bottom/>
      <diagonal/>
    </border>
    <border>
      <left style="thin">
        <color indexed="64"/>
      </left>
      <right style="thin">
        <color rgb="FF000000"/>
      </right>
      <top/>
      <bottom/>
      <diagonal/>
    </border>
    <border>
      <left style="thin">
        <color rgb="FF000000"/>
      </left>
      <right style="thin">
        <color rgb="FF000000"/>
      </right>
      <top/>
      <bottom/>
      <diagonal/>
    </border>
    <border>
      <left style="thin">
        <color indexed="64"/>
      </left>
      <right style="thin">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double">
        <color indexed="64"/>
      </bottom>
      <diagonal/>
    </border>
  </borders>
  <cellStyleXfs count="8">
    <xf numFmtId="0" fontId="0" fillId="0" borderId="0"/>
    <xf numFmtId="9" fontId="1" fillId="0" borderId="0" applyFont="0" applyFill="0" applyBorder="0" applyAlignment="0" applyProtection="0"/>
    <xf numFmtId="166" fontId="1" fillId="0" borderId="0" applyFont="0" applyFill="0" applyBorder="0" applyAlignment="0" applyProtection="0"/>
    <xf numFmtId="43" fontId="1" fillId="0" borderId="0" applyFont="0" applyFill="0" applyBorder="0" applyAlignment="0" applyProtection="0"/>
    <xf numFmtId="168" fontId="19" fillId="0" borderId="0" applyFont="0" applyFill="0" applyBorder="0" applyAlignment="0" applyProtection="0"/>
    <xf numFmtId="0" fontId="21" fillId="0" borderId="0"/>
    <xf numFmtId="0" fontId="25" fillId="0" borderId="0" applyNumberFormat="0" applyFill="0" applyBorder="0" applyAlignment="0" applyProtection="0"/>
    <xf numFmtId="43" fontId="1" fillId="0" borderId="0" applyFont="0" applyFill="0" applyBorder="0" applyAlignment="0" applyProtection="0"/>
  </cellStyleXfs>
  <cellXfs count="161">
    <xf numFmtId="0" fontId="0" fillId="0" borderId="0" xfId="0"/>
    <xf numFmtId="0" fontId="2" fillId="0" borderId="0" xfId="0" applyFont="1"/>
    <xf numFmtId="0" fontId="3" fillId="2" borderId="0" xfId="0" applyFont="1" applyFill="1"/>
    <xf numFmtId="0" fontId="2" fillId="2" borderId="0" xfId="0" applyFont="1" applyFill="1"/>
    <xf numFmtId="0" fontId="4" fillId="0" borderId="0" xfId="0" applyFont="1"/>
    <xf numFmtId="0" fontId="5" fillId="3" borderId="1" xfId="0" applyFont="1" applyFill="1" applyBorder="1"/>
    <xf numFmtId="0" fontId="5" fillId="3" borderId="2" xfId="0" applyFont="1" applyFill="1" applyBorder="1"/>
    <xf numFmtId="0" fontId="5" fillId="3" borderId="2" xfId="0" applyFont="1" applyFill="1" applyBorder="1" applyAlignment="1">
      <alignment horizontal="right"/>
    </xf>
    <xf numFmtId="164" fontId="6" fillId="3" borderId="2" xfId="0" applyNumberFormat="1" applyFont="1" applyFill="1" applyBorder="1"/>
    <xf numFmtId="0" fontId="5" fillId="3" borderId="3" xfId="0" applyFont="1" applyFill="1" applyBorder="1"/>
    <xf numFmtId="0" fontId="5" fillId="4" borderId="2" xfId="0" applyFont="1" applyFill="1" applyBorder="1"/>
    <xf numFmtId="164" fontId="6" fillId="4" borderId="3" xfId="0" applyNumberFormat="1" applyFont="1" applyFill="1" applyBorder="1"/>
    <xf numFmtId="0" fontId="7" fillId="0" borderId="0" xfId="0" applyFont="1"/>
    <xf numFmtId="164" fontId="8" fillId="0" borderId="0" xfId="0" applyNumberFormat="1" applyFont="1"/>
    <xf numFmtId="0" fontId="5" fillId="3" borderId="4" xfId="0" applyFont="1" applyFill="1" applyBorder="1"/>
    <xf numFmtId="0" fontId="5" fillId="3" borderId="0" xfId="0" applyFont="1" applyFill="1"/>
    <xf numFmtId="0" fontId="5" fillId="3" borderId="0" xfId="0" applyFont="1" applyFill="1" applyAlignment="1">
      <alignment horizontal="right"/>
    </xf>
    <xf numFmtId="164" fontId="6" fillId="3" borderId="0" xfId="0" applyNumberFormat="1" applyFont="1" applyFill="1"/>
    <xf numFmtId="0" fontId="5" fillId="3" borderId="5" xfId="0" applyFont="1" applyFill="1" applyBorder="1"/>
    <xf numFmtId="0" fontId="5" fillId="4" borderId="0" xfId="0" applyFont="1" applyFill="1"/>
    <xf numFmtId="164" fontId="6" fillId="4" borderId="5" xfId="0" applyNumberFormat="1" applyFont="1" applyFill="1" applyBorder="1"/>
    <xf numFmtId="165" fontId="5" fillId="3" borderId="0" xfId="0" quotePrefix="1" applyNumberFormat="1" applyFont="1" applyFill="1" applyAlignment="1">
      <alignment horizontal="left"/>
    </xf>
    <xf numFmtId="0" fontId="5" fillId="4" borderId="5" xfId="0" applyFont="1" applyFill="1" applyBorder="1"/>
    <xf numFmtId="0" fontId="5" fillId="3" borderId="6" xfId="0" applyFont="1" applyFill="1" applyBorder="1"/>
    <xf numFmtId="0" fontId="5" fillId="3" borderId="7" xfId="0" applyFont="1" applyFill="1" applyBorder="1"/>
    <xf numFmtId="0" fontId="5" fillId="3" borderId="8" xfId="0" applyFont="1" applyFill="1" applyBorder="1"/>
    <xf numFmtId="0" fontId="5" fillId="4" borderId="7" xfId="0" applyFont="1" applyFill="1" applyBorder="1"/>
    <xf numFmtId="0" fontId="5" fillId="4" borderId="8" xfId="0" applyFont="1" applyFill="1" applyBorder="1"/>
    <xf numFmtId="0" fontId="9" fillId="0" borderId="0" xfId="0" applyFont="1"/>
    <xf numFmtId="0" fontId="10" fillId="2" borderId="0" xfId="0" applyFont="1" applyFill="1"/>
    <xf numFmtId="0" fontId="9" fillId="2" borderId="0" xfId="0" applyFont="1" applyFill="1"/>
    <xf numFmtId="0" fontId="2" fillId="0" borderId="0" xfId="0" applyFont="1" applyAlignment="1">
      <alignment horizontal="center"/>
    </xf>
    <xf numFmtId="0" fontId="11" fillId="3" borderId="9" xfId="0" applyFont="1" applyFill="1" applyBorder="1" applyAlignment="1">
      <alignment horizontal="center" vertical="center"/>
    </xf>
    <xf numFmtId="0" fontId="2" fillId="2" borderId="0" xfId="0" applyFont="1" applyFill="1" applyAlignment="1">
      <alignment horizontal="center"/>
    </xf>
    <xf numFmtId="14" fontId="11" fillId="3" borderId="9" xfId="0" applyNumberFormat="1" applyFont="1" applyFill="1" applyBorder="1" applyAlignment="1">
      <alignment horizontal="center" vertical="center"/>
    </xf>
    <xf numFmtId="14" fontId="12" fillId="3" borderId="9" xfId="0" applyNumberFormat="1" applyFont="1" applyFill="1" applyBorder="1" applyAlignment="1">
      <alignment horizontal="center" wrapText="1"/>
    </xf>
    <xf numFmtId="14" fontId="12" fillId="5" borderId="9" xfId="0" applyNumberFormat="1" applyFont="1" applyFill="1" applyBorder="1" applyAlignment="1">
      <alignment horizontal="center" wrapText="1"/>
    </xf>
    <xf numFmtId="166" fontId="2" fillId="0" borderId="0" xfId="2" applyFont="1" applyFill="1" applyBorder="1"/>
    <xf numFmtId="0" fontId="11" fillId="2" borderId="13" xfId="0" applyFont="1" applyFill="1" applyBorder="1" applyAlignment="1">
      <alignment horizontal="left"/>
    </xf>
    <xf numFmtId="0" fontId="2" fillId="2" borderId="14" xfId="0" applyFont="1" applyFill="1" applyBorder="1"/>
    <xf numFmtId="0" fontId="2" fillId="2" borderId="15" xfId="0" applyFont="1" applyFill="1" applyBorder="1"/>
    <xf numFmtId="0" fontId="9" fillId="2" borderId="15" xfId="0" applyFont="1" applyFill="1" applyBorder="1"/>
    <xf numFmtId="0" fontId="9" fillId="2" borderId="9" xfId="0" applyFont="1" applyFill="1" applyBorder="1"/>
    <xf numFmtId="166" fontId="2" fillId="2" borderId="0" xfId="2" applyFont="1" applyFill="1" applyBorder="1"/>
    <xf numFmtId="166" fontId="2" fillId="2" borderId="14" xfId="2" applyFont="1" applyFill="1" applyBorder="1"/>
    <xf numFmtId="166" fontId="13" fillId="0" borderId="13" xfId="3" applyNumberFormat="1" applyFont="1" applyBorder="1" applyAlignment="1">
      <alignment horizontal="right" vertical="center"/>
    </xf>
    <xf numFmtId="166" fontId="9" fillId="2" borderId="13" xfId="0" applyNumberFormat="1" applyFont="1" applyFill="1" applyBorder="1"/>
    <xf numFmtId="9" fontId="9" fillId="2" borderId="13" xfId="1" applyFont="1" applyFill="1" applyBorder="1"/>
    <xf numFmtId="166" fontId="9" fillId="2" borderId="9" xfId="0" applyNumberFormat="1" applyFont="1" applyFill="1" applyBorder="1"/>
    <xf numFmtId="9" fontId="9" fillId="2" borderId="9" xfId="1" applyFont="1" applyFill="1" applyBorder="1"/>
    <xf numFmtId="0" fontId="14" fillId="2" borderId="13" xfId="0" applyFont="1" applyFill="1" applyBorder="1" applyAlignment="1">
      <alignment horizontal="center"/>
    </xf>
    <xf numFmtId="0" fontId="15" fillId="2" borderId="13" xfId="0" applyFont="1" applyFill="1" applyBorder="1" applyAlignment="1">
      <alignment horizontal="left"/>
    </xf>
    <xf numFmtId="0" fontId="15" fillId="2" borderId="14" xfId="0" applyFont="1" applyFill="1" applyBorder="1" applyAlignment="1">
      <alignment horizontal="left"/>
    </xf>
    <xf numFmtId="166" fontId="9" fillId="2" borderId="13" xfId="0" applyNumberFormat="1" applyFont="1" applyFill="1" applyBorder="1" applyAlignment="1">
      <alignment horizontal="left"/>
    </xf>
    <xf numFmtId="0" fontId="2" fillId="2" borderId="13" xfId="0" applyFont="1" applyFill="1" applyBorder="1" applyAlignment="1">
      <alignment horizontal="center"/>
    </xf>
    <xf numFmtId="41" fontId="2" fillId="2" borderId="14" xfId="2" applyNumberFormat="1" applyFont="1" applyFill="1" applyBorder="1" applyProtection="1"/>
    <xf numFmtId="166" fontId="2" fillId="2" borderId="14" xfId="0" applyNumberFormat="1" applyFont="1" applyFill="1" applyBorder="1"/>
    <xf numFmtId="41" fontId="2" fillId="2" borderId="13" xfId="2" applyNumberFormat="1" applyFont="1" applyFill="1" applyBorder="1" applyProtection="1"/>
    <xf numFmtId="41" fontId="2" fillId="2" borderId="18" xfId="2" applyNumberFormat="1" applyFont="1" applyFill="1" applyBorder="1" applyProtection="1"/>
    <xf numFmtId="0" fontId="2" fillId="6" borderId="9" xfId="0" applyFont="1" applyFill="1" applyBorder="1" applyAlignment="1">
      <alignment horizontal="center"/>
    </xf>
    <xf numFmtId="0" fontId="14" fillId="6" borderId="9" xfId="0" applyFont="1" applyFill="1" applyBorder="1"/>
    <xf numFmtId="41" fontId="14" fillId="6" borderId="9" xfId="2" applyNumberFormat="1" applyFont="1" applyFill="1" applyBorder="1" applyProtection="1"/>
    <xf numFmtId="0" fontId="2" fillId="6" borderId="9" xfId="0" applyFont="1" applyFill="1" applyBorder="1"/>
    <xf numFmtId="166" fontId="16" fillId="3" borderId="9" xfId="0" applyNumberFormat="1" applyFont="1" applyFill="1" applyBorder="1"/>
    <xf numFmtId="9" fontId="16" fillId="3" borderId="9" xfId="1" applyFont="1" applyFill="1" applyBorder="1"/>
    <xf numFmtId="0" fontId="17" fillId="2" borderId="0" xfId="0" applyFont="1" applyFill="1"/>
    <xf numFmtId="166" fontId="16" fillId="6" borderId="9" xfId="0" applyNumberFormat="1" applyFont="1" applyFill="1" applyBorder="1" applyAlignment="1">
      <alignment horizontal="left"/>
    </xf>
    <xf numFmtId="9" fontId="16" fillId="6" borderId="9" xfId="1" applyFont="1" applyFill="1" applyBorder="1"/>
    <xf numFmtId="166" fontId="9" fillId="0" borderId="0" xfId="2" applyFont="1" applyFill="1" applyBorder="1"/>
    <xf numFmtId="166" fontId="9" fillId="2" borderId="0" xfId="2" applyFont="1" applyFill="1" applyBorder="1"/>
    <xf numFmtId="166" fontId="9" fillId="2" borderId="0" xfId="2" applyFont="1" applyFill="1"/>
    <xf numFmtId="0" fontId="12" fillId="2" borderId="0" xfId="0" applyFont="1" applyFill="1"/>
    <xf numFmtId="41" fontId="12" fillId="0" borderId="0" xfId="0" applyNumberFormat="1" applyFont="1"/>
    <xf numFmtId="166" fontId="18" fillId="0" borderId="16" xfId="3" applyNumberFormat="1" applyFont="1" applyBorder="1" applyAlignment="1">
      <alignment horizontal="right" vertical="center"/>
    </xf>
    <xf numFmtId="166" fontId="18" fillId="0" borderId="17" xfId="3" applyNumberFormat="1" applyFont="1" applyBorder="1" applyAlignment="1">
      <alignment horizontal="right" vertical="center"/>
    </xf>
    <xf numFmtId="167" fontId="15" fillId="7" borderId="0" xfId="0" applyNumberFormat="1" applyFont="1" applyFill="1" applyAlignment="1">
      <alignment horizontal="center" vertical="center"/>
    </xf>
    <xf numFmtId="0" fontId="15" fillId="7" borderId="0" xfId="0" applyFont="1" applyFill="1" applyAlignment="1">
      <alignment vertical="center"/>
    </xf>
    <xf numFmtId="169" fontId="15" fillId="7" borderId="0" xfId="4" applyNumberFormat="1" applyFont="1" applyFill="1" applyBorder="1" applyAlignment="1">
      <alignment vertical="center"/>
    </xf>
    <xf numFmtId="169" fontId="20" fillId="7" borderId="0" xfId="4" applyNumberFormat="1" applyFont="1" applyFill="1" applyBorder="1" applyAlignment="1">
      <alignment vertical="center"/>
    </xf>
    <xf numFmtId="0" fontId="15" fillId="0" borderId="0" xfId="0" applyFont="1" applyAlignment="1">
      <alignment vertical="center"/>
    </xf>
    <xf numFmtId="169" fontId="15" fillId="7" borderId="0" xfId="4" applyNumberFormat="1" applyFont="1" applyFill="1" applyBorder="1" applyAlignment="1">
      <alignment horizontal="left" vertical="center"/>
    </xf>
    <xf numFmtId="14" fontId="15" fillId="0" borderId="0" xfId="0" applyNumberFormat="1" applyFont="1" applyAlignment="1">
      <alignment vertical="center"/>
    </xf>
    <xf numFmtId="167" fontId="20" fillId="7" borderId="0" xfId="4" applyNumberFormat="1" applyFont="1" applyFill="1" applyBorder="1" applyAlignment="1">
      <alignment horizontal="center" vertical="center"/>
    </xf>
    <xf numFmtId="49" fontId="20" fillId="0" borderId="0" xfId="0" applyNumberFormat="1" applyFont="1" applyAlignment="1">
      <alignment horizontal="center" vertical="center"/>
    </xf>
    <xf numFmtId="167" fontId="14" fillId="7" borderId="0" xfId="0" applyNumberFormat="1" applyFont="1" applyFill="1" applyAlignment="1">
      <alignment horizontal="center" vertical="center"/>
    </xf>
    <xf numFmtId="0" fontId="15" fillId="0" borderId="0" xfId="5" applyFont="1" applyAlignment="1">
      <alignment vertical="center"/>
    </xf>
    <xf numFmtId="0" fontId="14" fillId="0" borderId="0" xfId="5" applyFont="1" applyAlignment="1">
      <alignment vertical="center"/>
    </xf>
    <xf numFmtId="14" fontId="15" fillId="0" borderId="0" xfId="5" applyNumberFormat="1" applyFont="1" applyAlignment="1">
      <alignment vertical="center"/>
    </xf>
    <xf numFmtId="0" fontId="23" fillId="7" borderId="0" xfId="0" applyFont="1" applyFill="1" applyAlignment="1">
      <alignment vertical="center"/>
    </xf>
    <xf numFmtId="0" fontId="24" fillId="7" borderId="0" xfId="0" applyFont="1" applyFill="1" applyAlignment="1">
      <alignment horizontal="center" vertical="center"/>
    </xf>
    <xf numFmtId="0" fontId="24" fillId="7" borderId="0" xfId="0" applyFont="1" applyFill="1" applyAlignment="1">
      <alignment vertical="center"/>
    </xf>
    <xf numFmtId="0" fontId="23" fillId="7" borderId="0" xfId="0" applyFont="1" applyFill="1" applyAlignment="1">
      <alignment horizontal="right" vertical="center"/>
    </xf>
    <xf numFmtId="0" fontId="24" fillId="7" borderId="0" xfId="0" applyFont="1" applyFill="1" applyAlignment="1">
      <alignment horizontal="left" vertical="center"/>
    </xf>
    <xf numFmtId="0" fontId="23" fillId="7" borderId="0" xfId="0" applyFont="1" applyFill="1" applyAlignment="1">
      <alignment horizontal="center" vertical="center"/>
    </xf>
    <xf numFmtId="0" fontId="27" fillId="7" borderId="0" xfId="0" applyFont="1" applyFill="1" applyAlignment="1">
      <alignment vertical="center"/>
    </xf>
    <xf numFmtId="0" fontId="25" fillId="7" borderId="0" xfId="6" quotePrefix="1" applyFill="1" applyAlignment="1">
      <alignment vertical="center"/>
    </xf>
    <xf numFmtId="0" fontId="26" fillId="7" borderId="0" xfId="6" quotePrefix="1" applyFont="1" applyFill="1" applyAlignment="1">
      <alignment horizontal="center" vertical="center"/>
    </xf>
    <xf numFmtId="0" fontId="15" fillId="2" borderId="0" xfId="0" applyFont="1" applyFill="1" applyAlignment="1">
      <alignment horizontal="left" vertical="center"/>
    </xf>
    <xf numFmtId="0" fontId="15" fillId="2" borderId="0" xfId="5" applyFont="1" applyFill="1" applyAlignment="1">
      <alignment vertical="center"/>
    </xf>
    <xf numFmtId="0" fontId="15" fillId="2" borderId="0" xfId="0" applyFont="1" applyFill="1" applyAlignment="1">
      <alignment vertical="center"/>
    </xf>
    <xf numFmtId="0" fontId="28" fillId="7" borderId="0" xfId="5" applyFont="1" applyFill="1" applyAlignment="1">
      <alignment horizontal="center" vertical="center"/>
    </xf>
    <xf numFmtId="0" fontId="29" fillId="2" borderId="0" xfId="0" applyFont="1" applyFill="1" applyAlignment="1">
      <alignment vertical="center"/>
    </xf>
    <xf numFmtId="0" fontId="30" fillId="2" borderId="0" xfId="0" applyFont="1" applyFill="1" applyAlignment="1">
      <alignment vertical="center"/>
    </xf>
    <xf numFmtId="0" fontId="16" fillId="2" borderId="0" xfId="0" applyFont="1" applyFill="1" applyAlignment="1">
      <alignment vertical="center"/>
    </xf>
    <xf numFmtId="167" fontId="22" fillId="3" borderId="1" xfId="0" applyNumberFormat="1" applyFont="1" applyFill="1" applyBorder="1" applyAlignment="1">
      <alignment horizontal="left" vertical="center"/>
    </xf>
    <xf numFmtId="169" fontId="22" fillId="3" borderId="2" xfId="4" applyNumberFormat="1" applyFont="1" applyFill="1" applyBorder="1" applyAlignment="1">
      <alignment vertical="center"/>
    </xf>
    <xf numFmtId="167" fontId="22" fillId="3" borderId="2" xfId="4" applyNumberFormat="1" applyFont="1" applyFill="1" applyBorder="1" applyAlignment="1">
      <alignment horizontal="right" vertical="center"/>
    </xf>
    <xf numFmtId="167" fontId="22" fillId="3" borderId="4" xfId="0" applyNumberFormat="1" applyFont="1" applyFill="1" applyBorder="1" applyAlignment="1">
      <alignment horizontal="left" vertical="center"/>
    </xf>
    <xf numFmtId="169" fontId="22" fillId="3" borderId="0" xfId="4" applyNumberFormat="1" applyFont="1" applyFill="1" applyBorder="1" applyAlignment="1">
      <alignment vertical="center"/>
    </xf>
    <xf numFmtId="167" fontId="22" fillId="3" borderId="0" xfId="4" applyNumberFormat="1" applyFont="1" applyFill="1" applyBorder="1" applyAlignment="1">
      <alignment horizontal="right" vertical="center"/>
    </xf>
    <xf numFmtId="167" fontId="22" fillId="3" borderId="6" xfId="0" applyNumberFormat="1" applyFont="1" applyFill="1" applyBorder="1" applyAlignment="1">
      <alignment horizontal="left" vertical="center"/>
    </xf>
    <xf numFmtId="169" fontId="22" fillId="3" borderId="7" xfId="4" applyNumberFormat="1" applyFont="1" applyFill="1" applyBorder="1" applyAlignment="1">
      <alignment vertical="center"/>
    </xf>
    <xf numFmtId="167" fontId="22" fillId="3" borderId="7" xfId="4" applyNumberFormat="1" applyFont="1" applyFill="1" applyBorder="1" applyAlignment="1">
      <alignment horizontal="center" vertical="center"/>
    </xf>
    <xf numFmtId="0" fontId="22" fillId="3" borderId="2" xfId="0" applyFont="1" applyFill="1" applyBorder="1" applyAlignment="1">
      <alignment vertical="center"/>
    </xf>
    <xf numFmtId="0" fontId="22" fillId="3" borderId="2" xfId="0" applyFont="1" applyFill="1" applyBorder="1" applyAlignment="1">
      <alignment horizontal="right" vertical="center"/>
    </xf>
    <xf numFmtId="0" fontId="22" fillId="3" borderId="0" xfId="0" applyFont="1" applyFill="1" applyAlignment="1">
      <alignment vertical="center"/>
    </xf>
    <xf numFmtId="0" fontId="22" fillId="3" borderId="0" xfId="0" applyFont="1" applyFill="1" applyAlignment="1">
      <alignment horizontal="right" vertical="center"/>
    </xf>
    <xf numFmtId="0" fontId="22" fillId="3" borderId="7" xfId="0" applyFont="1" applyFill="1" applyBorder="1" applyAlignment="1">
      <alignment vertical="center"/>
    </xf>
    <xf numFmtId="169" fontId="22" fillId="3" borderId="7" xfId="4" applyNumberFormat="1" applyFont="1" applyFill="1" applyBorder="1" applyAlignment="1">
      <alignment horizontal="left" vertical="center"/>
    </xf>
    <xf numFmtId="169" fontId="22" fillId="3" borderId="8" xfId="4" applyNumberFormat="1" applyFont="1" applyFill="1" applyBorder="1" applyAlignment="1">
      <alignment vertical="center"/>
    </xf>
    <xf numFmtId="0" fontId="14" fillId="8" borderId="19" xfId="0" applyFont="1" applyFill="1" applyBorder="1" applyAlignment="1">
      <alignment horizontal="center" vertical="center"/>
    </xf>
    <xf numFmtId="0" fontId="14" fillId="8" borderId="20" xfId="0" applyFont="1" applyFill="1" applyBorder="1" applyAlignment="1">
      <alignment horizontal="center" vertical="center"/>
    </xf>
    <xf numFmtId="0" fontId="14" fillId="8" borderId="21" xfId="0" applyFont="1" applyFill="1" applyBorder="1" applyAlignment="1">
      <alignment horizontal="center" vertical="center"/>
    </xf>
    <xf numFmtId="0" fontId="23" fillId="7" borderId="0" xfId="0" applyFont="1" applyFill="1" applyAlignment="1">
      <alignment horizontal="center" vertical="center"/>
    </xf>
    <xf numFmtId="0" fontId="12" fillId="5" borderId="9" xfId="0" applyFont="1" applyFill="1" applyBorder="1" applyAlignment="1">
      <alignment horizontal="center" wrapText="1"/>
    </xf>
    <xf numFmtId="0" fontId="11" fillId="3" borderId="9" xfId="0" applyFont="1" applyFill="1" applyBorder="1" applyAlignment="1">
      <alignment horizontal="center" vertical="center"/>
    </xf>
    <xf numFmtId="0" fontId="11" fillId="3" borderId="10" xfId="0" applyFont="1" applyFill="1" applyBorder="1" applyAlignment="1">
      <alignment horizontal="center" vertical="center"/>
    </xf>
    <xf numFmtId="0" fontId="11" fillId="3" borderId="11" xfId="0" applyFont="1" applyFill="1" applyBorder="1" applyAlignment="1">
      <alignment horizontal="center" vertical="center"/>
    </xf>
    <xf numFmtId="0" fontId="11" fillId="3" borderId="12" xfId="0" applyFont="1" applyFill="1" applyBorder="1" applyAlignment="1">
      <alignment horizontal="center" vertical="center"/>
    </xf>
    <xf numFmtId="0" fontId="12" fillId="3" borderId="9" xfId="0" applyFont="1" applyFill="1" applyBorder="1" applyAlignment="1">
      <alignment horizontal="center" wrapText="1"/>
    </xf>
    <xf numFmtId="14" fontId="22" fillId="3" borderId="3" xfId="0" applyNumberFormat="1" applyFont="1" applyFill="1" applyBorder="1" applyAlignment="1">
      <alignment vertical="center"/>
    </xf>
    <xf numFmtId="14" fontId="22" fillId="3" borderId="5" xfId="0" applyNumberFormat="1" applyFont="1" applyFill="1" applyBorder="1" applyAlignment="1">
      <alignment vertical="center"/>
    </xf>
    <xf numFmtId="166" fontId="2" fillId="2" borderId="14" xfId="2" applyNumberFormat="1" applyFont="1" applyFill="1" applyBorder="1"/>
    <xf numFmtId="0" fontId="31" fillId="0" borderId="0" xfId="0" applyFont="1" applyAlignment="1">
      <alignment vertical="center"/>
    </xf>
    <xf numFmtId="0" fontId="31" fillId="0" borderId="7" xfId="0" applyFont="1" applyBorder="1" applyAlignment="1">
      <alignment horizontal="center" vertical="center"/>
    </xf>
    <xf numFmtId="0" fontId="31" fillId="0" borderId="0" xfId="0" applyFont="1" applyAlignment="1">
      <alignment horizontal="center" vertical="center"/>
    </xf>
    <xf numFmtId="0" fontId="33" fillId="0" borderId="0" xfId="0" applyFont="1" applyAlignment="1">
      <alignment horizontal="right" vertical="center"/>
    </xf>
    <xf numFmtId="0" fontId="34" fillId="0" borderId="0" xfId="0" applyFont="1" applyAlignment="1">
      <alignment horizontal="justify" vertical="center"/>
    </xf>
    <xf numFmtId="0" fontId="35" fillId="0" borderId="0" xfId="0" applyFont="1" applyAlignment="1">
      <alignment horizontal="right" vertical="center"/>
    </xf>
    <xf numFmtId="0" fontId="36" fillId="0" borderId="0" xfId="0" applyFont="1" applyAlignment="1">
      <alignment horizontal="justify" vertical="center"/>
    </xf>
    <xf numFmtId="0" fontId="30" fillId="0" borderId="0" xfId="0" applyFont="1" applyAlignment="1">
      <alignment horizontal="justify" vertical="center"/>
    </xf>
    <xf numFmtId="3" fontId="30" fillId="0" borderId="0" xfId="0" applyNumberFormat="1" applyFont="1" applyAlignment="1">
      <alignment horizontal="right" vertical="center"/>
    </xf>
    <xf numFmtId="0" fontId="30" fillId="0" borderId="0" xfId="0" applyFont="1" applyAlignment="1">
      <alignment horizontal="right" vertical="center"/>
    </xf>
    <xf numFmtId="0" fontId="37" fillId="0" borderId="0" xfId="0" applyFont="1" applyAlignment="1">
      <alignment horizontal="justify" vertical="center"/>
    </xf>
    <xf numFmtId="0" fontId="29" fillId="0" borderId="0" xfId="0" applyFont="1" applyAlignment="1">
      <alignment horizontal="justify" vertical="center"/>
    </xf>
    <xf numFmtId="0" fontId="35" fillId="0" borderId="2" xfId="0" applyFont="1" applyBorder="1" applyAlignment="1">
      <alignment horizontal="right" vertical="center"/>
    </xf>
    <xf numFmtId="0" fontId="38" fillId="0" borderId="0" xfId="0" applyFont="1" applyAlignment="1">
      <alignment vertical="center"/>
    </xf>
    <xf numFmtId="0" fontId="31" fillId="0" borderId="0" xfId="0" applyFont="1" applyAlignment="1">
      <alignment horizontal="justify" vertical="center"/>
    </xf>
    <xf numFmtId="3" fontId="16" fillId="0" borderId="22" xfId="0" applyNumberFormat="1" applyFont="1" applyBorder="1" applyAlignment="1">
      <alignment horizontal="right" vertical="center"/>
    </xf>
    <xf numFmtId="0" fontId="16" fillId="0" borderId="0" xfId="0" applyFont="1" applyAlignment="1">
      <alignment horizontal="right" vertical="center"/>
    </xf>
    <xf numFmtId="0" fontId="32" fillId="0" borderId="0" xfId="0" applyFont="1" applyAlignment="1">
      <alignment vertical="center"/>
    </xf>
    <xf numFmtId="3" fontId="30" fillId="0" borderId="0" xfId="0" applyNumberFormat="1" applyFont="1" applyAlignment="1">
      <alignment vertical="center"/>
    </xf>
    <xf numFmtId="0" fontId="37" fillId="0" borderId="0" xfId="0" applyFont="1" applyAlignment="1">
      <alignment vertical="center"/>
    </xf>
    <xf numFmtId="0" fontId="31" fillId="0" borderId="0" xfId="0" applyFont="1" applyBorder="1" applyAlignment="1">
      <alignment horizontal="center" vertical="center"/>
    </xf>
    <xf numFmtId="0" fontId="35" fillId="0" borderId="0" xfId="0" applyFont="1" applyBorder="1" applyAlignment="1">
      <alignment horizontal="right" vertical="center"/>
    </xf>
    <xf numFmtId="3" fontId="16" fillId="0" borderId="0" xfId="0" applyNumberFormat="1" applyFont="1" applyBorder="1" applyAlignment="1">
      <alignment horizontal="right" vertical="center"/>
    </xf>
    <xf numFmtId="0" fontId="40" fillId="0" borderId="0" xfId="0" applyFont="1" applyAlignment="1">
      <alignment horizontal="justify" vertical="center" wrapText="1"/>
    </xf>
    <xf numFmtId="0" fontId="39" fillId="0" borderId="0" xfId="0" applyFont="1" applyAlignment="1">
      <alignment horizontal="justify" vertical="center"/>
    </xf>
    <xf numFmtId="0" fontId="41" fillId="0" borderId="0" xfId="0" applyFont="1" applyAlignment="1">
      <alignment horizontal="justify" vertical="center"/>
    </xf>
    <xf numFmtId="170" fontId="30" fillId="0" borderId="0" xfId="7" applyNumberFormat="1" applyFont="1" applyAlignment="1">
      <alignment horizontal="right" vertical="center"/>
    </xf>
    <xf numFmtId="170" fontId="30" fillId="0" borderId="0" xfId="7" applyNumberFormat="1" applyFont="1" applyAlignment="1">
      <alignment vertical="center"/>
    </xf>
  </cellXfs>
  <cellStyles count="8">
    <cellStyle name="Comma" xfId="7" builtinId="3"/>
    <cellStyle name="Comma [0] 2" xfId="2" xr:uid="{B8FBB058-5CFC-41E0-9165-E7C13CEC74DC}"/>
    <cellStyle name="Comma 2" xfId="4" xr:uid="{0A0F49B2-5067-464C-891B-5C3B63E5E291}"/>
    <cellStyle name="Comma 3 2" xfId="3" xr:uid="{64872E36-0796-4058-BAD4-1887DBDED998}"/>
    <cellStyle name="Hyperlink" xfId="6" builtinId="8"/>
    <cellStyle name="Normal" xfId="0" builtinId="0"/>
    <cellStyle name="Normal_B_Account_Receivable" xfId="5" xr:uid="{6929A8FE-589C-4450-A4B5-20CD9BE3DA35}"/>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12</xdr:row>
      <xdr:rowOff>0</xdr:rowOff>
    </xdr:from>
    <xdr:to>
      <xdr:col>3</xdr:col>
      <xdr:colOff>95250</xdr:colOff>
      <xdr:row>13</xdr:row>
      <xdr:rowOff>9525</xdr:rowOff>
    </xdr:to>
    <xdr:sp macro="" textlink="">
      <xdr:nvSpPr>
        <xdr:cNvPr id="2" name="Text Box 3">
          <a:extLst>
            <a:ext uri="{FF2B5EF4-FFF2-40B4-BE49-F238E27FC236}">
              <a16:creationId xmlns:a16="http://schemas.microsoft.com/office/drawing/2014/main" id="{E73353D5-EFF9-47C8-AB68-81E1B295433B}"/>
            </a:ext>
          </a:extLst>
        </xdr:cNvPr>
        <xdr:cNvSpPr txBox="1">
          <a:spLocks noChangeArrowheads="1"/>
        </xdr:cNvSpPr>
      </xdr:nvSpPr>
      <xdr:spPr bwMode="auto">
        <a:xfrm>
          <a:off x="809625" y="1524000"/>
          <a:ext cx="9525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12</xdr:row>
      <xdr:rowOff>0</xdr:rowOff>
    </xdr:from>
    <xdr:to>
      <xdr:col>3</xdr:col>
      <xdr:colOff>95250</xdr:colOff>
      <xdr:row>13</xdr:row>
      <xdr:rowOff>9525</xdr:rowOff>
    </xdr:to>
    <xdr:sp macro="" textlink="">
      <xdr:nvSpPr>
        <xdr:cNvPr id="3" name="Text Box 5">
          <a:extLst>
            <a:ext uri="{FF2B5EF4-FFF2-40B4-BE49-F238E27FC236}">
              <a16:creationId xmlns:a16="http://schemas.microsoft.com/office/drawing/2014/main" id="{72FA9267-CEAD-4727-92CC-E783B2260839}"/>
            </a:ext>
          </a:extLst>
        </xdr:cNvPr>
        <xdr:cNvSpPr txBox="1">
          <a:spLocks noChangeArrowheads="1"/>
        </xdr:cNvSpPr>
      </xdr:nvSpPr>
      <xdr:spPr bwMode="auto">
        <a:xfrm>
          <a:off x="809625" y="1524000"/>
          <a:ext cx="9525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12</xdr:row>
      <xdr:rowOff>0</xdr:rowOff>
    </xdr:from>
    <xdr:to>
      <xdr:col>3</xdr:col>
      <xdr:colOff>95250</xdr:colOff>
      <xdr:row>13</xdr:row>
      <xdr:rowOff>9525</xdr:rowOff>
    </xdr:to>
    <xdr:sp macro="" textlink="">
      <xdr:nvSpPr>
        <xdr:cNvPr id="4" name="Text Box 6">
          <a:extLst>
            <a:ext uri="{FF2B5EF4-FFF2-40B4-BE49-F238E27FC236}">
              <a16:creationId xmlns:a16="http://schemas.microsoft.com/office/drawing/2014/main" id="{FB6F9E67-CBD7-4A65-9D06-FE1F25C998C3}"/>
            </a:ext>
          </a:extLst>
        </xdr:cNvPr>
        <xdr:cNvSpPr txBox="1">
          <a:spLocks noChangeArrowheads="1"/>
        </xdr:cNvSpPr>
      </xdr:nvSpPr>
      <xdr:spPr bwMode="auto">
        <a:xfrm>
          <a:off x="809625" y="1524000"/>
          <a:ext cx="9525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12</xdr:row>
      <xdr:rowOff>0</xdr:rowOff>
    </xdr:from>
    <xdr:to>
      <xdr:col>3</xdr:col>
      <xdr:colOff>95250</xdr:colOff>
      <xdr:row>13</xdr:row>
      <xdr:rowOff>9525</xdr:rowOff>
    </xdr:to>
    <xdr:sp macro="" textlink="">
      <xdr:nvSpPr>
        <xdr:cNvPr id="5" name="Text Box 7">
          <a:extLst>
            <a:ext uri="{FF2B5EF4-FFF2-40B4-BE49-F238E27FC236}">
              <a16:creationId xmlns:a16="http://schemas.microsoft.com/office/drawing/2014/main" id="{CAD7984B-4758-474A-9288-9A54403EDA11}"/>
            </a:ext>
          </a:extLst>
        </xdr:cNvPr>
        <xdr:cNvSpPr txBox="1">
          <a:spLocks noChangeArrowheads="1"/>
        </xdr:cNvSpPr>
      </xdr:nvSpPr>
      <xdr:spPr bwMode="auto">
        <a:xfrm>
          <a:off x="809625" y="1524000"/>
          <a:ext cx="9525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12</xdr:row>
      <xdr:rowOff>0</xdr:rowOff>
    </xdr:from>
    <xdr:to>
      <xdr:col>3</xdr:col>
      <xdr:colOff>95250</xdr:colOff>
      <xdr:row>13</xdr:row>
      <xdr:rowOff>0</xdr:rowOff>
    </xdr:to>
    <xdr:sp macro="" textlink="">
      <xdr:nvSpPr>
        <xdr:cNvPr id="6" name="Text Box 13">
          <a:extLst>
            <a:ext uri="{FF2B5EF4-FFF2-40B4-BE49-F238E27FC236}">
              <a16:creationId xmlns:a16="http://schemas.microsoft.com/office/drawing/2014/main" id="{1EC24D52-BC7C-4F51-B903-93FE4926F1B9}"/>
            </a:ext>
          </a:extLst>
        </xdr:cNvPr>
        <xdr:cNvSpPr txBox="1">
          <a:spLocks noChangeArrowheads="1"/>
        </xdr:cNvSpPr>
      </xdr:nvSpPr>
      <xdr:spPr bwMode="auto">
        <a:xfrm>
          <a:off x="809625" y="1524000"/>
          <a:ext cx="952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12</xdr:row>
      <xdr:rowOff>0</xdr:rowOff>
    </xdr:from>
    <xdr:to>
      <xdr:col>3</xdr:col>
      <xdr:colOff>95250</xdr:colOff>
      <xdr:row>13</xdr:row>
      <xdr:rowOff>9525</xdr:rowOff>
    </xdr:to>
    <xdr:sp macro="" textlink="">
      <xdr:nvSpPr>
        <xdr:cNvPr id="7" name="Text Box 3">
          <a:extLst>
            <a:ext uri="{FF2B5EF4-FFF2-40B4-BE49-F238E27FC236}">
              <a16:creationId xmlns:a16="http://schemas.microsoft.com/office/drawing/2014/main" id="{3A658EE3-65BE-4918-900B-FB43ECD8E687}"/>
            </a:ext>
          </a:extLst>
        </xdr:cNvPr>
        <xdr:cNvSpPr txBox="1">
          <a:spLocks noChangeArrowheads="1"/>
        </xdr:cNvSpPr>
      </xdr:nvSpPr>
      <xdr:spPr bwMode="auto">
        <a:xfrm>
          <a:off x="809625" y="1524000"/>
          <a:ext cx="9525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xdr:row>
      <xdr:rowOff>0</xdr:rowOff>
    </xdr:from>
    <xdr:to>
      <xdr:col>3</xdr:col>
      <xdr:colOff>82549</xdr:colOff>
      <xdr:row>5</xdr:row>
      <xdr:rowOff>44339</xdr:rowOff>
    </xdr:to>
    <xdr:pic>
      <xdr:nvPicPr>
        <xdr:cNvPr id="9" name="Picture 8">
          <a:extLst>
            <a:ext uri="{FF2B5EF4-FFF2-40B4-BE49-F238E27FC236}">
              <a16:creationId xmlns:a16="http://schemas.microsoft.com/office/drawing/2014/main" id="{17826F47-6DA7-40A3-889E-B08732668D4F}"/>
            </a:ext>
          </a:extLst>
        </xdr:cNvPr>
        <xdr:cNvPicPr>
          <a:picLocks noChangeAspect="1"/>
        </xdr:cNvPicPr>
      </xdr:nvPicPr>
      <xdr:blipFill rotWithShape="1">
        <a:blip xmlns:r="http://schemas.openxmlformats.org/officeDocument/2006/relationships" r:embed="rId1"/>
        <a:srcRect l="1775"/>
        <a:stretch/>
      </xdr:blipFill>
      <xdr:spPr>
        <a:xfrm>
          <a:off x="717550" y="336550"/>
          <a:ext cx="933449" cy="4824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431800</xdr:colOff>
      <xdr:row>0</xdr:row>
      <xdr:rowOff>95250</xdr:rowOff>
    </xdr:from>
    <xdr:to>
      <xdr:col>2</xdr:col>
      <xdr:colOff>57149</xdr:colOff>
      <xdr:row>3</xdr:row>
      <xdr:rowOff>139589</xdr:rowOff>
    </xdr:to>
    <xdr:pic>
      <xdr:nvPicPr>
        <xdr:cNvPr id="3" name="Picture 2">
          <a:extLst>
            <a:ext uri="{FF2B5EF4-FFF2-40B4-BE49-F238E27FC236}">
              <a16:creationId xmlns:a16="http://schemas.microsoft.com/office/drawing/2014/main" id="{8C50F0B3-C49A-4020-976C-ECD31BA8B3FA}"/>
            </a:ext>
          </a:extLst>
        </xdr:cNvPr>
        <xdr:cNvPicPr>
          <a:picLocks noChangeAspect="1"/>
        </xdr:cNvPicPr>
      </xdr:nvPicPr>
      <xdr:blipFill rotWithShape="1">
        <a:blip xmlns:r="http://schemas.openxmlformats.org/officeDocument/2006/relationships" r:embed="rId1"/>
        <a:srcRect l="1775"/>
        <a:stretch/>
      </xdr:blipFill>
      <xdr:spPr>
        <a:xfrm>
          <a:off x="431800" y="95250"/>
          <a:ext cx="933449" cy="48248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654DF-ED21-4A66-BA20-980FD93F283A}">
  <dimension ref="B2:M32"/>
  <sheetViews>
    <sheetView showGridLines="0" topLeftCell="B17" workbookViewId="0">
      <selection activeCell="K10" sqref="K10"/>
    </sheetView>
  </sheetViews>
  <sheetFormatPr defaultColWidth="10.26953125" defaultRowHeight="15" customHeight="1" x14ac:dyDescent="0.35"/>
  <cols>
    <col min="1" max="1" width="10.26953125" style="85"/>
    <col min="2" max="2" width="11.1796875" style="85" customWidth="1"/>
    <col min="3" max="3" width="1" style="85" customWidth="1"/>
    <col min="4" max="4" width="15.81640625" style="85" customWidth="1"/>
    <col min="5" max="5" width="4" style="85" customWidth="1"/>
    <col min="6" max="6" width="36.1796875" style="85" bestFit="1" customWidth="1"/>
    <col min="7" max="7" width="20" style="85" bestFit="1" customWidth="1"/>
    <col min="8" max="8" width="18.7265625" style="85" bestFit="1" customWidth="1"/>
    <col min="9" max="9" width="9.81640625" style="85" customWidth="1"/>
    <col min="10" max="10" width="20" style="85" bestFit="1" customWidth="1"/>
    <col min="11" max="11" width="22.1796875" style="85" customWidth="1"/>
    <col min="12" max="12" width="23.54296875" style="85" bestFit="1" customWidth="1"/>
    <col min="13" max="17" width="17.1796875" style="85" customWidth="1"/>
    <col min="18" max="18" width="23.54296875" style="85" customWidth="1"/>
    <col min="19" max="20" width="10.26953125" style="85"/>
    <col min="21" max="21" width="41" style="85" customWidth="1"/>
    <col min="22" max="16384" width="10.26953125" style="85"/>
  </cols>
  <sheetData>
    <row r="2" spans="2:13" s="79" customFormat="1" ht="11.5" x14ac:dyDescent="0.35">
      <c r="B2" s="75"/>
      <c r="C2" s="75"/>
      <c r="D2" s="76"/>
      <c r="E2" s="77"/>
      <c r="F2" s="78"/>
      <c r="H2" s="80"/>
      <c r="I2" s="81"/>
      <c r="J2" s="82"/>
      <c r="K2" s="77"/>
    </row>
    <row r="3" spans="2:13" s="79" customFormat="1" ht="11.5" x14ac:dyDescent="0.35">
      <c r="B3" s="75"/>
      <c r="C3" s="75"/>
      <c r="D3" s="76"/>
      <c r="E3" s="77"/>
      <c r="F3" s="78"/>
      <c r="H3" s="80"/>
      <c r="J3" s="82"/>
      <c r="K3" s="83"/>
    </row>
    <row r="4" spans="2:13" s="79" customFormat="1" ht="11.5" x14ac:dyDescent="0.35">
      <c r="B4" s="84"/>
      <c r="C4" s="76"/>
      <c r="E4" s="77"/>
      <c r="F4" s="78"/>
      <c r="H4" s="80"/>
      <c r="J4" s="82"/>
      <c r="K4" s="77"/>
    </row>
    <row r="5" spans="2:13" s="79" customFormat="1" ht="11.5" x14ac:dyDescent="0.35">
      <c r="B5" s="84"/>
      <c r="C5" s="76"/>
      <c r="E5" s="77"/>
      <c r="F5" s="78"/>
      <c r="H5" s="80"/>
      <c r="J5" s="82"/>
      <c r="K5" s="77"/>
    </row>
    <row r="6" spans="2:13" s="79" customFormat="1" ht="12" thickBot="1" x14ac:dyDescent="0.4">
      <c r="B6" s="84"/>
      <c r="C6" s="76"/>
      <c r="E6" s="77"/>
      <c r="F6" s="78"/>
      <c r="H6" s="80"/>
      <c r="J6" s="82"/>
      <c r="K6" s="77"/>
    </row>
    <row r="7" spans="2:13" s="79" customFormat="1" ht="11.5" x14ac:dyDescent="0.35">
      <c r="B7" s="104" t="s">
        <v>0</v>
      </c>
      <c r="C7" s="113" t="s">
        <v>1</v>
      </c>
      <c r="D7" s="113"/>
      <c r="E7" s="105"/>
      <c r="F7" s="105"/>
      <c r="G7" s="106" t="s">
        <v>2</v>
      </c>
      <c r="H7" s="105" t="s">
        <v>56</v>
      </c>
      <c r="I7" s="113"/>
      <c r="J7" s="114" t="s">
        <v>4</v>
      </c>
      <c r="K7" s="130">
        <v>45814</v>
      </c>
    </row>
    <row r="8" spans="2:13" s="79" customFormat="1" ht="11.5" x14ac:dyDescent="0.35">
      <c r="B8" s="107" t="s">
        <v>6</v>
      </c>
      <c r="C8" s="115" t="s">
        <v>7</v>
      </c>
      <c r="D8" s="115"/>
      <c r="E8" s="108"/>
      <c r="F8" s="108"/>
      <c r="G8" s="109" t="s">
        <v>8</v>
      </c>
      <c r="H8" s="108" t="s">
        <v>57</v>
      </c>
      <c r="I8" s="115"/>
      <c r="J8" s="116" t="s">
        <v>4</v>
      </c>
      <c r="K8" s="131">
        <v>45817</v>
      </c>
    </row>
    <row r="9" spans="2:13" s="79" customFormat="1" ht="11.5" x14ac:dyDescent="0.35">
      <c r="B9" s="107" t="s">
        <v>11</v>
      </c>
      <c r="C9" s="115" t="s">
        <v>55</v>
      </c>
      <c r="D9" s="115"/>
      <c r="E9" s="108"/>
      <c r="F9" s="108"/>
      <c r="G9" s="109" t="s">
        <v>13</v>
      </c>
      <c r="H9" s="108" t="s">
        <v>58</v>
      </c>
      <c r="I9" s="115"/>
      <c r="J9" s="116" t="s">
        <v>4</v>
      </c>
      <c r="K9" s="131">
        <v>45822</v>
      </c>
    </row>
    <row r="10" spans="2:13" s="79" customFormat="1" ht="12" thickBot="1" x14ac:dyDescent="0.4">
      <c r="B10" s="110" t="s">
        <v>16</v>
      </c>
      <c r="C10" s="117" t="s">
        <v>17</v>
      </c>
      <c r="D10" s="117"/>
      <c r="E10" s="111"/>
      <c r="F10" s="111"/>
      <c r="G10" s="117"/>
      <c r="H10" s="118"/>
      <c r="I10" s="117"/>
      <c r="J10" s="112"/>
      <c r="K10" s="119"/>
    </row>
    <row r="11" spans="2:13" s="79" customFormat="1" ht="11.5" x14ac:dyDescent="0.35">
      <c r="B11" s="84"/>
      <c r="C11" s="76"/>
      <c r="E11" s="77"/>
      <c r="F11" s="78"/>
      <c r="H11" s="80"/>
      <c r="J11" s="82"/>
      <c r="K11" s="77"/>
    </row>
    <row r="12" spans="2:13" ht="12" thickBot="1" x14ac:dyDescent="0.4">
      <c r="D12" s="86"/>
      <c r="M12" s="87"/>
    </row>
    <row r="13" spans="2:13" ht="12" thickBot="1" x14ac:dyDescent="0.4">
      <c r="B13" s="120" t="s">
        <v>18</v>
      </c>
      <c r="C13" s="121"/>
      <c r="D13" s="121"/>
      <c r="E13" s="121"/>
      <c r="F13" s="121"/>
      <c r="G13" s="121"/>
      <c r="H13" s="121"/>
      <c r="I13" s="121"/>
      <c r="J13" s="121"/>
      <c r="K13" s="122"/>
    </row>
    <row r="14" spans="2:13" ht="11.5" x14ac:dyDescent="0.35">
      <c r="B14" s="88"/>
      <c r="C14" s="88"/>
      <c r="D14" s="88"/>
      <c r="E14" s="88"/>
      <c r="F14" s="88"/>
      <c r="G14" s="88"/>
      <c r="H14" s="88"/>
      <c r="I14" s="88"/>
      <c r="J14" s="88"/>
      <c r="K14" s="88"/>
    </row>
    <row r="15" spans="2:13" ht="11.5" x14ac:dyDescent="0.35">
      <c r="B15" s="123" t="s">
        <v>19</v>
      </c>
      <c r="C15" s="123"/>
      <c r="D15" s="123"/>
      <c r="E15" s="90" t="s">
        <v>20</v>
      </c>
      <c r="F15" s="88" t="s">
        <v>21</v>
      </c>
      <c r="G15" s="88"/>
      <c r="H15" s="88"/>
      <c r="I15" s="88"/>
      <c r="J15" s="88"/>
      <c r="K15" s="88"/>
    </row>
    <row r="16" spans="2:13" ht="12" thickBot="1" x14ac:dyDescent="0.4">
      <c r="B16" s="89"/>
      <c r="C16" s="88"/>
      <c r="D16" s="88"/>
      <c r="E16" s="88"/>
      <c r="F16" s="88"/>
      <c r="G16" s="88"/>
      <c r="H16" s="88"/>
      <c r="I16" s="88"/>
      <c r="J16" s="88"/>
      <c r="K16" s="88"/>
    </row>
    <row r="17" spans="2:11" ht="12" thickBot="1" x14ac:dyDescent="0.4">
      <c r="B17" s="120" t="s">
        <v>22</v>
      </c>
      <c r="C17" s="121"/>
      <c r="D17" s="121"/>
      <c r="E17" s="121"/>
      <c r="F17" s="121"/>
      <c r="G17" s="121"/>
      <c r="H17" s="121"/>
      <c r="I17" s="121"/>
      <c r="J17" s="121"/>
      <c r="K17" s="122"/>
    </row>
    <row r="18" spans="2:11" ht="11.5" x14ac:dyDescent="0.35">
      <c r="B18" s="88"/>
      <c r="C18" s="88"/>
      <c r="D18" s="88"/>
      <c r="E18" s="88"/>
      <c r="F18" s="89"/>
      <c r="G18" s="92"/>
      <c r="I18" s="88"/>
      <c r="J18" s="88"/>
      <c r="K18" s="88"/>
    </row>
    <row r="19" spans="2:11" ht="13" customHeight="1" x14ac:dyDescent="0.35">
      <c r="B19" s="91" t="s">
        <v>23</v>
      </c>
      <c r="C19" s="93"/>
      <c r="D19" s="88" t="s">
        <v>24</v>
      </c>
      <c r="E19" s="88"/>
      <c r="F19" s="94"/>
      <c r="G19" s="95"/>
      <c r="H19" s="96"/>
      <c r="I19" s="88"/>
      <c r="J19" s="88"/>
      <c r="K19" s="88"/>
    </row>
    <row r="20" spans="2:11" ht="13" customHeight="1" x14ac:dyDescent="0.35">
      <c r="B20" s="91" t="s">
        <v>25</v>
      </c>
      <c r="C20" s="93"/>
      <c r="D20" s="88" t="s">
        <v>26</v>
      </c>
      <c r="E20" s="88"/>
      <c r="F20" s="94"/>
      <c r="G20" s="95"/>
      <c r="H20" s="96"/>
      <c r="I20" s="88"/>
      <c r="J20" s="88"/>
      <c r="K20" s="88"/>
    </row>
    <row r="21" spans="2:11" ht="13" customHeight="1" x14ac:dyDescent="0.35">
      <c r="B21" s="91" t="s">
        <v>27</v>
      </c>
      <c r="C21" s="93"/>
      <c r="D21" s="88" t="s">
        <v>28</v>
      </c>
      <c r="E21" s="88"/>
      <c r="F21" s="94"/>
      <c r="G21" s="95"/>
      <c r="H21" s="96"/>
      <c r="I21" s="88"/>
      <c r="J21" s="88"/>
      <c r="K21" s="88"/>
    </row>
    <row r="22" spans="2:11" ht="12" thickBot="1" x14ac:dyDescent="0.4">
      <c r="B22" s="93"/>
      <c r="C22" s="88"/>
      <c r="D22" s="88"/>
      <c r="E22" s="88"/>
      <c r="F22" s="88"/>
      <c r="G22" s="88"/>
      <c r="H22" s="88"/>
      <c r="I22" s="88"/>
      <c r="J22" s="88"/>
      <c r="K22" s="88"/>
    </row>
    <row r="23" spans="2:11" ht="12" thickBot="1" x14ac:dyDescent="0.4">
      <c r="B23" s="120" t="s">
        <v>29</v>
      </c>
      <c r="C23" s="121"/>
      <c r="D23" s="121"/>
      <c r="E23" s="121"/>
      <c r="F23" s="121"/>
      <c r="G23" s="121"/>
      <c r="H23" s="121"/>
      <c r="I23" s="121"/>
      <c r="J23" s="121"/>
      <c r="K23" s="122"/>
    </row>
    <row r="24" spans="2:11" ht="11.5" x14ac:dyDescent="0.35">
      <c r="B24" s="97"/>
      <c r="C24" s="97"/>
      <c r="D24" s="98"/>
      <c r="E24" s="98"/>
      <c r="F24" s="98"/>
      <c r="G24" s="98"/>
      <c r="H24" s="98"/>
      <c r="I24" s="98"/>
      <c r="J24" s="98"/>
      <c r="K24" s="98"/>
    </row>
    <row r="25" spans="2:11" ht="11.5" x14ac:dyDescent="0.35">
      <c r="B25" s="98" t="s">
        <v>30</v>
      </c>
      <c r="C25" s="97"/>
      <c r="E25" s="98"/>
      <c r="F25" s="98"/>
      <c r="G25" s="98"/>
      <c r="H25" s="98"/>
      <c r="I25" s="98"/>
      <c r="J25" s="98"/>
      <c r="K25" s="98"/>
    </row>
    <row r="26" spans="2:11" ht="12" thickBot="1" x14ac:dyDescent="0.4">
      <c r="B26" s="99"/>
      <c r="C26" s="99"/>
      <c r="D26" s="98"/>
      <c r="E26" s="98"/>
      <c r="F26" s="98"/>
      <c r="G26" s="98"/>
      <c r="H26" s="98"/>
      <c r="I26" s="98"/>
      <c r="J26" s="98"/>
      <c r="K26" s="98"/>
    </row>
    <row r="27" spans="2:11" ht="12" thickBot="1" x14ac:dyDescent="0.4">
      <c r="B27" s="120" t="s">
        <v>31</v>
      </c>
      <c r="C27" s="121"/>
      <c r="D27" s="121"/>
      <c r="E27" s="121"/>
      <c r="F27" s="121"/>
      <c r="G27" s="121"/>
      <c r="H27" s="121"/>
      <c r="I27" s="121"/>
      <c r="J27" s="121"/>
      <c r="K27" s="122"/>
    </row>
    <row r="28" spans="2:11" ht="11.5" x14ac:dyDescent="0.35">
      <c r="B28" s="100"/>
      <c r="C28" s="100"/>
      <c r="D28" s="100"/>
      <c r="E28" s="100"/>
      <c r="F28" s="100"/>
      <c r="G28" s="100"/>
      <c r="H28" s="100"/>
      <c r="I28" s="100"/>
      <c r="J28" s="100"/>
      <c r="K28" s="100"/>
    </row>
    <row r="29" spans="2:11" ht="12" x14ac:dyDescent="0.35">
      <c r="B29" s="101" t="s">
        <v>32</v>
      </c>
      <c r="C29" s="100"/>
      <c r="D29" s="100"/>
      <c r="E29" s="100"/>
      <c r="F29" s="100"/>
      <c r="G29" s="100"/>
      <c r="H29" s="100"/>
      <c r="I29" s="100"/>
      <c r="J29" s="100"/>
      <c r="K29" s="100"/>
    </row>
    <row r="30" spans="2:11" ht="11.5" x14ac:dyDescent="0.35">
      <c r="C30" s="102"/>
      <c r="E30" s="102"/>
      <c r="F30" s="102"/>
      <c r="G30" s="102"/>
      <c r="H30" s="102"/>
      <c r="I30" s="102"/>
      <c r="J30" s="102"/>
      <c r="K30" s="102"/>
    </row>
    <row r="31" spans="2:11" ht="11.5" x14ac:dyDescent="0.35">
      <c r="B31" s="102"/>
      <c r="C31" s="102"/>
      <c r="D31" s="102"/>
      <c r="E31" s="102"/>
      <c r="F31" s="102"/>
      <c r="G31" s="102"/>
      <c r="H31" s="102"/>
      <c r="I31" s="102"/>
      <c r="J31" s="102"/>
      <c r="K31" s="102"/>
    </row>
    <row r="32" spans="2:11" ht="11.5" x14ac:dyDescent="0.35">
      <c r="B32" s="103"/>
      <c r="C32" s="103"/>
      <c r="D32" s="102"/>
      <c r="E32" s="102"/>
      <c r="F32" s="102"/>
      <c r="G32" s="102"/>
      <c r="H32" s="102"/>
      <c r="I32" s="102"/>
      <c r="J32" s="102"/>
      <c r="K32" s="102"/>
    </row>
  </sheetData>
  <mergeCells count="5">
    <mergeCell ref="B13:K13"/>
    <mergeCell ref="B17:K17"/>
    <mergeCell ref="B23:K23"/>
    <mergeCell ref="B27:K27"/>
    <mergeCell ref="B15:D1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663A2-0479-4256-B90B-86E723BA40EF}">
  <dimension ref="A1:AL22"/>
  <sheetViews>
    <sheetView showGridLines="0" topLeftCell="A8" zoomScaleNormal="100" workbookViewId="0">
      <selection activeCell="A23" sqref="A23:XFD25"/>
    </sheetView>
  </sheetViews>
  <sheetFormatPr defaultColWidth="9.1796875" defaultRowHeight="11.5" x14ac:dyDescent="0.25"/>
  <cols>
    <col min="1" max="1" width="6.7265625" style="68" customWidth="1"/>
    <col min="2" max="2" width="12" style="30" customWidth="1"/>
    <col min="3" max="3" width="36.26953125" style="30" customWidth="1"/>
    <col min="4" max="5" width="16.453125" style="30" bestFit="1" customWidth="1"/>
    <col min="6" max="6" width="16.81640625" style="30" bestFit="1" customWidth="1"/>
    <col min="7" max="7" width="7.81640625" style="30" customWidth="1"/>
    <col min="8" max="8" width="14" style="30" customWidth="1"/>
    <col min="9" max="9" width="8" style="30" customWidth="1"/>
    <col min="10" max="10" width="14" style="30" customWidth="1"/>
    <col min="11" max="11" width="17" style="30" bestFit="1" customWidth="1"/>
    <col min="12" max="12" width="3.7265625" style="30" customWidth="1"/>
    <col min="13" max="15" width="16.453125" style="30" bestFit="1" customWidth="1"/>
    <col min="16" max="16" width="7.81640625" style="30" customWidth="1"/>
    <col min="17" max="17" width="14" style="30" customWidth="1"/>
    <col min="18" max="18" width="8" style="30" customWidth="1"/>
    <col min="19" max="19" width="14" style="30" customWidth="1"/>
    <col min="20" max="20" width="17" style="30" bestFit="1" customWidth="1"/>
    <col min="21" max="21" width="4.1796875" style="30" customWidth="1"/>
    <col min="22" max="22" width="15.7265625" style="69" customWidth="1"/>
    <col min="23" max="23" width="15.7265625" style="69" bestFit="1" customWidth="1"/>
    <col min="24" max="24" width="2.81640625" style="30" customWidth="1"/>
    <col min="25" max="26" width="15.7265625" style="69" hidden="1" customWidth="1"/>
    <col min="27" max="27" width="2.81640625" style="30" customWidth="1"/>
    <col min="28" max="29" width="15.7265625" style="69" hidden="1" customWidth="1"/>
    <col min="30" max="16384" width="9.1796875" style="69"/>
  </cols>
  <sheetData>
    <row r="1" spans="1:29" s="3" customFormat="1" x14ac:dyDescent="0.25">
      <c r="A1" s="1"/>
      <c r="B1" s="2"/>
      <c r="C1" s="2"/>
      <c r="D1" s="2"/>
      <c r="E1" s="2"/>
      <c r="F1" s="2"/>
      <c r="G1" s="2"/>
      <c r="H1" s="2"/>
      <c r="I1" s="2"/>
      <c r="J1" s="2"/>
      <c r="K1" s="2"/>
      <c r="L1" s="2"/>
      <c r="M1" s="2"/>
      <c r="N1" s="2"/>
      <c r="O1" s="2"/>
      <c r="P1" s="2"/>
      <c r="Q1" s="2"/>
      <c r="R1" s="2"/>
      <c r="S1" s="2"/>
      <c r="T1" s="2"/>
      <c r="U1" s="2"/>
      <c r="X1" s="2"/>
      <c r="AA1" s="2"/>
    </row>
    <row r="2" spans="1:29" s="3" customFormat="1" x14ac:dyDescent="0.25">
      <c r="A2" s="1"/>
      <c r="B2" s="2"/>
      <c r="C2" s="2"/>
      <c r="D2" s="2"/>
      <c r="E2" s="2"/>
      <c r="F2" s="2"/>
      <c r="G2" s="2"/>
      <c r="H2" s="2"/>
      <c r="I2" s="2"/>
      <c r="J2" s="2"/>
      <c r="K2" s="2"/>
      <c r="L2" s="2"/>
      <c r="M2" s="2"/>
      <c r="N2" s="2"/>
      <c r="O2" s="2"/>
      <c r="P2" s="2"/>
      <c r="Q2" s="2"/>
      <c r="R2" s="2"/>
      <c r="S2" s="2"/>
      <c r="T2" s="2"/>
      <c r="U2" s="2"/>
      <c r="X2" s="2"/>
      <c r="AA2" s="2"/>
    </row>
    <row r="3" spans="1:29" s="3" customFormat="1" x14ac:dyDescent="0.25">
      <c r="A3" s="1"/>
      <c r="B3" s="2"/>
      <c r="C3" s="2"/>
      <c r="D3" s="2"/>
      <c r="E3" s="2"/>
      <c r="F3" s="2"/>
      <c r="G3" s="2"/>
      <c r="H3" s="2"/>
      <c r="I3" s="2"/>
      <c r="J3" s="2"/>
      <c r="K3" s="2"/>
      <c r="L3" s="2"/>
      <c r="M3" s="2"/>
      <c r="N3" s="2"/>
      <c r="O3" s="2"/>
      <c r="P3" s="2"/>
      <c r="Q3" s="2"/>
      <c r="R3" s="2"/>
      <c r="S3" s="2"/>
      <c r="T3" s="2"/>
      <c r="U3" s="2"/>
      <c r="X3" s="2"/>
      <c r="AA3" s="2"/>
    </row>
    <row r="4" spans="1:29" s="3" customFormat="1" x14ac:dyDescent="0.25">
      <c r="A4" s="1"/>
      <c r="B4" s="2"/>
      <c r="C4" s="2"/>
      <c r="D4" s="2"/>
      <c r="E4" s="2"/>
      <c r="F4" s="2"/>
      <c r="G4" s="2"/>
      <c r="H4" s="2"/>
      <c r="I4" s="2"/>
      <c r="J4" s="2"/>
      <c r="K4" s="2"/>
      <c r="L4" s="2"/>
      <c r="M4" s="2"/>
      <c r="N4" s="2"/>
      <c r="O4" s="2"/>
      <c r="P4" s="2"/>
      <c r="Q4" s="2"/>
      <c r="R4" s="2"/>
      <c r="S4" s="2"/>
      <c r="T4" s="2"/>
      <c r="U4" s="2"/>
      <c r="X4" s="2"/>
      <c r="AA4" s="2"/>
    </row>
    <row r="5" spans="1:29" s="3" customFormat="1" ht="12" thickBot="1" x14ac:dyDescent="0.3">
      <c r="A5" s="1"/>
      <c r="B5" s="2"/>
      <c r="C5" s="2"/>
      <c r="D5" s="2"/>
      <c r="E5" s="2"/>
      <c r="F5" s="2"/>
      <c r="G5" s="2"/>
      <c r="H5" s="2"/>
      <c r="I5" s="2"/>
      <c r="J5" s="2"/>
      <c r="K5" s="2"/>
      <c r="L5" s="2"/>
      <c r="M5" s="2"/>
      <c r="N5" s="2"/>
      <c r="O5" s="2"/>
      <c r="P5" s="2"/>
      <c r="Q5" s="2"/>
      <c r="R5" s="2"/>
      <c r="S5" s="2"/>
      <c r="T5" s="2"/>
      <c r="U5" s="2"/>
      <c r="X5" s="2"/>
      <c r="AA5" s="2"/>
    </row>
    <row r="6" spans="1:29" s="4" customFormat="1" x14ac:dyDescent="0.25">
      <c r="B6" s="5" t="s">
        <v>0</v>
      </c>
      <c r="C6" s="6" t="s">
        <v>1</v>
      </c>
      <c r="D6" s="6"/>
      <c r="E6" s="6"/>
      <c r="F6" s="6"/>
      <c r="G6" s="6"/>
      <c r="H6" s="6"/>
      <c r="I6" s="6"/>
      <c r="J6" s="7" t="s">
        <v>2</v>
      </c>
      <c r="K6" s="6" t="s">
        <v>3</v>
      </c>
      <c r="L6" s="6"/>
      <c r="M6" s="6"/>
      <c r="N6" s="6"/>
      <c r="O6" s="6"/>
      <c r="P6" s="6"/>
      <c r="Q6" s="6"/>
      <c r="R6" s="6"/>
      <c r="S6" s="7" t="s">
        <v>4</v>
      </c>
      <c r="T6" s="6" t="s">
        <v>5</v>
      </c>
      <c r="U6" s="6"/>
      <c r="V6" s="6"/>
      <c r="W6" s="8"/>
      <c r="X6" s="9"/>
      <c r="Y6" s="10"/>
      <c r="Z6" s="11"/>
      <c r="AA6" s="12"/>
      <c r="AB6" s="12"/>
      <c r="AC6" s="13"/>
    </row>
    <row r="7" spans="1:29" s="4" customFormat="1" x14ac:dyDescent="0.25">
      <c r="B7" s="14" t="s">
        <v>6</v>
      </c>
      <c r="C7" s="15" t="s">
        <v>7</v>
      </c>
      <c r="D7" s="15"/>
      <c r="E7" s="15"/>
      <c r="F7" s="15"/>
      <c r="G7" s="15"/>
      <c r="H7" s="15"/>
      <c r="I7" s="15"/>
      <c r="J7" s="16" t="s">
        <v>8</v>
      </c>
      <c r="K7" s="15" t="s">
        <v>9</v>
      </c>
      <c r="L7" s="15"/>
      <c r="M7" s="15"/>
      <c r="N7" s="15"/>
      <c r="O7" s="15"/>
      <c r="P7" s="15"/>
      <c r="Q7" s="15"/>
      <c r="R7" s="15"/>
      <c r="S7" s="16" t="s">
        <v>4</v>
      </c>
      <c r="T7" s="15" t="s">
        <v>10</v>
      </c>
      <c r="U7" s="15"/>
      <c r="V7" s="15"/>
      <c r="W7" s="17"/>
      <c r="X7" s="18"/>
      <c r="Y7" s="19"/>
      <c r="Z7" s="20"/>
      <c r="AA7" s="12"/>
      <c r="AB7" s="12"/>
      <c r="AC7" s="13"/>
    </row>
    <row r="8" spans="1:29" s="4" customFormat="1" x14ac:dyDescent="0.25">
      <c r="B8" s="14" t="s">
        <v>11</v>
      </c>
      <c r="C8" s="15" t="s">
        <v>12</v>
      </c>
      <c r="D8" s="15"/>
      <c r="E8" s="15"/>
      <c r="F8" s="15"/>
      <c r="G8" s="15"/>
      <c r="H8" s="15"/>
      <c r="I8" s="15"/>
      <c r="J8" s="16" t="s">
        <v>13</v>
      </c>
      <c r="K8" s="15" t="s">
        <v>14</v>
      </c>
      <c r="L8" s="15"/>
      <c r="M8" s="15"/>
      <c r="N8" s="15"/>
      <c r="O8" s="15"/>
      <c r="P8" s="15"/>
      <c r="Q8" s="15"/>
      <c r="R8" s="15"/>
      <c r="S8" s="16" t="s">
        <v>4</v>
      </c>
      <c r="T8" s="21" t="s">
        <v>15</v>
      </c>
      <c r="U8" s="15"/>
      <c r="V8" s="15"/>
      <c r="W8" s="15"/>
      <c r="X8" s="18"/>
      <c r="Y8" s="19"/>
      <c r="Z8" s="22"/>
      <c r="AA8" s="12"/>
      <c r="AB8" s="12"/>
      <c r="AC8" s="12"/>
    </row>
    <row r="9" spans="1:29" s="4" customFormat="1" ht="12" thickBot="1" x14ac:dyDescent="0.3">
      <c r="B9" s="23" t="s">
        <v>16</v>
      </c>
      <c r="C9" s="24" t="s">
        <v>17</v>
      </c>
      <c r="D9" s="24"/>
      <c r="E9" s="24"/>
      <c r="F9" s="24"/>
      <c r="G9" s="24"/>
      <c r="H9" s="24"/>
      <c r="I9" s="24"/>
      <c r="J9" s="24"/>
      <c r="K9" s="24"/>
      <c r="L9" s="24"/>
      <c r="M9" s="24"/>
      <c r="N9" s="24"/>
      <c r="O9" s="24"/>
      <c r="P9" s="24"/>
      <c r="Q9" s="24"/>
      <c r="R9" s="24"/>
      <c r="S9" s="24"/>
      <c r="T9" s="24"/>
      <c r="U9" s="24"/>
      <c r="V9" s="24"/>
      <c r="W9" s="24"/>
      <c r="X9" s="25"/>
      <c r="Y9" s="26"/>
      <c r="Z9" s="27"/>
      <c r="AA9" s="12"/>
      <c r="AB9" s="12"/>
      <c r="AC9" s="12"/>
    </row>
    <row r="10" spans="1:29" s="30" customFormat="1" x14ac:dyDescent="0.25">
      <c r="A10" s="28"/>
      <c r="B10" s="3"/>
      <c r="C10" s="29"/>
      <c r="D10" s="29"/>
      <c r="E10" s="29"/>
      <c r="F10" s="29"/>
      <c r="G10" s="29"/>
      <c r="H10" s="29"/>
      <c r="I10" s="29"/>
      <c r="J10" s="29"/>
      <c r="K10" s="29"/>
      <c r="L10" s="29"/>
      <c r="M10" s="29"/>
      <c r="N10" s="29"/>
      <c r="O10" s="29"/>
      <c r="P10" s="29"/>
      <c r="Q10" s="29"/>
      <c r="R10" s="29"/>
      <c r="S10" s="29"/>
      <c r="T10" s="29"/>
      <c r="U10" s="29"/>
      <c r="X10" s="29"/>
      <c r="AA10" s="29"/>
    </row>
    <row r="11" spans="1:29" s="33" customFormat="1" ht="16.5" customHeight="1" x14ac:dyDescent="0.25">
      <c r="A11" s="31"/>
      <c r="B11" s="32" t="s">
        <v>33</v>
      </c>
      <c r="C11" s="125" t="s">
        <v>34</v>
      </c>
      <c r="D11" s="32" t="s">
        <v>35</v>
      </c>
      <c r="E11" s="32" t="s">
        <v>36</v>
      </c>
      <c r="F11" s="32" t="s">
        <v>37</v>
      </c>
      <c r="G11" s="126" t="s">
        <v>38</v>
      </c>
      <c r="H11" s="127"/>
      <c r="I11" s="127"/>
      <c r="J11" s="128"/>
      <c r="K11" s="32" t="s">
        <v>39</v>
      </c>
      <c r="L11" s="29"/>
      <c r="M11" s="32" t="s">
        <v>35</v>
      </c>
      <c r="N11" s="32" t="s">
        <v>36</v>
      </c>
      <c r="O11" s="32" t="s">
        <v>37</v>
      </c>
      <c r="P11" s="126" t="s">
        <v>38</v>
      </c>
      <c r="Q11" s="127"/>
      <c r="R11" s="127"/>
      <c r="S11" s="128"/>
      <c r="T11" s="32" t="s">
        <v>39</v>
      </c>
      <c r="U11" s="29"/>
      <c r="V11" s="129" t="s">
        <v>60</v>
      </c>
      <c r="W11" s="129"/>
      <c r="X11" s="29"/>
      <c r="Y11" s="129" t="s">
        <v>40</v>
      </c>
      <c r="Z11" s="129"/>
      <c r="AA11" s="29"/>
      <c r="AB11" s="124" t="s">
        <v>41</v>
      </c>
      <c r="AC11" s="124"/>
    </row>
    <row r="12" spans="1:29" s="33" customFormat="1" ht="17.25" customHeight="1" x14ac:dyDescent="0.25">
      <c r="A12" s="31"/>
      <c r="B12" s="32" t="s">
        <v>6</v>
      </c>
      <c r="C12" s="125"/>
      <c r="D12" s="34" t="s">
        <v>59</v>
      </c>
      <c r="E12" s="34" t="s">
        <v>59</v>
      </c>
      <c r="F12" s="34" t="s">
        <v>59</v>
      </c>
      <c r="G12" s="32" t="s">
        <v>42</v>
      </c>
      <c r="H12" s="32" t="s">
        <v>43</v>
      </c>
      <c r="I12" s="32" t="s">
        <v>42</v>
      </c>
      <c r="J12" s="32" t="s">
        <v>44</v>
      </c>
      <c r="K12" s="34" t="str">
        <f>F12</f>
        <v>31 Desember 2024</v>
      </c>
      <c r="L12" s="29"/>
      <c r="M12" s="34">
        <v>45291</v>
      </c>
      <c r="N12" s="34">
        <f>M12</f>
        <v>45291</v>
      </c>
      <c r="O12" s="34">
        <f>N12</f>
        <v>45291</v>
      </c>
      <c r="P12" s="32" t="s">
        <v>42</v>
      </c>
      <c r="Q12" s="32" t="s">
        <v>43</v>
      </c>
      <c r="R12" s="32" t="s">
        <v>42</v>
      </c>
      <c r="S12" s="32" t="s">
        <v>44</v>
      </c>
      <c r="T12" s="34">
        <f>O12</f>
        <v>45291</v>
      </c>
      <c r="U12" s="29"/>
      <c r="V12" s="35" t="s">
        <v>45</v>
      </c>
      <c r="W12" s="35" t="s">
        <v>46</v>
      </c>
      <c r="X12" s="29"/>
      <c r="Y12" s="35" t="s">
        <v>45</v>
      </c>
      <c r="Z12" s="35" t="s">
        <v>46</v>
      </c>
      <c r="AA12" s="29"/>
      <c r="AB12" s="36" t="s">
        <v>45</v>
      </c>
      <c r="AC12" s="36" t="s">
        <v>46</v>
      </c>
    </row>
    <row r="13" spans="1:29" s="43" customFormat="1" x14ac:dyDescent="0.25">
      <c r="A13" s="37"/>
      <c r="B13" s="38"/>
      <c r="C13" s="39"/>
      <c r="D13" s="39"/>
      <c r="E13" s="39"/>
      <c r="F13" s="39"/>
      <c r="G13" s="39"/>
      <c r="H13" s="39"/>
      <c r="I13" s="39"/>
      <c r="J13" s="39"/>
      <c r="K13" s="39"/>
      <c r="L13" s="29"/>
      <c r="M13" s="40"/>
      <c r="N13" s="39"/>
      <c r="O13" s="39"/>
      <c r="P13" s="39"/>
      <c r="Q13" s="39"/>
      <c r="R13" s="39"/>
      <c r="S13" s="39"/>
      <c r="T13" s="39"/>
      <c r="U13" s="29"/>
      <c r="V13" s="41"/>
      <c r="W13" s="41"/>
      <c r="X13" s="29"/>
      <c r="Y13" s="41"/>
      <c r="Z13" s="41"/>
      <c r="AA13" s="29"/>
      <c r="AB13" s="42"/>
      <c r="AC13" s="42"/>
    </row>
    <row r="14" spans="1:29" s="43" customFormat="1" ht="14.5" x14ac:dyDescent="0.25">
      <c r="A14" s="37"/>
      <c r="B14" s="38"/>
      <c r="C14" s="39" t="s">
        <v>47</v>
      </c>
      <c r="D14" s="132">
        <v>74572925.662963867</v>
      </c>
      <c r="E14" s="132">
        <v>200479182.32162476</v>
      </c>
      <c r="F14" s="73">
        <f>ROUND((D14+E14),0)</f>
        <v>275052108</v>
      </c>
      <c r="G14" s="39"/>
      <c r="H14" s="39"/>
      <c r="I14" s="39"/>
      <c r="J14" s="44"/>
      <c r="K14" s="74">
        <f>ROUND((F14+H14-J14),0)</f>
        <v>275052108</v>
      </c>
      <c r="L14" s="29"/>
      <c r="M14" s="44">
        <v>180322105.63999999</v>
      </c>
      <c r="N14" s="44">
        <v>90539923</v>
      </c>
      <c r="O14" s="45">
        <f>ROUND((M14+N14),0)</f>
        <v>270862029</v>
      </c>
      <c r="P14" s="39"/>
      <c r="Q14" s="39"/>
      <c r="R14" s="39"/>
      <c r="S14" s="44"/>
      <c r="T14" s="45">
        <f>ROUND((O14+Q14-S14),0)</f>
        <v>270862029</v>
      </c>
      <c r="U14" s="29"/>
      <c r="V14" s="46">
        <f>K14-T14</f>
        <v>4190079</v>
      </c>
      <c r="W14" s="47">
        <f>IFERROR(V14/T14,0)</f>
        <v>1.5469421887849773E-2</v>
      </c>
      <c r="X14" s="29"/>
      <c r="Y14" s="46"/>
      <c r="Z14" s="47"/>
      <c r="AA14" s="29"/>
      <c r="AB14" s="48"/>
      <c r="AC14" s="49"/>
    </row>
    <row r="15" spans="1:29" s="43" customFormat="1" ht="14.5" x14ac:dyDescent="0.25">
      <c r="A15" s="37"/>
      <c r="B15" s="38"/>
      <c r="C15" s="39" t="s">
        <v>48</v>
      </c>
      <c r="D15" s="132">
        <v>169215000</v>
      </c>
      <c r="E15" s="132">
        <v>312600</v>
      </c>
      <c r="F15" s="73">
        <f t="shared" ref="F15:F18" si="0">ROUND((D15+E15),0)</f>
        <v>169527600</v>
      </c>
      <c r="G15" s="39"/>
      <c r="H15" s="39"/>
      <c r="I15" s="39"/>
      <c r="J15" s="44"/>
      <c r="K15" s="74">
        <f t="shared" ref="K15:K18" si="1">ROUND((F15+H15-J15),0)</f>
        <v>169527600</v>
      </c>
      <c r="L15" s="29"/>
      <c r="M15" s="44">
        <v>0</v>
      </c>
      <c r="N15" s="44">
        <v>0</v>
      </c>
      <c r="O15" s="45">
        <f t="shared" ref="O15:O18" si="2">ROUND((M15+N15),0)</f>
        <v>0</v>
      </c>
      <c r="P15" s="39"/>
      <c r="Q15" s="39"/>
      <c r="R15" s="39"/>
      <c r="S15" s="44"/>
      <c r="T15" s="45">
        <f t="shared" ref="T15:T18" si="3">ROUND((O15+Q15-S15),0)</f>
        <v>0</v>
      </c>
      <c r="U15" s="29"/>
      <c r="V15" s="46">
        <f>K15-T15</f>
        <v>169527600</v>
      </c>
      <c r="W15" s="47">
        <f>IFERROR(V15/T15,0)</f>
        <v>0</v>
      </c>
      <c r="X15" s="29"/>
      <c r="Y15" s="46"/>
      <c r="Z15" s="47"/>
      <c r="AA15" s="29"/>
      <c r="AB15" s="48"/>
      <c r="AC15" s="49"/>
    </row>
    <row r="16" spans="1:29" s="43" customFormat="1" ht="14.5" x14ac:dyDescent="0.25">
      <c r="A16" s="37"/>
      <c r="B16" s="50"/>
      <c r="C16" s="51" t="s">
        <v>49</v>
      </c>
      <c r="D16" s="132">
        <v>9984777061</v>
      </c>
      <c r="E16" s="132">
        <v>7749975503</v>
      </c>
      <c r="F16" s="73">
        <f t="shared" si="0"/>
        <v>17734752564</v>
      </c>
      <c r="G16" s="39"/>
      <c r="H16" s="39"/>
      <c r="I16" s="39"/>
      <c r="J16" s="39"/>
      <c r="K16" s="74">
        <f t="shared" si="1"/>
        <v>17734752564</v>
      </c>
      <c r="L16" s="29"/>
      <c r="M16" s="44">
        <v>9144417786</v>
      </c>
      <c r="N16" s="44">
        <v>6209929908</v>
      </c>
      <c r="O16" s="45">
        <f t="shared" si="2"/>
        <v>15354347694</v>
      </c>
      <c r="P16" s="39"/>
      <c r="Q16" s="39"/>
      <c r="R16" s="39"/>
      <c r="S16" s="39"/>
      <c r="T16" s="45">
        <f t="shared" si="3"/>
        <v>15354347694</v>
      </c>
      <c r="U16" s="29"/>
      <c r="V16" s="46">
        <f>K16-T16</f>
        <v>2380404870</v>
      </c>
      <c r="W16" s="47">
        <f>IFERROR(V16/T16,0)</f>
        <v>0.15503132516207041</v>
      </c>
      <c r="X16" s="29"/>
      <c r="Y16" s="46"/>
      <c r="Z16" s="47"/>
      <c r="AA16" s="29"/>
      <c r="AB16" s="48"/>
      <c r="AC16" s="49"/>
    </row>
    <row r="17" spans="1:29" s="43" customFormat="1" ht="14.5" x14ac:dyDescent="0.25">
      <c r="A17" s="37"/>
      <c r="B17" s="50"/>
      <c r="C17" s="52" t="s">
        <v>50</v>
      </c>
      <c r="D17" s="132">
        <v>5239977</v>
      </c>
      <c r="E17" s="44">
        <v>0</v>
      </c>
      <c r="F17" s="73">
        <f t="shared" si="0"/>
        <v>5239977</v>
      </c>
      <c r="G17" s="39"/>
      <c r="H17" s="39"/>
      <c r="I17" s="39"/>
      <c r="J17" s="39"/>
      <c r="K17" s="74">
        <f t="shared" si="1"/>
        <v>5239977</v>
      </c>
      <c r="L17" s="29"/>
      <c r="M17" s="44">
        <v>14124706</v>
      </c>
      <c r="N17" s="44">
        <v>0</v>
      </c>
      <c r="O17" s="45">
        <f t="shared" si="2"/>
        <v>14124706</v>
      </c>
      <c r="P17" s="39"/>
      <c r="Q17" s="39"/>
      <c r="R17" s="39"/>
      <c r="S17" s="39"/>
      <c r="T17" s="45">
        <f t="shared" si="3"/>
        <v>14124706</v>
      </c>
      <c r="U17" s="29"/>
      <c r="V17" s="46">
        <f>K17-T17</f>
        <v>-8884729</v>
      </c>
      <c r="W17" s="47">
        <f>IFERROR(V17/T17,0)</f>
        <v>-0.62902045536381435</v>
      </c>
      <c r="X17" s="29"/>
      <c r="Y17" s="46"/>
      <c r="Z17" s="47"/>
      <c r="AA17" s="29"/>
      <c r="AB17" s="48"/>
      <c r="AC17" s="49"/>
    </row>
    <row r="18" spans="1:29" s="43" customFormat="1" ht="14.5" x14ac:dyDescent="0.25">
      <c r="A18" s="37"/>
      <c r="B18" s="50"/>
      <c r="C18" s="52" t="s">
        <v>51</v>
      </c>
      <c r="D18" s="44">
        <v>0</v>
      </c>
      <c r="E18" s="44">
        <v>0</v>
      </c>
      <c r="F18" s="73">
        <f t="shared" si="0"/>
        <v>0</v>
      </c>
      <c r="G18" s="39"/>
      <c r="H18" s="39"/>
      <c r="I18" s="39"/>
      <c r="J18" s="39"/>
      <c r="K18" s="74">
        <f t="shared" si="1"/>
        <v>0</v>
      </c>
      <c r="L18" s="29"/>
      <c r="M18" s="44">
        <v>0</v>
      </c>
      <c r="N18" s="44">
        <v>38165359.123138897</v>
      </c>
      <c r="O18" s="45">
        <f t="shared" si="2"/>
        <v>38165359</v>
      </c>
      <c r="P18" s="39"/>
      <c r="Q18" s="39"/>
      <c r="R18" s="39"/>
      <c r="S18" s="39"/>
      <c r="T18" s="45">
        <f t="shared" si="3"/>
        <v>38165359</v>
      </c>
      <c r="U18" s="29"/>
      <c r="V18" s="46">
        <f>K18-T18</f>
        <v>-38165359</v>
      </c>
      <c r="W18" s="47">
        <f>IFERROR(V18/T18,0)</f>
        <v>-1</v>
      </c>
      <c r="X18" s="29"/>
      <c r="Y18" s="46"/>
      <c r="Z18" s="47"/>
      <c r="AA18" s="29"/>
      <c r="AB18" s="48"/>
      <c r="AC18" s="49"/>
    </row>
    <row r="19" spans="1:29" s="43" customFormat="1" x14ac:dyDescent="0.25">
      <c r="A19" s="37"/>
      <c r="B19" s="54"/>
      <c r="C19" s="39"/>
      <c r="D19" s="55"/>
      <c r="E19" s="55"/>
      <c r="F19" s="55"/>
      <c r="G19" s="39"/>
      <c r="H19" s="39"/>
      <c r="I19" s="39"/>
      <c r="J19" s="39"/>
      <c r="K19" s="56"/>
      <c r="L19" s="29"/>
      <c r="M19" s="57"/>
      <c r="N19" s="55"/>
      <c r="O19" s="58"/>
      <c r="P19" s="39"/>
      <c r="Q19" s="39"/>
      <c r="R19" s="39"/>
      <c r="S19" s="39"/>
      <c r="T19" s="56"/>
      <c r="U19" s="29"/>
      <c r="V19" s="46">
        <f>K19-T19</f>
        <v>0</v>
      </c>
      <c r="W19" s="47">
        <f>IFERROR(V19/T19,0)</f>
        <v>0</v>
      </c>
      <c r="X19" s="29"/>
      <c r="Y19" s="53"/>
      <c r="Z19" s="47"/>
      <c r="AA19" s="29"/>
      <c r="AB19" s="48"/>
      <c r="AC19" s="49"/>
    </row>
    <row r="20" spans="1:29" s="43" customFormat="1" x14ac:dyDescent="0.25">
      <c r="A20" s="37"/>
      <c r="B20" s="59"/>
      <c r="C20" s="60" t="s">
        <v>52</v>
      </c>
      <c r="D20" s="61">
        <f>SUM(D14:D18)</f>
        <v>10233804963.662964</v>
      </c>
      <c r="E20" s="61">
        <f>SUM(E14:E18)</f>
        <v>7950767285.3216248</v>
      </c>
      <c r="F20" s="61">
        <f>SUM(F14:F18)</f>
        <v>18184572249</v>
      </c>
      <c r="G20" s="60"/>
      <c r="H20" s="60"/>
      <c r="I20" s="60"/>
      <c r="J20" s="60"/>
      <c r="K20" s="61">
        <f>SUM(K14:K18)</f>
        <v>18184572249</v>
      </c>
      <c r="L20" s="29"/>
      <c r="M20" s="61">
        <f>SUM(M14:M18)</f>
        <v>9338864597.6399994</v>
      </c>
      <c r="N20" s="61">
        <f>SUM(N14:N18)</f>
        <v>6338635190.1231384</v>
      </c>
      <c r="O20" s="61">
        <f>SUM(O14:O18)</f>
        <v>15677499788</v>
      </c>
      <c r="P20" s="62"/>
      <c r="Q20" s="62"/>
      <c r="R20" s="62"/>
      <c r="S20" s="62"/>
      <c r="T20" s="61">
        <f>SUM(T14:T18)</f>
        <v>15677499788</v>
      </c>
      <c r="U20" s="29"/>
      <c r="V20" s="63">
        <f>K20-T20</f>
        <v>2507072461</v>
      </c>
      <c r="W20" s="64">
        <f>IFERROR(V20/T20,0)</f>
        <v>0.1599153241844713</v>
      </c>
      <c r="X20" s="65"/>
      <c r="Y20" s="66" t="e">
        <f>T20-#REF!</f>
        <v>#REF!</v>
      </c>
      <c r="Z20" s="67" t="e">
        <f>Y20/#REF!</f>
        <v>#REF!</v>
      </c>
      <c r="AA20" s="29"/>
      <c r="AB20" s="48"/>
      <c r="AC20" s="49"/>
    </row>
    <row r="21" spans="1:29" x14ac:dyDescent="0.25">
      <c r="L21" s="29"/>
      <c r="U21" s="29"/>
      <c r="X21" s="29"/>
      <c r="AA21" s="29"/>
    </row>
    <row r="22" spans="1:29" x14ac:dyDescent="0.25">
      <c r="C22" s="70"/>
      <c r="J22" s="71"/>
      <c r="K22" s="72"/>
      <c r="L22" s="29"/>
      <c r="S22" s="71"/>
      <c r="T22" s="72"/>
      <c r="U22" s="29"/>
      <c r="X22" s="29"/>
      <c r="AA22" s="29"/>
    </row>
  </sheetData>
  <mergeCells count="6">
    <mergeCell ref="AB11:AC11"/>
    <mergeCell ref="C11:C12"/>
    <mergeCell ref="G11:J11"/>
    <mergeCell ref="P11:S11"/>
    <mergeCell ref="V11:W11"/>
    <mergeCell ref="Y11:Z11"/>
  </mergeCells>
  <pageMargins left="0.7" right="0.7" top="0.75" bottom="0.75" header="0.3" footer="0.3"/>
  <pageSetup paperSize="9" orientation="portrait" horizontalDpi="360" verticalDpi="36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8F600-CD89-4AE3-8BD8-7667D0D9FD58}">
  <dimension ref="D2:I13"/>
  <sheetViews>
    <sheetView showGridLines="0" tabSelected="1" topLeftCell="A2" workbookViewId="0">
      <selection activeCell="F16" sqref="F16"/>
    </sheetView>
  </sheetViews>
  <sheetFormatPr defaultRowHeight="14.5" x14ac:dyDescent="0.35"/>
  <cols>
    <col min="4" max="4" width="29.08984375" customWidth="1"/>
    <col min="5" max="5" width="15.6328125" bestFit="1" customWidth="1"/>
    <col min="6" max="6" width="3.90625" customWidth="1"/>
    <col min="7" max="7" width="15.6328125" bestFit="1" customWidth="1"/>
    <col min="8" max="8" width="2.7265625" customWidth="1"/>
    <col min="9" max="9" width="31.453125" bestFit="1" customWidth="1"/>
  </cols>
  <sheetData>
    <row r="2" spans="4:9" ht="26" x14ac:dyDescent="0.35">
      <c r="D2" s="157" t="s">
        <v>53</v>
      </c>
      <c r="E2" s="156"/>
      <c r="I2" s="158" t="s">
        <v>70</v>
      </c>
    </row>
    <row r="4" spans="4:9" ht="15" thickBot="1" x14ac:dyDescent="0.4">
      <c r="D4" s="133"/>
      <c r="E4" s="134">
        <v>2024</v>
      </c>
      <c r="F4" s="135"/>
      <c r="G4" s="134">
        <v>2023</v>
      </c>
      <c r="H4" s="153"/>
      <c r="I4" s="136"/>
    </row>
    <row r="5" spans="4:9" x14ac:dyDescent="0.35">
      <c r="D5" s="137"/>
      <c r="E5" s="138"/>
      <c r="F5" s="138"/>
      <c r="G5" s="138"/>
      <c r="H5" s="138"/>
      <c r="I5" s="139"/>
    </row>
    <row r="6" spans="4:9" x14ac:dyDescent="0.35">
      <c r="D6" s="140" t="s">
        <v>49</v>
      </c>
      <c r="E6" s="159">
        <v>17734752564</v>
      </c>
      <c r="F6" s="159"/>
      <c r="G6" s="159">
        <v>15354347694</v>
      </c>
      <c r="H6" s="141"/>
      <c r="I6" s="143" t="s">
        <v>61</v>
      </c>
    </row>
    <row r="7" spans="4:9" x14ac:dyDescent="0.35">
      <c r="D7" s="140" t="s">
        <v>47</v>
      </c>
      <c r="E7" s="159">
        <v>275052108</v>
      </c>
      <c r="F7" s="159"/>
      <c r="G7" s="159">
        <v>270862029</v>
      </c>
      <c r="H7" s="141"/>
      <c r="I7" s="143" t="s">
        <v>62</v>
      </c>
    </row>
    <row r="8" spans="4:9" x14ac:dyDescent="0.35">
      <c r="D8" s="140" t="s">
        <v>50</v>
      </c>
      <c r="E8" s="159">
        <v>5239977</v>
      </c>
      <c r="F8" s="159"/>
      <c r="G8" s="159">
        <v>14124706</v>
      </c>
      <c r="H8" s="141"/>
      <c r="I8" s="143" t="s">
        <v>63</v>
      </c>
    </row>
    <row r="9" spans="4:9" x14ac:dyDescent="0.35">
      <c r="D9" s="140" t="s">
        <v>64</v>
      </c>
      <c r="E9" s="159">
        <v>169527600</v>
      </c>
      <c r="F9" s="159"/>
      <c r="G9" s="159" t="s">
        <v>65</v>
      </c>
      <c r="H9" s="142"/>
      <c r="I9" s="144" t="s">
        <v>66</v>
      </c>
    </row>
    <row r="10" spans="4:9" ht="15" thickBot="1" x14ac:dyDescent="0.4">
      <c r="D10" s="140" t="s">
        <v>67</v>
      </c>
      <c r="E10" s="160">
        <v>0</v>
      </c>
      <c r="F10" s="160"/>
      <c r="G10" s="160">
        <v>38165359</v>
      </c>
      <c r="H10" s="151"/>
      <c r="I10" s="152" t="s">
        <v>68</v>
      </c>
    </row>
    <row r="11" spans="4:9" ht="5" customHeight="1" x14ac:dyDescent="0.35">
      <c r="D11" s="137"/>
      <c r="E11" s="145"/>
      <c r="F11" s="138"/>
      <c r="G11" s="145"/>
      <c r="H11" s="154"/>
      <c r="I11" s="146"/>
    </row>
    <row r="12" spans="4:9" ht="15" thickBot="1" x14ac:dyDescent="0.4">
      <c r="D12" s="147" t="s">
        <v>54</v>
      </c>
      <c r="E12" s="148">
        <v>18184572249</v>
      </c>
      <c r="F12" s="149"/>
      <c r="G12" s="148">
        <v>15677499788</v>
      </c>
      <c r="H12" s="155"/>
      <c r="I12" s="150" t="s">
        <v>69</v>
      </c>
    </row>
    <row r="13" spans="4:9" ht="15" thickTop="1"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Memo</vt:lpstr>
      <vt:lpstr>M. 200 Leadsheet </vt:lpstr>
      <vt:lpstr>Mapping to Report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KAP MGN</dc:creator>
  <cp:keywords/>
  <dc:description/>
  <cp:lastModifiedBy>KAP MGN 1</cp:lastModifiedBy>
  <cp:revision/>
  <dcterms:created xsi:type="dcterms:W3CDTF">2024-07-18T12:20:17Z</dcterms:created>
  <dcterms:modified xsi:type="dcterms:W3CDTF">2025-10-06T08:01:43Z</dcterms:modified>
  <cp:category/>
  <cp:contentStatus/>
</cp:coreProperties>
</file>