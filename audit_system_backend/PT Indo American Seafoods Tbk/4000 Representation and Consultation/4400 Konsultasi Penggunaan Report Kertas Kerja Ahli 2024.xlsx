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4000 Representation and Consultation\"/>
    </mc:Choice>
  </mc:AlternateContent>
  <xr:revisionPtr revIDLastSave="0" documentId="13_ncr:1_{D30A5C19-E7DB-4C6B-B2F3-FC6C37F74272}" xr6:coauthVersionLast="47" xr6:coauthVersionMax="47" xr10:uidLastSave="{00000000-0000-0000-0000-000000000000}"/>
  <bookViews>
    <workbookView xWindow="-110" yWindow="-110" windowWidth="19420" windowHeight="10300" xr2:uid="{2CB8BEA3-E8F9-4B56-8F39-25F826540778}"/>
  </bookViews>
  <sheets>
    <sheet name="Sheet1"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9" i="1" l="1"/>
  <c r="K53" i="1" s="1"/>
  <c r="K66" i="1" s="1"/>
  <c r="L22" i="1"/>
  <c r="E74" i="1"/>
  <c r="L72" i="1"/>
  <c r="M53" i="1"/>
  <c r="M66" i="1" s="1"/>
  <c r="O13" i="1"/>
  <c r="R13" i="1" s="1"/>
  <c r="O9" i="1"/>
  <c r="O14" i="1" l="1"/>
  <c r="R9" i="1"/>
  <c r="R14" i="1" s="1"/>
</calcChain>
</file>

<file path=xl/sharedStrings.xml><?xml version="1.0" encoding="utf-8"?>
<sst xmlns="http://schemas.openxmlformats.org/spreadsheetml/2006/main" count="137" uniqueCount="96">
  <si>
    <t>:</t>
  </si>
  <si>
    <t>Nama KAP</t>
  </si>
  <si>
    <t>MAURICE GANDA NAINGGOLAN DAN REKAN</t>
  </si>
  <si>
    <t>Disiapkan oleh</t>
  </si>
  <si>
    <t>Nama AP</t>
  </si>
  <si>
    <t>Ahalik</t>
  </si>
  <si>
    <t>Tanggal mulai</t>
  </si>
  <si>
    <t>Waktu mulai</t>
  </si>
  <si>
    <t>Nama Klien</t>
  </si>
  <si>
    <t>PT Indo American Seafoods Tbk</t>
  </si>
  <si>
    <t>Tanggal selesai</t>
  </si>
  <si>
    <t>Waktu selesai</t>
  </si>
  <si>
    <t>Alamat klien</t>
  </si>
  <si>
    <t>l. Ir. Sutami KM.13 Sukanegara, Tanjung Bintang, 'Lampung Selatan 35122</t>
  </si>
  <si>
    <t>Jumlah hari</t>
  </si>
  <si>
    <t>Jumlah Jam</t>
  </si>
  <si>
    <t>Tahun Buku</t>
  </si>
  <si>
    <t>Direview oleh</t>
  </si>
  <si>
    <t>Indeks KKP</t>
  </si>
  <si>
    <t>B270</t>
  </si>
  <si>
    <t>Nama Indeks</t>
  </si>
  <si>
    <t>PAKAR MANAJEMEN</t>
  </si>
  <si>
    <t>SA yang relevan</t>
  </si>
  <si>
    <t>SA 500 : Bukti Audit</t>
  </si>
  <si>
    <t>Total waktu</t>
  </si>
  <si>
    <t>Apakah Manajemen menggunakan Pakar Manajemen ?</t>
  </si>
  <si>
    <t>YA</t>
  </si>
  <si>
    <t>Prosedur audit yang dilakukan untuk menguji informasi yang diperoleh dari hasil pekerjaan Pakar Manajemen:</t>
  </si>
  <si>
    <t>Informasi umum Pakar Manajemen</t>
  </si>
  <si>
    <t>No</t>
  </si>
  <si>
    <t>Nama Pakar (Individu/Organisasi)</t>
  </si>
  <si>
    <t>Bidang Keahlian</t>
  </si>
  <si>
    <t>Akun/ Pengungkapan Signifikan</t>
  </si>
  <si>
    <t>Siapa yang mempekerjakan?</t>
  </si>
  <si>
    <t>Kantor Konsultan Aktuaria KKA MARCEL PRYADARSHI SOEPENO</t>
  </si>
  <si>
    <t>Aktuaria</t>
  </si>
  <si>
    <t>Liabilitas imbalan Pascakerja</t>
  </si>
  <si>
    <t>Bagian 1</t>
  </si>
  <si>
    <t>Penentuan Kebutuhan Pakar Manajemen</t>
  </si>
  <si>
    <t>Faktor-faktor Yang Dipertimbangkan</t>
  </si>
  <si>
    <t>Penjelasan/Referensi ke pengujian yang dilakukan</t>
  </si>
  <si>
    <t>Kantor Konsultan Aktuaria Azwir Arifin Dan Rekan</t>
  </si>
  <si>
    <t>Jelaskan pengetahuan atau pengalaman sebelumnya yang dimiliki auditor terkait hal yang dipertimbangkan untuk menggunakan pekerjaan Pakar Manajemen (jika relevan)!</t>
  </si>
  <si>
    <t>Mengacu pada persyaratan pada PSAK 24, Perusahaan menunjuk ahli manajemen untuk menghitung liabilitas imbalan pascakerja yaitu Aktuaris.</t>
  </si>
  <si>
    <t>Apakah terdapat peraturan atau standar yang mengatur pekerkaan pakar manajemen? Jelaskan !</t>
  </si>
  <si>
    <t>Terdapat, Sesuai Peraturan setiap bidang</t>
  </si>
  <si>
    <t>Bagaimana risiko salah saji material dan signifikansi dari hal yang dipertimbangkan, untuk menggunakan keahlian Pakar Manajemen?</t>
  </si>
  <si>
    <t>Tidak terdapat Resiko salah saji</t>
  </si>
  <si>
    <t>Apakah manajemen menggunakan pakar manajemen dalam menyusun laporan keuangan?
Jika iya, maka:
- Bagaimana sifat, cakupan dan tujuan dari pekerjaan pakar manajemen tesebut?
- Seberapa jauh manajemen dapat mempengaruhi/mengendalikan pekerjaan dari pakar manajemen?</t>
  </si>
  <si>
    <t>iya, sebagai tambahan informasi</t>
  </si>
  <si>
    <t>Bagian 2</t>
  </si>
  <si>
    <t>Evaluasi atas kompetensi, kapabilitas dan objektivitas Pakar Manajemen</t>
  </si>
  <si>
    <t>Apakah Pakar Manajemen tersebut memiliki keanggotaan dari asosiasi profesi tertentu, izin berpraktik atau pengakuan dari pihak eksternal? Jelaskan!</t>
  </si>
  <si>
    <t>Keputusan Nomor 1016/KM.1/2021 tanggal 30 Agustus 2021 memberikan izin usaha kepada KKA MPS yang berbentuk badan usaha perorangan dengan nomor izin 4.21.0011.</t>
  </si>
  <si>
    <t>Apakah auditor memiliki pengalaman sebelumnya atau pernah berdiskusi dengan pekerjaan pakar manajemen? Kapan hal tersebut dilakukan ?</t>
  </si>
  <si>
    <t>sudah, saat proses audit belangsung</t>
  </si>
  <si>
    <t>Apakah  Pakar Manajemen memilik journal atau buku yang diterbitkan? Jelaskan !</t>
  </si>
  <si>
    <t>iya, menerbitkan laporan tersendiri</t>
  </si>
  <si>
    <t>Apakah Pakar Manajemen dalam melaksanakan pekerjaannya harus mengikuti standar teknis atau standar profesional tertentu? Jelaskan !</t>
  </si>
  <si>
    <t xml:space="preserve">Iya, berdasarkan Pernyataan Standar Akuntansi Keuangan No. 24 ("PSAK 24") revisi 2013 dan penyesuaian di tahun 2018. Imbalan kerja karyawan yang dihitung dalam laporan aktuaria ini adalah Imbalan
pascakerja (“IPK”), sebagai-mana diatur olehUndang-undang No.11 tahun 2020 (UUCipta Kerja – “UUCK”), Peraturan PemerintahNo. 35 tahun 2021 (“PP35/2021”) dan
Peraturan Perusahaan. 
</t>
  </si>
  <si>
    <t>Apakah kompetensi Pakar Manajemen memenuhi persyaratan standar audit dan standar akuntansi?</t>
  </si>
  <si>
    <t>Sesuai</t>
  </si>
  <si>
    <t>Evaluasi objektivitas Pakar Manajemen :
a) tanyakan kepada perusahaan atau manajemen tentang kepentingan dan hubungan antara perusahaan dengan Pakar Manajemen yang dapat mengancam objektfitas Pakar Manajemen.
b) diskusikan dengan Pakar Manajemen tentang pencegahan yang dapat dilakukan agar ancaman terhadap objektivitas Pakar Manajemen dapat diturunkan pada tingkat yang dapat diterima.</t>
  </si>
  <si>
    <t>Memadai, Pakar Manajemen tidak memiliki hubungan berelasi dengan pihak Perseroan, termasuk manajemen kunci.</t>
  </si>
  <si>
    <t>Bagian 3</t>
  </si>
  <si>
    <t>Pemahaman Pekerjaan Pakar dan Perjanjian Pekerjaan Pakar dengan Manajemen</t>
  </si>
  <si>
    <t>1.</t>
  </si>
  <si>
    <t>a. Bagaimana sifat, ruang lingkup dan tujuan dari pekerjaan Pakar Manajemen?</t>
  </si>
  <si>
    <t>Sifat, Ruang lingkup dan tujuan seseuai dengan ke ahlian masing-masing</t>
  </si>
  <si>
    <t>b. Bagaimana standar kinerja teknis atau standar profesional yang diikuti oleh Pakar Manajemen dalam melaksanakan pekerjaannya?</t>
  </si>
  <si>
    <t>Standar acuan berdasarkan aturan masing-masing profesi</t>
  </si>
  <si>
    <t>c. Bagaimana auditor mempertimbangkan tujuan pekerjaan pakar dalam konteks pertimbangan materialitas dan risiko?</t>
  </si>
  <si>
    <t>auditor menggunakan hasil penilaian dari pakar yang dijadikan acuanuntuk akun yang terkait.</t>
  </si>
  <si>
    <t>Bagaimana peran dan tanggung jawab masing-masing auditor dan Pakar Manajemen?
Apakah auditor atau pakar yang akan melakukan uji detail atas data sumber.
Apakah auditor memerlukan persetujuan pakar untuk mendiskusikan temuan dan simpulan dengan entitas atau pihak lainnya?
Apakah auditor memerlukan persetujuan untuk mecantumkan rincian dari temuan dan simpulan pakar untuk menjadi dasar modifikasi opini dalam laporan auditor independen?
Apakah terdapat perjanjian yang mewajibkan auditor untuk menginformasikan simpulan auditor terkait pekerjaan pakar kepada Pakar Manajemen?</t>
  </si>
  <si>
    <t xml:space="preserve">Auditor mempelajari dan meriviu asumsi yang digunakan oleh Pakar dalam laporan yang diterbitkan. Adanya diskusi lebih lanjut yang dilakukan auditor dengan Pakar terkait hasil laporan dari Pakar. Auditor menggunakan hasil laporan Pakar pada informasi laporan keuangan terkait. Auditor tidak memerlukan persetujuan pakar untuk dasar Opini. Tidak terdapat perjanjian yang mewajibkan auditor untuk meinginformasinkan simpulan auditor kepada Pakar. </t>
  </si>
  <si>
    <t>Apakah sifat, saat dan luas komunikasi antara auditor dengan pakar, termasuk bentuk laporan yang akan disediakan oleh pakar?</t>
  </si>
  <si>
    <t>Laporan yang akan disediakan oleh Pakar sesuai dengan keahlian Pakar dibidangnya dan sifat luasan komunikasi hanya sebatas keahlian dari Pakar.</t>
  </si>
  <si>
    <t>a. Apakah terdapat kebutuhan Pakar Manajemen untuk meng-observasi persyaratan kerahasiaan?</t>
  </si>
  <si>
    <t>Iya</t>
  </si>
  <si>
    <t>b. Apakah perusahaan atau manajemen meminta Pakar Manajemen untuk menyetujui ketentuan kerahasiaan secara spesifik?</t>
  </si>
  <si>
    <t>Bagian 4</t>
  </si>
  <si>
    <t>Evaluasi kesesuaian pekerjaan pakar manajemen sebagai bukti audit</t>
  </si>
  <si>
    <t>a. Apakah pekerjaan pakar manajemen secara signifikan menggunakan sumber data tertentu?
b. Jika ya, bagaimana pakar manajemen telah memverifikasi asal-usul data, termasuk memperoleh pemahaman pengendalian internal atas data tersebut, jika relevan?
c. Apakah pakar manajemen telah mengevaluasi relevansi, kelengkapan dan keakuratan data tersebut?</t>
  </si>
  <si>
    <t>a. Iya, sesuai bidang masing-masing
b. Pakar meminta data ke Manajemen dan mengolah data sesuai keahlian
c. Iya</t>
  </si>
  <si>
    <t>Jelaskan relevansi dan kewajaran asumsi dan metode signifikan yang digunakan dalam pekerjaan pakar, jika Ada!</t>
  </si>
  <si>
    <t xml:space="preserve">Imbalan kerja yang dihitung dalam laporan ini meliputi Imbalan 
Pascakerja (“PEB”) sebagaimana dimaksud dalam UUCK dan PP35/2021. Dalam perhitungan ini, metode atribusi imbalan
telah disesuaikan berdasarkan Siaran Pers
DSAK IAI pada April 2022. 
meliputi Uang Pesangon, Uang Penghargaan Masa Kerja dan Uang Penggantian Hak. Imbalan ini merupakan imbalan kerja jenis manfaat pasti, yang mencakup pembayaran pada usia pensiun, meninggal dunia, cacat/sakit berkepanjangan,
mengundurkan diri dan pembayaran lainnya antara lain dalam hal terjadi perubahan kepemilikan,pengurangan karyawan, perusahaan pailit, dan imbalan lainnya. Besaran imbalan dihitung dengan menggunakan rumus sekaligus yang dinyatakan dalam suatu kelipatan upah bulan terakhir tergantung dari jumlah masa kerja yang telah dijalani. 
</t>
  </si>
  <si>
    <t xml:space="preserve">a. Apakah auditor telah mengevaluasi kecukupan pekerjaan Pakar Manajemen terkait relevansi dan kewajaran dari temuan/simpulan pakar, dan konsistensi-nya dengan bukti audit lain? Jelaskan !
b. Apakah temuan/simpulan tersebut telah tercermin secara tepat dalam laporan keuangan?
</t>
  </si>
  <si>
    <t>Auditor telah mengevaluasi kecukupan pekerjaan dari Pakar Menejemen dan hasil laporan yang telah dikelurakan Pakar manajemen telah sesuai dan telah digunakan dalam laporan auditor</t>
  </si>
  <si>
    <t xml:space="preserve">Kesimpulan : </t>
  </si>
  <si>
    <t>Status KKP</t>
  </si>
  <si>
    <t xml:space="preserve">Menurut auditor, untuk tujuan audit maka pekerjaan pakar manajemen adalah </t>
  </si>
  <si>
    <t>MEMADAI</t>
  </si>
  <si>
    <t>LAMPIRAN KERTAS KERJA</t>
  </si>
  <si>
    <t>31 Desember 2024</t>
  </si>
  <si>
    <t>NLS</t>
  </si>
  <si>
    <t>KNW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</si>
</sst>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21]dd\ mmmm\ yyyy;@"/>
    <numFmt numFmtId="166" formatCode="[$-13809]h:mm;@"/>
    <numFmt numFmtId="167" formatCode="[h]:mm;@"/>
  </numFmts>
  <fonts count="23" x14ac:knownFonts="1">
    <font>
      <sz val="11"/>
      <color theme="1"/>
      <name val="Calibri"/>
      <family val="2"/>
      <charset val="1"/>
      <scheme val="minor"/>
    </font>
    <font>
      <sz val="11"/>
      <color theme="1"/>
      <name val="Calibri"/>
      <family val="2"/>
      <charset val="1"/>
      <scheme val="minor"/>
    </font>
    <font>
      <sz val="11"/>
      <color theme="1"/>
      <name val="Abadi"/>
      <family val="2"/>
    </font>
    <font>
      <sz val="10"/>
      <color theme="1"/>
      <name val="Abadi"/>
      <family val="2"/>
    </font>
    <font>
      <sz val="10"/>
      <color theme="0"/>
      <name val="Abadi"/>
      <family val="2"/>
    </font>
    <font>
      <sz val="11"/>
      <color theme="1"/>
      <name val="Microsoft Sans Serif"/>
      <family val="2"/>
    </font>
    <font>
      <sz val="10"/>
      <color theme="1"/>
      <name val="Microsoft Sans Serif"/>
      <family val="2"/>
    </font>
    <font>
      <b/>
      <i/>
      <sz val="10"/>
      <color rgb="FFFF0000"/>
      <name val="Microsoft Sans Serif"/>
      <family val="2"/>
    </font>
    <font>
      <sz val="11"/>
      <color theme="1"/>
      <name val="Calibri"/>
      <family val="2"/>
      <scheme val="minor"/>
    </font>
    <font>
      <b/>
      <sz val="9"/>
      <color rgb="FF7030A0"/>
      <name val="Microsoft Sans Serif"/>
      <family val="2"/>
    </font>
    <font>
      <b/>
      <sz val="11"/>
      <color theme="1"/>
      <name val="Microsoft Sans Serif"/>
      <family val="2"/>
    </font>
    <font>
      <u/>
      <sz val="11"/>
      <color theme="10"/>
      <name val="Calibri"/>
      <family val="2"/>
      <scheme val="minor"/>
    </font>
    <font>
      <b/>
      <u/>
      <sz val="10"/>
      <color theme="10"/>
      <name val="Microsoft Sans Serif"/>
      <family val="2"/>
    </font>
    <font>
      <sz val="11"/>
      <color rgb="FF7030A0"/>
      <name val="Abadi"/>
      <family val="2"/>
    </font>
    <font>
      <b/>
      <u/>
      <sz val="10"/>
      <color theme="4"/>
      <name val="Microsoft Sans Serif"/>
      <family val="2"/>
    </font>
    <font>
      <b/>
      <i/>
      <sz val="11"/>
      <color rgb="FFFF0000"/>
      <name val="Microsoft Sans Serif"/>
      <family val="2"/>
    </font>
    <font>
      <b/>
      <sz val="11"/>
      <name val="Microsoft Sans Serif"/>
      <family val="2"/>
    </font>
    <font>
      <b/>
      <sz val="11"/>
      <color rgb="FFFF0000"/>
      <name val="Microsoft Sans Serif"/>
      <family val="2"/>
    </font>
    <font>
      <sz val="11"/>
      <color rgb="FFC00000"/>
      <name val="Microsoft Sans Serif"/>
      <family val="2"/>
    </font>
    <font>
      <b/>
      <i/>
      <sz val="11"/>
      <color theme="1"/>
      <name val="Microsoft Sans Serif"/>
      <family val="2"/>
    </font>
    <font>
      <b/>
      <sz val="11"/>
      <color rgb="FFC00000"/>
      <name val="Abadi"/>
      <family val="2"/>
    </font>
    <font>
      <b/>
      <i/>
      <u/>
      <sz val="11"/>
      <color theme="1"/>
      <name val="Abadi"/>
      <family val="2"/>
    </font>
    <font>
      <sz val="9"/>
      <color theme="1"/>
      <name val="Microsoft Sans Serif"/>
      <family val="2"/>
    </font>
  </fonts>
  <fills count="10">
    <fill>
      <patternFill patternType="none"/>
    </fill>
    <fill>
      <patternFill patternType="gray125"/>
    </fill>
    <fill>
      <patternFill patternType="solid">
        <fgColor theme="0" tint="-4.9989318521683403E-2"/>
        <bgColor indexed="64"/>
      </patternFill>
    </fill>
    <fill>
      <patternFill patternType="solid">
        <fgColor rgb="FF0070C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66FFFF"/>
        <bgColor indexed="64"/>
      </patternFill>
    </fill>
  </fills>
  <borders count="22">
    <border>
      <left/>
      <right/>
      <top/>
      <bottom/>
      <diagonal/>
    </border>
    <border>
      <left style="thin">
        <color rgb="FFFF0000"/>
      </left>
      <right style="thin">
        <color rgb="FFFF0000"/>
      </right>
      <top style="thin">
        <color rgb="FFFF0000"/>
      </top>
      <bottom style="thin">
        <color rgb="FFFF0000"/>
      </bottom>
      <diagonal/>
    </border>
    <border>
      <left style="thin">
        <color rgb="FFC00000"/>
      </left>
      <right style="thin">
        <color rgb="FFC00000"/>
      </right>
      <top style="thin">
        <color rgb="FFC00000"/>
      </top>
      <bottom style="thin">
        <color rgb="FFC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C00000"/>
      </left>
      <right/>
      <top style="thin">
        <color rgb="FFC00000"/>
      </top>
      <bottom/>
      <diagonal/>
    </border>
    <border>
      <left/>
      <right/>
      <top style="thin">
        <color rgb="FFC00000"/>
      </top>
      <bottom/>
      <diagonal/>
    </border>
    <border>
      <left style="thin">
        <color rgb="FFC00000"/>
      </left>
      <right/>
      <top/>
      <bottom/>
      <diagonal/>
    </border>
    <border>
      <left style="thin">
        <color rgb="FFC00000"/>
      </left>
      <right/>
      <top/>
      <bottom style="thin">
        <color rgb="FFC00000"/>
      </bottom>
      <diagonal/>
    </border>
    <border>
      <left/>
      <right/>
      <top/>
      <bottom style="thin">
        <color rgb="FFC00000"/>
      </bottom>
      <diagonal/>
    </border>
  </borders>
  <cellStyleXfs count="4">
    <xf numFmtId="0" fontId="0" fillId="0" borderId="0"/>
    <xf numFmtId="164" fontId="1" fillId="0" borderId="0" applyFont="0" applyFill="0" applyBorder="0" applyAlignment="0" applyProtection="0"/>
    <xf numFmtId="0" fontId="1" fillId="0" borderId="0"/>
    <xf numFmtId="0" fontId="11" fillId="0" borderId="0" applyNumberFormat="0" applyFill="0" applyBorder="0" applyAlignment="0" applyProtection="0"/>
  </cellStyleXfs>
  <cellXfs count="130">
    <xf numFmtId="0" fontId="0" fillId="0" borderId="0" xfId="0"/>
    <xf numFmtId="0" fontId="2" fillId="2" borderId="0" xfId="0" applyFont="1" applyFill="1"/>
    <xf numFmtId="0" fontId="0" fillId="3" borderId="0" xfId="0" applyFill="1"/>
    <xf numFmtId="0" fontId="3" fillId="0" borderId="0" xfId="0" applyFont="1"/>
    <xf numFmtId="0" fontId="4" fillId="0" borderId="0" xfId="0" applyFont="1"/>
    <xf numFmtId="0" fontId="5" fillId="4" borderId="0" xfId="0" applyFont="1" applyFill="1" applyAlignment="1">
      <alignment horizontal="center"/>
    </xf>
    <xf numFmtId="0" fontId="5" fillId="4" borderId="0" xfId="0" applyFont="1" applyFill="1"/>
    <xf numFmtId="0" fontId="5" fillId="4" borderId="0" xfId="0" applyFont="1" applyFill="1" applyProtection="1">
      <protection hidden="1"/>
    </xf>
    <xf numFmtId="0" fontId="6" fillId="4" borderId="0" xfId="0" applyFont="1" applyFill="1"/>
    <xf numFmtId="0" fontId="6" fillId="4" borderId="0" xfId="0" applyFont="1" applyFill="1" applyAlignment="1">
      <alignment horizontal="center"/>
    </xf>
    <xf numFmtId="0" fontId="5" fillId="5" borderId="1" xfId="0" applyFont="1" applyFill="1" applyBorder="1" applyProtection="1">
      <protection locked="0"/>
    </xf>
    <xf numFmtId="0" fontId="7" fillId="4" borderId="0" xfId="0" applyFont="1" applyFill="1"/>
    <xf numFmtId="165" fontId="6" fillId="6" borderId="1" xfId="0" applyNumberFormat="1" applyFont="1" applyFill="1" applyBorder="1" applyProtection="1">
      <protection locked="0"/>
    </xf>
    <xf numFmtId="166" fontId="6" fillId="6" borderId="1" xfId="0" applyNumberFormat="1" applyFont="1" applyFill="1" applyBorder="1" applyProtection="1">
      <protection locked="0"/>
    </xf>
    <xf numFmtId="0" fontId="5" fillId="4" borderId="1" xfId="0" applyFont="1" applyFill="1" applyBorder="1"/>
    <xf numFmtId="167" fontId="6" fillId="4" borderId="1" xfId="0" applyNumberFormat="1" applyFont="1" applyFill="1" applyBorder="1" applyAlignment="1">
      <alignment horizontal="right"/>
    </xf>
    <xf numFmtId="164" fontId="6" fillId="4" borderId="0" xfId="1" applyFont="1" applyFill="1" applyProtection="1">
      <protection locked="0"/>
    </xf>
    <xf numFmtId="0" fontId="5" fillId="0" borderId="0" xfId="0" applyFont="1" applyAlignment="1">
      <alignment vertical="top"/>
    </xf>
    <xf numFmtId="0" fontId="5" fillId="4" borderId="0" xfId="0" applyFont="1" applyFill="1" applyAlignment="1">
      <alignment vertical="top"/>
    </xf>
    <xf numFmtId="167" fontId="6" fillId="4" borderId="1" xfId="0" applyNumberFormat="1" applyFont="1" applyFill="1" applyBorder="1"/>
    <xf numFmtId="0" fontId="9" fillId="0" borderId="0" xfId="0" applyFont="1" applyAlignment="1" applyProtection="1">
      <alignment horizontal="center"/>
      <protection hidden="1"/>
    </xf>
    <xf numFmtId="0" fontId="2" fillId="0" borderId="0" xfId="0" applyFont="1" applyProtection="1">
      <protection hidden="1"/>
    </xf>
    <xf numFmtId="0" fontId="10" fillId="7" borderId="2" xfId="2" applyFont="1" applyFill="1" applyBorder="1" applyAlignment="1" applyProtection="1">
      <alignment horizontal="center"/>
      <protection locked="0"/>
    </xf>
    <xf numFmtId="0" fontId="5" fillId="0" borderId="0" xfId="2" applyFont="1"/>
    <xf numFmtId="0" fontId="2" fillId="0" borderId="0" xfId="0" applyFont="1"/>
    <xf numFmtId="0" fontId="12" fillId="0" borderId="0" xfId="3" applyFont="1" applyAlignment="1">
      <alignment horizontal="center"/>
    </xf>
    <xf numFmtId="0" fontId="13" fillId="0" borderId="0" xfId="0" applyFont="1" applyProtection="1">
      <protection hidden="1"/>
    </xf>
    <xf numFmtId="0" fontId="14" fillId="0" borderId="0" xfId="3" applyFont="1" applyAlignment="1">
      <alignment horizontal="center"/>
    </xf>
    <xf numFmtId="0" fontId="5" fillId="0" borderId="0" xfId="2" applyFont="1" applyAlignment="1">
      <alignment vertical="top"/>
    </xf>
    <xf numFmtId="0" fontId="10" fillId="0" borderId="0" xfId="2" applyFont="1"/>
    <xf numFmtId="0" fontId="5" fillId="0" borderId="3" xfId="2" applyFont="1" applyBorder="1" applyAlignment="1">
      <alignment horizontal="center" vertical="center"/>
    </xf>
    <xf numFmtId="0" fontId="5" fillId="0" borderId="15" xfId="2" applyFont="1" applyBorder="1" applyAlignment="1">
      <alignment horizontal="center" vertical="top"/>
    </xf>
    <xf numFmtId="0" fontId="6" fillId="8" borderId="15" xfId="2" applyFont="1" applyFill="1" applyBorder="1" applyAlignment="1" applyProtection="1">
      <alignment horizontal="center" vertical="top"/>
      <protection locked="0"/>
    </xf>
    <xf numFmtId="0" fontId="5" fillId="0" borderId="0" xfId="2" applyFont="1" applyProtection="1">
      <protection locked="0"/>
    </xf>
    <xf numFmtId="0" fontId="5" fillId="0" borderId="15" xfId="2" applyFont="1" applyBorder="1" applyAlignment="1" applyProtection="1">
      <alignment horizontal="center" vertical="top"/>
      <protection locked="0"/>
    </xf>
    <xf numFmtId="0" fontId="6" fillId="8" borderId="15" xfId="2" applyFont="1" applyFill="1" applyBorder="1" applyAlignment="1" applyProtection="1">
      <alignment horizontal="center" vertical="top" wrapText="1"/>
      <protection locked="0"/>
    </xf>
    <xf numFmtId="0" fontId="5" fillId="0" borderId="12" xfId="2" applyFont="1" applyBorder="1" applyAlignment="1">
      <alignment horizontal="left" vertical="center"/>
    </xf>
    <xf numFmtId="0" fontId="5" fillId="0" borderId="13" xfId="2" applyFont="1" applyBorder="1" applyAlignment="1">
      <alignment horizontal="center" vertical="center"/>
    </xf>
    <xf numFmtId="0" fontId="5" fillId="0" borderId="14" xfId="2" applyFont="1" applyBorder="1" applyAlignment="1">
      <alignment horizontal="center" vertical="center"/>
    </xf>
    <xf numFmtId="0" fontId="5" fillId="8" borderId="15" xfId="2" applyFont="1" applyFill="1" applyBorder="1" applyAlignment="1" applyProtection="1">
      <alignment horizontal="left" vertical="top"/>
      <protection locked="0"/>
    </xf>
    <xf numFmtId="0" fontId="5" fillId="0" borderId="5" xfId="2" applyFont="1" applyBorder="1" applyAlignment="1">
      <alignment horizontal="left" vertical="top"/>
    </xf>
    <xf numFmtId="0" fontId="5" fillId="0" borderId="10" xfId="2" applyFont="1" applyBorder="1" applyAlignment="1">
      <alignment horizontal="left" vertical="top" wrapText="1"/>
    </xf>
    <xf numFmtId="0" fontId="5" fillId="0" borderId="6" xfId="2" applyFont="1" applyBorder="1" applyAlignment="1">
      <alignment horizontal="left" vertical="top" wrapText="1"/>
    </xf>
    <xf numFmtId="0" fontId="6" fillId="8" borderId="15" xfId="2" applyFont="1" applyFill="1" applyBorder="1" applyAlignment="1" applyProtection="1">
      <alignment horizontal="left" vertical="top" wrapText="1"/>
      <protection locked="0"/>
    </xf>
    <xf numFmtId="0" fontId="16" fillId="4" borderId="2" xfId="0" applyFont="1" applyFill="1" applyBorder="1" applyAlignment="1">
      <alignment horizontal="center" vertical="center"/>
    </xf>
    <xf numFmtId="0" fontId="5" fillId="7" borderId="2" xfId="2" applyFont="1" applyFill="1" applyBorder="1" applyAlignment="1" applyProtection="1">
      <alignment horizontal="center"/>
      <protection locked="0"/>
    </xf>
    <xf numFmtId="0" fontId="17" fillId="9" borderId="2" xfId="0" applyFont="1" applyFill="1" applyBorder="1" applyAlignment="1">
      <alignment horizontal="center"/>
    </xf>
    <xf numFmtId="0" fontId="5" fillId="0" borderId="0" xfId="2" applyFont="1" applyAlignment="1">
      <alignment horizontal="center"/>
    </xf>
    <xf numFmtId="0" fontId="18" fillId="0" borderId="0" xfId="0" quotePrefix="1" applyFont="1"/>
    <xf numFmtId="0" fontId="5" fillId="0" borderId="0" xfId="0" applyFont="1"/>
    <xf numFmtId="0" fontId="19" fillId="0" borderId="0" xfId="0" applyFont="1"/>
    <xf numFmtId="0" fontId="20" fillId="0" borderId="0" xfId="0" applyFont="1"/>
    <xf numFmtId="0" fontId="21" fillId="4" borderId="17" xfId="0" applyFont="1" applyFill="1" applyBorder="1" applyProtection="1">
      <protection locked="0"/>
    </xf>
    <xf numFmtId="0" fontId="8" fillId="4" borderId="18" xfId="0" applyFont="1" applyFill="1" applyBorder="1" applyProtection="1">
      <protection locked="0"/>
    </xf>
    <xf numFmtId="0" fontId="8" fillId="4" borderId="7" xfId="0" applyFont="1" applyFill="1" applyBorder="1" applyProtection="1">
      <protection locked="0"/>
    </xf>
    <xf numFmtId="0" fontId="8" fillId="4" borderId="19" xfId="0" applyFont="1" applyFill="1" applyBorder="1" applyProtection="1">
      <protection locked="0"/>
    </xf>
    <xf numFmtId="0" fontId="8" fillId="4" borderId="0" xfId="0" applyFont="1" applyFill="1" applyProtection="1">
      <protection locked="0"/>
    </xf>
    <xf numFmtId="0" fontId="2" fillId="4" borderId="20" xfId="0" applyFont="1" applyFill="1" applyBorder="1" applyProtection="1">
      <protection locked="0"/>
    </xf>
    <xf numFmtId="0" fontId="2" fillId="4" borderId="21" xfId="0" applyFont="1" applyFill="1" applyBorder="1" applyProtection="1">
      <protection locked="0"/>
    </xf>
    <xf numFmtId="0" fontId="2" fillId="4" borderId="7" xfId="0" applyFont="1" applyFill="1" applyBorder="1" applyProtection="1">
      <protection locked="0"/>
    </xf>
    <xf numFmtId="0" fontId="5" fillId="8" borderId="15" xfId="2" applyFont="1" applyFill="1" applyBorder="1" applyAlignment="1" applyProtection="1">
      <alignment horizontal="left" vertical="top" wrapText="1"/>
      <protection locked="0"/>
    </xf>
    <xf numFmtId="0" fontId="5" fillId="4" borderId="0" xfId="0" quotePrefix="1" applyFont="1" applyFill="1" applyProtection="1">
      <protection hidden="1"/>
    </xf>
    <xf numFmtId="0" fontId="5" fillId="8" borderId="5" xfId="2" applyFont="1" applyFill="1" applyBorder="1" applyAlignment="1" applyProtection="1">
      <alignment horizontal="center" vertical="center"/>
      <protection locked="0"/>
    </xf>
    <xf numFmtId="0" fontId="5" fillId="0" borderId="8" xfId="2" applyFont="1" applyBorder="1" applyAlignment="1">
      <alignment horizontal="center" vertical="center"/>
    </xf>
    <xf numFmtId="0" fontId="5" fillId="0" borderId="11" xfId="2" applyFont="1" applyBorder="1" applyAlignment="1">
      <alignment horizontal="center" vertical="center"/>
    </xf>
    <xf numFmtId="0" fontId="5" fillId="0" borderId="3" xfId="2" applyFont="1" applyBorder="1" applyAlignment="1">
      <alignment horizontal="center" vertical="center"/>
    </xf>
    <xf numFmtId="0" fontId="5" fillId="0" borderId="9" xfId="2" applyFont="1" applyBorder="1" applyAlignment="1">
      <alignment horizontal="center" vertical="center"/>
    </xf>
    <xf numFmtId="0" fontId="5" fillId="0" borderId="4" xfId="2" applyFont="1" applyBorder="1" applyAlignment="1">
      <alignment horizontal="center" vertical="center"/>
    </xf>
    <xf numFmtId="0" fontId="5" fillId="0" borderId="12" xfId="2" applyFont="1" applyBorder="1" applyAlignment="1">
      <alignment horizontal="center" vertical="center"/>
    </xf>
    <xf numFmtId="0" fontId="5" fillId="0" borderId="13" xfId="2" applyFont="1" applyBorder="1" applyAlignment="1">
      <alignment horizontal="center" vertical="center"/>
    </xf>
    <xf numFmtId="0" fontId="5" fillId="0" borderId="14" xfId="2" applyFont="1" applyBorder="1" applyAlignment="1">
      <alignment horizontal="center" vertical="center"/>
    </xf>
    <xf numFmtId="0" fontId="22" fillId="0" borderId="5" xfId="2" applyFont="1" applyBorder="1" applyAlignment="1" applyProtection="1">
      <alignment horizontal="left" vertical="top"/>
      <protection locked="0"/>
    </xf>
    <xf numFmtId="0" fontId="22" fillId="0" borderId="6" xfId="2" applyFont="1" applyBorder="1" applyAlignment="1" applyProtection="1">
      <alignment horizontal="left" vertical="top"/>
      <protection locked="0"/>
    </xf>
    <xf numFmtId="0" fontId="5" fillId="0" borderId="0" xfId="2" quotePrefix="1" applyFont="1" applyAlignment="1" applyProtection="1">
      <alignment horizontal="left" vertical="top"/>
      <protection locked="0"/>
    </xf>
    <xf numFmtId="0" fontId="5" fillId="0" borderId="15" xfId="2" applyFont="1" applyBorder="1" applyAlignment="1">
      <alignment horizontal="left" vertical="top" wrapText="1"/>
    </xf>
    <xf numFmtId="0" fontId="5" fillId="0" borderId="15" xfId="2" applyFont="1" applyBorder="1" applyAlignment="1">
      <alignment horizontal="left" vertical="top"/>
    </xf>
    <xf numFmtId="0" fontId="6" fillId="8" borderId="5" xfId="2" applyFont="1" applyFill="1" applyBorder="1" applyAlignment="1" applyProtection="1">
      <alignment horizontal="left" vertical="center" wrapText="1"/>
      <protection locked="0"/>
    </xf>
    <xf numFmtId="0" fontId="6" fillId="8" borderId="6" xfId="2" applyFont="1" applyFill="1" applyBorder="1" applyAlignment="1" applyProtection="1">
      <alignment horizontal="left" vertical="center" wrapText="1"/>
      <protection locked="0"/>
    </xf>
    <xf numFmtId="0" fontId="5" fillId="0" borderId="5" xfId="2" applyFont="1" applyBorder="1" applyAlignment="1">
      <alignment horizontal="left" vertical="top" wrapText="1"/>
    </xf>
    <xf numFmtId="0" fontId="5" fillId="0" borderId="10" xfId="2" applyFont="1" applyBorder="1" applyAlignment="1">
      <alignment horizontal="left" vertical="top" wrapText="1"/>
    </xf>
    <xf numFmtId="0" fontId="5" fillId="0" borderId="6" xfId="2" applyFont="1" applyBorder="1" applyAlignment="1">
      <alignment horizontal="left" vertical="top" wrapText="1"/>
    </xf>
    <xf numFmtId="0" fontId="6" fillId="8" borderId="5" xfId="2" applyFont="1" applyFill="1" applyBorder="1" applyAlignment="1" applyProtection="1">
      <alignment horizontal="center" vertical="top" wrapText="1"/>
      <protection locked="0"/>
    </xf>
    <xf numFmtId="0" fontId="6" fillId="8" borderId="6" xfId="2" applyFont="1" applyFill="1" applyBorder="1" applyAlignment="1" applyProtection="1">
      <alignment horizontal="center" vertical="top" wrapText="1"/>
      <protection locked="0"/>
    </xf>
    <xf numFmtId="0" fontId="5" fillId="8" borderId="5" xfId="2" applyFont="1" applyFill="1" applyBorder="1" applyAlignment="1" applyProtection="1">
      <alignment vertical="top" wrapText="1"/>
      <protection locked="0"/>
    </xf>
    <xf numFmtId="0" fontId="5" fillId="8" borderId="6" xfId="2" applyFont="1" applyFill="1" applyBorder="1" applyAlignment="1" applyProtection="1">
      <alignment vertical="top" wrapText="1"/>
      <protection locked="0"/>
    </xf>
    <xf numFmtId="0" fontId="6" fillId="8" borderId="5" xfId="2" applyFont="1" applyFill="1" applyBorder="1" applyAlignment="1" applyProtection="1">
      <alignment horizontal="left" vertical="top" wrapText="1"/>
      <protection locked="0"/>
    </xf>
    <xf numFmtId="0" fontId="6" fillId="8" borderId="6" xfId="2" applyFont="1" applyFill="1" applyBorder="1" applyAlignment="1" applyProtection="1">
      <alignment horizontal="left" vertical="top"/>
      <protection locked="0"/>
    </xf>
    <xf numFmtId="0" fontId="5" fillId="8" borderId="5" xfId="2" applyFont="1" applyFill="1" applyBorder="1" applyAlignment="1" applyProtection="1">
      <alignment horizontal="center" vertical="top" wrapText="1"/>
      <protection locked="0"/>
    </xf>
    <xf numFmtId="0" fontId="5" fillId="8" borderId="6" xfId="2" applyFont="1" applyFill="1" applyBorder="1" applyAlignment="1" applyProtection="1">
      <alignment horizontal="center" vertical="top" wrapText="1"/>
      <protection locked="0"/>
    </xf>
    <xf numFmtId="0" fontId="6" fillId="8" borderId="5" xfId="2" applyFont="1" applyFill="1" applyBorder="1" applyAlignment="1" applyProtection="1">
      <alignment horizontal="center" vertical="top"/>
      <protection locked="0"/>
    </xf>
    <xf numFmtId="0" fontId="6" fillId="8" borderId="6" xfId="2" applyFont="1" applyFill="1" applyBorder="1" applyAlignment="1" applyProtection="1">
      <alignment horizontal="center" vertical="top"/>
      <protection locked="0"/>
    </xf>
    <xf numFmtId="0" fontId="5" fillId="0" borderId="5" xfId="2" applyFont="1" applyBorder="1" applyAlignment="1" applyProtection="1">
      <alignment horizontal="center" vertical="center" wrapText="1"/>
      <protection locked="0"/>
    </xf>
    <xf numFmtId="0" fontId="5" fillId="0" borderId="10" xfId="2" applyFont="1" applyBorder="1" applyAlignment="1" applyProtection="1">
      <alignment horizontal="center" vertical="center" wrapText="1"/>
      <protection locked="0"/>
    </xf>
    <xf numFmtId="0" fontId="5" fillId="0" borderId="6" xfId="2" applyFont="1" applyBorder="1" applyAlignment="1" applyProtection="1">
      <alignment horizontal="center" vertical="center" wrapText="1"/>
      <protection locked="0"/>
    </xf>
    <xf numFmtId="0" fontId="5" fillId="0" borderId="8" xfId="2" applyFont="1" applyBorder="1" applyAlignment="1">
      <alignment horizontal="center" vertical="top"/>
    </xf>
    <xf numFmtId="0" fontId="5" fillId="0" borderId="16" xfId="2" applyFont="1" applyBorder="1" applyAlignment="1">
      <alignment horizontal="center" vertical="top"/>
    </xf>
    <xf numFmtId="0" fontId="5" fillId="0" borderId="11" xfId="2" applyFont="1" applyBorder="1" applyAlignment="1">
      <alignment horizontal="center" vertical="top"/>
    </xf>
    <xf numFmtId="0" fontId="5" fillId="8" borderId="5" xfId="2" applyFont="1" applyFill="1" applyBorder="1" applyAlignment="1" applyProtection="1">
      <alignment horizontal="left" vertical="top"/>
      <protection locked="0"/>
    </xf>
    <xf numFmtId="0" fontId="5" fillId="8" borderId="6" xfId="2" applyFont="1" applyFill="1" applyBorder="1" applyAlignment="1" applyProtection="1">
      <alignment horizontal="left" vertical="top"/>
      <protection locked="0"/>
    </xf>
    <xf numFmtId="0" fontId="5" fillId="8" borderId="5" xfId="2" applyFont="1" applyFill="1" applyBorder="1" applyAlignment="1" applyProtection="1">
      <alignment horizontal="left" vertical="top" wrapText="1"/>
      <protection locked="0"/>
    </xf>
    <xf numFmtId="0" fontId="5" fillId="8" borderId="6" xfId="2" applyFont="1" applyFill="1" applyBorder="1" applyAlignment="1" applyProtection="1">
      <alignment horizontal="left" vertical="top" wrapText="1"/>
      <protection locked="0"/>
    </xf>
    <xf numFmtId="0" fontId="6" fillId="0" borderId="5" xfId="2" applyFont="1" applyBorder="1" applyAlignment="1" applyProtection="1">
      <alignment horizontal="left" vertical="top"/>
      <protection locked="0"/>
    </xf>
    <xf numFmtId="0" fontId="6" fillId="0" borderId="6" xfId="2" applyFont="1" applyBorder="1" applyAlignment="1" applyProtection="1">
      <alignment horizontal="left" vertical="top"/>
      <protection locked="0"/>
    </xf>
    <xf numFmtId="0" fontId="5" fillId="0" borderId="5" xfId="2" applyFont="1" applyBorder="1" applyAlignment="1" applyProtection="1">
      <alignment horizontal="center" vertical="top"/>
      <protection locked="0"/>
    </xf>
    <xf numFmtId="0" fontId="5" fillId="0" borderId="6" xfId="2" applyFont="1" applyBorder="1" applyAlignment="1" applyProtection="1">
      <alignment horizontal="center" vertical="top"/>
      <protection locked="0"/>
    </xf>
    <xf numFmtId="0" fontId="5" fillId="0" borderId="7" xfId="2" applyFont="1" applyBorder="1" applyAlignment="1">
      <alignment horizontal="left"/>
    </xf>
    <xf numFmtId="0" fontId="5" fillId="0" borderId="0" xfId="2" applyFont="1" applyAlignment="1">
      <alignment horizontal="left"/>
    </xf>
    <xf numFmtId="0" fontId="5" fillId="0" borderId="5" xfId="2" applyFont="1" applyBorder="1" applyAlignment="1">
      <alignment horizontal="center" vertical="center" wrapText="1"/>
    </xf>
    <xf numFmtId="0" fontId="5" fillId="0" borderId="10" xfId="2" applyFont="1" applyBorder="1" applyAlignment="1">
      <alignment horizontal="center" vertical="center" wrapText="1"/>
    </xf>
    <xf numFmtId="0" fontId="5" fillId="0" borderId="5" xfId="2" applyFont="1" applyBorder="1" applyAlignment="1">
      <alignment horizontal="center" vertical="top"/>
    </xf>
    <xf numFmtId="0" fontId="5" fillId="0" borderId="6" xfId="2" applyFont="1" applyBorder="1" applyAlignment="1">
      <alignment horizontal="center" vertical="top"/>
    </xf>
    <xf numFmtId="0" fontId="6" fillId="8" borderId="6" xfId="2" applyFont="1" applyFill="1" applyBorder="1" applyAlignment="1" applyProtection="1">
      <alignment horizontal="left" vertical="top" wrapText="1"/>
      <protection locked="0"/>
    </xf>
    <xf numFmtId="0" fontId="5" fillId="8" borderId="5" xfId="2" applyFont="1" applyFill="1" applyBorder="1" applyAlignment="1" applyProtection="1">
      <alignment horizontal="left" vertical="center"/>
      <protection locked="0"/>
    </xf>
    <xf numFmtId="0" fontId="5" fillId="8" borderId="6" xfId="2" applyFont="1" applyFill="1" applyBorder="1" applyAlignment="1" applyProtection="1">
      <alignment horizontal="left" vertical="center"/>
      <protection locked="0"/>
    </xf>
    <xf numFmtId="0" fontId="5" fillId="8" borderId="5" xfId="2" applyFont="1" applyFill="1" applyBorder="1" applyAlignment="1" applyProtection="1">
      <alignment horizontal="left"/>
      <protection locked="0"/>
    </xf>
    <xf numFmtId="0" fontId="5" fillId="8" borderId="6" xfId="2" applyFont="1" applyFill="1" applyBorder="1" applyAlignment="1" applyProtection="1">
      <alignment horizontal="left"/>
      <protection locked="0"/>
    </xf>
    <xf numFmtId="0" fontId="5" fillId="0" borderId="7" xfId="2" applyFont="1" applyBorder="1" applyAlignment="1">
      <alignment horizontal="center" vertical="center" wrapText="1"/>
    </xf>
    <xf numFmtId="0" fontId="5" fillId="0" borderId="0" xfId="2" applyFont="1" applyAlignment="1">
      <alignment horizontal="center" vertical="center" wrapText="1"/>
    </xf>
    <xf numFmtId="0" fontId="22" fillId="8" borderId="5" xfId="2" applyFont="1" applyFill="1" applyBorder="1" applyAlignment="1" applyProtection="1">
      <alignment horizontal="left" vertical="center"/>
      <protection locked="0"/>
    </xf>
    <xf numFmtId="0" fontId="22" fillId="8" borderId="6" xfId="2" applyFont="1" applyFill="1" applyBorder="1" applyAlignment="1" applyProtection="1">
      <alignment horizontal="left" vertical="center"/>
      <protection locked="0"/>
    </xf>
    <xf numFmtId="0" fontId="5" fillId="8" borderId="5" xfId="2" applyFont="1" applyFill="1" applyBorder="1" applyAlignment="1" applyProtection="1">
      <alignment horizontal="left" wrapText="1"/>
      <protection locked="0"/>
    </xf>
    <xf numFmtId="0" fontId="5" fillId="8" borderId="6" xfId="2" applyFont="1" applyFill="1" applyBorder="1" applyAlignment="1" applyProtection="1">
      <alignment horizontal="left" wrapText="1"/>
      <protection locked="0"/>
    </xf>
    <xf numFmtId="0" fontId="15" fillId="0" borderId="7" xfId="2" quotePrefix="1" applyFont="1" applyBorder="1" applyAlignment="1">
      <alignment horizontal="left"/>
    </xf>
    <xf numFmtId="0" fontId="15" fillId="0" borderId="0" xfId="2" applyFont="1" applyAlignment="1">
      <alignment horizontal="left"/>
    </xf>
    <xf numFmtId="0" fontId="10" fillId="0" borderId="0" xfId="2" applyFont="1" applyAlignment="1">
      <alignment horizontal="left"/>
    </xf>
    <xf numFmtId="0" fontId="10" fillId="0" borderId="0" xfId="2" applyFont="1" applyAlignment="1">
      <alignment horizontal="left" vertical="top" wrapText="1"/>
    </xf>
    <xf numFmtId="0" fontId="5" fillId="0" borderId="5" xfId="2" applyFont="1" applyBorder="1" applyAlignment="1">
      <alignment horizontal="center" wrapText="1"/>
    </xf>
    <xf numFmtId="0" fontId="5" fillId="0" borderId="6" xfId="2" applyFont="1" applyBorder="1" applyAlignment="1">
      <alignment horizontal="center" wrapText="1"/>
    </xf>
    <xf numFmtId="0" fontId="5" fillId="0" borderId="3" xfId="2" applyFont="1" applyBorder="1" applyAlignment="1">
      <alignment horizontal="center" vertical="center" wrapText="1"/>
    </xf>
    <xf numFmtId="0" fontId="5" fillId="0" borderId="4" xfId="2" applyFont="1" applyBorder="1" applyAlignment="1">
      <alignment horizontal="center" vertical="center" wrapText="1"/>
    </xf>
  </cellXfs>
  <cellStyles count="4">
    <cellStyle name="Comma" xfId="1" builtinId="3"/>
    <cellStyle name="Hyperlink" xfId="3" builtinId="8"/>
    <cellStyle name="Normal" xfId="0" builtinId="0"/>
    <cellStyle name="Normal 2 4" xfId="2" xr:uid="{5831137D-F61B-4972-ACBD-B762EBF0C4FF}"/>
  </cellStyles>
  <dxfs count="5">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39994506668294322"/>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hyperlink" Target="#Content!A1"/><Relationship Id="rId1" Type="http://schemas.openxmlformats.org/officeDocument/2006/relationships/hyperlink" Target="#AuditCycle!A1"/><Relationship Id="rId6" Type="http://schemas.openxmlformats.org/officeDocument/2006/relationships/hyperlink" Target="#'B280'!A1"/><Relationship Id="rId5" Type="http://schemas.openxmlformats.org/officeDocument/2006/relationships/hyperlink" Target="#'B260'!A1"/><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29157</xdr:rowOff>
    </xdr:from>
    <xdr:to>
      <xdr:col>6</xdr:col>
      <xdr:colOff>497417</xdr:colOff>
      <xdr:row>3</xdr:row>
      <xdr:rowOff>117992</xdr:rowOff>
    </xdr:to>
    <xdr:grpSp>
      <xdr:nvGrpSpPr>
        <xdr:cNvPr id="2" name="Group 1">
          <a:extLst>
            <a:ext uri="{FF2B5EF4-FFF2-40B4-BE49-F238E27FC236}">
              <a16:creationId xmlns:a16="http://schemas.microsoft.com/office/drawing/2014/main" id="{17FA13DE-63C9-44EE-8DE7-88D94A05BC66}"/>
            </a:ext>
          </a:extLst>
        </xdr:cNvPr>
        <xdr:cNvGrpSpPr/>
      </xdr:nvGrpSpPr>
      <xdr:grpSpPr>
        <a:xfrm>
          <a:off x="0" y="29157"/>
          <a:ext cx="3132667" cy="641285"/>
          <a:chOff x="914400" y="7381875"/>
          <a:chExt cx="3149147" cy="657225"/>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2779BBF4-9B48-4C9B-B18A-AC06CE4BFD93}"/>
              </a:ext>
            </a:extLst>
          </xdr:cNvPr>
          <xdr:cNvSpPr/>
        </xdr:nvSpPr>
        <xdr:spPr>
          <a:xfrm>
            <a:off x="1676400" y="7491412"/>
            <a:ext cx="1121456" cy="349250"/>
          </a:xfrm>
          <a:prstGeom prst="roundRect">
            <a:avLst/>
          </a:prstGeom>
          <a:solidFill>
            <a:schemeClr val="accent5">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400" b="1" baseline="0">
                <a:solidFill>
                  <a:sysClr val="windowText" lastClr="000000"/>
                </a:solidFill>
                <a:latin typeface="+mj-lt"/>
              </a:rPr>
              <a:t>Audit Cycle</a:t>
            </a:r>
            <a:endParaRPr lang="en-US" sz="1400" b="1">
              <a:solidFill>
                <a:sysClr val="windowText" lastClr="000000"/>
              </a:solidFill>
              <a:latin typeface="+mj-lt"/>
            </a:endParaRPr>
          </a:p>
        </xdr:txBody>
      </xdr:sp>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6A5802AA-05B5-4415-8160-D3C124B233EE}"/>
              </a:ext>
            </a:extLst>
          </xdr:cNvPr>
          <xdr:cNvSpPr/>
        </xdr:nvSpPr>
        <xdr:spPr>
          <a:xfrm>
            <a:off x="2943225" y="7491412"/>
            <a:ext cx="1120322" cy="349250"/>
          </a:xfrm>
          <a:prstGeom prst="roundRect">
            <a:avLst/>
          </a:prstGeom>
          <a:solidFill>
            <a:schemeClr val="accent4"/>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1" baseline="0">
                <a:solidFill>
                  <a:sysClr val="windowText" lastClr="000000"/>
                </a:solidFill>
                <a:latin typeface="+mj-lt"/>
              </a:rPr>
              <a:t>Content</a:t>
            </a:r>
            <a:endParaRPr lang="en-US" sz="1600" b="1">
              <a:solidFill>
                <a:sysClr val="windowText" lastClr="000000"/>
              </a:solidFill>
              <a:latin typeface="+mj-lt"/>
            </a:endParaRPr>
          </a:p>
        </xdr:txBody>
      </xdr:sp>
      <xdr:pic>
        <xdr:nvPicPr>
          <xdr:cNvPr id="5" name="Picture 4">
            <a:hlinkClick xmlns:r="http://schemas.openxmlformats.org/officeDocument/2006/relationships" r:id="rId3"/>
            <a:extLst>
              <a:ext uri="{FF2B5EF4-FFF2-40B4-BE49-F238E27FC236}">
                <a16:creationId xmlns:a16="http://schemas.microsoft.com/office/drawing/2014/main" id="{99DC44F4-B0EF-49B4-8012-98EFDCAB49EF}"/>
              </a:ext>
            </a:extLst>
          </xdr:cNvPr>
          <xdr:cNvPicPr>
            <a:picLocks noChangeAspect="1"/>
          </xdr:cNvPicPr>
        </xdr:nvPicPr>
        <xdr:blipFill>
          <a:blip xmlns:r="http://schemas.openxmlformats.org/officeDocument/2006/relationships" r:embed="rId4"/>
          <a:stretch>
            <a:fillRect/>
          </a:stretch>
        </xdr:blipFill>
        <xdr:spPr>
          <a:xfrm>
            <a:off x="914400" y="7381875"/>
            <a:ext cx="657957" cy="657225"/>
          </a:xfrm>
          <a:prstGeom prst="ellipse">
            <a:avLst/>
          </a:prstGeom>
          <a:ln>
            <a:noFill/>
          </a:ln>
          <a:effectLst>
            <a:softEdge rad="112500"/>
          </a:effectLst>
        </xdr:spPr>
      </xdr:pic>
    </xdr:grpSp>
    <xdr:clientData/>
  </xdr:twoCellAnchor>
  <xdr:twoCellAnchor>
    <xdr:from>
      <xdr:col>14</xdr:col>
      <xdr:colOff>814916</xdr:colOff>
      <xdr:row>0</xdr:row>
      <xdr:rowOff>31750</xdr:rowOff>
    </xdr:from>
    <xdr:to>
      <xdr:col>15</xdr:col>
      <xdr:colOff>335490</xdr:colOff>
      <xdr:row>3</xdr:row>
      <xdr:rowOff>161134</xdr:rowOff>
    </xdr:to>
    <xdr:sp macro="" textlink="">
      <xdr:nvSpPr>
        <xdr:cNvPr id="6" name="Arrow: Notched Right 5">
          <a:hlinkClick xmlns:r="http://schemas.openxmlformats.org/officeDocument/2006/relationships" r:id="rId5"/>
          <a:extLst>
            <a:ext uri="{FF2B5EF4-FFF2-40B4-BE49-F238E27FC236}">
              <a16:creationId xmlns:a16="http://schemas.microsoft.com/office/drawing/2014/main" id="{78B12C7B-4D1F-45AD-B8BA-71B4C8A6A38D}"/>
            </a:ext>
          </a:extLst>
        </xdr:cNvPr>
        <xdr:cNvSpPr/>
      </xdr:nvSpPr>
      <xdr:spPr>
        <a:xfrm rot="10800000" flipV="1">
          <a:off x="12644966" y="31750"/>
          <a:ext cx="1168399" cy="700884"/>
        </a:xfrm>
        <a:prstGeom prst="notchedRightArrow">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ysClr val="windowText" lastClr="000000"/>
              </a:solidFill>
              <a:latin typeface="Microsoft Sans Serif" panose="020B0604020202020204" pitchFamily="34" charset="0"/>
              <a:ea typeface="Microsoft Sans Serif" panose="020B0604020202020204" pitchFamily="34" charset="0"/>
              <a:cs typeface="Microsoft Sans Serif" panose="020B0604020202020204" pitchFamily="34" charset="0"/>
            </a:rPr>
            <a:t>PREVIOUS</a:t>
          </a:r>
          <a:r>
            <a:rPr lang="en-US" sz="900" b="1" baseline="0">
              <a:solidFill>
                <a:sysClr val="windowText" lastClr="000000"/>
              </a:solidFill>
              <a:latin typeface="Microsoft Sans Serif" panose="020B0604020202020204" pitchFamily="34" charset="0"/>
              <a:ea typeface="Microsoft Sans Serif" panose="020B0604020202020204" pitchFamily="34" charset="0"/>
              <a:cs typeface="Microsoft Sans Serif" panose="020B0604020202020204" pitchFamily="34" charset="0"/>
            </a:rPr>
            <a:t> INDEKS</a:t>
          </a:r>
          <a:endParaRPr lang="en-US" sz="900" b="1">
            <a:solidFill>
              <a:sysClr val="windowText" lastClr="000000"/>
            </a:solidFill>
            <a:latin typeface="Microsoft Sans Serif" panose="020B0604020202020204" pitchFamily="34" charset="0"/>
            <a:ea typeface="Microsoft Sans Serif" panose="020B0604020202020204" pitchFamily="34" charset="0"/>
            <a:cs typeface="Microsoft Sans Serif" panose="020B0604020202020204" pitchFamily="34" charset="0"/>
          </a:endParaRPr>
        </a:p>
      </xdr:txBody>
    </xdr:sp>
    <xdr:clientData/>
  </xdr:twoCellAnchor>
  <xdr:twoCellAnchor>
    <xdr:from>
      <xdr:col>15</xdr:col>
      <xdr:colOff>337608</xdr:colOff>
      <xdr:row>0</xdr:row>
      <xdr:rowOff>0</xdr:rowOff>
    </xdr:from>
    <xdr:to>
      <xdr:col>17</xdr:col>
      <xdr:colOff>508000</xdr:colOff>
      <xdr:row>4</xdr:row>
      <xdr:rowOff>23812</xdr:rowOff>
    </xdr:to>
    <xdr:sp macro="" textlink="">
      <xdr:nvSpPr>
        <xdr:cNvPr id="7" name="Arrow: Notched Right 6">
          <a:hlinkClick xmlns:r="http://schemas.openxmlformats.org/officeDocument/2006/relationships" r:id="rId6"/>
          <a:extLst>
            <a:ext uri="{FF2B5EF4-FFF2-40B4-BE49-F238E27FC236}">
              <a16:creationId xmlns:a16="http://schemas.microsoft.com/office/drawing/2014/main" id="{C43CC89F-7551-4A70-ADCF-90B3EE729AC7}"/>
            </a:ext>
          </a:extLst>
        </xdr:cNvPr>
        <xdr:cNvSpPr/>
      </xdr:nvSpPr>
      <xdr:spPr>
        <a:xfrm>
          <a:off x="13815483" y="0"/>
          <a:ext cx="1160992" cy="785812"/>
        </a:xfrm>
        <a:prstGeom prst="notchedRightArrow">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TO NEXT INDEKS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kumen\ade\ade\DATA%20ADE\ade%20mgn\Project\Djasa%20Ubersakti\ATLAS\aplikasi-atlas-2018-version-2.0-%20PT%20D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LAS"/>
      <sheetName val="Home"/>
      <sheetName val="AuditCycle"/>
      <sheetName val="Content"/>
      <sheetName val="A110"/>
      <sheetName val="INPUTDATALK"/>
      <sheetName val="A1101"/>
      <sheetName val="A1102"/>
      <sheetName val="A1102.1"/>
      <sheetName val="A1102.1A"/>
      <sheetName val="A1102.1B"/>
      <sheetName val="A1102.1C"/>
      <sheetName val="A1102.D"/>
      <sheetName val="A1103A"/>
      <sheetName val="A1103B"/>
      <sheetName val="A1105"/>
      <sheetName val="PERFORM"/>
      <sheetName val="ReFfLink"/>
      <sheetName val="A120"/>
      <sheetName val="JamKerja"/>
      <sheetName val="A130"/>
      <sheetName val="A140"/>
      <sheetName val="A150"/>
      <sheetName val="A160"/>
      <sheetName val="ASM"/>
      <sheetName val="A170"/>
      <sheetName val="A210"/>
      <sheetName val="A230.8"/>
      <sheetName val="Sheet4"/>
      <sheetName val="PREANALITICAL"/>
      <sheetName val="A220.1"/>
      <sheetName val="A220.2"/>
      <sheetName val="A230"/>
      <sheetName val="A230.1"/>
      <sheetName val="A230.2"/>
      <sheetName val="A230.3"/>
      <sheetName val="A230.3.1"/>
      <sheetName val="A230.4"/>
      <sheetName val="A230.5"/>
      <sheetName val="AKUNNTERDAMPAK"/>
      <sheetName val="A230.6"/>
      <sheetName val="A230.6A"/>
      <sheetName val="A230.7"/>
      <sheetName val="A240"/>
      <sheetName val="DataTim"/>
      <sheetName val="DataALK&amp;PB"/>
      <sheetName val="CR"/>
      <sheetName val="A250.1"/>
      <sheetName val="A250.1.1"/>
      <sheetName val="A250.2"/>
      <sheetName val="A.250.2.1"/>
      <sheetName val="A250.3"/>
      <sheetName val="A.250.3.1"/>
      <sheetName val="DAYHOUR"/>
      <sheetName val="A250.4"/>
      <sheetName val="A.250.4.1"/>
      <sheetName val="A250.5"/>
      <sheetName val="A.250.5.1"/>
      <sheetName val="A250.6"/>
      <sheetName val="A.250.6.1"/>
      <sheetName val="A250.7"/>
      <sheetName val="A.250.7.1"/>
      <sheetName val="A250.8"/>
      <sheetName val="A.250.8.1"/>
      <sheetName val="A250.9"/>
      <sheetName val="A.250.9.1"/>
      <sheetName val="A250.10"/>
      <sheetName val="A.250.10.1"/>
      <sheetName val="A250.11"/>
      <sheetName val="A.250.11.1"/>
      <sheetName val="A250.12"/>
      <sheetName val="A.250.12.1"/>
      <sheetName val="A250.13"/>
      <sheetName val="A.250.13.1"/>
      <sheetName val="DATAROMM"/>
      <sheetName val="A260"/>
      <sheetName val="DATACR"/>
      <sheetName val="Sheet2"/>
      <sheetName val="A270"/>
      <sheetName val="A2701"/>
      <sheetName val="A2702"/>
      <sheetName val="B100"/>
      <sheetName val="WSTB-FINAL"/>
      <sheetName val="COABARU"/>
      <sheetName val="AJE-RJE"/>
      <sheetName val="HEADERAKUNDOBEL"/>
      <sheetName val="DataLK (Kosong)"/>
      <sheetName val="LK(kosong)"/>
      <sheetName val="Data1"/>
      <sheetName val="HEADERAKUN"/>
      <sheetName val="FS"/>
      <sheetName val="prosedur horizontal"/>
      <sheetName val="RekapMapAKun"/>
      <sheetName val="B120"/>
      <sheetName val="2"/>
      <sheetName val="2.1"/>
      <sheetName val="3"/>
      <sheetName val="3.1"/>
      <sheetName val="5"/>
      <sheetName val="5.1"/>
      <sheetName val="6"/>
      <sheetName val="6.1"/>
      <sheetName val="7"/>
      <sheetName val="7.1"/>
      <sheetName val="8"/>
      <sheetName val="8.1"/>
      <sheetName val="9"/>
      <sheetName val="9.1"/>
      <sheetName val="10"/>
      <sheetName val="10.1"/>
      <sheetName val="11"/>
      <sheetName val="11.1"/>
      <sheetName val="12"/>
      <sheetName val="12.1"/>
      <sheetName val="13"/>
      <sheetName val="13.1"/>
      <sheetName val="14"/>
      <sheetName val="14.1"/>
      <sheetName val="15"/>
      <sheetName val="15.1"/>
      <sheetName val="16"/>
      <sheetName val="16.1"/>
      <sheetName val="17"/>
      <sheetName val="17.1"/>
      <sheetName val="18"/>
      <sheetName val="18.1"/>
      <sheetName val="19"/>
      <sheetName val="19.1"/>
      <sheetName val="20"/>
      <sheetName val="20.1"/>
      <sheetName val="21"/>
      <sheetName val="21.1"/>
      <sheetName val="22"/>
      <sheetName val="22.1"/>
      <sheetName val="23"/>
      <sheetName val="23.1"/>
      <sheetName val="24"/>
      <sheetName val="24.1"/>
      <sheetName val="25"/>
      <sheetName val="25.1"/>
      <sheetName val="26"/>
      <sheetName val="26.1"/>
      <sheetName val="27"/>
      <sheetName val="27.1"/>
      <sheetName val="28"/>
      <sheetName val="28.1"/>
      <sheetName val="29"/>
      <sheetName val="29.1"/>
      <sheetName val="30"/>
      <sheetName val="30.1"/>
      <sheetName val="31"/>
      <sheetName val="31.1"/>
      <sheetName val="32"/>
      <sheetName val="32.1"/>
      <sheetName val="33"/>
      <sheetName val="33.1"/>
      <sheetName val="34"/>
      <sheetName val="34.1"/>
      <sheetName val="35"/>
      <sheetName val="35.1"/>
      <sheetName val="36"/>
      <sheetName val="36.1"/>
      <sheetName val="37"/>
      <sheetName val="37.1"/>
      <sheetName val="38"/>
      <sheetName val="38.1"/>
      <sheetName val="39"/>
      <sheetName val="39.1"/>
      <sheetName val="40"/>
      <sheetName val="40.1"/>
      <sheetName val="41"/>
      <sheetName val="41.1"/>
      <sheetName val="42"/>
      <sheetName val="42.1"/>
      <sheetName val="43"/>
      <sheetName val="43.1"/>
      <sheetName val="44"/>
      <sheetName val="44.1"/>
      <sheetName val="45"/>
      <sheetName val="45.1"/>
      <sheetName val="46"/>
      <sheetName val="46.1"/>
      <sheetName val="47"/>
      <sheetName val="47.1"/>
      <sheetName val="MdanYa"/>
      <sheetName val="B210"/>
      <sheetName val="B220"/>
      <sheetName val="B230"/>
      <sheetName val="B240"/>
      <sheetName val="B250"/>
      <sheetName val="B260"/>
      <sheetName val="B270"/>
      <sheetName val="B280"/>
      <sheetName val="C110"/>
      <sheetName val="C120"/>
      <sheetName val="C120.1"/>
      <sheetName val="C120.2"/>
      <sheetName val="C220"/>
      <sheetName val="C220A"/>
      <sheetName val="C220B"/>
      <sheetName val="C220C"/>
      <sheetName val="C220D"/>
      <sheetName val="Sheet9"/>
      <sheetName val="C300"/>
      <sheetName val="C100"/>
      <sheetName val="C210"/>
      <sheetName val="C230"/>
      <sheetName val="C400"/>
      <sheetName val="OPINI1"/>
      <sheetName val="OPINI2"/>
      <sheetName val="OPINI3"/>
      <sheetName val="OPINI4"/>
      <sheetName val="DATASIGN"/>
      <sheetName val="Daftar Lampiran"/>
      <sheetName val="Singk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B1">
            <v>0.35416666666666669</v>
          </cell>
        </row>
        <row r="2">
          <cell r="B2">
            <v>4.1666666666666664E-2</v>
          </cell>
        </row>
        <row r="3">
          <cell r="B3">
            <v>0.72916666666666663</v>
          </cell>
        </row>
        <row r="4">
          <cell r="B4">
            <v>0.33333333333333331</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5585-67E8-4C8A-87CC-F9B9F79ACFAF}">
  <dimension ref="A1:R84"/>
  <sheetViews>
    <sheetView showGridLines="0" tabSelected="1" topLeftCell="E68" zoomScaleNormal="100" workbookViewId="0">
      <selection activeCell="R11" sqref="R11"/>
    </sheetView>
  </sheetViews>
  <sheetFormatPr defaultColWidth="3.7265625" defaultRowHeight="14" x14ac:dyDescent="0.3"/>
  <cols>
    <col min="1" max="1" width="32.81640625" style="1" hidden="1" customWidth="1"/>
    <col min="2" max="2" width="8.26953125" style="1" hidden="1" customWidth="1"/>
    <col min="3" max="4" width="1.7265625" style="1" hidden="1" customWidth="1"/>
    <col min="5" max="5" width="6" style="1" customWidth="1"/>
    <col min="6" max="6" width="31.7265625" style="1" bestFit="1" customWidth="1"/>
    <col min="7" max="7" width="27.26953125" style="1" customWidth="1"/>
    <col min="8" max="8" width="14.1796875" style="1" bestFit="1" customWidth="1"/>
    <col min="9" max="9" width="12.26953125" style="1" bestFit="1" customWidth="1"/>
    <col min="10" max="10" width="10.7265625" style="1" customWidth="1"/>
    <col min="11" max="11" width="7.1796875" style="1" customWidth="1"/>
    <col min="12" max="12" width="55.453125" style="1" customWidth="1"/>
    <col min="13" max="13" width="60.54296875" style="1" customWidth="1"/>
    <col min="14" max="14" width="3" style="1" customWidth="1"/>
    <col min="15" max="15" width="25.26953125" style="1" customWidth="1"/>
    <col min="16" max="16" width="13.26953125" style="1" bestFit="1" customWidth="1"/>
    <col min="17" max="17" width="1.54296875" style="1" bestFit="1" customWidth="1"/>
    <col min="18" max="18" width="8.1796875" style="1" customWidth="1"/>
    <col min="19" max="16384" width="3.7265625" style="1"/>
  </cols>
  <sheetData>
    <row r="1" spans="1:18" ht="14.5" x14ac:dyDescent="0.35">
      <c r="E1" s="2"/>
      <c r="F1" s="2"/>
      <c r="G1" s="2"/>
      <c r="H1" s="2"/>
      <c r="I1" s="2"/>
      <c r="J1" s="2"/>
      <c r="K1" s="2"/>
      <c r="L1" s="2"/>
      <c r="M1" s="2"/>
      <c r="N1" s="2"/>
      <c r="O1" s="2"/>
      <c r="P1" s="2"/>
      <c r="Q1" s="2"/>
      <c r="R1" s="2"/>
    </row>
    <row r="2" spans="1:18" ht="14.5" x14ac:dyDescent="0.35">
      <c r="E2" s="2"/>
      <c r="F2" s="2"/>
      <c r="G2" s="2"/>
      <c r="H2" s="2"/>
      <c r="I2" s="2"/>
      <c r="J2" s="2"/>
      <c r="K2" s="2"/>
      <c r="L2" s="2"/>
      <c r="M2" s="2"/>
      <c r="N2" s="2"/>
      <c r="O2" s="2"/>
      <c r="P2" s="2"/>
      <c r="Q2" s="2"/>
      <c r="R2" s="2"/>
    </row>
    <row r="3" spans="1:18" ht="14.5" x14ac:dyDescent="0.35">
      <c r="E3" s="2"/>
      <c r="F3" s="2"/>
      <c r="G3" s="2"/>
      <c r="H3" s="2"/>
      <c r="I3" s="2"/>
      <c r="J3" s="2"/>
      <c r="K3" s="2"/>
      <c r="L3" s="2"/>
      <c r="M3" s="2"/>
      <c r="N3" s="2"/>
      <c r="O3" s="2"/>
      <c r="P3" s="2"/>
      <c r="Q3" s="2"/>
      <c r="R3" s="2"/>
    </row>
    <row r="4" spans="1:18" ht="14.5" x14ac:dyDescent="0.35">
      <c r="E4" s="2"/>
      <c r="F4" s="2"/>
      <c r="G4" s="2"/>
      <c r="H4" s="2"/>
      <c r="I4" s="2"/>
      <c r="J4" s="2"/>
      <c r="K4" s="2"/>
      <c r="L4" s="2"/>
      <c r="M4" s="2"/>
      <c r="N4" s="2"/>
      <c r="O4" s="2"/>
      <c r="P4" s="2"/>
      <c r="Q4" s="2"/>
      <c r="R4" s="2"/>
    </row>
    <row r="5" spans="1:18" x14ac:dyDescent="0.3">
      <c r="E5" s="3"/>
      <c r="F5" s="4"/>
      <c r="G5" s="3"/>
      <c r="H5" s="3"/>
      <c r="I5" s="3"/>
      <c r="J5" s="3"/>
      <c r="K5" s="3"/>
      <c r="L5" s="3"/>
      <c r="M5" s="3"/>
      <c r="N5" s="3"/>
      <c r="O5" s="3"/>
      <c r="P5" s="3"/>
      <c r="Q5" s="3"/>
      <c r="R5" s="3"/>
    </row>
    <row r="6" spans="1:18" x14ac:dyDescent="0.3">
      <c r="B6" s="5" t="s">
        <v>0</v>
      </c>
      <c r="D6" s="6"/>
      <c r="E6" s="6" t="s">
        <v>1</v>
      </c>
      <c r="F6" s="6"/>
      <c r="G6" s="7" t="s">
        <v>2</v>
      </c>
      <c r="H6" s="6"/>
      <c r="I6" s="6"/>
      <c r="J6" s="6"/>
      <c r="K6" s="6"/>
      <c r="L6" s="6"/>
      <c r="M6" s="8" t="s">
        <v>3</v>
      </c>
      <c r="N6" s="9" t="s">
        <v>0</v>
      </c>
      <c r="O6" s="10" t="s">
        <v>94</v>
      </c>
      <c r="P6" s="11"/>
      <c r="Q6" s="8"/>
      <c r="R6" s="8"/>
    </row>
    <row r="7" spans="1:18" x14ac:dyDescent="0.3">
      <c r="B7" s="5" t="s">
        <v>0</v>
      </c>
      <c r="D7" s="6"/>
      <c r="E7" s="6" t="s">
        <v>4</v>
      </c>
      <c r="F7" s="6"/>
      <c r="G7" s="7" t="s">
        <v>5</v>
      </c>
      <c r="H7" s="6"/>
      <c r="I7" s="6"/>
      <c r="J7" s="6"/>
      <c r="K7" s="6"/>
      <c r="L7" s="6"/>
      <c r="M7" s="8" t="s">
        <v>6</v>
      </c>
      <c r="N7" s="9" t="s">
        <v>0</v>
      </c>
      <c r="O7" s="12">
        <v>45755</v>
      </c>
      <c r="P7" s="8" t="s">
        <v>7</v>
      </c>
      <c r="Q7" s="9" t="s">
        <v>0</v>
      </c>
      <c r="R7" s="13">
        <v>0.41666666666666669</v>
      </c>
    </row>
    <row r="8" spans="1:18" x14ac:dyDescent="0.3">
      <c r="B8" s="5" t="s">
        <v>0</v>
      </c>
      <c r="D8" s="6"/>
      <c r="E8" s="6" t="s">
        <v>8</v>
      </c>
      <c r="F8" s="6"/>
      <c r="G8" s="7" t="s">
        <v>9</v>
      </c>
      <c r="H8" s="6"/>
      <c r="I8" s="6"/>
      <c r="J8" s="6"/>
      <c r="K8" s="6"/>
      <c r="L8" s="6"/>
      <c r="M8" s="8" t="s">
        <v>10</v>
      </c>
      <c r="N8" s="9" t="s">
        <v>0</v>
      </c>
      <c r="O8" s="12">
        <v>45758</v>
      </c>
      <c r="P8" s="8" t="s">
        <v>11</v>
      </c>
      <c r="Q8" s="9" t="s">
        <v>0</v>
      </c>
      <c r="R8" s="13">
        <v>0.5</v>
      </c>
    </row>
    <row r="9" spans="1:18" x14ac:dyDescent="0.3">
      <c r="B9" s="5" t="s">
        <v>0</v>
      </c>
      <c r="D9" s="6"/>
      <c r="E9" s="6" t="s">
        <v>12</v>
      </c>
      <c r="F9" s="6"/>
      <c r="G9" s="7" t="s">
        <v>13</v>
      </c>
      <c r="H9" s="6"/>
      <c r="I9" s="6"/>
      <c r="J9" s="6"/>
      <c r="K9" s="6"/>
      <c r="L9" s="6"/>
      <c r="M9" s="8" t="s">
        <v>14</v>
      </c>
      <c r="N9" s="9" t="s">
        <v>0</v>
      </c>
      <c r="O9" s="14">
        <f>IF(OR(O7="",O8=""),0,O8-O7)</f>
        <v>3</v>
      </c>
      <c r="P9" s="8" t="s">
        <v>15</v>
      </c>
      <c r="Q9" s="9" t="s">
        <v>0</v>
      </c>
      <c r="R9" s="15">
        <f>IF(R8="","",IF(O9=0,R8-R7,IF(O9=1,([1]JamKerja!$B$3-R7)+(R8-[1]JamKerja!$B$1)-[1]JamKerja!$B$2,IF(O9&gt;1,(([1]JamKerja!$B$3-R7)+(R8-[1]JamKerja!$B$1)-[1]JamKerja!$B$2)+((O9-1)*[1]JamKerja!$B$4),""))))</f>
        <v>1.0833333333333333</v>
      </c>
    </row>
    <row r="10" spans="1:18" x14ac:dyDescent="0.3">
      <c r="B10" s="5" t="s">
        <v>0</v>
      </c>
      <c r="D10" s="6"/>
      <c r="E10" s="6" t="s">
        <v>16</v>
      </c>
      <c r="F10" s="6"/>
      <c r="G10" s="61" t="s">
        <v>93</v>
      </c>
      <c r="H10" s="6"/>
      <c r="I10" s="6"/>
      <c r="J10" s="6"/>
      <c r="K10" s="6"/>
      <c r="L10" s="6"/>
      <c r="M10" s="8" t="s">
        <v>17</v>
      </c>
      <c r="N10" s="9" t="s">
        <v>0</v>
      </c>
      <c r="O10" s="10" t="s">
        <v>95</v>
      </c>
      <c r="P10" s="11"/>
      <c r="Q10" s="8"/>
      <c r="R10" s="16"/>
    </row>
    <row r="11" spans="1:18" x14ac:dyDescent="0.3">
      <c r="B11" s="5" t="s">
        <v>0</v>
      </c>
      <c r="D11" s="6"/>
      <c r="E11" s="6" t="s">
        <v>18</v>
      </c>
      <c r="F11" s="6"/>
      <c r="G11" s="6" t="s">
        <v>19</v>
      </c>
      <c r="H11" s="6"/>
      <c r="I11" s="6"/>
      <c r="J11" s="6"/>
      <c r="K11" s="6"/>
      <c r="L11" s="6"/>
      <c r="M11" s="8" t="s">
        <v>6</v>
      </c>
      <c r="N11" s="9" t="s">
        <v>0</v>
      </c>
      <c r="O11" s="12">
        <v>45758</v>
      </c>
      <c r="P11" s="8" t="s">
        <v>7</v>
      </c>
      <c r="Q11" s="9" t="s">
        <v>0</v>
      </c>
      <c r="R11" s="13">
        <v>0.41666666666666669</v>
      </c>
    </row>
    <row r="12" spans="1:18" ht="15" customHeight="1" x14ac:dyDescent="0.3">
      <c r="B12" s="5" t="s">
        <v>0</v>
      </c>
      <c r="D12" s="17"/>
      <c r="E12" s="6" t="s">
        <v>20</v>
      </c>
      <c r="F12" s="17"/>
      <c r="G12" s="18" t="s">
        <v>21</v>
      </c>
      <c r="H12" s="17"/>
      <c r="I12" s="17"/>
      <c r="J12" s="17"/>
      <c r="K12" s="17"/>
      <c r="L12" s="17"/>
      <c r="M12" s="8" t="s">
        <v>10</v>
      </c>
      <c r="N12" s="9" t="s">
        <v>0</v>
      </c>
      <c r="O12" s="12">
        <v>45758</v>
      </c>
      <c r="P12" s="8" t="s">
        <v>11</v>
      </c>
      <c r="Q12" s="9" t="s">
        <v>0</v>
      </c>
      <c r="R12" s="13">
        <v>0.5</v>
      </c>
    </row>
    <row r="13" spans="1:18" x14ac:dyDescent="0.3">
      <c r="B13" s="5" t="s">
        <v>0</v>
      </c>
      <c r="D13" s="6"/>
      <c r="E13" s="6" t="s">
        <v>22</v>
      </c>
      <c r="F13" s="6"/>
      <c r="G13" s="6" t="s">
        <v>23</v>
      </c>
      <c r="H13" s="6"/>
      <c r="I13" s="6"/>
      <c r="J13" s="6"/>
      <c r="K13" s="6"/>
      <c r="L13" s="6"/>
      <c r="M13" s="8" t="s">
        <v>14</v>
      </c>
      <c r="N13" s="9" t="s">
        <v>0</v>
      </c>
      <c r="O13" s="14">
        <f>IF(OR(O11="",O12=""),0,O12-O11)</f>
        <v>0</v>
      </c>
      <c r="P13" s="8" t="s">
        <v>15</v>
      </c>
      <c r="Q13" s="9" t="s">
        <v>0</v>
      </c>
      <c r="R13" s="15">
        <f>IF(R12="","",IF(O13=0,R12-R11,IF(O13=1,([1]JamKerja!$B$3-R11)+(R12-[1]JamKerja!$B$1)-[1]JamKerja!$B$2,IF(O13&gt;1,(([1]JamKerja!$B$3-R11)+(R12-[1]JamKerja!$B$1)-[1]JamKerja!$B$2)+((O13-1)*[1]JamKerja!$B$4),""))))</f>
        <v>8.3333333333333315E-2</v>
      </c>
    </row>
    <row r="14" spans="1:18" x14ac:dyDescent="0.3">
      <c r="A14" s="6"/>
      <c r="B14" s="6"/>
      <c r="C14" s="6"/>
      <c r="D14" s="6"/>
      <c r="E14" s="6"/>
      <c r="F14" s="6"/>
      <c r="G14" s="6"/>
      <c r="H14" s="6"/>
      <c r="I14" s="6"/>
      <c r="J14" s="6"/>
      <c r="K14" s="6"/>
      <c r="L14" s="6"/>
      <c r="M14" s="8" t="s">
        <v>14</v>
      </c>
      <c r="N14" s="9" t="s">
        <v>0</v>
      </c>
      <c r="O14" s="14">
        <f>O9+O13</f>
        <v>3</v>
      </c>
      <c r="P14" s="8" t="s">
        <v>24</v>
      </c>
      <c r="Q14" s="9" t="s">
        <v>0</v>
      </c>
      <c r="R14" s="19">
        <f>IF(OR(R9="",R13=""),"",R9+R13)</f>
        <v>1.1666666666666665</v>
      </c>
    </row>
    <row r="15" spans="1:18" ht="5.25" customHeight="1" x14ac:dyDescent="0.3"/>
    <row r="16" spans="1:18" ht="14.5" x14ac:dyDescent="0.35">
      <c r="A16"/>
      <c r="B16" s="20"/>
      <c r="C16" s="21"/>
      <c r="E16" s="124" t="s">
        <v>25</v>
      </c>
      <c r="F16" s="124"/>
      <c r="G16" s="124"/>
      <c r="H16" s="22" t="s">
        <v>26</v>
      </c>
      <c r="I16" s="23"/>
      <c r="J16" s="23"/>
      <c r="K16" s="23"/>
      <c r="L16" s="23"/>
      <c r="M16" s="23"/>
      <c r="N16" s="23"/>
      <c r="O16" s="23"/>
      <c r="P16" s="24"/>
      <c r="Q16" s="24"/>
      <c r="R16" s="24"/>
    </row>
    <row r="17" spans="1:18" ht="14.5" x14ac:dyDescent="0.35">
      <c r="A17"/>
      <c r="B17" s="25"/>
      <c r="C17" s="26"/>
      <c r="E17" s="23"/>
      <c r="F17" s="23"/>
      <c r="G17" s="23"/>
      <c r="H17" s="23"/>
      <c r="I17" s="23"/>
      <c r="J17" s="23"/>
      <c r="K17" s="23"/>
      <c r="L17" s="23"/>
      <c r="M17" s="23"/>
      <c r="N17" s="23"/>
      <c r="O17" s="23"/>
      <c r="P17" s="24"/>
      <c r="Q17" s="24"/>
      <c r="R17" s="24"/>
    </row>
    <row r="18" spans="1:18" ht="14.5" x14ac:dyDescent="0.35">
      <c r="A18"/>
      <c r="B18" s="27"/>
      <c r="C18" s="26"/>
      <c r="E18" s="125" t="s">
        <v>27</v>
      </c>
      <c r="F18" s="125"/>
      <c r="G18" s="125"/>
      <c r="H18" s="125"/>
      <c r="I18" s="125"/>
      <c r="J18" s="125"/>
      <c r="K18" s="125"/>
      <c r="L18" s="125"/>
      <c r="M18" s="28"/>
      <c r="N18" s="28"/>
      <c r="O18" s="28"/>
      <c r="P18" s="24"/>
      <c r="Q18" s="24"/>
      <c r="R18" s="24"/>
    </row>
    <row r="19" spans="1:18" ht="14.5" x14ac:dyDescent="0.35">
      <c r="A19"/>
      <c r="B19" s="27"/>
      <c r="C19" s="26"/>
      <c r="E19" s="23"/>
      <c r="F19" s="23"/>
      <c r="G19" s="23"/>
      <c r="H19" s="23"/>
      <c r="I19" s="23"/>
      <c r="J19" s="23"/>
      <c r="K19" s="23"/>
      <c r="L19" s="23"/>
      <c r="M19" s="23"/>
      <c r="N19" s="23"/>
      <c r="O19" s="23"/>
      <c r="P19" s="24"/>
      <c r="Q19" s="24"/>
      <c r="R19" s="24"/>
    </row>
    <row r="20" spans="1:18" ht="15" customHeight="1" x14ac:dyDescent="0.35">
      <c r="A20"/>
      <c r="B20" s="27"/>
      <c r="C20" s="26"/>
      <c r="E20" s="29" t="s">
        <v>28</v>
      </c>
      <c r="F20" s="23"/>
      <c r="G20" s="23"/>
      <c r="H20" s="23"/>
      <c r="I20" s="23"/>
      <c r="J20" s="23"/>
      <c r="K20" s="23"/>
      <c r="L20" s="23"/>
      <c r="M20" s="23"/>
      <c r="N20" s="23"/>
      <c r="O20" s="23"/>
      <c r="P20" s="24"/>
      <c r="Q20" s="24"/>
      <c r="R20" s="24"/>
    </row>
    <row r="21" spans="1:18" ht="42" customHeight="1" x14ac:dyDescent="0.35">
      <c r="A21"/>
      <c r="B21" s="27"/>
      <c r="C21" s="26"/>
      <c r="E21" s="30" t="s">
        <v>29</v>
      </c>
      <c r="F21" s="65" t="s">
        <v>30</v>
      </c>
      <c r="G21" s="67"/>
      <c r="H21" s="65" t="s">
        <v>31</v>
      </c>
      <c r="I21" s="67"/>
      <c r="J21" s="126" t="s">
        <v>32</v>
      </c>
      <c r="K21" s="127"/>
      <c r="L21" s="128" t="s">
        <v>33</v>
      </c>
      <c r="M21" s="129"/>
      <c r="N21" s="116"/>
      <c r="O21" s="117"/>
      <c r="P21" s="24"/>
      <c r="Q21" s="24"/>
      <c r="R21" s="24"/>
    </row>
    <row r="22" spans="1:18" ht="29.25" customHeight="1" x14ac:dyDescent="0.35">
      <c r="A22"/>
      <c r="B22" s="27"/>
      <c r="C22" s="26"/>
      <c r="E22" s="62">
        <v>1</v>
      </c>
      <c r="F22" s="118" t="s">
        <v>34</v>
      </c>
      <c r="G22" s="119"/>
      <c r="H22" s="112" t="s">
        <v>35</v>
      </c>
      <c r="I22" s="113"/>
      <c r="J22" s="120" t="s">
        <v>36</v>
      </c>
      <c r="K22" s="121"/>
      <c r="L22" s="112" t="str">
        <f>G8</f>
        <v>PT Indo American Seafoods Tbk</v>
      </c>
      <c r="M22" s="113"/>
      <c r="N22" s="122"/>
      <c r="O22" s="123"/>
      <c r="P22" s="24"/>
      <c r="Q22" s="24"/>
      <c r="R22" s="24"/>
    </row>
    <row r="23" spans="1:18" ht="14.5" x14ac:dyDescent="0.35">
      <c r="A23"/>
      <c r="B23" s="27"/>
      <c r="C23" s="26"/>
      <c r="E23" s="62"/>
      <c r="F23" s="112"/>
      <c r="G23" s="113"/>
      <c r="H23" s="112"/>
      <c r="I23" s="113"/>
      <c r="J23" s="114"/>
      <c r="K23" s="115"/>
      <c r="L23" s="112"/>
      <c r="M23" s="113"/>
      <c r="N23" s="105"/>
      <c r="O23" s="106"/>
      <c r="P23" s="24"/>
      <c r="Q23" s="24"/>
      <c r="R23" s="24"/>
    </row>
    <row r="24" spans="1:18" ht="14.5" x14ac:dyDescent="0.35">
      <c r="A24"/>
      <c r="B24" s="27"/>
      <c r="C24" s="26"/>
      <c r="E24" s="23"/>
      <c r="F24" s="23"/>
      <c r="G24" s="23"/>
      <c r="H24" s="23"/>
      <c r="I24" s="23"/>
      <c r="J24" s="23"/>
      <c r="K24" s="23"/>
      <c r="L24" s="23"/>
      <c r="M24" s="23"/>
      <c r="N24" s="23"/>
      <c r="O24" s="23"/>
      <c r="P24" s="24"/>
      <c r="Q24" s="24"/>
      <c r="R24" s="24"/>
    </row>
    <row r="25" spans="1:18" ht="14.5" x14ac:dyDescent="0.35">
      <c r="A25"/>
      <c r="B25" s="27"/>
      <c r="C25" s="26"/>
      <c r="E25" s="29" t="s">
        <v>37</v>
      </c>
      <c r="F25" s="23"/>
      <c r="G25" s="23"/>
      <c r="H25" s="23"/>
      <c r="I25" s="23"/>
      <c r="J25" s="23"/>
      <c r="K25" s="23"/>
      <c r="L25" s="23"/>
      <c r="M25" s="23"/>
      <c r="N25" s="23"/>
      <c r="O25" s="23"/>
      <c r="P25" s="24"/>
      <c r="Q25" s="24"/>
      <c r="R25" s="24"/>
    </row>
    <row r="26" spans="1:18" ht="14.5" x14ac:dyDescent="0.35">
      <c r="A26"/>
      <c r="B26" s="27"/>
      <c r="C26" s="26"/>
      <c r="E26" s="29" t="s">
        <v>38</v>
      </c>
      <c r="F26" s="23"/>
      <c r="G26" s="23"/>
      <c r="H26" s="23"/>
      <c r="I26" s="23"/>
      <c r="J26" s="23"/>
      <c r="K26" s="23"/>
      <c r="L26" s="23"/>
      <c r="M26" s="23"/>
      <c r="N26" s="23"/>
      <c r="O26" s="23"/>
      <c r="P26" s="24"/>
      <c r="Q26" s="24"/>
      <c r="R26" s="24"/>
    </row>
    <row r="27" spans="1:18" ht="14.5" x14ac:dyDescent="0.35">
      <c r="A27"/>
      <c r="B27" s="27"/>
      <c r="C27" s="26"/>
      <c r="E27" s="23"/>
      <c r="F27" s="23"/>
      <c r="G27" s="23"/>
      <c r="H27" s="23"/>
      <c r="I27" s="23"/>
      <c r="J27" s="23"/>
      <c r="K27" s="23"/>
      <c r="L27" s="23"/>
      <c r="M27" s="23"/>
      <c r="N27" s="23"/>
      <c r="O27" s="23"/>
      <c r="P27" s="24"/>
      <c r="Q27" s="24"/>
      <c r="R27" s="24"/>
    </row>
    <row r="28" spans="1:18" ht="15" customHeight="1" x14ac:dyDescent="0.35">
      <c r="A28"/>
      <c r="B28" s="27"/>
      <c r="C28" s="26"/>
      <c r="E28" s="63" t="s">
        <v>29</v>
      </c>
      <c r="F28" s="65" t="s">
        <v>39</v>
      </c>
      <c r="G28" s="66"/>
      <c r="H28" s="66"/>
      <c r="I28" s="66"/>
      <c r="J28" s="67"/>
      <c r="K28" s="107" t="s">
        <v>40</v>
      </c>
      <c r="L28" s="108"/>
      <c r="M28" s="108"/>
      <c r="N28" s="24"/>
      <c r="O28" s="24"/>
      <c r="P28" s="24"/>
      <c r="Q28" s="24"/>
      <c r="R28" s="24"/>
    </row>
    <row r="29" spans="1:18" ht="14.5" x14ac:dyDescent="0.35">
      <c r="A29"/>
      <c r="B29" s="27"/>
      <c r="C29" s="26"/>
      <c r="E29" s="64"/>
      <c r="F29" s="68"/>
      <c r="G29" s="69"/>
      <c r="H29" s="69"/>
      <c r="I29" s="69"/>
      <c r="J29" s="70"/>
      <c r="K29" s="109" t="s">
        <v>41</v>
      </c>
      <c r="L29" s="110"/>
      <c r="M29" s="31"/>
      <c r="N29" s="24"/>
      <c r="O29" s="24"/>
      <c r="P29" s="24"/>
      <c r="Q29" s="24"/>
      <c r="R29" s="24"/>
    </row>
    <row r="30" spans="1:18" ht="50.25" customHeight="1" x14ac:dyDescent="0.35">
      <c r="A30"/>
      <c r="B30" s="27"/>
      <c r="C30" s="26"/>
      <c r="E30" s="31">
        <v>1</v>
      </c>
      <c r="F30" s="78" t="s">
        <v>42</v>
      </c>
      <c r="G30" s="79"/>
      <c r="H30" s="79"/>
      <c r="I30" s="79"/>
      <c r="J30" s="80"/>
      <c r="K30" s="85" t="s">
        <v>43</v>
      </c>
      <c r="L30" s="111"/>
      <c r="M30" s="35"/>
      <c r="N30" s="24"/>
      <c r="O30" s="24"/>
      <c r="P30" s="24"/>
      <c r="Q30" s="24"/>
      <c r="R30" s="24"/>
    </row>
    <row r="31" spans="1:18" ht="14.5" x14ac:dyDescent="0.35">
      <c r="A31"/>
      <c r="B31" s="27"/>
      <c r="C31" s="26"/>
      <c r="E31" s="31">
        <v>2</v>
      </c>
      <c r="F31" s="75" t="s">
        <v>44</v>
      </c>
      <c r="G31" s="75"/>
      <c r="H31" s="75"/>
      <c r="I31" s="75"/>
      <c r="J31" s="75"/>
      <c r="K31" s="89" t="s">
        <v>45</v>
      </c>
      <c r="L31" s="90"/>
      <c r="M31" s="32"/>
      <c r="N31" s="24"/>
      <c r="O31" s="24"/>
      <c r="P31" s="24"/>
      <c r="Q31" s="24"/>
      <c r="R31" s="24"/>
    </row>
    <row r="32" spans="1:18" ht="30" customHeight="1" x14ac:dyDescent="0.35">
      <c r="A32"/>
      <c r="B32" s="27"/>
      <c r="C32" s="26"/>
      <c r="E32" s="31">
        <v>3</v>
      </c>
      <c r="F32" s="78" t="s">
        <v>46</v>
      </c>
      <c r="G32" s="79"/>
      <c r="H32" s="79"/>
      <c r="I32" s="79"/>
      <c r="J32" s="80"/>
      <c r="K32" s="89" t="s">
        <v>47</v>
      </c>
      <c r="L32" s="90"/>
      <c r="M32" s="32"/>
      <c r="N32" s="24"/>
      <c r="O32" s="24"/>
      <c r="P32" s="24"/>
      <c r="Q32" s="24"/>
      <c r="R32" s="24"/>
    </row>
    <row r="33" spans="1:18" ht="14.5" x14ac:dyDescent="0.35">
      <c r="A33"/>
      <c r="B33" s="27"/>
      <c r="C33" s="26"/>
      <c r="E33" s="31">
        <v>4</v>
      </c>
      <c r="F33" s="74" t="s">
        <v>48</v>
      </c>
      <c r="G33" s="75"/>
      <c r="H33" s="75"/>
      <c r="I33" s="75"/>
      <c r="J33" s="75"/>
      <c r="K33" s="89" t="s">
        <v>49</v>
      </c>
      <c r="L33" s="90"/>
      <c r="M33" s="32"/>
      <c r="N33" s="24"/>
      <c r="O33" s="24"/>
      <c r="P33" s="24"/>
      <c r="Q33" s="24"/>
      <c r="R33" s="24"/>
    </row>
    <row r="34" spans="1:18" ht="14.5" x14ac:dyDescent="0.35">
      <c r="A34"/>
      <c r="B34" s="27"/>
      <c r="C34" s="26"/>
      <c r="E34" s="23"/>
      <c r="F34" s="23"/>
      <c r="G34" s="23"/>
      <c r="H34" s="23"/>
      <c r="I34" s="23"/>
      <c r="J34" s="23"/>
      <c r="K34" s="33"/>
      <c r="L34" s="33"/>
      <c r="M34" s="33"/>
      <c r="N34" s="33"/>
      <c r="O34" s="33"/>
      <c r="P34" s="24"/>
      <c r="Q34" s="24"/>
      <c r="R34" s="24"/>
    </row>
    <row r="35" spans="1:18" ht="14.5" x14ac:dyDescent="0.35">
      <c r="A35"/>
      <c r="B35" s="27"/>
      <c r="C35" s="26"/>
      <c r="E35" s="29" t="s">
        <v>50</v>
      </c>
      <c r="F35" s="23"/>
      <c r="G35" s="23"/>
      <c r="H35" s="23"/>
      <c r="I35" s="23"/>
      <c r="J35" s="23"/>
      <c r="K35" s="33"/>
      <c r="L35" s="33"/>
      <c r="M35" s="33"/>
      <c r="N35" s="33"/>
      <c r="O35" s="33"/>
      <c r="P35" s="24"/>
      <c r="Q35" s="24"/>
      <c r="R35" s="24"/>
    </row>
    <row r="36" spans="1:18" ht="14.5" x14ac:dyDescent="0.35">
      <c r="A36"/>
      <c r="B36" s="27"/>
      <c r="C36" s="26"/>
      <c r="E36" s="29" t="s">
        <v>51</v>
      </c>
      <c r="F36" s="23"/>
      <c r="G36" s="23"/>
      <c r="H36" s="23"/>
      <c r="I36" s="23"/>
      <c r="J36" s="23"/>
      <c r="K36" s="33"/>
      <c r="L36" s="33"/>
      <c r="M36" s="33"/>
      <c r="N36" s="33"/>
      <c r="O36" s="33"/>
      <c r="P36" s="24"/>
      <c r="Q36" s="24"/>
      <c r="R36" s="24"/>
    </row>
    <row r="37" spans="1:18" ht="14.5" x14ac:dyDescent="0.35">
      <c r="A37"/>
      <c r="B37" s="27"/>
      <c r="C37" s="26"/>
      <c r="E37" s="23"/>
      <c r="F37" s="23"/>
      <c r="G37" s="23"/>
      <c r="H37" s="23"/>
      <c r="I37" s="23"/>
      <c r="J37" s="23"/>
      <c r="K37" s="33"/>
      <c r="L37" s="33"/>
      <c r="M37" s="33"/>
      <c r="N37" s="33"/>
      <c r="O37" s="33"/>
      <c r="P37" s="24"/>
      <c r="Q37" s="24"/>
      <c r="R37" s="24"/>
    </row>
    <row r="38" spans="1:18" ht="15" customHeight="1" x14ac:dyDescent="0.35">
      <c r="A38"/>
      <c r="B38" s="27"/>
      <c r="C38" s="26"/>
      <c r="E38" s="63" t="s">
        <v>29</v>
      </c>
      <c r="F38" s="65" t="s">
        <v>39</v>
      </c>
      <c r="G38" s="66"/>
      <c r="H38" s="66"/>
      <c r="I38" s="66"/>
      <c r="J38" s="67"/>
      <c r="K38" s="91" t="s">
        <v>40</v>
      </c>
      <c r="L38" s="92"/>
      <c r="M38" s="93"/>
      <c r="N38" s="24"/>
      <c r="O38" s="24"/>
      <c r="P38" s="24"/>
      <c r="Q38" s="24"/>
      <c r="R38" s="24"/>
    </row>
    <row r="39" spans="1:18" ht="14.5" x14ac:dyDescent="0.35">
      <c r="A39"/>
      <c r="B39" s="27"/>
      <c r="C39" s="26"/>
      <c r="E39" s="64"/>
      <c r="F39" s="68"/>
      <c r="G39" s="69"/>
      <c r="H39" s="69"/>
      <c r="I39" s="69"/>
      <c r="J39" s="70"/>
      <c r="K39" s="103" t="str">
        <f>F22</f>
        <v>Kantor Konsultan Aktuaria KKA MARCEL PRYADARSHI SOEPENO</v>
      </c>
      <c r="L39" s="104"/>
      <c r="M39" s="34"/>
      <c r="N39" s="24"/>
      <c r="O39" s="24"/>
      <c r="P39" s="24"/>
      <c r="Q39" s="24"/>
      <c r="R39" s="24"/>
    </row>
    <row r="40" spans="1:18" ht="28.5" customHeight="1" x14ac:dyDescent="0.35">
      <c r="A40"/>
      <c r="B40" s="27"/>
      <c r="C40" s="26"/>
      <c r="E40" s="31">
        <v>1</v>
      </c>
      <c r="F40" s="78" t="s">
        <v>52</v>
      </c>
      <c r="G40" s="79"/>
      <c r="H40" s="79"/>
      <c r="I40" s="79"/>
      <c r="J40" s="80"/>
      <c r="K40" s="81" t="s">
        <v>53</v>
      </c>
      <c r="L40" s="82"/>
      <c r="M40" s="35"/>
      <c r="N40" s="24"/>
      <c r="O40" s="24"/>
      <c r="P40" s="24"/>
      <c r="Q40" s="24"/>
      <c r="R40" s="24"/>
    </row>
    <row r="41" spans="1:18" ht="30" customHeight="1" x14ac:dyDescent="0.35">
      <c r="A41"/>
      <c r="B41" s="27"/>
      <c r="C41" s="26"/>
      <c r="E41" s="31">
        <v>2</v>
      </c>
      <c r="F41" s="74" t="s">
        <v>54</v>
      </c>
      <c r="G41" s="75"/>
      <c r="H41" s="75"/>
      <c r="I41" s="75"/>
      <c r="J41" s="75"/>
      <c r="K41" s="89" t="s">
        <v>55</v>
      </c>
      <c r="L41" s="90"/>
      <c r="M41" s="32"/>
      <c r="N41" s="24"/>
      <c r="O41" s="24"/>
      <c r="P41" s="24"/>
      <c r="Q41" s="24"/>
      <c r="R41" s="24"/>
    </row>
    <row r="42" spans="1:18" ht="14.5" x14ac:dyDescent="0.35">
      <c r="A42"/>
      <c r="B42" s="27"/>
      <c r="C42" s="26"/>
      <c r="E42" s="31">
        <v>3</v>
      </c>
      <c r="F42" s="78" t="s">
        <v>56</v>
      </c>
      <c r="G42" s="79"/>
      <c r="H42" s="79"/>
      <c r="I42" s="79"/>
      <c r="J42" s="80"/>
      <c r="K42" s="89" t="s">
        <v>57</v>
      </c>
      <c r="L42" s="90"/>
      <c r="M42" s="32"/>
      <c r="N42" s="24"/>
      <c r="O42" s="24"/>
      <c r="P42" s="24"/>
      <c r="Q42" s="24"/>
      <c r="R42" s="24"/>
    </row>
    <row r="43" spans="1:18" ht="75.75" customHeight="1" x14ac:dyDescent="0.35">
      <c r="A43"/>
      <c r="B43" s="27"/>
      <c r="C43" s="26"/>
      <c r="E43" s="31">
        <v>4</v>
      </c>
      <c r="F43" s="78" t="s">
        <v>58</v>
      </c>
      <c r="G43" s="79"/>
      <c r="H43" s="79"/>
      <c r="I43" s="79"/>
      <c r="J43" s="80"/>
      <c r="K43" s="81" t="s">
        <v>59</v>
      </c>
      <c r="L43" s="82"/>
      <c r="M43" s="35"/>
      <c r="N43" s="24"/>
      <c r="O43" s="24"/>
      <c r="P43" s="24"/>
      <c r="Q43" s="24"/>
      <c r="R43" s="24"/>
    </row>
    <row r="44" spans="1:18" ht="14.5" x14ac:dyDescent="0.35">
      <c r="A44"/>
      <c r="B44" s="27"/>
      <c r="C44" s="26"/>
      <c r="E44" s="31">
        <v>5</v>
      </c>
      <c r="F44" s="78" t="s">
        <v>60</v>
      </c>
      <c r="G44" s="79"/>
      <c r="H44" s="79"/>
      <c r="I44" s="79"/>
      <c r="J44" s="80"/>
      <c r="K44" s="89" t="s">
        <v>61</v>
      </c>
      <c r="L44" s="90"/>
      <c r="M44" s="32"/>
      <c r="N44" s="24"/>
      <c r="O44" s="24"/>
      <c r="P44" s="24"/>
      <c r="Q44" s="24"/>
      <c r="R44" s="24"/>
    </row>
    <row r="45" spans="1:18" ht="29.25" customHeight="1" x14ac:dyDescent="0.35">
      <c r="A45"/>
      <c r="B45" s="27"/>
      <c r="C45" s="26"/>
      <c r="E45" s="31">
        <v>6</v>
      </c>
      <c r="F45" s="74" t="s">
        <v>62</v>
      </c>
      <c r="G45" s="75"/>
      <c r="H45" s="75"/>
      <c r="I45" s="75"/>
      <c r="J45" s="75"/>
      <c r="K45" s="81" t="s">
        <v>63</v>
      </c>
      <c r="L45" s="82"/>
      <c r="M45" s="35"/>
      <c r="N45" s="24"/>
      <c r="O45" s="24"/>
      <c r="P45" s="24"/>
      <c r="Q45" s="24"/>
      <c r="R45" s="24"/>
    </row>
    <row r="46" spans="1:18" ht="14.5" x14ac:dyDescent="0.35">
      <c r="A46"/>
      <c r="B46" s="27"/>
      <c r="C46" s="26"/>
      <c r="E46" s="23"/>
      <c r="F46" s="23"/>
      <c r="G46" s="23"/>
      <c r="H46" s="23"/>
      <c r="I46" s="23"/>
      <c r="J46" s="23"/>
      <c r="K46" s="33"/>
      <c r="L46" s="33"/>
      <c r="M46" s="33"/>
      <c r="N46" s="33"/>
      <c r="O46" s="33"/>
      <c r="P46" s="24"/>
      <c r="Q46" s="24"/>
      <c r="R46" s="24"/>
    </row>
    <row r="47" spans="1:18" ht="14.5" x14ac:dyDescent="0.35">
      <c r="A47"/>
      <c r="B47" s="27"/>
      <c r="C47" s="26"/>
      <c r="E47" s="23"/>
      <c r="F47" s="23"/>
      <c r="G47" s="23"/>
      <c r="H47" s="23"/>
      <c r="I47" s="23"/>
      <c r="J47" s="23"/>
      <c r="K47" s="33"/>
      <c r="L47" s="33"/>
      <c r="M47" s="33"/>
      <c r="N47" s="33"/>
      <c r="O47" s="33"/>
      <c r="P47" s="24"/>
      <c r="Q47" s="24"/>
      <c r="R47" s="24"/>
    </row>
    <row r="48" spans="1:18" ht="14.5" x14ac:dyDescent="0.35">
      <c r="A48"/>
      <c r="B48" s="27"/>
      <c r="C48" s="26"/>
      <c r="E48" s="23"/>
      <c r="F48" s="23"/>
      <c r="G48" s="23"/>
      <c r="H48" s="23"/>
      <c r="I48" s="23"/>
      <c r="J48" s="23"/>
      <c r="K48" s="33"/>
      <c r="L48" s="33"/>
      <c r="M48" s="33"/>
      <c r="N48" s="33"/>
      <c r="O48" s="33"/>
      <c r="P48" s="24"/>
      <c r="Q48" s="24"/>
      <c r="R48" s="24"/>
    </row>
    <row r="49" spans="1:18" ht="14.5" x14ac:dyDescent="0.35">
      <c r="A49"/>
      <c r="B49" s="27"/>
      <c r="C49" s="26"/>
      <c r="E49" s="29" t="s">
        <v>64</v>
      </c>
      <c r="F49" s="23"/>
      <c r="G49" s="23"/>
      <c r="H49" s="23"/>
      <c r="I49" s="23"/>
      <c r="J49" s="23"/>
      <c r="K49" s="33"/>
      <c r="L49" s="33"/>
      <c r="M49" s="33"/>
      <c r="N49" s="33"/>
      <c r="O49" s="33"/>
      <c r="P49" s="24"/>
      <c r="Q49" s="24"/>
      <c r="R49" s="24"/>
    </row>
    <row r="50" spans="1:18" x14ac:dyDescent="0.3">
      <c r="A50" s="26"/>
      <c r="B50" s="26"/>
      <c r="C50" s="26"/>
      <c r="E50" s="29" t="s">
        <v>65</v>
      </c>
      <c r="F50" s="23"/>
      <c r="G50" s="23"/>
      <c r="H50" s="23"/>
      <c r="I50" s="23"/>
      <c r="J50" s="23"/>
      <c r="K50" s="33"/>
      <c r="L50" s="33"/>
      <c r="M50" s="33"/>
      <c r="N50" s="33"/>
      <c r="O50" s="33"/>
      <c r="P50" s="24"/>
      <c r="Q50" s="24"/>
      <c r="R50" s="24"/>
    </row>
    <row r="51" spans="1:18" x14ac:dyDescent="0.3">
      <c r="A51" s="26"/>
      <c r="B51" s="26"/>
      <c r="C51" s="26"/>
      <c r="E51" s="23"/>
      <c r="F51" s="23"/>
      <c r="G51" s="23"/>
      <c r="H51" s="23"/>
      <c r="I51" s="23"/>
      <c r="J51" s="23"/>
      <c r="K51" s="33"/>
      <c r="L51" s="33"/>
      <c r="M51" s="33"/>
      <c r="N51" s="33"/>
      <c r="O51" s="33"/>
      <c r="P51" s="24"/>
      <c r="Q51" s="24"/>
      <c r="R51" s="24"/>
    </row>
    <row r="52" spans="1:18" ht="26.25" customHeight="1" x14ac:dyDescent="0.3">
      <c r="A52" s="26"/>
      <c r="B52" s="26"/>
      <c r="C52" s="26"/>
      <c r="E52" s="63" t="s">
        <v>29</v>
      </c>
      <c r="F52" s="65" t="s">
        <v>39</v>
      </c>
      <c r="G52" s="66"/>
      <c r="H52" s="66"/>
      <c r="I52" s="66"/>
      <c r="J52" s="67"/>
      <c r="K52" s="91" t="s">
        <v>40</v>
      </c>
      <c r="L52" s="92"/>
      <c r="M52" s="93"/>
      <c r="N52" s="24"/>
      <c r="O52" s="24"/>
      <c r="P52" s="24"/>
      <c r="Q52" s="24"/>
      <c r="R52" s="24"/>
    </row>
    <row r="53" spans="1:18" x14ac:dyDescent="0.3">
      <c r="A53" s="26"/>
      <c r="B53" s="26"/>
      <c r="C53" s="26"/>
      <c r="E53" s="64"/>
      <c r="F53" s="68"/>
      <c r="G53" s="69"/>
      <c r="H53" s="69"/>
      <c r="I53" s="69"/>
      <c r="J53" s="70"/>
      <c r="K53" s="101" t="str">
        <f>K39</f>
        <v>Kantor Konsultan Aktuaria KKA MARCEL PRYADARSHI SOEPENO</v>
      </c>
      <c r="L53" s="102"/>
      <c r="M53" s="34">
        <f>M39</f>
        <v>0</v>
      </c>
      <c r="N53" s="24"/>
      <c r="O53" s="24"/>
      <c r="P53" s="24"/>
      <c r="Q53" s="24"/>
      <c r="R53" s="24"/>
    </row>
    <row r="54" spans="1:18" x14ac:dyDescent="0.3">
      <c r="A54" s="26"/>
      <c r="B54" s="26"/>
      <c r="C54" s="26"/>
      <c r="E54" s="94" t="s">
        <v>66</v>
      </c>
      <c r="F54" s="36" t="s">
        <v>67</v>
      </c>
      <c r="G54" s="37"/>
      <c r="H54" s="37"/>
      <c r="I54" s="37"/>
      <c r="J54" s="38"/>
      <c r="K54" s="97" t="s">
        <v>68</v>
      </c>
      <c r="L54" s="98"/>
      <c r="M54" s="60"/>
      <c r="N54" s="24"/>
      <c r="O54" s="24"/>
      <c r="P54" s="24"/>
      <c r="Q54" s="24"/>
      <c r="R54" s="24"/>
    </row>
    <row r="55" spans="1:18" ht="30.75" customHeight="1" x14ac:dyDescent="0.3">
      <c r="A55" s="26"/>
      <c r="B55" s="26"/>
      <c r="C55" s="26"/>
      <c r="E55" s="95"/>
      <c r="F55" s="78" t="s">
        <v>69</v>
      </c>
      <c r="G55" s="79"/>
      <c r="H55" s="79"/>
      <c r="I55" s="79"/>
      <c r="J55" s="80"/>
      <c r="K55" s="97" t="s">
        <v>70</v>
      </c>
      <c r="L55" s="98"/>
      <c r="M55" s="39"/>
      <c r="N55" s="24"/>
      <c r="O55" s="24"/>
      <c r="P55" s="24"/>
      <c r="Q55" s="24"/>
      <c r="R55" s="24"/>
    </row>
    <row r="56" spans="1:18" ht="32.25" customHeight="1" x14ac:dyDescent="0.3">
      <c r="A56" s="26"/>
      <c r="B56" s="26"/>
      <c r="C56" s="26"/>
      <c r="E56" s="96"/>
      <c r="F56" s="78" t="s">
        <v>71</v>
      </c>
      <c r="G56" s="79"/>
      <c r="H56" s="79"/>
      <c r="I56" s="79"/>
      <c r="J56" s="80"/>
      <c r="K56" s="99" t="s">
        <v>72</v>
      </c>
      <c r="L56" s="100"/>
      <c r="M56" s="60"/>
      <c r="N56" s="24"/>
      <c r="O56" s="24"/>
      <c r="P56" s="24"/>
      <c r="Q56" s="24"/>
      <c r="R56" s="24"/>
    </row>
    <row r="57" spans="1:18" ht="122.25" customHeight="1" x14ac:dyDescent="0.3">
      <c r="A57" s="26"/>
      <c r="B57" s="26"/>
      <c r="C57" s="26"/>
      <c r="E57" s="31">
        <v>2</v>
      </c>
      <c r="F57" s="74" t="s">
        <v>73</v>
      </c>
      <c r="G57" s="75"/>
      <c r="H57" s="75"/>
      <c r="I57" s="75"/>
      <c r="J57" s="75"/>
      <c r="K57" s="83" t="s">
        <v>74</v>
      </c>
      <c r="L57" s="84"/>
      <c r="M57" s="60"/>
      <c r="N57" s="24"/>
      <c r="O57" s="24"/>
      <c r="P57" s="24"/>
      <c r="Q57" s="24"/>
      <c r="R57" s="24"/>
    </row>
    <row r="58" spans="1:18" ht="43" customHeight="1" x14ac:dyDescent="0.3">
      <c r="A58" s="26"/>
      <c r="B58" s="26"/>
      <c r="C58" s="26"/>
      <c r="E58" s="31">
        <v>3</v>
      </c>
      <c r="F58" s="78" t="s">
        <v>75</v>
      </c>
      <c r="G58" s="79"/>
      <c r="H58" s="79"/>
      <c r="I58" s="79"/>
      <c r="J58" s="80"/>
      <c r="K58" s="87" t="s">
        <v>76</v>
      </c>
      <c r="L58" s="88"/>
      <c r="M58" s="60"/>
      <c r="N58" s="24"/>
      <c r="O58" s="24"/>
      <c r="P58" s="24"/>
      <c r="Q58" s="24"/>
      <c r="R58" s="24"/>
    </row>
    <row r="59" spans="1:18" x14ac:dyDescent="0.3">
      <c r="A59" s="26"/>
      <c r="B59" s="26"/>
      <c r="C59" s="26"/>
      <c r="E59" s="31">
        <v>4</v>
      </c>
      <c r="F59" s="40" t="s">
        <v>77</v>
      </c>
      <c r="G59" s="41"/>
      <c r="H59" s="41"/>
      <c r="I59" s="41"/>
      <c r="J59" s="42"/>
      <c r="K59" s="89" t="s">
        <v>78</v>
      </c>
      <c r="L59" s="90"/>
      <c r="M59" s="32"/>
      <c r="N59" s="24"/>
      <c r="O59" s="24"/>
      <c r="P59" s="24"/>
      <c r="Q59" s="24"/>
      <c r="R59" s="24"/>
    </row>
    <row r="60" spans="1:18" ht="32.5" customHeight="1" x14ac:dyDescent="0.3">
      <c r="A60" s="26"/>
      <c r="B60" s="26"/>
      <c r="C60" s="26"/>
      <c r="E60" s="31"/>
      <c r="F60" s="78" t="s">
        <v>79</v>
      </c>
      <c r="G60" s="79"/>
      <c r="H60" s="79"/>
      <c r="I60" s="79"/>
      <c r="J60" s="80"/>
      <c r="K60" s="89" t="s">
        <v>78</v>
      </c>
      <c r="L60" s="90"/>
      <c r="M60" s="32"/>
      <c r="N60" s="24"/>
      <c r="O60" s="24"/>
      <c r="P60" s="24"/>
      <c r="Q60" s="24"/>
      <c r="R60" s="24"/>
    </row>
    <row r="61" spans="1:18" x14ac:dyDescent="0.3">
      <c r="A61" s="26"/>
      <c r="B61" s="26"/>
      <c r="C61" s="26"/>
      <c r="E61" s="23"/>
      <c r="F61" s="23"/>
      <c r="G61" s="23"/>
      <c r="H61" s="23"/>
      <c r="I61" s="23"/>
      <c r="J61" s="23"/>
      <c r="K61" s="33"/>
      <c r="L61" s="33"/>
      <c r="M61" s="33"/>
      <c r="N61" s="24"/>
      <c r="O61" s="24"/>
      <c r="P61" s="24"/>
      <c r="Q61" s="24"/>
      <c r="R61" s="24"/>
    </row>
    <row r="62" spans="1:18" x14ac:dyDescent="0.3">
      <c r="A62" s="26"/>
      <c r="B62" s="26"/>
      <c r="C62" s="26"/>
      <c r="E62" s="29" t="s">
        <v>80</v>
      </c>
      <c r="F62" s="23"/>
      <c r="G62" s="23"/>
      <c r="H62" s="23"/>
      <c r="I62" s="23"/>
      <c r="J62" s="23"/>
      <c r="K62" s="33"/>
      <c r="L62" s="33"/>
      <c r="M62" s="33"/>
      <c r="N62" s="33"/>
      <c r="O62" s="33"/>
      <c r="P62" s="24"/>
      <c r="Q62" s="24"/>
      <c r="R62" s="24"/>
    </row>
    <row r="63" spans="1:18" x14ac:dyDescent="0.3">
      <c r="A63" s="26"/>
      <c r="B63" s="26"/>
      <c r="C63" s="26"/>
      <c r="E63" s="29" t="s">
        <v>81</v>
      </c>
      <c r="F63" s="23"/>
      <c r="G63" s="23"/>
      <c r="H63" s="23"/>
      <c r="I63" s="23"/>
      <c r="J63" s="23"/>
      <c r="K63" s="33"/>
      <c r="L63" s="33"/>
      <c r="M63" s="33"/>
      <c r="N63" s="33"/>
      <c r="O63" s="33"/>
      <c r="P63" s="24"/>
      <c r="Q63" s="24"/>
      <c r="R63" s="24"/>
    </row>
    <row r="64" spans="1:18" x14ac:dyDescent="0.3">
      <c r="A64" s="26"/>
      <c r="B64" s="26"/>
      <c r="C64" s="26"/>
      <c r="E64" s="23"/>
      <c r="F64" s="23"/>
      <c r="G64" s="23"/>
      <c r="H64" s="23"/>
      <c r="I64" s="23"/>
      <c r="J64" s="23"/>
      <c r="K64" s="33"/>
      <c r="L64" s="33"/>
      <c r="M64" s="33"/>
      <c r="N64" s="33"/>
      <c r="O64" s="33"/>
      <c r="P64" s="24"/>
      <c r="Q64" s="24"/>
      <c r="R64" s="24"/>
    </row>
    <row r="65" spans="1:18" ht="30" customHeight="1" x14ac:dyDescent="0.3">
      <c r="A65" s="26"/>
      <c r="B65" s="26"/>
      <c r="C65" s="26"/>
      <c r="E65" s="63" t="s">
        <v>29</v>
      </c>
      <c r="F65" s="65" t="s">
        <v>39</v>
      </c>
      <c r="G65" s="66"/>
      <c r="H65" s="66"/>
      <c r="I65" s="66"/>
      <c r="J65" s="67"/>
      <c r="K65" s="91" t="s">
        <v>40</v>
      </c>
      <c r="L65" s="92"/>
      <c r="M65" s="93"/>
      <c r="N65" s="24"/>
      <c r="O65" s="24"/>
      <c r="P65" s="24"/>
      <c r="Q65" s="24"/>
      <c r="R65" s="24"/>
    </row>
    <row r="66" spans="1:18" x14ac:dyDescent="0.3">
      <c r="A66" s="26"/>
      <c r="B66" s="26"/>
      <c r="C66" s="26"/>
      <c r="E66" s="64"/>
      <c r="F66" s="68"/>
      <c r="G66" s="69"/>
      <c r="H66" s="69"/>
      <c r="I66" s="69"/>
      <c r="J66" s="70"/>
      <c r="K66" s="71" t="str">
        <f>K53</f>
        <v>Kantor Konsultan Aktuaria KKA MARCEL PRYADARSHI SOEPENO</v>
      </c>
      <c r="L66" s="72"/>
      <c r="M66" s="34">
        <f>M53</f>
        <v>0</v>
      </c>
      <c r="N66" s="24"/>
      <c r="O66" s="24"/>
      <c r="P66" s="24"/>
      <c r="Q66" s="24"/>
      <c r="R66" s="24"/>
    </row>
    <row r="67" spans="1:18" ht="101.25" customHeight="1" x14ac:dyDescent="0.3">
      <c r="A67" s="26"/>
      <c r="B67" s="26"/>
      <c r="C67" s="26"/>
      <c r="E67" s="31">
        <v>1</v>
      </c>
      <c r="F67" s="78" t="s">
        <v>82</v>
      </c>
      <c r="G67" s="79"/>
      <c r="H67" s="79"/>
      <c r="I67" s="79"/>
      <c r="J67" s="80"/>
      <c r="K67" s="85" t="s">
        <v>83</v>
      </c>
      <c r="L67" s="86"/>
      <c r="M67" s="43"/>
      <c r="N67" s="24"/>
      <c r="O67" s="24"/>
      <c r="P67" s="24"/>
      <c r="Q67" s="24"/>
      <c r="R67" s="24"/>
    </row>
    <row r="68" spans="1:18" ht="192" customHeight="1" x14ac:dyDescent="0.3">
      <c r="A68" s="26"/>
      <c r="B68" s="26"/>
      <c r="C68" s="26"/>
      <c r="E68" s="31">
        <v>2</v>
      </c>
      <c r="F68" s="74" t="s">
        <v>84</v>
      </c>
      <c r="G68" s="75"/>
      <c r="H68" s="75"/>
      <c r="I68" s="75"/>
      <c r="J68" s="75"/>
      <c r="K68" s="76" t="s">
        <v>85</v>
      </c>
      <c r="L68" s="77"/>
      <c r="M68" s="32"/>
      <c r="N68" s="24"/>
      <c r="O68" s="24"/>
      <c r="P68" s="24"/>
      <c r="Q68" s="24"/>
      <c r="R68" s="24"/>
    </row>
    <row r="69" spans="1:18" ht="48" customHeight="1" x14ac:dyDescent="0.3">
      <c r="A69" s="26"/>
      <c r="B69" s="26"/>
      <c r="C69" s="26"/>
      <c r="E69" s="31">
        <v>3</v>
      </c>
      <c r="F69" s="78" t="s">
        <v>86</v>
      </c>
      <c r="G69" s="79"/>
      <c r="H69" s="79"/>
      <c r="I69" s="79"/>
      <c r="J69" s="80"/>
      <c r="K69" s="81" t="s">
        <v>87</v>
      </c>
      <c r="L69" s="82"/>
      <c r="M69" s="35"/>
      <c r="N69" s="24"/>
      <c r="O69" s="24"/>
      <c r="P69" s="24"/>
      <c r="Q69" s="24"/>
      <c r="R69" s="24"/>
    </row>
    <row r="70" spans="1:18" x14ac:dyDescent="0.3">
      <c r="A70" s="26"/>
      <c r="B70" s="26"/>
      <c r="C70" s="26"/>
      <c r="E70" s="23"/>
      <c r="F70" s="23"/>
      <c r="G70" s="23"/>
      <c r="H70" s="23"/>
      <c r="I70" s="23"/>
      <c r="J70" s="23"/>
      <c r="K70" s="23"/>
      <c r="L70" s="23"/>
      <c r="M70" s="23"/>
      <c r="N70" s="23"/>
      <c r="O70" s="23"/>
      <c r="P70" s="24"/>
      <c r="Q70" s="24"/>
      <c r="R70" s="24"/>
    </row>
    <row r="71" spans="1:18" x14ac:dyDescent="0.3">
      <c r="A71" s="26"/>
      <c r="B71" s="26"/>
      <c r="C71" s="26"/>
      <c r="E71" s="23" t="s">
        <v>88</v>
      </c>
      <c r="F71" s="23"/>
      <c r="G71" s="23"/>
      <c r="H71" s="23"/>
      <c r="I71" s="23"/>
      <c r="J71" s="23"/>
      <c r="K71" s="23"/>
      <c r="L71" s="44" t="s">
        <v>89</v>
      </c>
      <c r="M71" s="23"/>
      <c r="N71" s="23"/>
      <c r="O71" s="23"/>
      <c r="P71" s="24"/>
      <c r="Q71" s="24"/>
      <c r="R71" s="24"/>
    </row>
    <row r="72" spans="1:18" x14ac:dyDescent="0.3">
      <c r="A72" s="26"/>
      <c r="B72" s="26"/>
      <c r="C72" s="26"/>
      <c r="E72" s="23" t="s">
        <v>90</v>
      </c>
      <c r="F72" s="23"/>
      <c r="G72" s="23"/>
      <c r="H72" s="23"/>
      <c r="I72" s="23"/>
      <c r="J72" s="45" t="s">
        <v>91</v>
      </c>
      <c r="K72" s="23"/>
      <c r="L72" s="46" t="str">
        <f>IF(J72="","Incompleted","Completed")</f>
        <v>Completed</v>
      </c>
      <c r="M72" s="23"/>
      <c r="N72" s="23"/>
      <c r="O72" s="23"/>
      <c r="P72" s="24"/>
      <c r="Q72" s="24"/>
      <c r="R72" s="24"/>
    </row>
    <row r="73" spans="1:18" x14ac:dyDescent="0.3">
      <c r="A73" s="26"/>
      <c r="B73" s="26"/>
      <c r="C73" s="26"/>
      <c r="E73" s="23"/>
      <c r="F73" s="23"/>
      <c r="G73" s="23"/>
      <c r="H73" s="23"/>
      <c r="I73" s="23"/>
      <c r="J73" s="47"/>
      <c r="K73" s="23"/>
      <c r="L73" s="23"/>
      <c r="M73" s="23"/>
      <c r="N73" s="23"/>
      <c r="O73" s="23"/>
      <c r="P73" s="24"/>
      <c r="Q73" s="24"/>
      <c r="R73" s="24"/>
    </row>
    <row r="74" spans="1:18" x14ac:dyDescent="0.3">
      <c r="A74" s="26"/>
      <c r="B74" s="26"/>
      <c r="C74" s="26"/>
      <c r="E74" s="48" t="str">
        <f>IF($J$72="TIDAK MEMADAI","Jelaskan penyebab pekerjaan pakar auditor tidak memadai dan bagaimana respon auditor atas hal tersebut !","")</f>
        <v/>
      </c>
      <c r="F74" s="23"/>
      <c r="G74" s="23"/>
      <c r="H74" s="23"/>
      <c r="I74" s="23"/>
      <c r="J74" s="23"/>
      <c r="K74" s="23"/>
      <c r="L74" s="23"/>
      <c r="M74" s="23"/>
      <c r="N74" s="23"/>
      <c r="O74" s="23"/>
      <c r="P74" s="24"/>
      <c r="Q74" s="24"/>
      <c r="R74" s="24"/>
    </row>
    <row r="75" spans="1:18" ht="15" customHeight="1" x14ac:dyDescent="0.3">
      <c r="A75" s="26"/>
      <c r="B75" s="26"/>
      <c r="C75" s="26"/>
      <c r="E75" s="73"/>
      <c r="F75" s="73"/>
      <c r="G75" s="73"/>
      <c r="H75" s="73"/>
      <c r="I75" s="73"/>
      <c r="J75" s="73"/>
      <c r="K75" s="73"/>
      <c r="L75" s="73"/>
      <c r="M75" s="23"/>
      <c r="N75" s="23"/>
      <c r="O75" s="23"/>
      <c r="P75" s="24"/>
      <c r="Q75" s="24"/>
      <c r="R75" s="24"/>
    </row>
    <row r="76" spans="1:18" ht="15" customHeight="1" x14ac:dyDescent="0.3">
      <c r="A76" s="26"/>
      <c r="B76" s="26"/>
      <c r="C76" s="26"/>
      <c r="E76" s="73"/>
      <c r="F76" s="73"/>
      <c r="G76" s="73"/>
      <c r="H76" s="73"/>
      <c r="I76" s="73"/>
      <c r="J76" s="73"/>
      <c r="K76" s="73"/>
      <c r="L76" s="73"/>
      <c r="M76" s="23"/>
      <c r="N76" s="23"/>
      <c r="O76" s="23"/>
      <c r="P76" s="24"/>
      <c r="Q76" s="24"/>
      <c r="R76" s="24"/>
    </row>
    <row r="77" spans="1:18" x14ac:dyDescent="0.3">
      <c r="A77" s="26"/>
      <c r="B77" s="26"/>
      <c r="C77" s="26"/>
      <c r="E77" s="73"/>
      <c r="F77" s="73"/>
      <c r="G77" s="73"/>
      <c r="H77" s="73"/>
      <c r="I77" s="73"/>
      <c r="J77" s="73"/>
      <c r="K77" s="73"/>
      <c r="L77" s="73"/>
      <c r="M77" s="49"/>
      <c r="N77" s="49"/>
      <c r="O77" s="49"/>
      <c r="P77" s="24"/>
      <c r="Q77" s="24"/>
      <c r="R77" s="24"/>
    </row>
    <row r="78" spans="1:18" x14ac:dyDescent="0.3">
      <c r="A78" s="26"/>
      <c r="B78" s="26"/>
      <c r="C78" s="26"/>
      <c r="E78" s="50"/>
      <c r="F78" s="51"/>
      <c r="G78" s="24"/>
      <c r="H78" s="49"/>
      <c r="I78" s="49"/>
      <c r="J78" s="24"/>
      <c r="K78" s="49"/>
      <c r="L78" s="49"/>
      <c r="M78" s="49"/>
      <c r="N78" s="49"/>
      <c r="O78" s="49"/>
      <c r="P78" s="24"/>
      <c r="Q78" s="24"/>
      <c r="R78" s="24"/>
    </row>
    <row r="79" spans="1:18" ht="14.5" x14ac:dyDescent="0.35">
      <c r="A79" s="26"/>
      <c r="B79" s="26"/>
      <c r="C79" s="26"/>
      <c r="E79" s="52" t="s">
        <v>92</v>
      </c>
      <c r="F79" s="53"/>
      <c r="G79" s="53"/>
      <c r="H79" s="53"/>
      <c r="I79" s="53"/>
      <c r="J79" s="53"/>
      <c r="K79" s="53"/>
      <c r="L79" s="54"/>
      <c r="M79" s="49"/>
      <c r="N79" s="49"/>
      <c r="O79" s="49"/>
      <c r="P79" s="24"/>
      <c r="Q79" s="24"/>
      <c r="R79" s="24"/>
    </row>
    <row r="80" spans="1:18" ht="14.5" x14ac:dyDescent="0.35">
      <c r="A80" s="26"/>
      <c r="B80" s="26"/>
      <c r="C80" s="26"/>
      <c r="E80" s="55"/>
      <c r="F80" s="56"/>
      <c r="G80" s="56"/>
      <c r="H80" s="56"/>
      <c r="I80" s="56"/>
      <c r="J80" s="56"/>
      <c r="K80" s="56"/>
      <c r="L80" s="54"/>
      <c r="M80" s="49"/>
      <c r="N80" s="49"/>
      <c r="O80" s="49"/>
      <c r="P80" s="24"/>
      <c r="Q80" s="24"/>
      <c r="R80" s="24"/>
    </row>
    <row r="81" spans="5:12" ht="14.5" x14ac:dyDescent="0.35">
      <c r="E81" s="55"/>
      <c r="F81" s="56"/>
      <c r="G81" s="56"/>
      <c r="H81" s="56"/>
      <c r="I81" s="56"/>
      <c r="J81" s="56"/>
      <c r="K81" s="56"/>
      <c r="L81" s="54"/>
    </row>
    <row r="82" spans="5:12" ht="14.5" x14ac:dyDescent="0.35">
      <c r="E82" s="55"/>
      <c r="F82" s="56"/>
      <c r="G82" s="56"/>
      <c r="H82" s="56"/>
      <c r="I82" s="56"/>
      <c r="J82" s="56"/>
      <c r="K82" s="56"/>
      <c r="L82" s="54"/>
    </row>
    <row r="83" spans="5:12" ht="14.5" x14ac:dyDescent="0.35">
      <c r="E83" s="55"/>
      <c r="F83" s="56"/>
      <c r="G83" s="56"/>
      <c r="H83" s="56"/>
      <c r="I83" s="56"/>
      <c r="J83" s="56"/>
      <c r="K83" s="56"/>
      <c r="L83" s="54"/>
    </row>
    <row r="84" spans="5:12" x14ac:dyDescent="0.3">
      <c r="E84" s="57"/>
      <c r="F84" s="58"/>
      <c r="G84" s="58"/>
      <c r="H84" s="58"/>
      <c r="I84" s="58"/>
      <c r="J84" s="58"/>
      <c r="K84" s="58"/>
      <c r="L84" s="59"/>
    </row>
  </sheetData>
  <mergeCells count="73">
    <mergeCell ref="E16:G16"/>
    <mergeCell ref="E18:L18"/>
    <mergeCell ref="F21:G21"/>
    <mergeCell ref="H21:I21"/>
    <mergeCell ref="J21:K21"/>
    <mergeCell ref="L21:M21"/>
    <mergeCell ref="N21:O21"/>
    <mergeCell ref="F22:G22"/>
    <mergeCell ref="H22:I22"/>
    <mergeCell ref="J22:K22"/>
    <mergeCell ref="L22:M22"/>
    <mergeCell ref="N22:O22"/>
    <mergeCell ref="F30:J30"/>
    <mergeCell ref="K30:L30"/>
    <mergeCell ref="F23:G23"/>
    <mergeCell ref="H23:I23"/>
    <mergeCell ref="J23:K23"/>
    <mergeCell ref="L23:M23"/>
    <mergeCell ref="N23:O23"/>
    <mergeCell ref="K28:M28"/>
    <mergeCell ref="E28:E29"/>
    <mergeCell ref="F28:J29"/>
    <mergeCell ref="K29:L29"/>
    <mergeCell ref="F31:J31"/>
    <mergeCell ref="K31:L31"/>
    <mergeCell ref="F32:J32"/>
    <mergeCell ref="K32:L32"/>
    <mergeCell ref="F33:J33"/>
    <mergeCell ref="K33:L33"/>
    <mergeCell ref="E38:E39"/>
    <mergeCell ref="F38:J39"/>
    <mergeCell ref="K39:L39"/>
    <mergeCell ref="K38:M38"/>
    <mergeCell ref="F40:J40"/>
    <mergeCell ref="K40:L40"/>
    <mergeCell ref="F41:J41"/>
    <mergeCell ref="K41:L41"/>
    <mergeCell ref="F42:J42"/>
    <mergeCell ref="K42:L42"/>
    <mergeCell ref="F43:J43"/>
    <mergeCell ref="K43:L43"/>
    <mergeCell ref="F44:J44"/>
    <mergeCell ref="K44:L44"/>
    <mergeCell ref="F45:J45"/>
    <mergeCell ref="K45:L45"/>
    <mergeCell ref="E54:E56"/>
    <mergeCell ref="K54:L54"/>
    <mergeCell ref="F55:J55"/>
    <mergeCell ref="K55:L55"/>
    <mergeCell ref="F56:J56"/>
    <mergeCell ref="K56:L56"/>
    <mergeCell ref="E52:E53"/>
    <mergeCell ref="F52:J53"/>
    <mergeCell ref="K53:L53"/>
    <mergeCell ref="K52:M52"/>
    <mergeCell ref="F57:J57"/>
    <mergeCell ref="K57:L57"/>
    <mergeCell ref="F67:J67"/>
    <mergeCell ref="K67:L67"/>
    <mergeCell ref="F58:J58"/>
    <mergeCell ref="K58:L58"/>
    <mergeCell ref="F60:J60"/>
    <mergeCell ref="K60:L60"/>
    <mergeCell ref="K65:M65"/>
    <mergeCell ref="K59:L59"/>
    <mergeCell ref="E65:E66"/>
    <mergeCell ref="F65:J66"/>
    <mergeCell ref="K66:L66"/>
    <mergeCell ref="E75:L77"/>
    <mergeCell ref="F68:J68"/>
    <mergeCell ref="K68:L68"/>
    <mergeCell ref="F69:J69"/>
    <mergeCell ref="K69:L69"/>
  </mergeCells>
  <conditionalFormatting sqref="E22:E23">
    <cfRule type="expression" dxfId="4" priority="2">
      <formula>IF($H$16="TIDAK",TRUE,"")</formula>
    </cfRule>
  </conditionalFormatting>
  <conditionalFormatting sqref="E75:L77">
    <cfRule type="expression" dxfId="3" priority="4">
      <formula>IF($E$74&lt;&gt;"",TRUE,FALSE)</formula>
    </cfRule>
  </conditionalFormatting>
  <conditionalFormatting sqref="E18:O21 L22:O23 E24:O27 E28:K28 E29:O37 E38:K38 E39:M40 E41 K41:M41 E42:O51 E52:K52 E53:O58 E59:K59 M59:O59 E60:O64 E65:K65 E66:M69">
    <cfRule type="expression" dxfId="2" priority="6">
      <formula>IF($H$16="TIDAK",TRUE,"")</formula>
    </cfRule>
  </conditionalFormatting>
  <conditionalFormatting sqref="F41:J41">
    <cfRule type="expression" dxfId="1" priority="5">
      <formula>IF($H$16="TIDAK",TRUE,"")</formula>
    </cfRule>
  </conditionalFormatting>
  <conditionalFormatting sqref="F22:K23">
    <cfRule type="expression" dxfId="0" priority="1">
      <formula>IF($H$16="TIDAK",TRUE,"")</formula>
    </cfRule>
  </conditionalFormatting>
  <dataValidations count="5">
    <dataValidation type="list" allowBlank="1" showInputMessage="1" showErrorMessage="1" sqref="H16" xr:uid="{FFA18F9B-529F-451D-AA9E-45E8C738E161}">
      <formula1>"YA,TIDAK"</formula1>
    </dataValidation>
    <dataValidation allowBlank="1" showInputMessage="1" showErrorMessage="1" prompt="isi dengan format tanggal/bulan/tahun " sqref="O7:O8 O11:O12" xr:uid="{C22A246D-AAFB-4082-92C9-416B6E6D3312}"/>
    <dataValidation allowBlank="1" showInputMessage="1" showErrorMessage="1" prompt="Cell ini otomatis terisi, tidak perlu diinput" sqref="O13:O14 O9" xr:uid="{0363AAA0-51D8-4203-9B6A-57E12B787D2E}"/>
    <dataValidation allowBlank="1" showInputMessage="1" showErrorMessage="1" prompt="Tidak perlu diisi, otomatis terisi" sqref="R9 R13:R14" xr:uid="{AA42AD98-F126-498C-9A3C-3720748FC862}"/>
    <dataValidation type="list" allowBlank="1" showInputMessage="1" showErrorMessage="1" sqref="J72" xr:uid="{126A22B3-06E3-45B2-939F-2BFC6188C6D3}">
      <formula1>"MEMADAI,TIDAK MEMADAI, TIDAK RELEVAN"</formula1>
    </dataValidation>
  </dataValidations>
  <pageMargins left="0.51181102362204722" right="0.31496062992125984" top="0.55118110236220474" bottom="0.35433070866141736" header="0.31496062992125984" footer="0.31496062992125984"/>
  <pageSetup paperSize="9" scale="5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KAP MGN 1</cp:lastModifiedBy>
  <cp:revision/>
  <dcterms:created xsi:type="dcterms:W3CDTF">2021-03-30T06:57:52Z</dcterms:created>
  <dcterms:modified xsi:type="dcterms:W3CDTF">2025-10-06T09:03:11Z</dcterms:modified>
  <cp:category/>
  <cp:contentStatus/>
</cp:coreProperties>
</file>