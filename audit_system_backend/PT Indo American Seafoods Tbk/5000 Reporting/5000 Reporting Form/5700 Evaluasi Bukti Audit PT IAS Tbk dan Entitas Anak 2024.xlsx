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cuments\Backup Lidya 2024\Backup Lidya 04.07.23\Backup Lidya\DATA LIDYA\Data Klien kap mgn\Klien 2024\PT IAS Tbk dan Entitas Anak_Des 2024\5000 Reporting Form\"/>
    </mc:Choice>
  </mc:AlternateContent>
  <xr:revisionPtr revIDLastSave="0" documentId="13_ncr:1_{97985BBF-2ECB-4D7E-A844-2E6F1690BB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C30" i="1"/>
  <c r="B23" i="1"/>
  <c r="K10" i="1"/>
  <c r="N10" i="1" s="1"/>
  <c r="K6" i="1"/>
  <c r="N6" i="1" s="1"/>
  <c r="N11" i="1" l="1"/>
  <c r="K11" i="1"/>
</calcChain>
</file>

<file path=xl/sharedStrings.xml><?xml version="1.0" encoding="utf-8"?>
<sst xmlns="http://schemas.openxmlformats.org/spreadsheetml/2006/main" count="70" uniqueCount="47">
  <si>
    <t>Nama KAP</t>
  </si>
  <si>
    <t>KAP MAURICE GANDA NAINGGOLAN &amp; REKAN</t>
  </si>
  <si>
    <t>Disiapkan oleh</t>
  </si>
  <si>
    <t>:</t>
  </si>
  <si>
    <t>Nama AP</t>
  </si>
  <si>
    <t>Tanggal mulai</t>
  </si>
  <si>
    <t>Waktu mulai</t>
  </si>
  <si>
    <t>Nama Klien</t>
  </si>
  <si>
    <t>Tanggal selesai</t>
  </si>
  <si>
    <t>Waktu selesai</t>
  </si>
  <si>
    <t>Alamat klien</t>
  </si>
  <si>
    <t>Jumlah hari</t>
  </si>
  <si>
    <t>Jumlah Jam</t>
  </si>
  <si>
    <t>Tahun Buku</t>
  </si>
  <si>
    <t>Direview oleh</t>
  </si>
  <si>
    <t>Indeks KKP</t>
  </si>
  <si>
    <t>C400</t>
  </si>
  <si>
    <t>Nama Indeks</t>
  </si>
  <si>
    <t>EVALUASI BUKTI AUDIT</t>
  </si>
  <si>
    <t>SA yang relevan</t>
  </si>
  <si>
    <t xml:space="preserve">SA 220 : Pengendalian Mutu untuk Audit atas Laporan Keuangan
 </t>
  </si>
  <si>
    <t>SA 330 : Respons Auditor terhadap Risiko yang Telah Dinilai</t>
  </si>
  <si>
    <t>Total waktu</t>
  </si>
  <si>
    <t>SA 450 : Pengevaluasian atas Kesalahan Penyajian yang Diidentifikasi Selama Audit</t>
  </si>
  <si>
    <t>SA 520 : Prosedur Analitis</t>
  </si>
  <si>
    <t>SA 540 : Audit Atas Estimasi Akuntansi, Termasuk Estimasi Akuntansi Nilai Wajar, dan Pengungkapan yang Bersangkutan</t>
  </si>
  <si>
    <t>SA 700 : Perumusan Suatu Opini Dan Pelaporan atas Laporan Keuangan</t>
  </si>
  <si>
    <t>RESPON</t>
  </si>
  <si>
    <t>1.</t>
  </si>
  <si>
    <t>BUKTI AUDIT YANG DIKUMPULKAN TELAH CUKUP DAN TEPAT             (TERMASUK ADANYA PEMBATASAN LINGKUP)</t>
  </si>
  <si>
    <t>YA</t>
  </si>
  <si>
    <t>2.</t>
  </si>
  <si>
    <t>DAMPAK ATAS RESPON NO 1</t>
  </si>
  <si>
    <t>a. Menyebabkan salah saji material</t>
  </si>
  <si>
    <t>TIDAK</t>
  </si>
  <si>
    <t>OPINI YANG DISARANKAN</t>
  </si>
  <si>
    <t>OPINI AUDITOR</t>
  </si>
  <si>
    <t>TIDAK WAJAR</t>
  </si>
  <si>
    <t>Status KKP</t>
  </si>
  <si>
    <t>Simpulan</t>
  </si>
  <si>
    <t>Evaluasi bukti telah memadai</t>
  </si>
  <si>
    <t>Jl. Ir. Sutami Km. 13 Desa Sukanegara, Kec. Tanjung Bintang, Kab. Lampung Selatan</t>
  </si>
  <si>
    <t>WAJAR TANPA PENGECUALIAN</t>
  </si>
  <si>
    <t>PT Indo American Seafoods Tbk dan Entitas Aanak</t>
  </si>
  <si>
    <t>Maurice Ganda Nainggolan</t>
  </si>
  <si>
    <t>NLS</t>
  </si>
  <si>
    <t>KNW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</si>
</sst>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[$-421]dd\ mmmm\ yyyy;@"/>
    <numFmt numFmtId="165" formatCode="[$-13809]h:mm;@"/>
    <numFmt numFmtId="166" formatCode="[h]:mm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badi"/>
      <family val="2"/>
    </font>
    <font>
      <sz val="11"/>
      <color theme="1"/>
      <name val="Microsoft Sans Serif"/>
      <family val="2"/>
    </font>
    <font>
      <sz val="10"/>
      <color theme="1"/>
      <name val="Microsoft Sans Serif"/>
      <family val="2"/>
    </font>
    <font>
      <b/>
      <i/>
      <sz val="10"/>
      <color rgb="FFFF0000"/>
      <name val="Microsoft Sans Serif"/>
      <family val="2"/>
    </font>
    <font>
      <sz val="11"/>
      <color theme="1"/>
      <name val="Abadi"/>
      <family val="2"/>
    </font>
    <font>
      <b/>
      <sz val="10"/>
      <color rgb="FFC00000"/>
      <name val="Microsoft Sans Serif"/>
      <family val="2"/>
    </font>
    <font>
      <b/>
      <sz val="10"/>
      <color theme="1"/>
      <name val="Microsoft Sans Serif"/>
      <family val="2"/>
    </font>
    <font>
      <sz val="11"/>
      <color rgb="FFC00000"/>
      <name val="Abadi"/>
      <family val="2"/>
    </font>
    <font>
      <b/>
      <sz val="11"/>
      <color rgb="FFC00000"/>
      <name val="Abadi"/>
      <family val="2"/>
    </font>
    <font>
      <sz val="10"/>
      <color theme="1"/>
      <name val="Calibri"/>
      <family val="2"/>
      <scheme val="minor"/>
    </font>
    <font>
      <sz val="11"/>
      <color theme="0"/>
      <name val="Abadi"/>
      <family val="2"/>
    </font>
    <font>
      <b/>
      <sz val="11"/>
      <color theme="0"/>
      <name val="Abadi"/>
      <family val="2"/>
    </font>
    <font>
      <sz val="11"/>
      <color rgb="FFFF0000"/>
      <name val="Abadi"/>
      <family val="2"/>
    </font>
    <font>
      <b/>
      <sz val="10"/>
      <name val="Microsoft Sans Serif"/>
      <family val="2"/>
    </font>
    <font>
      <b/>
      <sz val="11"/>
      <color rgb="FFFF0000"/>
      <name val="Microsoft Sans Serif"/>
      <family val="2"/>
    </font>
    <font>
      <b/>
      <i/>
      <sz val="11"/>
      <color theme="1"/>
      <name val="Microsoft Sans Serif"/>
      <family val="2"/>
    </font>
    <font>
      <b/>
      <i/>
      <sz val="11"/>
      <color rgb="FFC00000"/>
      <name val="Microsoft Sans Serif"/>
      <family val="2"/>
    </font>
    <font>
      <b/>
      <sz val="11"/>
      <color rgb="FFC00000"/>
      <name val="Microsoft Sans Serif"/>
      <family val="2"/>
    </font>
    <font>
      <sz val="11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</fills>
  <borders count="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1" fillId="0" borderId="0"/>
  </cellStyleXfs>
  <cellXfs count="68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Protection="1">
      <protection hidden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4" fillId="3" borderId="1" xfId="0" applyFont="1" applyFill="1" applyBorder="1" applyProtection="1">
      <protection locked="0"/>
    </xf>
    <xf numFmtId="0" fontId="6" fillId="2" borderId="0" xfId="0" applyFont="1" applyFill="1"/>
    <xf numFmtId="164" fontId="5" fillId="4" borderId="1" xfId="0" applyNumberFormat="1" applyFont="1" applyFill="1" applyBorder="1" applyProtection="1">
      <protection locked="0"/>
    </xf>
    <xf numFmtId="165" fontId="5" fillId="4" borderId="1" xfId="0" applyNumberFormat="1" applyFont="1" applyFill="1" applyBorder="1" applyProtection="1">
      <protection locked="0"/>
    </xf>
    <xf numFmtId="0" fontId="4" fillId="0" borderId="0" xfId="0" applyFont="1"/>
    <xf numFmtId="0" fontId="4" fillId="2" borderId="1" xfId="0" applyFont="1" applyFill="1" applyBorder="1"/>
    <xf numFmtId="166" fontId="5" fillId="2" borderId="1" xfId="0" applyNumberFormat="1" applyFont="1" applyFill="1" applyBorder="1" applyAlignment="1">
      <alignment horizontal="right"/>
    </xf>
    <xf numFmtId="43" fontId="5" fillId="2" borderId="0" xfId="1" applyFont="1" applyFill="1" applyProtection="1">
      <protection locked="0"/>
    </xf>
    <xf numFmtId="0" fontId="4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166" fontId="5" fillId="2" borderId="1" xfId="0" applyNumberFormat="1" applyFont="1" applyFill="1" applyBorder="1"/>
    <xf numFmtId="0" fontId="5" fillId="0" borderId="0" xfId="0" applyFont="1" applyAlignment="1">
      <alignment vertical="top"/>
    </xf>
    <xf numFmtId="0" fontId="5" fillId="0" borderId="0" xfId="0" applyFont="1" applyAlignment="1" applyProtection="1">
      <alignment vertical="top"/>
      <protection locked="0"/>
    </xf>
    <xf numFmtId="39" fontId="5" fillId="0" borderId="0" xfId="0" applyNumberFormat="1" applyFont="1" applyAlignment="1">
      <alignment horizontal="right" vertical="top"/>
    </xf>
    <xf numFmtId="0" fontId="5" fillId="0" borderId="0" xfId="0" applyFont="1"/>
    <xf numFmtId="0" fontId="5" fillId="0" borderId="0" xfId="0" applyFont="1" applyProtection="1">
      <protection locked="0"/>
    </xf>
    <xf numFmtId="39" fontId="5" fillId="0" borderId="0" xfId="0" applyNumberFormat="1" applyFont="1"/>
    <xf numFmtId="0" fontId="7" fillId="5" borderId="0" xfId="0" applyFont="1" applyFill="1"/>
    <xf numFmtId="0" fontId="2" fillId="0" borderId="0" xfId="0" applyFont="1" applyAlignment="1">
      <alignment horizontal="left" vertical="center"/>
    </xf>
    <xf numFmtId="0" fontId="7" fillId="2" borderId="0" xfId="0" applyFont="1" applyFill="1" applyProtection="1">
      <protection locked="0"/>
    </xf>
    <xf numFmtId="0" fontId="7" fillId="2" borderId="0" xfId="0" applyFont="1" applyFill="1"/>
    <xf numFmtId="0" fontId="7" fillId="0" borderId="0" xfId="0" applyFont="1"/>
    <xf numFmtId="0" fontId="7" fillId="2" borderId="0" xfId="0" applyFont="1" applyFill="1" applyAlignment="1">
      <alignment horizontal="center"/>
    </xf>
    <xf numFmtId="0" fontId="5" fillId="2" borderId="0" xfId="0" applyFont="1" applyFill="1" applyAlignment="1" applyProtection="1">
      <alignment horizontal="left" vertical="top" wrapText="1"/>
      <protection locked="0"/>
    </xf>
    <xf numFmtId="0" fontId="7" fillId="6" borderId="3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Protection="1">
      <protection locked="0"/>
    </xf>
    <xf numFmtId="0" fontId="8" fillId="0" borderId="0" xfId="0" quotePrefix="1" applyFont="1"/>
    <xf numFmtId="0" fontId="8" fillId="0" borderId="0" xfId="0" applyFont="1" applyProtection="1">
      <protection locked="0"/>
    </xf>
    <xf numFmtId="0" fontId="7" fillId="6" borderId="3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2" borderId="0" xfId="0" applyFont="1" applyFill="1" applyProtection="1"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1" fillId="0" borderId="0" xfId="0" quotePrefix="1" applyFont="1"/>
    <xf numFmtId="0" fontId="11" fillId="0" borderId="0" xfId="0" applyFont="1"/>
    <xf numFmtId="0" fontId="7" fillId="0" borderId="0" xfId="0" applyFont="1" applyAlignment="1">
      <alignment vertical="top" wrapText="1"/>
    </xf>
    <xf numFmtId="0" fontId="16" fillId="2" borderId="7" xfId="0" applyFont="1" applyFill="1" applyBorder="1" applyAlignment="1">
      <alignment vertical="center"/>
    </xf>
    <xf numFmtId="0" fontId="17" fillId="7" borderId="7" xfId="0" applyFont="1" applyFill="1" applyBorder="1" applyAlignment="1">
      <alignment horizontal="center"/>
    </xf>
    <xf numFmtId="0" fontId="7" fillId="0" borderId="0" xfId="0" applyFont="1" applyAlignment="1">
      <alignment vertical="top"/>
    </xf>
    <xf numFmtId="0" fontId="7" fillId="0" borderId="0" xfId="0" applyFont="1" applyProtection="1">
      <protection locked="0"/>
    </xf>
    <xf numFmtId="0" fontId="18" fillId="0" borderId="0" xfId="0" applyFont="1"/>
    <xf numFmtId="41" fontId="3" fillId="0" borderId="0" xfId="2" applyFont="1"/>
    <xf numFmtId="0" fontId="20" fillId="0" borderId="0" xfId="0" quotePrefix="1" applyFont="1"/>
    <xf numFmtId="0" fontId="4" fillId="0" borderId="0" xfId="3" applyFont="1"/>
    <xf numFmtId="164" fontId="4" fillId="2" borderId="0" xfId="0" applyNumberFormat="1" applyFont="1" applyFill="1" applyAlignment="1" applyProtection="1">
      <alignment horizontal="left"/>
      <protection hidden="1"/>
    </xf>
    <xf numFmtId="0" fontId="4" fillId="0" borderId="0" xfId="3" quotePrefix="1" applyFont="1" applyAlignment="1" applyProtection="1">
      <alignment horizontal="justify" vertical="top" wrapText="1"/>
      <protection locked="0"/>
    </xf>
    <xf numFmtId="0" fontId="5" fillId="2" borderId="0" xfId="0" applyFont="1" applyFill="1" applyAlignment="1" applyProtection="1">
      <alignment horizontal="left" vertical="top"/>
      <protection locked="0"/>
    </xf>
    <xf numFmtId="0" fontId="5" fillId="2" borderId="2" xfId="0" applyFont="1" applyFill="1" applyBorder="1" applyAlignment="1" applyProtection="1">
      <alignment horizontal="left" vertical="top"/>
      <protection locked="0"/>
    </xf>
    <xf numFmtId="0" fontId="7" fillId="2" borderId="4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7" fillId="2" borderId="6" xfId="0" applyFont="1" applyFill="1" applyBorder="1" applyAlignment="1" applyProtection="1">
      <alignment horizontal="center"/>
      <protection locked="0"/>
    </xf>
    <xf numFmtId="0" fontId="19" fillId="6" borderId="4" xfId="0" applyFont="1" applyFill="1" applyBorder="1" applyAlignment="1" applyProtection="1">
      <alignment horizontal="left" vertical="top"/>
      <protection locked="0"/>
    </xf>
    <xf numFmtId="0" fontId="19" fillId="6" borderId="6" xfId="0" applyFont="1" applyFill="1" applyBorder="1" applyAlignment="1" applyProtection="1">
      <alignment horizontal="left" vertical="top"/>
      <protection locked="0"/>
    </xf>
  </cellXfs>
  <cellStyles count="4">
    <cellStyle name="Comma" xfId="1" builtinId="3"/>
    <cellStyle name="Comma [0]" xfId="2" builtinId="6"/>
    <cellStyle name="Normal" xfId="0" builtinId="0"/>
    <cellStyle name="Normal 2 4" xfId="3" xr:uid="{00000000-0005-0000-0000-000003000000}"/>
  </cellStyles>
  <dxfs count="3">
    <dxf>
      <font>
        <color rgb="FFC00000"/>
      </font>
      <fill>
        <patternFill>
          <bgColor rgb="FFC00000"/>
        </patternFill>
      </fill>
    </dxf>
    <dxf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ENGET\MANAGER\AUDIT%202020\Puninar%20Yusen%20Logistics\ATLAS-PYID%20-%202021%20-%20Buku%20Feb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LAS"/>
      <sheetName val="Home"/>
      <sheetName val="AuditCycle"/>
      <sheetName val="Content"/>
      <sheetName val="A110"/>
      <sheetName val="INPUTDATALK"/>
      <sheetName val="A1101"/>
      <sheetName val="A1102"/>
      <sheetName val="A1102.1"/>
      <sheetName val="A1102.1A"/>
      <sheetName val="A1102.1B"/>
      <sheetName val="A1102.1C"/>
      <sheetName val="A1102.D"/>
      <sheetName val="A1103A"/>
      <sheetName val="A1103B"/>
      <sheetName val="A1105"/>
      <sheetName val="PERFORM"/>
      <sheetName val="ReFfLink"/>
      <sheetName val="A120"/>
      <sheetName val="JamKerja"/>
      <sheetName val="A130"/>
      <sheetName val="A140"/>
      <sheetName val="A150"/>
      <sheetName val="A160"/>
      <sheetName val="ASM"/>
      <sheetName val="A170"/>
      <sheetName val="A210"/>
      <sheetName val="A230.8"/>
      <sheetName val="Sheet4"/>
      <sheetName val="PREANALITICAL"/>
      <sheetName val="A220.1"/>
      <sheetName val="A220.2"/>
      <sheetName val="Coret Coret"/>
      <sheetName val="A230"/>
      <sheetName val="A230.1"/>
      <sheetName val="A230.2"/>
      <sheetName val="A230.3"/>
      <sheetName val="A230.3.1"/>
      <sheetName val="A230.4"/>
      <sheetName val="A230.5"/>
      <sheetName val="AKUNNTERDAMPAK"/>
      <sheetName val="A230.6"/>
      <sheetName val="A230.6A"/>
      <sheetName val="A230.7"/>
      <sheetName val="A240"/>
      <sheetName val="DataTim"/>
      <sheetName val="DataALK&amp;PB"/>
      <sheetName val="CR"/>
      <sheetName val="A250.1"/>
      <sheetName val="A250.1.1"/>
      <sheetName val="A250.2"/>
      <sheetName val="A.250.2.1"/>
      <sheetName val="A250.3"/>
      <sheetName val="A.250.3.1"/>
      <sheetName val="DAYHOUR"/>
      <sheetName val="A250.4"/>
      <sheetName val="A.250.4.1"/>
      <sheetName val="A250.5"/>
      <sheetName val="A.250.5.1"/>
      <sheetName val="A250.6"/>
      <sheetName val="A.250.6.1"/>
      <sheetName val="A250.7"/>
      <sheetName val="A.250.7.1"/>
      <sheetName val="A250.8"/>
      <sheetName val="A.250.8.1"/>
      <sheetName val="A250.9"/>
      <sheetName val="A.250.9.1"/>
      <sheetName val="A250.10"/>
      <sheetName val="A.250.10.1"/>
      <sheetName val="A250.11"/>
      <sheetName val="A.250.11.1"/>
      <sheetName val="A250.12"/>
      <sheetName val="A.250.12.1"/>
      <sheetName val="A250.13"/>
      <sheetName val="A.250.13.1"/>
      <sheetName val="DATAROMM"/>
      <sheetName val="A260"/>
      <sheetName val="DATACR"/>
      <sheetName val="Sheet2"/>
      <sheetName val="A270"/>
      <sheetName val="A2701"/>
      <sheetName val="A2702"/>
      <sheetName val="B100"/>
      <sheetName val="WSTB-FINAL"/>
      <sheetName val="AJE-RJE"/>
      <sheetName val="HEADERAKUNDOBEL"/>
      <sheetName val="DataLK (Kosong)"/>
      <sheetName val="LK(kosong)"/>
      <sheetName val="Data1"/>
      <sheetName val="COABARU"/>
      <sheetName val="HEADERAKUN"/>
      <sheetName val="FS"/>
      <sheetName val="prosedur horizontal"/>
      <sheetName val="RekapMapAKun"/>
      <sheetName val="B120"/>
      <sheetName val="2"/>
      <sheetName val="2.1"/>
      <sheetName val="3"/>
      <sheetName val="3.1"/>
      <sheetName val="5"/>
      <sheetName val="5.1"/>
      <sheetName val="6"/>
      <sheetName val="6.1"/>
      <sheetName val="7"/>
      <sheetName val="7.1"/>
      <sheetName val="8"/>
      <sheetName val="8.1"/>
      <sheetName val="9"/>
      <sheetName val="9.1"/>
      <sheetName val="10"/>
      <sheetName val="10.1"/>
      <sheetName val="11"/>
      <sheetName val="11.1"/>
      <sheetName val="12"/>
      <sheetName val="12.1"/>
      <sheetName val="13"/>
      <sheetName val="13.1"/>
      <sheetName val="14"/>
      <sheetName val="14.1"/>
      <sheetName val="15"/>
      <sheetName val="15.1"/>
      <sheetName val="16"/>
      <sheetName val="16.1"/>
      <sheetName val="17"/>
      <sheetName val="17.1"/>
      <sheetName val="18"/>
      <sheetName val="18.1"/>
      <sheetName val="19"/>
      <sheetName val="19.1"/>
      <sheetName val="20"/>
      <sheetName val="20.1"/>
      <sheetName val="21"/>
      <sheetName val="21.1"/>
      <sheetName val="22"/>
      <sheetName val="22.1"/>
      <sheetName val="23"/>
      <sheetName val="23.1"/>
      <sheetName val="24"/>
      <sheetName val="24.1"/>
      <sheetName val="25"/>
      <sheetName val="25.1"/>
      <sheetName val="26"/>
      <sheetName val="26.1"/>
      <sheetName val="27"/>
      <sheetName val="27.1"/>
      <sheetName val="28"/>
      <sheetName val="28.1"/>
      <sheetName val="29"/>
      <sheetName val="29.1"/>
      <sheetName val="30"/>
      <sheetName val="30.1"/>
      <sheetName val="31"/>
      <sheetName val="31.1"/>
      <sheetName val="32"/>
      <sheetName val="32.1"/>
      <sheetName val="33"/>
      <sheetName val="33.1"/>
      <sheetName val="34"/>
      <sheetName val="34.1"/>
      <sheetName val="35"/>
      <sheetName val="35.1"/>
      <sheetName val="36"/>
      <sheetName val="36.1"/>
      <sheetName val="37"/>
      <sheetName val="37.1"/>
      <sheetName val="38"/>
      <sheetName val="38.1"/>
      <sheetName val="39"/>
      <sheetName val="39.1"/>
      <sheetName val="40"/>
      <sheetName val="40.1"/>
      <sheetName val="41"/>
      <sheetName val="41.1"/>
      <sheetName val="42"/>
      <sheetName val="42.1"/>
      <sheetName val="43"/>
      <sheetName val="43.1"/>
      <sheetName val="44"/>
      <sheetName val="44.1"/>
      <sheetName val="45"/>
      <sheetName val="45.1"/>
      <sheetName val="46"/>
      <sheetName val="46.1"/>
      <sheetName val="47"/>
      <sheetName val="47.1"/>
      <sheetName val="MdanYa"/>
      <sheetName val="B210"/>
      <sheetName val="B220"/>
      <sheetName val="B230"/>
      <sheetName val="B240"/>
      <sheetName val="B250"/>
      <sheetName val="B260"/>
      <sheetName val="B270"/>
      <sheetName val="B280"/>
      <sheetName val="C110"/>
      <sheetName val="C120"/>
      <sheetName val="C120.1"/>
      <sheetName val="C120.2"/>
      <sheetName val="C220"/>
      <sheetName val="C220A"/>
      <sheetName val="C220B"/>
      <sheetName val="C220C"/>
      <sheetName val="C220D"/>
      <sheetName val="Sheet9"/>
      <sheetName val="C300"/>
      <sheetName val="C100"/>
      <sheetName val="C210"/>
      <sheetName val="C230"/>
      <sheetName val="C400"/>
      <sheetName val="OPINI1"/>
      <sheetName val="OPINI2"/>
      <sheetName val="OPINI3"/>
      <sheetName val="OPINI4"/>
      <sheetName val="DATASIGN"/>
      <sheetName val="Daftar Lampiran"/>
      <sheetName val="Singk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B1">
            <v>0.35416666666666669</v>
          </cell>
        </row>
        <row r="2">
          <cell r="B2">
            <v>4.1666666666666664E-2</v>
          </cell>
        </row>
        <row r="3">
          <cell r="B3">
            <v>0.72916666666666663</v>
          </cell>
        </row>
        <row r="4">
          <cell r="B4">
            <v>0.33333333333333331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3">
          <cell r="B3" t="str">
            <v>KAP MAURICE GANDA NAINGGOLAN &amp; REKAN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9"/>
  <sheetViews>
    <sheetView showGridLines="0" tabSelected="1" zoomScale="80" zoomScaleNormal="80" workbookViewId="0">
      <selection activeCell="K7" sqref="K7:K9"/>
    </sheetView>
  </sheetViews>
  <sheetFormatPr defaultRowHeight="14.5" x14ac:dyDescent="0.35"/>
  <cols>
    <col min="2" max="2" width="11.453125" customWidth="1"/>
    <col min="3" max="3" width="48.26953125" customWidth="1"/>
    <col min="5" max="5" width="39.1796875" customWidth="1"/>
    <col min="6" max="6" width="15.26953125" customWidth="1"/>
    <col min="9" max="9" width="16" customWidth="1"/>
    <col min="10" max="10" width="2.7265625" customWidth="1"/>
    <col min="11" max="11" width="18" bestFit="1" customWidth="1"/>
    <col min="12" max="12" width="13.26953125" customWidth="1"/>
    <col min="13" max="13" width="4" customWidth="1"/>
  </cols>
  <sheetData>
    <row r="2" spans="1:14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2" t="s">
        <v>0</v>
      </c>
      <c r="B3" s="2"/>
      <c r="C3" s="3" t="s">
        <v>1</v>
      </c>
      <c r="D3" s="2"/>
      <c r="E3" s="2"/>
      <c r="F3" s="2"/>
      <c r="G3" s="2"/>
      <c r="H3" s="2"/>
      <c r="I3" s="4" t="s">
        <v>2</v>
      </c>
      <c r="J3" s="5" t="s">
        <v>3</v>
      </c>
      <c r="K3" s="6" t="s">
        <v>45</v>
      </c>
      <c r="L3" s="7"/>
      <c r="M3" s="4"/>
      <c r="N3" s="4"/>
    </row>
    <row r="4" spans="1:14" x14ac:dyDescent="0.35">
      <c r="A4" s="2" t="s">
        <v>4</v>
      </c>
      <c r="B4" s="2"/>
      <c r="C4" s="3" t="s">
        <v>44</v>
      </c>
      <c r="D4" s="2"/>
      <c r="E4" s="2"/>
      <c r="F4" s="2"/>
      <c r="G4" s="2"/>
      <c r="H4" s="2"/>
      <c r="I4" s="4" t="s">
        <v>5</v>
      </c>
      <c r="J4" s="5" t="s">
        <v>3</v>
      </c>
      <c r="K4" s="8">
        <v>45768</v>
      </c>
      <c r="L4" s="4" t="s">
        <v>6</v>
      </c>
      <c r="M4" s="5" t="s">
        <v>3</v>
      </c>
      <c r="N4" s="9">
        <v>0.35416666666666669</v>
      </c>
    </row>
    <row r="5" spans="1:14" x14ac:dyDescent="0.35">
      <c r="A5" s="2" t="s">
        <v>7</v>
      </c>
      <c r="B5" s="2"/>
      <c r="C5" s="3" t="s">
        <v>43</v>
      </c>
      <c r="D5" s="2"/>
      <c r="E5" s="2"/>
      <c r="F5" s="2"/>
      <c r="G5" s="2"/>
      <c r="H5" s="2"/>
      <c r="I5" s="4" t="s">
        <v>8</v>
      </c>
      <c r="J5" s="5" t="s">
        <v>3</v>
      </c>
      <c r="K5" s="8">
        <v>45770</v>
      </c>
      <c r="L5" s="4" t="s">
        <v>9</v>
      </c>
      <c r="M5" s="5" t="s">
        <v>3</v>
      </c>
      <c r="N5" s="9">
        <v>0.4375</v>
      </c>
    </row>
    <row r="6" spans="1:14" x14ac:dyDescent="0.35">
      <c r="A6" s="2" t="s">
        <v>10</v>
      </c>
      <c r="B6" s="2"/>
      <c r="C6" s="3" t="s">
        <v>41</v>
      </c>
      <c r="D6" s="2"/>
      <c r="E6" s="2"/>
      <c r="F6" s="2"/>
      <c r="G6" s="2"/>
      <c r="H6" s="2"/>
      <c r="I6" s="4" t="s">
        <v>11</v>
      </c>
      <c r="J6" s="5" t="s">
        <v>3</v>
      </c>
      <c r="K6" s="11">
        <f>IF(OR(K4="",K5=""),0,K5-K4)</f>
        <v>2</v>
      </c>
      <c r="L6" s="4" t="s">
        <v>12</v>
      </c>
      <c r="M6" s="5" t="s">
        <v>3</v>
      </c>
      <c r="N6" s="12">
        <f>IF(N5="","",IF(K6=0,N5-N4,IF(K6=1,([1]JamKerja!$B$3-N4)+(N5-[1]JamKerja!$B$1)-[1]JamKerja!$B$2,IF(K6&gt;1,(([1]JamKerja!$B$3-N4)+(N5-[1]JamKerja!$B$1)-[1]JamKerja!$B$2)+((K6-1)*[1]JamKerja!$B$4),""))))</f>
        <v>0.74999999999999989</v>
      </c>
    </row>
    <row r="7" spans="1:14" x14ac:dyDescent="0.35">
      <c r="A7" s="2" t="s">
        <v>13</v>
      </c>
      <c r="B7" s="2"/>
      <c r="C7" s="59">
        <v>45657</v>
      </c>
      <c r="D7" s="2"/>
      <c r="E7" s="2"/>
      <c r="F7" s="2"/>
      <c r="G7" s="2"/>
      <c r="H7" s="2"/>
      <c r="I7" s="4" t="s">
        <v>14</v>
      </c>
      <c r="J7" s="5" t="s">
        <v>3</v>
      </c>
      <c r="K7" s="6" t="s">
        <v>46</v>
      </c>
      <c r="L7" s="7"/>
      <c r="M7" s="4"/>
      <c r="N7" s="13"/>
    </row>
    <row r="8" spans="1:14" x14ac:dyDescent="0.35">
      <c r="A8" s="2" t="s">
        <v>15</v>
      </c>
      <c r="B8" s="2"/>
      <c r="C8" s="2" t="s">
        <v>16</v>
      </c>
      <c r="D8" s="2"/>
      <c r="E8" s="2"/>
      <c r="F8" s="2"/>
      <c r="G8" s="2"/>
      <c r="H8" s="2"/>
      <c r="I8" s="4" t="s">
        <v>5</v>
      </c>
      <c r="J8" s="5" t="s">
        <v>3</v>
      </c>
      <c r="K8" s="8">
        <v>45770</v>
      </c>
      <c r="L8" s="4" t="s">
        <v>6</v>
      </c>
      <c r="M8" s="5" t="s">
        <v>3</v>
      </c>
      <c r="N8" s="9">
        <v>0.375</v>
      </c>
    </row>
    <row r="9" spans="1:14" x14ac:dyDescent="0.35">
      <c r="A9" s="2" t="s">
        <v>17</v>
      </c>
      <c r="B9" s="14"/>
      <c r="C9" s="15" t="s">
        <v>18</v>
      </c>
      <c r="D9" s="14"/>
      <c r="E9" s="14"/>
      <c r="F9" s="14"/>
      <c r="G9" s="14"/>
      <c r="H9" s="14"/>
      <c r="I9" s="4" t="s">
        <v>8</v>
      </c>
      <c r="J9" s="5" t="s">
        <v>3</v>
      </c>
      <c r="K9" s="8">
        <v>45770</v>
      </c>
      <c r="L9" s="4" t="s">
        <v>9</v>
      </c>
      <c r="M9" s="5" t="s">
        <v>3</v>
      </c>
      <c r="N9" s="9">
        <v>0.41666666666666669</v>
      </c>
    </row>
    <row r="10" spans="1:14" x14ac:dyDescent="0.35">
      <c r="A10" s="15" t="s">
        <v>19</v>
      </c>
      <c r="B10" s="15"/>
      <c r="C10" s="15" t="s">
        <v>20</v>
      </c>
      <c r="D10" s="15"/>
      <c r="E10" s="15"/>
      <c r="F10" s="15"/>
      <c r="G10" s="15"/>
      <c r="H10" s="15"/>
      <c r="I10" s="4" t="s">
        <v>11</v>
      </c>
      <c r="J10" s="5" t="s">
        <v>3</v>
      </c>
      <c r="K10" s="11">
        <f>IF(OR(K8="",K9=""),0,K9-K8)</f>
        <v>0</v>
      </c>
      <c r="L10" s="4" t="s">
        <v>12</v>
      </c>
      <c r="M10" s="5" t="s">
        <v>3</v>
      </c>
      <c r="N10" s="12">
        <f>IF(N9="","",IF(K10=0,N9-N8,IF(K10=1,([1]JamKerja!$B$3-N8)+(N9-[1]JamKerja!$B$1)-[1]JamKerja!$B$2,IF(K10&gt;1,(([1]JamKerja!$B$3-N8)+(N9-[1]JamKerja!$B$1)-[1]JamKerja!$B$2)+((K10-1)*[1]JamKerja!$B$4),""))))</f>
        <v>4.1666666666666685E-2</v>
      </c>
    </row>
    <row r="11" spans="1:14" x14ac:dyDescent="0.35">
      <c r="A11" s="16"/>
      <c r="B11" s="16"/>
      <c r="C11" s="16" t="s">
        <v>21</v>
      </c>
      <c r="D11" s="16"/>
      <c r="E11" s="16"/>
      <c r="F11" s="16"/>
      <c r="G11" s="16"/>
      <c r="H11" s="16"/>
      <c r="I11" s="4" t="s">
        <v>11</v>
      </c>
      <c r="J11" s="5" t="s">
        <v>3</v>
      </c>
      <c r="K11" s="11">
        <f>K6+K10</f>
        <v>2</v>
      </c>
      <c r="L11" s="4" t="s">
        <v>22</v>
      </c>
      <c r="M11" s="5" t="s">
        <v>3</v>
      </c>
      <c r="N11" s="17">
        <f>IF(OR(N6="",N10=""),"",N6+N10)</f>
        <v>0.79166666666666652</v>
      </c>
    </row>
    <row r="12" spans="1:14" x14ac:dyDescent="0.35">
      <c r="A12" s="16"/>
      <c r="B12" s="16"/>
      <c r="C12" s="16" t="s">
        <v>23</v>
      </c>
      <c r="D12" s="16"/>
      <c r="E12" s="16"/>
      <c r="F12" s="16"/>
      <c r="G12" s="16"/>
      <c r="H12" s="16"/>
      <c r="I12" s="10"/>
      <c r="J12" s="10"/>
      <c r="K12" s="18"/>
      <c r="L12" s="19"/>
      <c r="M12" s="18"/>
      <c r="N12" s="20"/>
    </row>
    <row r="13" spans="1:14" x14ac:dyDescent="0.35">
      <c r="A13" s="16"/>
      <c r="B13" s="16"/>
      <c r="C13" s="16" t="s">
        <v>24</v>
      </c>
      <c r="D13" s="16"/>
      <c r="E13" s="16"/>
      <c r="F13" s="16"/>
      <c r="G13" s="16"/>
      <c r="H13" s="16"/>
      <c r="I13" s="10"/>
      <c r="J13" s="10"/>
      <c r="K13" s="18"/>
      <c r="L13" s="19"/>
      <c r="M13" s="18"/>
      <c r="N13" s="20"/>
    </row>
    <row r="14" spans="1:14" x14ac:dyDescent="0.35">
      <c r="A14" s="16"/>
      <c r="B14" s="16"/>
      <c r="C14" s="16" t="s">
        <v>25</v>
      </c>
      <c r="D14" s="16"/>
      <c r="E14" s="16"/>
      <c r="F14" s="16"/>
      <c r="G14" s="16"/>
      <c r="H14" s="16"/>
      <c r="I14" s="10"/>
      <c r="J14" s="10"/>
      <c r="K14" s="18"/>
      <c r="L14" s="19"/>
      <c r="M14" s="18"/>
      <c r="N14" s="20"/>
    </row>
    <row r="15" spans="1:14" x14ac:dyDescent="0.35">
      <c r="A15" s="2"/>
      <c r="B15" s="2"/>
      <c r="C15" s="2" t="s">
        <v>26</v>
      </c>
      <c r="D15" s="2"/>
      <c r="E15" s="2"/>
      <c r="F15" s="2"/>
      <c r="G15" s="2"/>
      <c r="H15" s="2"/>
      <c r="I15" s="2"/>
      <c r="J15" s="2"/>
      <c r="K15" s="21"/>
      <c r="L15" s="22"/>
      <c r="M15" s="21"/>
      <c r="N15" s="23"/>
    </row>
    <row r="16" spans="1:14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1:14" x14ac:dyDescent="0.35">
      <c r="A17" s="25"/>
      <c r="B17" s="26"/>
      <c r="C17" s="27"/>
      <c r="D17" s="27"/>
      <c r="E17" s="27"/>
      <c r="F17" s="27"/>
      <c r="G17" s="27"/>
      <c r="H17" s="27"/>
      <c r="I17" s="28"/>
      <c r="J17" s="28"/>
      <c r="K17" s="28"/>
      <c r="L17" s="28"/>
      <c r="M17" s="28"/>
      <c r="N17" s="28"/>
    </row>
    <row r="18" spans="1:14" x14ac:dyDescent="0.35">
      <c r="A18" s="26"/>
      <c r="B18" s="26"/>
      <c r="C18" s="27"/>
      <c r="D18" s="27"/>
      <c r="E18" s="27"/>
      <c r="F18" s="29" t="s">
        <v>27</v>
      </c>
      <c r="G18" s="27"/>
      <c r="H18" s="27"/>
      <c r="I18" s="28"/>
      <c r="J18" s="28"/>
      <c r="K18" s="28"/>
      <c r="L18" s="28"/>
      <c r="M18" s="28"/>
      <c r="N18" s="28"/>
    </row>
    <row r="19" spans="1:14" x14ac:dyDescent="0.35">
      <c r="A19" s="26"/>
      <c r="B19" s="26"/>
      <c r="C19" s="27"/>
      <c r="D19" s="27"/>
      <c r="E19" s="27"/>
      <c r="F19" s="27"/>
      <c r="G19" s="27"/>
      <c r="H19" s="27"/>
      <c r="I19" s="28"/>
      <c r="J19" s="28"/>
      <c r="K19" s="28"/>
      <c r="L19" s="28"/>
      <c r="M19" s="28"/>
      <c r="N19" s="28"/>
    </row>
    <row r="20" spans="1:14" x14ac:dyDescent="0.35">
      <c r="A20" s="30" t="s">
        <v>28</v>
      </c>
      <c r="B20" s="61" t="s">
        <v>29</v>
      </c>
      <c r="C20" s="61"/>
      <c r="D20" s="61"/>
      <c r="E20" s="62"/>
      <c r="F20" s="31" t="s">
        <v>30</v>
      </c>
      <c r="G20" s="27"/>
      <c r="H20" s="27"/>
      <c r="I20" s="28"/>
      <c r="J20" s="28"/>
      <c r="K20" s="28"/>
      <c r="L20" s="28"/>
      <c r="M20" s="28"/>
      <c r="N20" s="28"/>
    </row>
    <row r="21" spans="1:14" x14ac:dyDescent="0.35">
      <c r="A21" s="32" t="s">
        <v>31</v>
      </c>
      <c r="B21" s="32" t="s">
        <v>32</v>
      </c>
      <c r="C21" s="27"/>
      <c r="D21" s="27"/>
      <c r="E21" s="27"/>
      <c r="F21" s="27"/>
      <c r="G21" s="27"/>
      <c r="H21" s="27"/>
      <c r="I21" s="28"/>
      <c r="J21" s="28"/>
      <c r="K21" s="28"/>
      <c r="L21" s="28"/>
      <c r="M21" s="28"/>
      <c r="N21" s="28"/>
    </row>
    <row r="22" spans="1:14" x14ac:dyDescent="0.35">
      <c r="A22" s="33"/>
      <c r="B22" s="34" t="s">
        <v>33</v>
      </c>
      <c r="C22" s="28"/>
      <c r="D22" s="28"/>
      <c r="E22" s="28"/>
      <c r="F22" s="35" t="s">
        <v>34</v>
      </c>
      <c r="G22" s="28"/>
      <c r="H22" s="28"/>
      <c r="I22" s="28"/>
      <c r="J22" s="28"/>
      <c r="K22" s="28"/>
      <c r="L22" s="28"/>
      <c r="M22" s="28"/>
      <c r="N22" s="28"/>
    </row>
    <row r="23" spans="1:14" x14ac:dyDescent="0.35">
      <c r="A23" s="33"/>
      <c r="B23" s="34" t="str">
        <f>IF(F22="TIDAK","","b. Berdampak pervasif")</f>
        <v/>
      </c>
      <c r="C23" s="28"/>
      <c r="D23" s="28"/>
      <c r="E23" s="28"/>
      <c r="F23" s="36"/>
      <c r="G23" s="28"/>
      <c r="H23" s="28"/>
      <c r="I23" s="28"/>
      <c r="J23" s="28"/>
      <c r="K23" s="28"/>
      <c r="L23" s="28"/>
      <c r="M23" s="28"/>
      <c r="N23" s="28"/>
    </row>
    <row r="24" spans="1:14" x14ac:dyDescent="0.35">
      <c r="A24" s="37"/>
      <c r="B24" s="38"/>
      <c r="C24" s="39"/>
      <c r="D24" s="39"/>
      <c r="E24" s="39"/>
      <c r="F24" s="39"/>
      <c r="G24" s="28"/>
      <c r="H24" s="28"/>
      <c r="I24" s="28"/>
      <c r="J24" s="28"/>
      <c r="K24" s="28"/>
      <c r="L24" s="28"/>
      <c r="M24" s="28"/>
      <c r="N24" s="28"/>
    </row>
    <row r="25" spans="1:14" x14ac:dyDescent="0.35">
      <c r="A25" s="40"/>
      <c r="B25" s="32" t="s">
        <v>35</v>
      </c>
      <c r="C25" s="27"/>
      <c r="D25" s="27"/>
      <c r="E25" s="63" t="s">
        <v>42</v>
      </c>
      <c r="F25" s="64"/>
      <c r="G25" s="65"/>
      <c r="H25" s="28"/>
      <c r="I25" s="28"/>
      <c r="J25" s="28"/>
      <c r="K25" s="28"/>
      <c r="L25" s="28"/>
      <c r="M25" s="28"/>
      <c r="N25" s="28"/>
    </row>
    <row r="26" spans="1:14" x14ac:dyDescent="0.35">
      <c r="A26" s="37"/>
      <c r="B26" s="32" t="s">
        <v>36</v>
      </c>
      <c r="C26" s="27"/>
      <c r="D26" s="27"/>
      <c r="E26" s="63" t="s">
        <v>42</v>
      </c>
      <c r="F26" s="64"/>
      <c r="G26" s="65"/>
      <c r="H26" s="28"/>
      <c r="I26" s="42"/>
      <c r="J26" s="41"/>
      <c r="K26" s="41"/>
      <c r="L26" s="41"/>
      <c r="M26" s="41"/>
      <c r="N26" s="28"/>
    </row>
    <row r="27" spans="1:14" x14ac:dyDescent="0.35">
      <c r="A27" s="43"/>
      <c r="B27" s="44"/>
      <c r="C27" s="27"/>
      <c r="D27" s="27"/>
      <c r="E27" s="27"/>
      <c r="F27" s="27"/>
      <c r="G27" s="27"/>
      <c r="H27" s="28"/>
      <c r="I27" s="46"/>
      <c r="J27" s="45"/>
      <c r="K27" s="45"/>
      <c r="L27" s="45"/>
      <c r="M27" s="41"/>
      <c r="N27" s="28"/>
    </row>
    <row r="28" spans="1:14" x14ac:dyDescent="0.35">
      <c r="A28" s="43"/>
      <c r="B28" s="27"/>
      <c r="C28" s="27"/>
      <c r="D28" s="27"/>
      <c r="E28" s="27"/>
      <c r="F28" s="27"/>
      <c r="G28" s="27"/>
      <c r="H28" s="28"/>
      <c r="I28" s="45"/>
      <c r="J28" s="45" t="s">
        <v>37</v>
      </c>
      <c r="K28" s="45"/>
      <c r="L28" s="47"/>
      <c r="M28" s="41"/>
      <c r="N28" s="28"/>
    </row>
    <row r="29" spans="1:14" x14ac:dyDescent="0.35">
      <c r="A29" s="48"/>
      <c r="B29" s="49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x14ac:dyDescent="0.35">
      <c r="A30" s="28"/>
      <c r="B30" s="51" t="s">
        <v>38</v>
      </c>
      <c r="C30" s="52" t="str">
        <f>IF(B33="","Incompleted","Completed")</f>
        <v>Completed</v>
      </c>
      <c r="D30" s="53"/>
      <c r="E30" s="53"/>
      <c r="F30" s="53"/>
      <c r="G30" s="50"/>
      <c r="H30" s="50"/>
      <c r="I30" s="28"/>
      <c r="J30" s="28"/>
      <c r="K30" s="28"/>
      <c r="L30" s="28"/>
      <c r="M30" s="54"/>
      <c r="N30" s="28"/>
    </row>
    <row r="31" spans="1:14" x14ac:dyDescent="0.35">
      <c r="A31" s="28"/>
      <c r="B31" s="28"/>
      <c r="C31" s="53"/>
      <c r="D31" s="53"/>
      <c r="E31" s="53"/>
      <c r="F31" s="53"/>
      <c r="G31" s="50"/>
      <c r="H31" s="50"/>
      <c r="I31" s="28"/>
      <c r="J31" s="28"/>
      <c r="K31" s="28"/>
      <c r="L31" s="28"/>
      <c r="M31" s="28"/>
      <c r="N31" s="28"/>
    </row>
    <row r="32" spans="1:14" x14ac:dyDescent="0.35">
      <c r="A32" s="28"/>
      <c r="B32" s="55" t="s">
        <v>39</v>
      </c>
      <c r="C32" s="21"/>
      <c r="D32" s="38"/>
      <c r="E32" s="38"/>
      <c r="F32" s="38"/>
      <c r="G32" s="50"/>
      <c r="H32" s="50"/>
      <c r="I32" s="28"/>
      <c r="J32" s="28"/>
      <c r="K32" s="28"/>
      <c r="L32" s="28"/>
      <c r="M32" s="54"/>
      <c r="N32" s="28"/>
    </row>
    <row r="33" spans="1:14" x14ac:dyDescent="0.35">
      <c r="A33" s="28"/>
      <c r="B33" s="66" t="s">
        <v>40</v>
      </c>
      <c r="C33" s="67"/>
      <c r="D33" s="38"/>
      <c r="E33" s="38"/>
      <c r="F33" s="38"/>
      <c r="G33" s="50"/>
      <c r="H33" s="50"/>
      <c r="I33" s="28"/>
      <c r="J33" s="28"/>
      <c r="K33" s="28"/>
      <c r="L33" s="28"/>
      <c r="M33" s="28"/>
      <c r="N33" s="28"/>
    </row>
    <row r="34" spans="1:14" x14ac:dyDescent="0.35">
      <c r="A34" s="28"/>
      <c r="B34" s="1"/>
      <c r="C34" s="56"/>
      <c r="D34" s="1"/>
      <c r="E34" s="1"/>
      <c r="F34" s="1"/>
      <c r="G34" s="50"/>
      <c r="H34" s="50"/>
      <c r="I34" s="28"/>
      <c r="J34" s="28"/>
      <c r="K34" s="28"/>
      <c r="L34" s="28"/>
      <c r="M34" s="54"/>
      <c r="N34" s="28"/>
    </row>
    <row r="35" spans="1:14" x14ac:dyDescent="0.35">
      <c r="A35" s="28"/>
      <c r="B35" s="57" t="str">
        <f>IF(B33="Evaluasi bukti tidak memadai","Jelaskan !","")</f>
        <v/>
      </c>
      <c r="C35" s="58"/>
      <c r="D35" s="58"/>
      <c r="E35" s="28"/>
      <c r="F35" s="28"/>
      <c r="G35" s="50"/>
      <c r="H35" s="50"/>
      <c r="I35" s="28"/>
      <c r="J35" s="28"/>
      <c r="K35" s="28"/>
      <c r="L35" s="28"/>
      <c r="M35" s="28"/>
      <c r="N35" s="28"/>
    </row>
    <row r="36" spans="1:14" x14ac:dyDescent="0.35">
      <c r="A36" s="28"/>
      <c r="B36" s="60"/>
      <c r="C36" s="60"/>
      <c r="D36" s="60"/>
      <c r="E36" s="60"/>
      <c r="F36" s="60"/>
      <c r="G36" s="50"/>
      <c r="H36" s="50"/>
      <c r="I36" s="28"/>
      <c r="J36" s="28"/>
      <c r="K36" s="28"/>
      <c r="L36" s="28"/>
      <c r="M36" s="28"/>
      <c r="N36" s="28"/>
    </row>
    <row r="37" spans="1:14" x14ac:dyDescent="0.35">
      <c r="A37" s="28"/>
      <c r="B37" s="60"/>
      <c r="C37" s="60"/>
      <c r="D37" s="60"/>
      <c r="E37" s="60"/>
      <c r="F37" s="60"/>
      <c r="G37" s="50"/>
      <c r="H37" s="50"/>
      <c r="I37" s="28"/>
      <c r="J37" s="28"/>
      <c r="K37" s="28"/>
      <c r="L37" s="28"/>
      <c r="M37" s="54"/>
      <c r="N37" s="28"/>
    </row>
    <row r="38" spans="1:14" x14ac:dyDescent="0.35">
      <c r="A38" s="28"/>
      <c r="B38" s="60"/>
      <c r="C38" s="60"/>
      <c r="D38" s="60"/>
      <c r="E38" s="60"/>
      <c r="F38" s="60"/>
      <c r="G38" s="28"/>
      <c r="H38" s="28"/>
      <c r="I38" s="28"/>
      <c r="J38" s="28"/>
      <c r="K38" s="28"/>
      <c r="L38" s="28"/>
      <c r="M38" s="28"/>
      <c r="N38" s="28"/>
    </row>
    <row r="39" spans="1:14" x14ac:dyDescent="0.35">
      <c r="A39" s="48"/>
      <c r="B39" s="49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</row>
  </sheetData>
  <mergeCells count="5">
    <mergeCell ref="B36:F38"/>
    <mergeCell ref="B20:E20"/>
    <mergeCell ref="E25:G25"/>
    <mergeCell ref="E26:G26"/>
    <mergeCell ref="B33:C33"/>
  </mergeCells>
  <conditionalFormatting sqref="B36:F38">
    <cfRule type="expression" dxfId="2" priority="1">
      <formula>IF($F$38&lt;&gt;"",TRUE,FALSE)</formula>
    </cfRule>
  </conditionalFormatting>
  <conditionalFormatting sqref="F23">
    <cfRule type="expression" dxfId="1" priority="3">
      <formula>IF($F$26&lt;&gt;"",TRUE,FALSE)</formula>
    </cfRule>
  </conditionalFormatting>
  <conditionalFormatting sqref="I25">
    <cfRule type="notContainsBlanks" dxfId="0" priority="4">
      <formula>LEN(TRIM(I25))&gt;0</formula>
    </cfRule>
  </conditionalFormatting>
  <dataValidations count="6">
    <dataValidation type="list" allowBlank="1" showInputMessage="1" showErrorMessage="1" sqref="B33:C33" xr:uid="{00000000-0002-0000-0000-000000000000}">
      <formula1>"Evaluasi bukti telah memadai, Evaluasi bukti tidak memadai"</formula1>
    </dataValidation>
    <dataValidation type="list" allowBlank="1" showInputMessage="1" showErrorMessage="1" sqref="F20 F22:F23" xr:uid="{00000000-0002-0000-0000-000003000000}">
      <formula1>"YA,TIDAK"</formula1>
    </dataValidation>
    <dataValidation type="list" allowBlank="1" showInputMessage="1" showErrorMessage="1" prompt="Pilih sesuai pilihan dengan melakukan dropdown" sqref="M30 M32 M34 M37" xr:uid="{00000000-0002-0000-0000-000004000000}">
      <formula1>"Ya,Tidak"</formula1>
    </dataValidation>
    <dataValidation allowBlank="1" showInputMessage="1" showErrorMessage="1" prompt="isi dengan format tanggal/bulan/tahun " sqref="K8:K9 K4:K5" xr:uid="{00000000-0002-0000-0000-000006000000}"/>
    <dataValidation allowBlank="1" showInputMessage="1" showErrorMessage="1" prompt="Cell ini otomatis terisi, tidak perlu diinput" sqref="L12 K10:K11 K6" xr:uid="{00000000-0002-0000-0000-000007000000}"/>
    <dataValidation allowBlank="1" showInputMessage="1" showErrorMessage="1" prompt="Tidak perlu diisi, otomatis terisi" sqref="N10:N12 N6" xr:uid="{00000000-0002-0000-0000-000008000000}"/>
  </dataValidations>
  <pageMargins left="0.51181102362204722" right="0.31496062992125984" top="0.55118110236220474" bottom="0.35433070866141736" header="0.31496062992125984" footer="0.31496062992125984"/>
  <pageSetup paperSize="9" scale="6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KAP MGN 1</cp:lastModifiedBy>
  <cp:revision/>
  <dcterms:created xsi:type="dcterms:W3CDTF">2021-03-29T13:07:02Z</dcterms:created>
  <dcterms:modified xsi:type="dcterms:W3CDTF">2025-10-06T09:29:08Z</dcterms:modified>
  <cp:category/>
  <cp:contentStatus/>
</cp:coreProperties>
</file>