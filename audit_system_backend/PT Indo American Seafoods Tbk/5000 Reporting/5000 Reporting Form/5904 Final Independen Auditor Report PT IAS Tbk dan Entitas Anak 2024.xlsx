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5000 Reporting Form\"/>
    </mc:Choice>
  </mc:AlternateContent>
  <xr:revisionPtr revIDLastSave="0" documentId="13_ncr:1_{2E943515-6D7F-4F9D-99C1-70CA7A6073AB}" xr6:coauthVersionLast="47" xr6:coauthVersionMax="47" xr10:uidLastSave="{00000000-0000-0000-0000-000000000000}"/>
  <bookViews>
    <workbookView xWindow="-110" yWindow="-110" windowWidth="19420" windowHeight="10300" xr2:uid="{E0721AC3-3DE3-4FC3-8B0A-72247BC69894}"/>
  </bookViews>
  <sheets>
    <sheet name="Sheet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1" l="1"/>
  <c r="G41" i="1"/>
  <c r="Q18" i="1"/>
  <c r="S10" i="1"/>
  <c r="U10" i="1" s="1"/>
  <c r="S5" i="1"/>
  <c r="U5" i="1" s="1"/>
  <c r="U11" i="1" l="1"/>
  <c r="S11" i="1"/>
</calcChain>
</file>

<file path=xl/sharedStrings.xml><?xml version="1.0" encoding="utf-8"?>
<sst xmlns="http://schemas.openxmlformats.org/spreadsheetml/2006/main" count="117" uniqueCount="76">
  <si>
    <t>:</t>
  </si>
  <si>
    <t>Nama KAP</t>
  </si>
  <si>
    <t>KAP MAURICE GANDA NAINGGOLAN &amp; REKAN</t>
  </si>
  <si>
    <t>Disiapkan oleh</t>
  </si>
  <si>
    <t>NLS</t>
  </si>
  <si>
    <t>Nama AP</t>
  </si>
  <si>
    <t xml:space="preserve">KAP MAURICE GANDA NAINGGOLAN </t>
  </si>
  <si>
    <t>Tanggal mulai</t>
  </si>
  <si>
    <t>Waktu mulai</t>
  </si>
  <si>
    <t>Nama Klien</t>
  </si>
  <si>
    <t>PT Indo American Seafoods Tbk dan Entitas Anak</t>
  </si>
  <si>
    <t>Tanggal selesai</t>
  </si>
  <si>
    <t>Waktu selesai</t>
  </si>
  <si>
    <t>Alamat klien</t>
  </si>
  <si>
    <t xml:space="preserve">Jl. Ir. Sutami Km. 13 Desa Sukanegara, Kec. Tanjung Bintang, </t>
  </si>
  <si>
    <t>Jumlah hari</t>
  </si>
  <si>
    <t>Jumlah Jam</t>
  </si>
  <si>
    <t>Kab. Lampung Selatan</t>
  </si>
  <si>
    <t>Tahun Buku</t>
  </si>
  <si>
    <t>31 Desember 2024</t>
  </si>
  <si>
    <t>Direview oleh</t>
  </si>
  <si>
    <t>KNW</t>
  </si>
  <si>
    <t>Indeks KKP</t>
  </si>
  <si>
    <t>C530</t>
  </si>
  <si>
    <t>Nama Indeks</t>
  </si>
  <si>
    <t>LAPORAN AUDITOR INDEPENDEN DAN LAPORAN KEUANGAN (FINAL)</t>
  </si>
  <si>
    <t>SA yang relevan</t>
  </si>
  <si>
    <t xml:space="preserve">SA 700 : Perumusan Suatu Opini Dan Pelaporan atas Laporan Keuangan </t>
  </si>
  <si>
    <t>SA 705 : Modifikasi Terhadap Opini dalam Laporan Auditor Independen</t>
  </si>
  <si>
    <t>Total waktu</t>
  </si>
  <si>
    <t xml:space="preserve">SA 706 : Paragraf Penekanan Suatu Hal dan Paragraf Lain </t>
  </si>
  <si>
    <t>Dalam Laporan Auditor Independen</t>
  </si>
  <si>
    <t>Laporan Auditor Independen</t>
  </si>
  <si>
    <t>Nomor LAI</t>
  </si>
  <si>
    <t>00021</t>
  </si>
  <si>
    <t>/</t>
  </si>
  <si>
    <t>AU.01</t>
  </si>
  <si>
    <t>05</t>
  </si>
  <si>
    <t>1/III/2025</t>
  </si>
  <si>
    <t>Tanggal LAI</t>
  </si>
  <si>
    <t>SAK Umum Konvergensi IFRS</t>
  </si>
  <si>
    <t>AU-01</t>
  </si>
  <si>
    <t>Penandatangan LAI</t>
  </si>
  <si>
    <t>SAK ETAP</t>
  </si>
  <si>
    <t>AU-02</t>
  </si>
  <si>
    <t>No Ijin AP</t>
  </si>
  <si>
    <t>AP.0147</t>
  </si>
  <si>
    <t/>
  </si>
  <si>
    <t>-</t>
  </si>
  <si>
    <t>SAK EMKM</t>
  </si>
  <si>
    <t>AU-03</t>
  </si>
  <si>
    <t>Pihak yang dituju</t>
  </si>
  <si>
    <t>SAK SYARIAH</t>
  </si>
  <si>
    <t>AU-04</t>
  </si>
  <si>
    <t>Tipe Perikatan</t>
  </si>
  <si>
    <t>Perikatan Kedua</t>
  </si>
  <si>
    <t>Periode Ke -</t>
  </si>
  <si>
    <t>31/12/2024</t>
  </si>
  <si>
    <t xml:space="preserve">No Induk KAP </t>
  </si>
  <si>
    <t>WAJAR TANPA PENGECUALIAN</t>
  </si>
  <si>
    <t>(lihat web PPPK)</t>
  </si>
  <si>
    <t>WAJAR DENGAN PENGECUALIAN</t>
  </si>
  <si>
    <t>Opini Auditor</t>
  </si>
  <si>
    <t>Menurut opini kami, laporan keuangan konsolidasian terlampir menyajikan secara wajar, dalam semua hal yang material, posisi keuangan konsolidasian Grup tanggal 31 Desember 2024, serta kinerja keuangan dan arus kas konsolidasiannya untuk tahun-tahun yang berakhir pada tanggal tersebut, sesuai dengan Standar Akuntansi Keuangan di Indonesia.</t>
  </si>
  <si>
    <t>Lokasi Opini Terbit</t>
  </si>
  <si>
    <t>Jakarta</t>
  </si>
  <si>
    <t>TIDAK WAJAR</t>
  </si>
  <si>
    <t>Contoh Format Opini</t>
  </si>
  <si>
    <t>Hal Audit Utama</t>
  </si>
  <si>
    <t>Eksistensi dan penilaian persediaan serta Saldo Utang Bank pada 31 Desember 2024
yang Signifikan</t>
  </si>
  <si>
    <t>Tambahan paragraf</t>
  </si>
  <si>
    <t xml:space="preserve"> </t>
  </si>
  <si>
    <t xml:space="preserve">Laporan ini diterbitkan dengan tujuan untuk
dicantumkan dalam prospektus sehubungan
dengan rencana penawaran umum saham
perdana PT Indo American Seafoods Tbk, serta
tidak ditujukan, dan tidak diperkenankan untuk
digunakan, untuk tujuan lain. </t>
  </si>
  <si>
    <t>Kesimpulan</t>
  </si>
  <si>
    <t>LAI telah memadai</t>
  </si>
  <si>
    <t>Status KKP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</si>
</sst>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421]dd\ mmmm\ yyyy;@"/>
    <numFmt numFmtId="165" formatCode="[$-13809]h:mm;@"/>
    <numFmt numFmtId="166" formatCode="[h]:mm;@"/>
  </numFmts>
  <fonts count="31">
    <font>
      <sz val="11"/>
      <color theme="1"/>
      <name val="Calibri"/>
      <family val="2"/>
      <scheme val="minor"/>
    </font>
    <font>
      <sz val="11"/>
      <color theme="1"/>
      <name val="Calibri"/>
      <family val="2"/>
      <scheme val="minor"/>
    </font>
    <font>
      <u/>
      <sz val="11"/>
      <color theme="10"/>
      <name val="Calibri"/>
      <family val="2"/>
      <scheme val="minor"/>
    </font>
    <font>
      <sz val="11"/>
      <color theme="1"/>
      <name val="Abadi"/>
      <family val="2"/>
    </font>
    <font>
      <sz val="10"/>
      <color theme="1"/>
      <name val="Abadi"/>
      <family val="2"/>
    </font>
    <font>
      <sz val="11"/>
      <color theme="1"/>
      <name val="Microsoft Sans Serif"/>
      <family val="2"/>
    </font>
    <font>
      <sz val="10"/>
      <color theme="1"/>
      <name val="Microsoft Sans Serif"/>
      <family val="2"/>
    </font>
    <font>
      <b/>
      <i/>
      <sz val="10"/>
      <color rgb="FFFF0000"/>
      <name val="Microsoft Sans Serif"/>
      <family val="2"/>
    </font>
    <font>
      <b/>
      <sz val="11"/>
      <color rgb="FF7030A0"/>
      <name val="Abadi"/>
      <family val="2"/>
    </font>
    <font>
      <u/>
      <sz val="11"/>
      <color theme="1"/>
      <name val="Abadi"/>
      <family val="2"/>
    </font>
    <font>
      <b/>
      <sz val="9"/>
      <color rgb="FF7030A0"/>
      <name val="Microsoft Sans Serif"/>
      <family val="2"/>
    </font>
    <font>
      <b/>
      <sz val="10"/>
      <color theme="1"/>
      <name val="Microsoft Sans Serif"/>
      <family val="2"/>
    </font>
    <font>
      <b/>
      <u/>
      <sz val="10"/>
      <color theme="10"/>
      <name val="Microsoft Sans Serif"/>
      <family val="2"/>
    </font>
    <font>
      <b/>
      <u/>
      <sz val="10"/>
      <color theme="4"/>
      <name val="Microsoft Sans Serif"/>
      <family val="2"/>
    </font>
    <font>
      <sz val="10"/>
      <name val="Microsoft Sans Serif"/>
      <family val="2"/>
    </font>
    <font>
      <sz val="10"/>
      <color theme="0"/>
      <name val="Microsoft Sans Serif"/>
      <family val="2"/>
    </font>
    <font>
      <sz val="11"/>
      <color theme="0"/>
      <name val="Abadi"/>
      <family val="2"/>
    </font>
    <font>
      <sz val="10"/>
      <color rgb="FFFF0000"/>
      <name val="Microsoft Sans Serif"/>
      <family val="2"/>
    </font>
    <font>
      <sz val="11"/>
      <color rgb="FF7030A0"/>
      <name val="Abadi"/>
      <family val="2"/>
    </font>
    <font>
      <i/>
      <sz val="10"/>
      <color theme="0"/>
      <name val="Microsoft Sans Serif"/>
      <family val="2"/>
    </font>
    <font>
      <sz val="11"/>
      <color rgb="FFFF0000"/>
      <name val="Abadi"/>
      <family val="2"/>
    </font>
    <font>
      <b/>
      <i/>
      <sz val="10"/>
      <name val="Microsoft Sans Serif"/>
      <family val="2"/>
    </font>
    <font>
      <b/>
      <i/>
      <sz val="10"/>
      <color theme="0"/>
      <name val="Microsoft Sans Serif"/>
      <family val="2"/>
    </font>
    <font>
      <sz val="11"/>
      <name val="Abadi"/>
      <family val="2"/>
    </font>
    <font>
      <u/>
      <sz val="11"/>
      <name val="Calibri"/>
      <family val="2"/>
      <scheme val="minor"/>
    </font>
    <font>
      <b/>
      <sz val="11"/>
      <color rgb="FFC00000"/>
      <name val="Abadi"/>
      <family val="2"/>
    </font>
    <font>
      <sz val="11"/>
      <name val="Microsoft Sans Serif"/>
      <family val="2"/>
    </font>
    <font>
      <b/>
      <sz val="11"/>
      <color theme="1"/>
      <name val="Abadi"/>
      <family val="2"/>
    </font>
    <font>
      <b/>
      <i/>
      <sz val="11"/>
      <color rgb="FFC00000"/>
      <name val="Microsoft Sans Serif"/>
      <family val="2"/>
    </font>
    <font>
      <b/>
      <sz val="10"/>
      <name val="Microsoft Sans Serif"/>
      <family val="2"/>
    </font>
    <font>
      <b/>
      <sz val="11"/>
      <color rgb="FFFF0000"/>
      <name val="Microsoft Sans Serif"/>
      <family val="2"/>
    </font>
  </fonts>
  <fills count="1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rgb="FF66FFFF"/>
        <bgColor indexed="64"/>
      </patternFill>
    </fill>
    <fill>
      <patternFill patternType="solid">
        <fgColor rgb="FFFFFFFF"/>
        <bgColor indexed="64"/>
      </patternFill>
    </fill>
    <fill>
      <patternFill patternType="solid">
        <fgColor theme="1"/>
        <bgColor indexed="64"/>
      </patternFill>
    </fill>
    <fill>
      <patternFill patternType="solid">
        <fgColor theme="7" tint="0.59999389629810485"/>
        <bgColor indexed="64"/>
      </patternFill>
    </fill>
  </fills>
  <borders count="9">
    <border>
      <left/>
      <right/>
      <top/>
      <bottom/>
      <diagonal/>
    </border>
    <border>
      <left style="thin">
        <color rgb="FFFF0000"/>
      </left>
      <right style="thin">
        <color rgb="FFFF0000"/>
      </right>
      <top style="thin">
        <color rgb="FFFF0000"/>
      </top>
      <bottom style="thin">
        <color rgb="FFFF000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bottom/>
      <diagonal/>
    </border>
    <border>
      <left/>
      <right style="thin">
        <color rgb="FFC00000"/>
      </right>
      <top/>
      <bottom/>
      <diagonal/>
    </border>
    <border>
      <left style="thin">
        <color rgb="FFC00000"/>
      </left>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0">
    <xf numFmtId="0" fontId="0" fillId="0" borderId="0" xfId="0"/>
    <xf numFmtId="0" fontId="3" fillId="2" borderId="0" xfId="0" applyFont="1" applyFill="1"/>
    <xf numFmtId="0" fontId="4" fillId="0" borderId="0" xfId="0" applyFont="1"/>
    <xf numFmtId="0" fontId="5" fillId="3" borderId="0" xfId="0" applyFont="1" applyFill="1" applyAlignment="1">
      <alignment horizontal="center"/>
    </xf>
    <xf numFmtId="0" fontId="5" fillId="3" borderId="0" xfId="0" applyFont="1" applyFill="1"/>
    <xf numFmtId="0" fontId="5" fillId="3" borderId="0" xfId="0" applyFont="1" applyFill="1" applyProtection="1">
      <protection hidden="1"/>
    </xf>
    <xf numFmtId="0" fontId="5" fillId="0" borderId="0" xfId="0" applyFont="1"/>
    <xf numFmtId="0" fontId="3" fillId="0" borderId="0" xfId="0" applyFont="1"/>
    <xf numFmtId="0" fontId="6" fillId="3" borderId="0" xfId="0" applyFont="1" applyFill="1"/>
    <xf numFmtId="0" fontId="5" fillId="4" borderId="1" xfId="0" applyFont="1" applyFill="1" applyBorder="1" applyProtection="1">
      <protection locked="0"/>
    </xf>
    <xf numFmtId="164" fontId="6" fillId="5" borderId="1" xfId="0" applyNumberFormat="1" applyFont="1" applyFill="1" applyBorder="1" applyProtection="1">
      <protection locked="0"/>
    </xf>
    <xf numFmtId="165" fontId="6" fillId="5" borderId="1" xfId="0" applyNumberFormat="1" applyFont="1" applyFill="1" applyBorder="1" applyProtection="1">
      <protection locked="0"/>
    </xf>
    <xf numFmtId="0" fontId="5" fillId="3" borderId="1" xfId="0" applyFont="1" applyFill="1" applyBorder="1"/>
    <xf numFmtId="166" fontId="6" fillId="3" borderId="1" xfId="0" applyNumberFormat="1" applyFont="1" applyFill="1" applyBorder="1" applyAlignment="1">
      <alignment horizontal="right"/>
    </xf>
    <xf numFmtId="0" fontId="7" fillId="3" borderId="0" xfId="0" applyFont="1" applyFill="1"/>
    <xf numFmtId="43" fontId="6" fillId="3" borderId="0" xfId="1" applyFont="1" applyFill="1" applyProtection="1">
      <protection locked="0"/>
    </xf>
    <xf numFmtId="0" fontId="5" fillId="0" borderId="0" xfId="0" applyFont="1" applyAlignment="1">
      <alignment vertical="top"/>
    </xf>
    <xf numFmtId="0" fontId="5" fillId="3" borderId="0" xfId="0" applyFont="1" applyFill="1" applyAlignment="1">
      <alignment vertical="top"/>
    </xf>
    <xf numFmtId="166" fontId="6" fillId="3" borderId="1" xfId="0" applyNumberFormat="1" applyFont="1" applyFill="1" applyBorder="1"/>
    <xf numFmtId="166" fontId="6" fillId="3" borderId="0" xfId="0" applyNumberFormat="1" applyFont="1" applyFill="1"/>
    <xf numFmtId="0" fontId="6" fillId="0" borderId="0" xfId="0" applyFont="1"/>
    <xf numFmtId="0" fontId="6" fillId="0" borderId="0" xfId="0" applyFont="1" applyProtection="1">
      <protection locked="0"/>
    </xf>
    <xf numFmtId="39" fontId="6" fillId="0" borderId="0" xfId="0" applyNumberFormat="1" applyFont="1"/>
    <xf numFmtId="0" fontId="8" fillId="0" borderId="0" xfId="0" applyFont="1" applyProtection="1">
      <protection hidden="1"/>
    </xf>
    <xf numFmtId="0" fontId="3" fillId="0" borderId="0" xfId="0" applyFont="1" applyProtection="1">
      <protection hidden="1"/>
    </xf>
    <xf numFmtId="0" fontId="9" fillId="3" borderId="0" xfId="0" applyFont="1" applyFill="1" applyProtection="1">
      <protection locked="0"/>
    </xf>
    <xf numFmtId="0" fontId="3" fillId="3" borderId="0" xfId="0" applyFont="1" applyFill="1" applyProtection="1">
      <protection locked="0"/>
    </xf>
    <xf numFmtId="0" fontId="3" fillId="3" borderId="0" xfId="0" applyFont="1" applyFill="1"/>
    <xf numFmtId="0" fontId="10" fillId="0" borderId="0" xfId="0" applyFont="1" applyAlignment="1" applyProtection="1">
      <alignment horizontal="center"/>
      <protection hidden="1"/>
    </xf>
    <xf numFmtId="0" fontId="11" fillId="3" borderId="0" xfId="0" applyFont="1" applyFill="1" applyProtection="1">
      <protection locked="0"/>
    </xf>
    <xf numFmtId="0" fontId="6" fillId="3" borderId="0" xfId="0" applyFont="1" applyFill="1" applyProtection="1">
      <protection locked="0"/>
    </xf>
    <xf numFmtId="0" fontId="3" fillId="0" borderId="0" xfId="0" applyFont="1" applyProtection="1">
      <protection locked="0"/>
    </xf>
    <xf numFmtId="0" fontId="12" fillId="0" borderId="0" xfId="2" applyFont="1" applyAlignment="1">
      <alignment horizontal="center"/>
    </xf>
    <xf numFmtId="49" fontId="6" fillId="6" borderId="2" xfId="0" quotePrefix="1" applyNumberFormat="1" applyFont="1" applyFill="1" applyBorder="1" applyAlignment="1" applyProtection="1">
      <alignment horizontal="right"/>
      <protection locked="0"/>
    </xf>
    <xf numFmtId="0" fontId="6" fillId="3" borderId="0" xfId="0" quotePrefix="1" applyFont="1" applyFill="1" applyAlignment="1" applyProtection="1">
      <alignment horizontal="center"/>
      <protection locked="0"/>
    </xf>
    <xf numFmtId="0" fontId="6" fillId="7" borderId="2" xfId="0" applyFont="1" applyFill="1" applyBorder="1" applyAlignment="1" applyProtection="1">
      <alignment horizontal="center"/>
      <protection hidden="1"/>
    </xf>
    <xf numFmtId="0" fontId="6" fillId="3" borderId="0" xfId="0" quotePrefix="1" applyFont="1" applyFill="1" applyAlignment="1" applyProtection="1">
      <alignment horizontal="center"/>
      <protection hidden="1"/>
    </xf>
    <xf numFmtId="0" fontId="6" fillId="7" borderId="0" xfId="0" applyFont="1" applyFill="1" applyAlignment="1" applyProtection="1">
      <alignment horizontal="center"/>
      <protection hidden="1"/>
    </xf>
    <xf numFmtId="0" fontId="6" fillId="7" borderId="0" xfId="0" applyFont="1" applyFill="1" applyAlignment="1" applyProtection="1">
      <alignment horizontal="right"/>
      <protection hidden="1"/>
    </xf>
    <xf numFmtId="0" fontId="13" fillId="0" borderId="0" xfId="2" applyFont="1" applyAlignment="1">
      <alignment horizontal="center"/>
    </xf>
    <xf numFmtId="0" fontId="14" fillId="3" borderId="0" xfId="0" applyFont="1" applyFill="1" applyProtection="1">
      <protection locked="0"/>
    </xf>
    <xf numFmtId="0" fontId="15" fillId="3" borderId="0" xfId="0" applyFont="1" applyFill="1" applyProtection="1">
      <protection hidden="1"/>
    </xf>
    <xf numFmtId="0" fontId="15" fillId="3" borderId="0" xfId="0" applyFont="1" applyFill="1" applyProtection="1">
      <protection locked="0"/>
    </xf>
    <xf numFmtId="0" fontId="16" fillId="0" borderId="0" xfId="0" applyFont="1" applyProtection="1">
      <protection hidden="1"/>
    </xf>
    <xf numFmtId="0" fontId="16" fillId="0" borderId="0" xfId="0" applyFont="1"/>
    <xf numFmtId="0" fontId="16" fillId="2" borderId="0" xfId="0" applyFont="1" applyFill="1"/>
    <xf numFmtId="0" fontId="17" fillId="3" borderId="0" xfId="0" applyFont="1" applyFill="1" applyProtection="1">
      <protection locked="0"/>
    </xf>
    <xf numFmtId="0" fontId="14" fillId="0" borderId="0" xfId="0" applyFont="1" applyProtection="1">
      <protection locked="0"/>
    </xf>
    <xf numFmtId="0" fontId="17" fillId="0" borderId="0" xfId="0" applyFont="1" applyProtection="1">
      <protection locked="0"/>
    </xf>
    <xf numFmtId="0" fontId="15" fillId="0" borderId="0" xfId="0" applyFont="1" applyProtection="1">
      <protection hidden="1"/>
    </xf>
    <xf numFmtId="0" fontId="18" fillId="0" borderId="0" xfId="0" applyFont="1" applyProtection="1">
      <protection hidden="1"/>
    </xf>
    <xf numFmtId="0" fontId="19" fillId="3" borderId="0" xfId="0" applyFont="1" applyFill="1" applyAlignment="1" applyProtection="1">
      <alignment horizontal="left" vertical="top"/>
      <protection hidden="1"/>
    </xf>
    <xf numFmtId="0" fontId="20" fillId="0" borderId="0" xfId="0" applyFont="1" applyProtection="1">
      <protection hidden="1"/>
    </xf>
    <xf numFmtId="0" fontId="20" fillId="0" borderId="0" xfId="0" applyFont="1"/>
    <xf numFmtId="0" fontId="20" fillId="2" borderId="0" xfId="0" applyFont="1" applyFill="1"/>
    <xf numFmtId="0" fontId="21" fillId="3" borderId="0" xfId="0" applyFont="1" applyFill="1" applyAlignment="1" applyProtection="1">
      <alignment horizontal="left" vertical="top"/>
      <protection locked="0"/>
    </xf>
    <xf numFmtId="0" fontId="7" fillId="3" borderId="0" xfId="0" applyFont="1" applyFill="1" applyAlignment="1" applyProtection="1">
      <alignment horizontal="left" vertical="top"/>
      <protection locked="0"/>
    </xf>
    <xf numFmtId="0" fontId="15" fillId="3" borderId="0" xfId="0" applyFont="1" applyFill="1" applyAlignment="1" applyProtection="1">
      <alignment horizontal="left" vertical="top"/>
      <protection hidden="1"/>
    </xf>
    <xf numFmtId="0" fontId="22" fillId="3" borderId="0" xfId="0" applyFont="1" applyFill="1" applyAlignment="1" applyProtection="1">
      <alignment horizontal="left" vertical="top"/>
      <protection locked="0"/>
    </xf>
    <xf numFmtId="0" fontId="16" fillId="0" borderId="0" xfId="0" applyFont="1" applyProtection="1">
      <protection locked="0"/>
    </xf>
    <xf numFmtId="0" fontId="20" fillId="0" borderId="0" xfId="0" applyFont="1" applyProtection="1">
      <protection locked="0"/>
    </xf>
    <xf numFmtId="0" fontId="6" fillId="3" borderId="0" xfId="0" quotePrefix="1" applyFont="1" applyFill="1" applyAlignment="1" applyProtection="1">
      <alignment horizontal="left" indent="1"/>
      <protection locked="0"/>
    </xf>
    <xf numFmtId="0" fontId="14" fillId="0" borderId="0" xfId="0" applyFont="1" applyAlignment="1" applyProtection="1">
      <alignment vertical="top"/>
      <protection locked="0"/>
    </xf>
    <xf numFmtId="0" fontId="14" fillId="0" borderId="0" xfId="0" applyFont="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top"/>
      <protection locked="0"/>
    </xf>
    <xf numFmtId="0" fontId="23" fillId="0" borderId="0" xfId="0" applyFont="1" applyProtection="1">
      <protection locked="0"/>
    </xf>
    <xf numFmtId="0" fontId="15" fillId="0" borderId="0" xfId="0" applyFont="1" applyProtection="1">
      <protection locked="0"/>
    </xf>
    <xf numFmtId="0" fontId="25" fillId="0" borderId="0" xfId="0" quotePrefix="1" applyFont="1" applyProtection="1">
      <protection locked="0"/>
    </xf>
    <xf numFmtId="0" fontId="25" fillId="0" borderId="0" xfId="0" applyFont="1" applyProtection="1">
      <protection locked="0"/>
    </xf>
    <xf numFmtId="0" fontId="0" fillId="0" borderId="0" xfId="0" applyAlignment="1" applyProtection="1">
      <alignment horizontal="left" vertical="top" wrapText="1"/>
      <protection locked="0"/>
    </xf>
    <xf numFmtId="0" fontId="26" fillId="0" borderId="0" xfId="0" applyFont="1" applyAlignment="1" applyProtection="1">
      <alignment vertical="top"/>
      <protection locked="0"/>
    </xf>
    <xf numFmtId="0" fontId="0" fillId="0" borderId="0" xfId="0" applyAlignment="1" applyProtection="1">
      <alignment horizontal="center" vertical="center"/>
      <protection locked="0"/>
    </xf>
    <xf numFmtId="0" fontId="0" fillId="0" borderId="0" xfId="0" applyAlignment="1" applyProtection="1">
      <alignment vertical="top"/>
      <protection locked="0"/>
    </xf>
    <xf numFmtId="0" fontId="5" fillId="0" borderId="0" xfId="0" applyFont="1" applyAlignment="1" applyProtection="1">
      <alignment vertical="top"/>
      <protection locked="0"/>
    </xf>
    <xf numFmtId="0" fontId="27" fillId="0" borderId="0" xfId="0" quotePrefix="1" applyFont="1" applyProtection="1">
      <protection hidden="1"/>
    </xf>
    <xf numFmtId="0" fontId="27" fillId="0" borderId="0" xfId="0" applyFont="1" applyProtection="1">
      <protection locked="0"/>
    </xf>
    <xf numFmtId="0" fontId="5" fillId="10" borderId="0" xfId="0" applyFont="1" applyFill="1" applyAlignment="1">
      <alignment vertical="top"/>
    </xf>
    <xf numFmtId="15" fontId="5" fillId="3" borderId="0" xfId="0" quotePrefix="1" applyNumberFormat="1" applyFont="1" applyFill="1" applyProtection="1">
      <protection hidden="1"/>
    </xf>
    <xf numFmtId="0" fontId="24" fillId="0" borderId="0" xfId="2" applyFont="1" applyBorder="1" applyAlignment="1" applyProtection="1">
      <alignment horizontal="center"/>
      <protection locked="0" hidden="1"/>
    </xf>
    <xf numFmtId="0" fontId="6" fillId="7" borderId="0" xfId="0" quotePrefix="1" applyFont="1" applyFill="1" applyAlignment="1" applyProtection="1">
      <alignment horizontal="center"/>
      <protection hidden="1"/>
    </xf>
    <xf numFmtId="0" fontId="13" fillId="0" borderId="0" xfId="2" applyFont="1" applyBorder="1" applyAlignment="1">
      <alignment horizontal="center"/>
    </xf>
    <xf numFmtId="166" fontId="6" fillId="3" borderId="0" xfId="0" applyNumberFormat="1" applyFont="1" applyFill="1" applyAlignment="1">
      <alignment horizontal="right"/>
    </xf>
    <xf numFmtId="0" fontId="14" fillId="0" borderId="3" xfId="0" applyFont="1" applyBorder="1"/>
    <xf numFmtId="0" fontId="14" fillId="0" borderId="4" xfId="0" applyFont="1" applyBorder="1"/>
    <xf numFmtId="0" fontId="14" fillId="0" borderId="5" xfId="0" applyFont="1" applyBorder="1"/>
    <xf numFmtId="15" fontId="6" fillId="11" borderId="0" xfId="0" quotePrefix="1" applyNumberFormat="1" applyFont="1" applyFill="1" applyProtection="1">
      <protection hidden="1"/>
    </xf>
    <xf numFmtId="164" fontId="6" fillId="5" borderId="1" xfId="0" quotePrefix="1" applyNumberFormat="1" applyFont="1" applyFill="1" applyBorder="1" applyProtection="1">
      <protection locked="0"/>
    </xf>
    <xf numFmtId="0" fontId="5" fillId="12" borderId="0" xfId="0" applyFont="1" applyFill="1" applyAlignment="1" applyProtection="1">
      <alignment horizontal="left" vertical="top" wrapText="1"/>
      <protection locked="0"/>
    </xf>
    <xf numFmtId="0" fontId="28" fillId="8" borderId="6" xfId="0" applyFont="1" applyFill="1" applyBorder="1" applyAlignment="1" applyProtection="1">
      <alignment horizontal="left" vertical="top"/>
      <protection locked="0"/>
    </xf>
    <xf numFmtId="0" fontId="28" fillId="8" borderId="0" xfId="0" applyFont="1" applyFill="1" applyAlignment="1" applyProtection="1">
      <alignment horizontal="left" vertical="top"/>
      <protection locked="0"/>
    </xf>
    <xf numFmtId="0" fontId="28" fillId="8" borderId="7" xfId="0" applyFont="1" applyFill="1" applyBorder="1" applyAlignment="1" applyProtection="1">
      <alignment horizontal="left" vertical="top"/>
      <protection locked="0"/>
    </xf>
    <xf numFmtId="0" fontId="29" fillId="3" borderId="8" xfId="0" applyFont="1" applyFill="1" applyBorder="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30" fillId="9" borderId="8" xfId="0" applyFont="1" applyFill="1" applyBorder="1" applyAlignment="1">
      <alignment horizontal="center"/>
    </xf>
    <xf numFmtId="0" fontId="30" fillId="9" borderId="0" xfId="0" applyFont="1" applyFill="1" applyAlignment="1">
      <alignment horizontal="center"/>
    </xf>
    <xf numFmtId="0" fontId="14" fillId="6" borderId="3" xfId="0" applyFont="1" applyFill="1" applyBorder="1" applyAlignment="1" applyProtection="1">
      <alignment horizontal="left"/>
      <protection locked="0"/>
    </xf>
    <xf numFmtId="0" fontId="14" fillId="6" borderId="4" xfId="0" applyFont="1" applyFill="1" applyBorder="1" applyAlignment="1" applyProtection="1">
      <alignment horizontal="left"/>
      <protection locked="0"/>
    </xf>
    <xf numFmtId="0" fontId="26" fillId="0" borderId="0" xfId="0" applyFont="1" applyAlignment="1" applyProtection="1">
      <alignment horizontal="left" vertical="top" wrapText="1"/>
      <protection locked="0"/>
    </xf>
    <xf numFmtId="0" fontId="14" fillId="3" borderId="0" xfId="0" applyFont="1" applyFill="1" applyAlignment="1" applyProtection="1">
      <alignment horizontal="left" vertical="top" wrapText="1"/>
      <protection locked="0"/>
    </xf>
    <xf numFmtId="0" fontId="0" fillId="0" borderId="0" xfId="0" applyAlignment="1">
      <alignment horizontal="left" vertical="top" wrapText="1"/>
    </xf>
    <xf numFmtId="3" fontId="14" fillId="6" borderId="3" xfId="0" applyNumberFormat="1" applyFont="1" applyFill="1" applyBorder="1" applyAlignment="1" applyProtection="1">
      <alignment horizontal="left"/>
      <protection locked="0"/>
    </xf>
    <xf numFmtId="164" fontId="14" fillId="6" borderId="0" xfId="0" quotePrefix="1" applyNumberFormat="1" applyFont="1" applyFill="1" applyAlignment="1" applyProtection="1">
      <alignment horizontal="center"/>
      <protection locked="0"/>
    </xf>
    <xf numFmtId="164" fontId="14" fillId="6" borderId="0" xfId="0" applyNumberFormat="1" applyFont="1" applyFill="1" applyAlignment="1" applyProtection="1">
      <alignment horizontal="center"/>
      <protection locked="0"/>
    </xf>
    <xf numFmtId="49" fontId="14" fillId="6" borderId="0" xfId="0" quotePrefix="1" applyNumberFormat="1" applyFont="1" applyFill="1" applyAlignment="1" applyProtection="1">
      <alignment horizontal="left"/>
      <protection locked="0"/>
    </xf>
    <xf numFmtId="49" fontId="14" fillId="6" borderId="0" xfId="0" applyNumberFormat="1" applyFont="1" applyFill="1" applyAlignment="1" applyProtection="1">
      <alignment horizontal="left"/>
      <protection locked="0"/>
    </xf>
    <xf numFmtId="0" fontId="14" fillId="0" borderId="3" xfId="0" applyFont="1" applyBorder="1" applyAlignment="1">
      <alignment horizontal="left"/>
    </xf>
    <xf numFmtId="0" fontId="14" fillId="0" borderId="4" xfId="0" applyFont="1" applyBorder="1" applyAlignment="1">
      <alignment horizontal="left"/>
    </xf>
    <xf numFmtId="0" fontId="14" fillId="0" borderId="5" xfId="0" applyFont="1" applyBorder="1" applyAlignment="1">
      <alignment horizontal="left"/>
    </xf>
  </cellXfs>
  <cellStyles count="3">
    <cellStyle name="Comma" xfId="1" builtinId="3"/>
    <cellStyle name="Hyperlink" xfId="2" builtinId="8"/>
    <cellStyle name="Normal" xfId="0" builtinId="0"/>
  </cellStyles>
  <dxfs count="8">
    <dxf>
      <fill>
        <patternFill>
          <bgColor theme="7" tint="0.39994506668294322"/>
        </patternFill>
      </fill>
    </dxf>
    <dxf>
      <font>
        <color auto="1"/>
      </font>
      <fill>
        <patternFill>
          <bgColor theme="7" tint="0.3999450666829432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bgColor theme="7" tint="0.39994506668294322"/>
        </patternFill>
      </fill>
    </dxf>
    <dxf>
      <font>
        <b/>
        <i val="0"/>
        <color rgb="FF990000"/>
      </font>
      <fill>
        <patternFill>
          <bgColor rgb="FFC00000"/>
        </patternFill>
      </fill>
    </dxf>
    <dxf>
      <fill>
        <patternFill>
          <bgColor theme="7" tint="0.39994506668294322"/>
        </patternFill>
      </fill>
    </dxf>
    <dxf>
      <fill>
        <patternFill>
          <bgColor theme="7" tint="0.39994506668294322"/>
        </patternFill>
      </fill>
      <border>
        <left style="thin">
          <color auto="1"/>
        </left>
        <right style="thin">
          <color auto="1"/>
        </right>
        <top style="thin">
          <color auto="1"/>
        </top>
        <bottom style="thin">
          <color auto="1"/>
        </bottom>
        <vertical/>
        <horizontal/>
      </border>
    </dxf>
    <dxf>
      <fill>
        <patternFill>
          <bgColor theme="7" tint="0.39994506668294322"/>
        </patternFill>
      </fill>
      <border>
        <left style="thin">
          <color auto="1"/>
        </left>
        <right style="thin">
          <color auto="1"/>
        </right>
        <top style="thin">
          <color auto="1"/>
        </top>
        <bottom style="thin">
          <color auto="1"/>
        </bottom>
        <vertical/>
        <horizontal/>
      </border>
    </dxf>
    <dxf>
      <fill>
        <patternFill>
          <bgColor theme="7" tint="0.3999450666829432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CheckBox" fmlaLink="$G$37" lockText="1" noThreeD="1"/>
</file>

<file path=xl/ctrlProps/ctrlProp3.xml><?xml version="1.0" encoding="utf-8"?>
<formControlPr xmlns="http://schemas.microsoft.com/office/spreadsheetml/2009/9/main" objectType="CheckBox" checked="Checked" fmlaLink="$I$37"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37</xdr:row>
          <xdr:rowOff>31750</xdr:rowOff>
        </xdr:from>
        <xdr:to>
          <xdr:col>6</xdr:col>
          <xdr:colOff>990600</xdr:colOff>
          <xdr:row>39</xdr:row>
          <xdr:rowOff>95250</xdr:rowOff>
        </xdr:to>
        <xdr:sp macro="" textlink="">
          <xdr:nvSpPr>
            <xdr:cNvPr id="1025" name="Group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37</xdr:row>
          <xdr:rowOff>31750</xdr:rowOff>
        </xdr:from>
        <xdr:to>
          <xdr:col>6</xdr:col>
          <xdr:colOff>742950</xdr:colOff>
          <xdr:row>38</xdr:row>
          <xdr:rowOff>50800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Penekanan Suatu Hal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38</xdr:row>
          <xdr:rowOff>31750</xdr:rowOff>
        </xdr:from>
        <xdr:to>
          <xdr:col>6</xdr:col>
          <xdr:colOff>514350</xdr:colOff>
          <xdr:row>39</xdr:row>
          <xdr:rowOff>57150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Hal Lain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BENGET\MANAGER\AUDIT%202020\Puninar%20Yusen%20Logistics\ATLAS-PYID%20-%202021%20-%20Buku%20Feb%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LAS"/>
      <sheetName val="Home"/>
      <sheetName val="AuditCycle"/>
      <sheetName val="Content"/>
      <sheetName val="A110"/>
      <sheetName val="INPUTDATALK"/>
      <sheetName val="A1101"/>
      <sheetName val="A1102"/>
      <sheetName val="A1102.1"/>
      <sheetName val="A1102.1A"/>
      <sheetName val="A1102.1B"/>
      <sheetName val="A1102.1C"/>
      <sheetName val="A1102.D"/>
      <sheetName val="A1103A"/>
      <sheetName val="A1103B"/>
      <sheetName val="A1105"/>
      <sheetName val="PERFORM"/>
      <sheetName val="ReFfLink"/>
      <sheetName val="A120"/>
      <sheetName val="JamKerja"/>
      <sheetName val="A130"/>
      <sheetName val="A140"/>
      <sheetName val="A150"/>
      <sheetName val="A160"/>
      <sheetName val="ASM"/>
      <sheetName val="A170"/>
      <sheetName val="A210"/>
      <sheetName val="A230.8"/>
      <sheetName val="Sheet4"/>
      <sheetName val="PREANALITICAL"/>
      <sheetName val="A220.1"/>
      <sheetName val="A220.2"/>
      <sheetName val="Coret Coret"/>
      <sheetName val="A230"/>
      <sheetName val="A230.1"/>
      <sheetName val="A230.2"/>
      <sheetName val="A230.3"/>
      <sheetName val="A230.3.1"/>
      <sheetName val="A230.4"/>
      <sheetName val="A230.5"/>
      <sheetName val="AKUNNTERDAMPAK"/>
      <sheetName val="A230.6"/>
      <sheetName val="A230.6A"/>
      <sheetName val="A230.7"/>
      <sheetName val="A240"/>
      <sheetName val="DataTim"/>
      <sheetName val="DataALK&amp;PB"/>
      <sheetName val="CR"/>
      <sheetName val="A250.1"/>
      <sheetName val="A250.1.1"/>
      <sheetName val="A250.2"/>
      <sheetName val="A.250.2.1"/>
      <sheetName val="A250.3"/>
      <sheetName val="A.250.3.1"/>
      <sheetName val="DAYHOUR"/>
      <sheetName val="A250.4"/>
      <sheetName val="A.250.4.1"/>
      <sheetName val="A250.5"/>
      <sheetName val="A.250.5.1"/>
      <sheetName val="A250.6"/>
      <sheetName val="A.250.6.1"/>
      <sheetName val="A250.7"/>
      <sheetName val="A.250.7.1"/>
      <sheetName val="A250.8"/>
      <sheetName val="A.250.8.1"/>
      <sheetName val="A250.9"/>
      <sheetName val="A.250.9.1"/>
      <sheetName val="A250.10"/>
      <sheetName val="A.250.10.1"/>
      <sheetName val="A250.11"/>
      <sheetName val="A.250.11.1"/>
      <sheetName val="A250.12"/>
      <sheetName val="A.250.12.1"/>
      <sheetName val="A250.13"/>
      <sheetName val="A.250.13.1"/>
      <sheetName val="DATAROMM"/>
      <sheetName val="A260"/>
      <sheetName val="DATACR"/>
      <sheetName val="Sheet2"/>
      <sheetName val="A270"/>
      <sheetName val="A2701"/>
      <sheetName val="A2702"/>
      <sheetName val="B100"/>
      <sheetName val="WSTB-FINAL"/>
      <sheetName val="AJE-RJE"/>
      <sheetName val="HEADERAKUNDOBEL"/>
      <sheetName val="DataLK (Kosong)"/>
      <sheetName val="LK(kosong)"/>
      <sheetName val="Data1"/>
      <sheetName val="COABARU"/>
      <sheetName val="HEADERAKUN"/>
      <sheetName val="FS"/>
      <sheetName val="prosedur horizontal"/>
      <sheetName val="RekapMapAKun"/>
      <sheetName val="B120"/>
      <sheetName val="2"/>
      <sheetName val="2.1"/>
      <sheetName val="3"/>
      <sheetName val="3.1"/>
      <sheetName val="5"/>
      <sheetName val="5.1"/>
      <sheetName val="6"/>
      <sheetName val="6.1"/>
      <sheetName val="7"/>
      <sheetName val="7.1"/>
      <sheetName val="8"/>
      <sheetName val="8.1"/>
      <sheetName val="9"/>
      <sheetName val="9.1"/>
      <sheetName val="10"/>
      <sheetName val="10.1"/>
      <sheetName val="11"/>
      <sheetName val="11.1"/>
      <sheetName val="12"/>
      <sheetName val="12.1"/>
      <sheetName val="13"/>
      <sheetName val="13.1"/>
      <sheetName val="14"/>
      <sheetName val="14.1"/>
      <sheetName val="15"/>
      <sheetName val="15.1"/>
      <sheetName val="16"/>
      <sheetName val="16.1"/>
      <sheetName val="17"/>
      <sheetName val="17.1"/>
      <sheetName val="18"/>
      <sheetName val="18.1"/>
      <sheetName val="19"/>
      <sheetName val="19.1"/>
      <sheetName val="20"/>
      <sheetName val="20.1"/>
      <sheetName val="21"/>
      <sheetName val="21.1"/>
      <sheetName val="22"/>
      <sheetName val="22.1"/>
      <sheetName val="23"/>
      <sheetName val="23.1"/>
      <sheetName val="24"/>
      <sheetName val="24.1"/>
      <sheetName val="25"/>
      <sheetName val="25.1"/>
      <sheetName val="26"/>
      <sheetName val="26.1"/>
      <sheetName val="27"/>
      <sheetName val="27.1"/>
      <sheetName val="28"/>
      <sheetName val="28.1"/>
      <sheetName val="29"/>
      <sheetName val="29.1"/>
      <sheetName val="30"/>
      <sheetName val="30.1"/>
      <sheetName val="31"/>
      <sheetName val="31.1"/>
      <sheetName val="32"/>
      <sheetName val="32.1"/>
      <sheetName val="33"/>
      <sheetName val="33.1"/>
      <sheetName val="34"/>
      <sheetName val="34.1"/>
      <sheetName val="35"/>
      <sheetName val="35.1"/>
      <sheetName val="36"/>
      <sheetName val="36.1"/>
      <sheetName val="37"/>
      <sheetName val="37.1"/>
      <sheetName val="38"/>
      <sheetName val="38.1"/>
      <sheetName val="39"/>
      <sheetName val="39.1"/>
      <sheetName val="40"/>
      <sheetName val="40.1"/>
      <sheetName val="41"/>
      <sheetName val="41.1"/>
      <sheetName val="42"/>
      <sheetName val="42.1"/>
      <sheetName val="43"/>
      <sheetName val="43.1"/>
      <sheetName val="44"/>
      <sheetName val="44.1"/>
      <sheetName val="45"/>
      <sheetName val="45.1"/>
      <sheetName val="46"/>
      <sheetName val="46.1"/>
      <sheetName val="47"/>
      <sheetName val="47.1"/>
      <sheetName val="MdanYa"/>
      <sheetName val="B210"/>
      <sheetName val="B220"/>
      <sheetName val="B230"/>
      <sheetName val="B240"/>
      <sheetName val="B250"/>
      <sheetName val="B260"/>
      <sheetName val="B270"/>
      <sheetName val="B280"/>
      <sheetName val="C110"/>
      <sheetName val="C120"/>
      <sheetName val="C120.1"/>
      <sheetName val="C120.2"/>
      <sheetName val="C220"/>
      <sheetName val="C220A"/>
      <sheetName val="C220B"/>
      <sheetName val="C220C"/>
      <sheetName val="C220D"/>
      <sheetName val="Sheet9"/>
      <sheetName val="C300"/>
      <sheetName val="C100"/>
      <sheetName val="C210"/>
      <sheetName val="C230"/>
      <sheetName val="C400"/>
      <sheetName val="OPINI1"/>
      <sheetName val="OPINI2"/>
      <sheetName val="OPINI3"/>
      <sheetName val="OPINI4"/>
      <sheetName val="DATASIGN"/>
      <sheetName val="Daftar Lampiran"/>
      <sheetName val="Singkatan"/>
    </sheetNames>
    <sheetDataSet>
      <sheetData sheetId="0"/>
      <sheetData sheetId="1">
        <row r="13">
          <cell r="AE13" t="str">
            <v>Perikatan Berulang</v>
          </cell>
        </row>
        <row r="25">
          <cell r="Q25" t="str">
            <v>01.069.528.6-058.000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7">
          <cell r="F37" t="str">
            <v>Maurice Ganda Nainggolan</v>
          </cell>
        </row>
      </sheetData>
      <sheetData sheetId="19">
        <row r="1">
          <cell r="B1">
            <v>0.35416666666666669</v>
          </cell>
        </row>
        <row r="2">
          <cell r="B2">
            <v>4.1666666666666664E-2</v>
          </cell>
        </row>
        <row r="3">
          <cell r="B3">
            <v>0.72916666666666663</v>
          </cell>
        </row>
        <row r="4">
          <cell r="B4">
            <v>0.33333333333333331</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3">
          <cell r="B3" t="str">
            <v>KAP MAURICE GANDA NAINGGOLAN &amp; REKAN</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18EA-CE9D-4387-AD88-60DEBFBFA67D}">
  <dimension ref="A1:Y60"/>
  <sheetViews>
    <sheetView showGridLines="0" tabSelected="1" topLeftCell="E1" zoomScale="89" zoomScaleNormal="89" workbookViewId="0">
      <selection activeCell="G37" sqref="G37"/>
    </sheetView>
  </sheetViews>
  <sheetFormatPr defaultColWidth="3.7109375" defaultRowHeight="14.1"/>
  <cols>
    <col min="1" max="1" width="32.140625" style="1" hidden="1" customWidth="1"/>
    <col min="2" max="2" width="8.28515625" style="1" hidden="1" customWidth="1"/>
    <col min="3" max="4" width="1.7109375" style="1" hidden="1" customWidth="1"/>
    <col min="5" max="5" width="19.42578125" style="1" bestFit="1" customWidth="1"/>
    <col min="6" max="6" width="4" style="1" customWidth="1"/>
    <col min="7" max="7" width="15.140625" style="1" customWidth="1"/>
    <col min="8" max="8" width="3.28515625" style="1" customWidth="1"/>
    <col min="9" max="9" width="12.28515625" style="1" bestFit="1" customWidth="1"/>
    <col min="10" max="10" width="2.42578125" style="1" customWidth="1"/>
    <col min="11" max="11" width="9.85546875" style="1" customWidth="1"/>
    <col min="12" max="12" width="3" style="1" customWidth="1"/>
    <col min="13" max="13" width="6.28515625" style="1" customWidth="1"/>
    <col min="14" max="14" width="4.42578125" style="1" customWidth="1"/>
    <col min="15" max="15" width="6.28515625" style="1" customWidth="1"/>
    <col min="16" max="16" width="3.7109375" style="1" customWidth="1"/>
    <col min="17" max="17" width="11.7109375" style="1" customWidth="1"/>
    <col min="18" max="18" width="15.140625" style="1" bestFit="1" customWidth="1"/>
    <col min="19" max="19" width="17.85546875" style="1" customWidth="1"/>
    <col min="20" max="20" width="13.28515625" style="1" customWidth="1"/>
    <col min="21" max="21" width="12.140625" style="1" customWidth="1"/>
    <col min="22" max="22" width="2.28515625" style="1" customWidth="1"/>
    <col min="23" max="23" width="2.5703125" style="1" customWidth="1"/>
    <col min="24" max="24" width="6.28515625" style="1" customWidth="1"/>
    <col min="25" max="16384" width="3.7109375" style="1"/>
  </cols>
  <sheetData>
    <row r="1" spans="1:24">
      <c r="E1" s="2"/>
      <c r="F1" s="2"/>
      <c r="G1" s="2"/>
      <c r="H1" s="2"/>
      <c r="I1" s="2"/>
      <c r="J1" s="2"/>
      <c r="K1" s="2"/>
      <c r="L1" s="2"/>
      <c r="M1" s="2"/>
      <c r="N1" s="2"/>
      <c r="O1" s="2"/>
      <c r="P1" s="2"/>
      <c r="Q1" s="2"/>
      <c r="R1" s="2"/>
      <c r="S1" s="2"/>
      <c r="T1" s="2"/>
      <c r="U1" s="2"/>
    </row>
    <row r="2" spans="1:24">
      <c r="B2" s="3" t="s">
        <v>0</v>
      </c>
      <c r="D2" s="4"/>
      <c r="E2" s="4" t="s">
        <v>1</v>
      </c>
      <c r="F2" s="4"/>
      <c r="G2" s="5" t="s">
        <v>2</v>
      </c>
      <c r="H2" s="4"/>
      <c r="I2" s="4"/>
      <c r="J2" s="4"/>
      <c r="K2" s="6"/>
      <c r="L2" s="7"/>
      <c r="M2" s="7"/>
      <c r="N2" s="7"/>
      <c r="O2" s="7"/>
      <c r="P2" s="7"/>
      <c r="Q2" s="7"/>
      <c r="R2" s="8" t="s">
        <v>3</v>
      </c>
      <c r="S2" s="9" t="s">
        <v>4</v>
      </c>
      <c r="T2" s="7"/>
      <c r="U2" s="8"/>
    </row>
    <row r="3" spans="1:24">
      <c r="B3" s="3" t="s">
        <v>0</v>
      </c>
      <c r="D3" s="4"/>
      <c r="E3" s="4" t="s">
        <v>5</v>
      </c>
      <c r="F3" s="4"/>
      <c r="G3" s="5" t="s">
        <v>6</v>
      </c>
      <c r="H3" s="4"/>
      <c r="I3" s="4"/>
      <c r="J3" s="4"/>
      <c r="K3" s="6"/>
      <c r="L3" s="7"/>
      <c r="M3" s="7"/>
      <c r="N3" s="7"/>
      <c r="O3" s="7"/>
      <c r="P3" s="7"/>
      <c r="Q3" s="7"/>
      <c r="R3" s="8" t="s">
        <v>7</v>
      </c>
      <c r="S3" s="87">
        <v>45768</v>
      </c>
      <c r="T3" s="8" t="s">
        <v>8</v>
      </c>
      <c r="U3" s="11">
        <v>0.35416666666666669</v>
      </c>
    </row>
    <row r="4" spans="1:24">
      <c r="B4" s="3" t="s">
        <v>0</v>
      </c>
      <c r="D4" s="4"/>
      <c r="E4" s="4" t="s">
        <v>9</v>
      </c>
      <c r="F4" s="4"/>
      <c r="G4" s="5" t="s">
        <v>10</v>
      </c>
      <c r="H4" s="4"/>
      <c r="I4" s="4"/>
      <c r="J4" s="4"/>
      <c r="K4" s="6"/>
      <c r="L4" s="7"/>
      <c r="M4" s="7"/>
      <c r="N4" s="7"/>
      <c r="O4" s="7"/>
      <c r="P4" s="7"/>
      <c r="Q4" s="7"/>
      <c r="R4" s="8" t="s">
        <v>11</v>
      </c>
      <c r="S4" s="10">
        <v>45770</v>
      </c>
      <c r="T4" s="8" t="s">
        <v>12</v>
      </c>
      <c r="U4" s="11">
        <v>0.72916666666666663</v>
      </c>
    </row>
    <row r="5" spans="1:24">
      <c r="B5" s="3" t="s">
        <v>0</v>
      </c>
      <c r="D5" s="4"/>
      <c r="E5" s="4" t="s">
        <v>13</v>
      </c>
      <c r="F5" s="4"/>
      <c r="G5" s="5" t="s">
        <v>14</v>
      </c>
      <c r="H5" s="4"/>
      <c r="I5" s="4"/>
      <c r="J5" s="4"/>
      <c r="K5" s="6"/>
      <c r="L5" s="7"/>
      <c r="M5" s="7"/>
      <c r="N5" s="7"/>
      <c r="O5" s="7"/>
      <c r="P5" s="7"/>
      <c r="Q5" s="7"/>
      <c r="R5" s="8" t="s">
        <v>15</v>
      </c>
      <c r="S5" s="12">
        <f>IF(OR(S3="",S4=""),0,S4-S3)</f>
        <v>2</v>
      </c>
      <c r="T5" s="8" t="s">
        <v>16</v>
      </c>
      <c r="U5" s="13">
        <f>IF(U4="","",IF(S5=0,U4-U3,IF(S5=1,([1]JamKerja!$B$3-U3)+(U4-[1]JamKerja!$B$1)-[1]JamKerja!$B$2,IF(S5&gt;1,(([1]JamKerja!$B$3-U3)+(U4-[1]JamKerja!$B$1)-[1]JamKerja!$B$2)+((S5-1)*[1]JamKerja!$B$4),""))))</f>
        <v>1.0416666666666665</v>
      </c>
    </row>
    <row r="6" spans="1:24">
      <c r="B6" s="3"/>
      <c r="D6" s="4"/>
      <c r="E6" s="4"/>
      <c r="F6" s="4"/>
      <c r="G6" s="5" t="s">
        <v>17</v>
      </c>
      <c r="H6" s="4"/>
      <c r="I6" s="4"/>
      <c r="J6" s="4"/>
      <c r="K6" s="6"/>
      <c r="L6" s="7"/>
      <c r="M6" s="7"/>
      <c r="N6" s="7"/>
      <c r="O6" s="7"/>
      <c r="P6" s="7"/>
      <c r="Q6" s="7"/>
      <c r="R6" s="8"/>
      <c r="S6" s="12"/>
      <c r="T6" s="8"/>
      <c r="U6" s="82"/>
    </row>
    <row r="7" spans="1:24">
      <c r="B7" s="3" t="s">
        <v>0</v>
      </c>
      <c r="D7" s="4"/>
      <c r="E7" s="4" t="s">
        <v>18</v>
      </c>
      <c r="F7" s="4"/>
      <c r="G7" s="78" t="s">
        <v>19</v>
      </c>
      <c r="H7" s="4"/>
      <c r="I7" s="4"/>
      <c r="J7" s="4"/>
      <c r="K7" s="6"/>
      <c r="L7" s="7"/>
      <c r="M7" s="7"/>
      <c r="N7" s="7"/>
      <c r="O7" s="7"/>
      <c r="P7" s="7"/>
      <c r="Q7" s="7"/>
      <c r="R7" s="8" t="s">
        <v>20</v>
      </c>
      <c r="S7" s="9" t="s">
        <v>21</v>
      </c>
      <c r="T7" s="14"/>
      <c r="U7" s="15"/>
    </row>
    <row r="8" spans="1:24">
      <c r="B8" s="3" t="s">
        <v>0</v>
      </c>
      <c r="D8" s="4"/>
      <c r="E8" s="4" t="s">
        <v>22</v>
      </c>
      <c r="F8" s="4"/>
      <c r="G8" s="4" t="s">
        <v>23</v>
      </c>
      <c r="H8" s="4"/>
      <c r="I8" s="4"/>
      <c r="J8" s="4"/>
      <c r="K8" s="6"/>
      <c r="L8" s="7"/>
      <c r="M8" s="7"/>
      <c r="N8" s="7"/>
      <c r="O8" s="7"/>
      <c r="P8" s="7"/>
      <c r="Q8" s="7"/>
      <c r="R8" s="8" t="s">
        <v>7</v>
      </c>
      <c r="S8" s="10">
        <v>45770</v>
      </c>
      <c r="T8" s="8" t="s">
        <v>8</v>
      </c>
      <c r="U8" s="11">
        <v>0.35416666666666669</v>
      </c>
    </row>
    <row r="9" spans="1:24" ht="15" customHeight="1">
      <c r="B9" s="3" t="s">
        <v>0</v>
      </c>
      <c r="D9" s="16"/>
      <c r="E9" s="4" t="s">
        <v>24</v>
      </c>
      <c r="F9" s="16"/>
      <c r="G9" s="17" t="s">
        <v>25</v>
      </c>
      <c r="H9" s="16"/>
      <c r="I9" s="16"/>
      <c r="J9" s="16"/>
      <c r="K9" s="6"/>
      <c r="L9" s="7"/>
      <c r="M9" s="7"/>
      <c r="N9" s="7"/>
      <c r="O9" s="7"/>
      <c r="P9" s="7"/>
      <c r="Q9" s="7"/>
      <c r="R9" s="8" t="s">
        <v>11</v>
      </c>
      <c r="S9" s="10">
        <v>45770</v>
      </c>
      <c r="T9" s="8" t="s">
        <v>12</v>
      </c>
      <c r="U9" s="11">
        <v>0.66666666666666663</v>
      </c>
    </row>
    <row r="10" spans="1:24">
      <c r="B10" s="3" t="s">
        <v>0</v>
      </c>
      <c r="D10" s="4"/>
      <c r="E10" s="4" t="s">
        <v>26</v>
      </c>
      <c r="F10" s="4"/>
      <c r="G10" s="4" t="s">
        <v>27</v>
      </c>
      <c r="H10" s="4"/>
      <c r="I10" s="4"/>
      <c r="J10" s="4"/>
      <c r="K10" s="6"/>
      <c r="L10" s="7"/>
      <c r="M10" s="7"/>
      <c r="N10" s="7"/>
      <c r="O10" s="7"/>
      <c r="P10" s="7"/>
      <c r="Q10" s="7"/>
      <c r="R10" s="8" t="s">
        <v>15</v>
      </c>
      <c r="S10" s="12">
        <f>IF(OR(S8="",S9=""),0,S9-S8)</f>
        <v>0</v>
      </c>
      <c r="T10" s="8" t="s">
        <v>16</v>
      </c>
      <c r="U10" s="13">
        <f>IF(U9="","",IF(S10=0,U9-U8,IF(S10=1,([1]JamKerja!$B$3-U8)+(U9-[1]JamKerja!$B$1)-[1]JamKerja!$B$2,IF(S10&gt;1,(([1]JamKerja!$B$3-U8)+(U9-[1]JamKerja!$B$1)-[1]JamKerja!$B$2)+((S10-1)*[1]JamKerja!$B$4),""))))</f>
        <v>0.31249999999999994</v>
      </c>
    </row>
    <row r="11" spans="1:24">
      <c r="A11" s="4"/>
      <c r="B11" s="4"/>
      <c r="D11" s="4"/>
      <c r="E11" s="8"/>
      <c r="F11" s="4"/>
      <c r="G11" s="4" t="s">
        <v>28</v>
      </c>
      <c r="H11" s="4"/>
      <c r="I11" s="4"/>
      <c r="J11" s="4"/>
      <c r="K11" s="4"/>
      <c r="L11" s="7"/>
      <c r="M11" s="7"/>
      <c r="N11" s="7"/>
      <c r="O11" s="7"/>
      <c r="P11" s="7"/>
      <c r="Q11" s="7"/>
      <c r="R11" s="8" t="s">
        <v>15</v>
      </c>
      <c r="S11" s="12">
        <f>S5+S10</f>
        <v>2</v>
      </c>
      <c r="T11" s="8" t="s">
        <v>29</v>
      </c>
      <c r="U11" s="18">
        <f>IF(OR(U5="",U10=""),"",U5+U10)</f>
        <v>1.3541666666666665</v>
      </c>
    </row>
    <row r="12" spans="1:24">
      <c r="A12" s="4"/>
      <c r="B12" s="4"/>
      <c r="D12" s="4"/>
      <c r="E12" s="8"/>
      <c r="F12" s="4"/>
      <c r="G12" s="6" t="s">
        <v>30</v>
      </c>
      <c r="H12" s="4"/>
      <c r="I12" s="4"/>
      <c r="J12" s="4"/>
      <c r="K12" s="4"/>
      <c r="L12" s="7"/>
      <c r="M12" s="7"/>
      <c r="N12" s="7"/>
      <c r="O12" s="7"/>
      <c r="P12" s="7"/>
      <c r="Q12" s="7"/>
      <c r="R12" s="8"/>
      <c r="S12" s="4"/>
      <c r="T12" s="8"/>
      <c r="U12" s="19"/>
    </row>
    <row r="13" spans="1:24">
      <c r="A13" s="4"/>
      <c r="B13" s="4"/>
      <c r="D13" s="4"/>
      <c r="E13" s="8"/>
      <c r="F13" s="4"/>
      <c r="G13" s="6" t="s">
        <v>31</v>
      </c>
      <c r="H13" s="4"/>
      <c r="I13" s="4"/>
      <c r="J13" s="4"/>
      <c r="K13" s="4"/>
      <c r="L13" s="20"/>
      <c r="M13" s="21"/>
      <c r="N13" s="20"/>
      <c r="O13" s="22"/>
      <c r="P13" s="7"/>
      <c r="Q13" s="7"/>
      <c r="R13" s="7"/>
      <c r="S13" s="7"/>
      <c r="T13" s="7"/>
      <c r="U13" s="7"/>
    </row>
    <row r="14" spans="1:24" ht="4.5" customHeight="1"/>
    <row r="15" spans="1:24" ht="15" customHeight="1">
      <c r="A15" s="23"/>
      <c r="B15" s="24"/>
      <c r="C15" s="24"/>
      <c r="E15" s="25"/>
      <c r="F15" s="26"/>
      <c r="G15" s="27"/>
      <c r="H15" s="27"/>
      <c r="I15" s="27"/>
      <c r="J15" s="27"/>
      <c r="K15" s="7"/>
      <c r="L15" s="7"/>
      <c r="M15" s="7"/>
      <c r="N15" s="7"/>
      <c r="O15" s="7"/>
      <c r="P15" s="7"/>
      <c r="Q15" s="7"/>
      <c r="R15" s="7"/>
      <c r="S15" s="7"/>
      <c r="T15" s="7"/>
      <c r="U15" s="7"/>
    </row>
    <row r="16" spans="1:24" ht="15" customHeight="1">
      <c r="A16"/>
      <c r="B16" s="28"/>
      <c r="C16" s="24"/>
      <c r="E16" s="29" t="s">
        <v>32</v>
      </c>
      <c r="F16" s="29"/>
      <c r="G16" s="30"/>
      <c r="H16" s="30"/>
      <c r="I16" s="30"/>
      <c r="J16" s="30"/>
      <c r="K16" s="30"/>
      <c r="L16" s="30"/>
      <c r="M16" s="30"/>
      <c r="N16" s="30"/>
      <c r="O16" s="30"/>
      <c r="P16" s="30"/>
      <c r="Q16" s="30"/>
      <c r="R16" s="30"/>
      <c r="S16" s="30"/>
      <c r="T16" s="31"/>
      <c r="U16" s="31"/>
      <c r="V16" s="7"/>
      <c r="W16" s="7"/>
      <c r="X16" s="7"/>
    </row>
    <row r="17" spans="1:25" ht="14.45">
      <c r="A17"/>
      <c r="B17" s="32"/>
      <c r="C17" s="24"/>
      <c r="E17" s="30" t="s">
        <v>33</v>
      </c>
      <c r="F17" s="30" t="s">
        <v>0</v>
      </c>
      <c r="G17" s="33" t="s">
        <v>34</v>
      </c>
      <c r="H17" s="34" t="s">
        <v>35</v>
      </c>
      <c r="I17" s="35">
        <v>2.1103999999999998</v>
      </c>
      <c r="J17" s="36" t="s">
        <v>35</v>
      </c>
      <c r="K17" s="37" t="s">
        <v>36</v>
      </c>
      <c r="L17" s="36" t="s">
        <v>35</v>
      </c>
      <c r="M17" s="80" t="s">
        <v>37</v>
      </c>
      <c r="N17" s="36" t="s">
        <v>35</v>
      </c>
      <c r="O17" s="38">
        <v>147</v>
      </c>
      <c r="P17" s="36" t="s">
        <v>35</v>
      </c>
      <c r="Q17" s="37">
        <v>1</v>
      </c>
      <c r="R17" s="36" t="s">
        <v>35</v>
      </c>
      <c r="S17" s="37" t="s">
        <v>38</v>
      </c>
      <c r="T17" s="31"/>
      <c r="U17" s="31"/>
      <c r="V17" s="7"/>
      <c r="W17" s="7"/>
      <c r="X17" s="7"/>
    </row>
    <row r="18" spans="1:25" ht="14.45">
      <c r="A18"/>
      <c r="B18" s="39"/>
      <c r="C18" s="24"/>
      <c r="E18" s="30" t="s">
        <v>39</v>
      </c>
      <c r="F18" s="30" t="s">
        <v>0</v>
      </c>
      <c r="G18" s="103">
        <v>45743</v>
      </c>
      <c r="H18" s="104"/>
      <c r="I18" s="104"/>
      <c r="J18" s="40"/>
      <c r="K18" s="40"/>
      <c r="L18" s="40"/>
      <c r="M18" s="41" t="s">
        <v>37</v>
      </c>
      <c r="N18" s="42"/>
      <c r="O18" s="42"/>
      <c r="P18" s="42"/>
      <c r="Q18" s="42">
        <f>IF([1]Home!Q25&lt;&gt;"",1,0)</f>
        <v>1</v>
      </c>
      <c r="R18" s="40"/>
      <c r="S18" s="41">
        <v>1</v>
      </c>
      <c r="T18" s="31"/>
      <c r="U18" s="43"/>
      <c r="V18" s="44" t="s">
        <v>40</v>
      </c>
      <c r="W18" s="44" t="s">
        <v>41</v>
      </c>
      <c r="X18" s="44"/>
      <c r="Y18" s="45"/>
    </row>
    <row r="19" spans="1:25" ht="14.45">
      <c r="A19"/>
      <c r="B19" s="39"/>
      <c r="C19" s="24"/>
      <c r="E19" s="30" t="s">
        <v>42</v>
      </c>
      <c r="F19" s="30" t="s">
        <v>0</v>
      </c>
      <c r="G19" s="83" t="s">
        <v>6</v>
      </c>
      <c r="H19" s="84"/>
      <c r="I19" s="84"/>
      <c r="J19" s="84"/>
      <c r="K19" s="84"/>
      <c r="L19" s="84"/>
      <c r="M19" s="84"/>
      <c r="N19" s="84"/>
      <c r="O19" s="84"/>
      <c r="P19" s="84"/>
      <c r="Q19" s="85"/>
      <c r="R19" s="46"/>
      <c r="S19" s="41">
        <v>1900</v>
      </c>
      <c r="T19" s="43"/>
      <c r="U19" s="43"/>
      <c r="V19" s="44" t="s">
        <v>43</v>
      </c>
      <c r="W19" s="44" t="s">
        <v>44</v>
      </c>
      <c r="X19" s="44"/>
      <c r="Y19" s="45"/>
    </row>
    <row r="20" spans="1:25" ht="15" customHeight="1">
      <c r="A20"/>
      <c r="B20" s="39"/>
      <c r="C20" s="24"/>
      <c r="E20" s="30" t="s">
        <v>45</v>
      </c>
      <c r="F20" s="30" t="s">
        <v>0</v>
      </c>
      <c r="G20" s="105" t="s">
        <v>46</v>
      </c>
      <c r="H20" s="106"/>
      <c r="I20" s="106"/>
      <c r="J20" s="47"/>
      <c r="K20" s="47"/>
      <c r="L20" s="47"/>
      <c r="M20" s="47"/>
      <c r="N20" s="47"/>
      <c r="O20" s="47"/>
      <c r="P20" s="47"/>
      <c r="Q20" s="47"/>
      <c r="R20" s="48"/>
      <c r="S20" s="49" t="s">
        <v>47</v>
      </c>
      <c r="T20" s="43" t="s">
        <v>48</v>
      </c>
      <c r="U20" s="43">
        <v>2</v>
      </c>
      <c r="V20" s="44" t="s">
        <v>49</v>
      </c>
      <c r="W20" s="44" t="s">
        <v>50</v>
      </c>
      <c r="X20" s="44"/>
      <c r="Y20" s="45"/>
    </row>
    <row r="21" spans="1:25" ht="14.45">
      <c r="A21"/>
      <c r="B21" s="39"/>
      <c r="C21" s="24"/>
      <c r="E21" s="30" t="s">
        <v>51</v>
      </c>
      <c r="F21" s="30" t="s">
        <v>0</v>
      </c>
      <c r="G21" s="105" t="s">
        <v>10</v>
      </c>
      <c r="H21" s="105"/>
      <c r="I21" s="105"/>
      <c r="J21" s="105"/>
      <c r="K21" s="105"/>
      <c r="L21" s="105"/>
      <c r="M21" s="105"/>
      <c r="N21" s="105"/>
      <c r="O21" s="105"/>
      <c r="P21" s="105"/>
      <c r="Q21" s="105"/>
      <c r="R21" s="48"/>
      <c r="S21" s="49"/>
      <c r="T21" s="43"/>
      <c r="U21" s="43"/>
      <c r="V21" s="44" t="s">
        <v>52</v>
      </c>
      <c r="W21" s="44" t="s">
        <v>53</v>
      </c>
      <c r="X21" s="44"/>
      <c r="Y21" s="45"/>
    </row>
    <row r="22" spans="1:25" ht="14.45">
      <c r="A22"/>
      <c r="B22" s="39"/>
      <c r="C22" s="50"/>
      <c r="E22" s="30" t="s">
        <v>54</v>
      </c>
      <c r="F22" s="30" t="s">
        <v>0</v>
      </c>
      <c r="G22" s="107" t="s">
        <v>55</v>
      </c>
      <c r="H22" s="108"/>
      <c r="I22" s="108"/>
      <c r="J22" s="108"/>
      <c r="K22" s="109"/>
      <c r="L22" s="47"/>
      <c r="M22" s="47"/>
      <c r="N22" s="47"/>
      <c r="O22" s="47"/>
      <c r="P22" s="47"/>
      <c r="Q22" s="47"/>
      <c r="R22" s="48"/>
      <c r="S22" s="51" t="s">
        <v>47</v>
      </c>
      <c r="T22" s="43"/>
      <c r="U22" s="52"/>
      <c r="V22" s="53"/>
      <c r="W22" s="53"/>
      <c r="X22" s="53"/>
      <c r="Y22" s="54"/>
    </row>
    <row r="23" spans="1:25" ht="14.45">
      <c r="A23"/>
      <c r="B23" s="39"/>
      <c r="C23" s="50"/>
      <c r="E23" s="30" t="s">
        <v>56</v>
      </c>
      <c r="F23" s="30" t="s">
        <v>0</v>
      </c>
      <c r="G23" s="86" t="s">
        <v>57</v>
      </c>
      <c r="H23" s="47"/>
      <c r="I23" s="47"/>
      <c r="J23" s="55"/>
      <c r="K23" s="55"/>
      <c r="L23" s="55"/>
      <c r="M23" s="55"/>
      <c r="N23" s="55"/>
      <c r="O23" s="55"/>
      <c r="P23" s="55"/>
      <c r="Q23" s="56"/>
      <c r="R23" s="57" t="s">
        <v>47</v>
      </c>
      <c r="S23" s="43"/>
      <c r="T23" s="52"/>
      <c r="U23" s="44"/>
      <c r="V23" s="44"/>
      <c r="W23" s="53"/>
      <c r="X23" s="54"/>
    </row>
    <row r="24" spans="1:25" ht="14.45">
      <c r="A24"/>
      <c r="B24" s="39"/>
      <c r="C24" s="50"/>
      <c r="E24" s="30" t="s">
        <v>58</v>
      </c>
      <c r="F24" s="21"/>
      <c r="G24" s="47"/>
      <c r="H24" s="47"/>
      <c r="I24" s="47"/>
      <c r="J24" s="47"/>
      <c r="K24" s="55"/>
      <c r="L24" s="55"/>
      <c r="M24" s="55"/>
      <c r="N24" s="55"/>
      <c r="O24" s="55"/>
      <c r="P24" s="55"/>
      <c r="Q24" s="55"/>
      <c r="R24" s="56"/>
      <c r="S24" s="58"/>
      <c r="T24" s="59"/>
      <c r="U24" s="60"/>
      <c r="V24" s="44" t="s">
        <v>59</v>
      </c>
      <c r="W24" s="44">
        <v>1</v>
      </c>
      <c r="X24" s="53"/>
      <c r="Y24" s="54"/>
    </row>
    <row r="25" spans="1:25" ht="14.45">
      <c r="A25"/>
      <c r="B25" s="39"/>
      <c r="C25" s="50"/>
      <c r="E25" s="61" t="s">
        <v>60</v>
      </c>
      <c r="F25" s="30" t="s">
        <v>0</v>
      </c>
      <c r="G25" s="102">
        <v>1721104</v>
      </c>
      <c r="H25" s="98"/>
      <c r="I25" s="98"/>
      <c r="J25" s="98"/>
      <c r="K25" s="98"/>
      <c r="L25" s="62"/>
      <c r="M25" s="55"/>
      <c r="N25" s="55"/>
      <c r="O25" s="55"/>
      <c r="P25" s="63"/>
      <c r="Q25" s="63"/>
      <c r="R25" s="64"/>
      <c r="S25" s="64"/>
      <c r="T25" s="60"/>
      <c r="U25" s="60"/>
      <c r="V25" s="44" t="s">
        <v>61</v>
      </c>
      <c r="W25" s="44">
        <v>2</v>
      </c>
      <c r="X25" s="53"/>
      <c r="Y25" s="54"/>
    </row>
    <row r="26" spans="1:25" ht="15" customHeight="1">
      <c r="A26"/>
      <c r="B26" s="39"/>
      <c r="C26" s="50"/>
      <c r="E26" s="30" t="s">
        <v>62</v>
      </c>
      <c r="F26" s="30" t="s">
        <v>0</v>
      </c>
      <c r="G26" s="101" t="s">
        <v>63</v>
      </c>
      <c r="H26" s="101"/>
      <c r="I26" s="101"/>
      <c r="J26" s="101"/>
      <c r="K26" s="101"/>
      <c r="L26" s="101"/>
      <c r="M26" s="101"/>
      <c r="N26" s="101"/>
      <c r="O26" s="101"/>
      <c r="P26" s="101"/>
      <c r="Q26" s="101"/>
      <c r="R26" s="101"/>
      <c r="S26" s="101"/>
      <c r="T26" s="101"/>
      <c r="U26" s="101"/>
      <c r="V26" s="101"/>
      <c r="W26" s="101"/>
      <c r="X26" s="53"/>
      <c r="Y26" s="54"/>
    </row>
    <row r="27" spans="1:25" ht="33.75" customHeight="1">
      <c r="A27"/>
      <c r="B27" s="39"/>
      <c r="C27" s="50"/>
      <c r="E27" s="30"/>
      <c r="F27" s="30"/>
      <c r="G27" s="101"/>
      <c r="H27" s="101"/>
      <c r="I27" s="101"/>
      <c r="J27" s="101"/>
      <c r="K27" s="101"/>
      <c r="L27" s="101"/>
      <c r="M27" s="101"/>
      <c r="N27" s="101"/>
      <c r="O27" s="101"/>
      <c r="P27" s="101"/>
      <c r="Q27" s="101"/>
      <c r="R27" s="101"/>
      <c r="S27" s="101"/>
      <c r="T27" s="101"/>
      <c r="U27" s="101"/>
      <c r="V27" s="101"/>
      <c r="W27" s="101"/>
      <c r="X27" s="53"/>
      <c r="Y27" s="54"/>
    </row>
    <row r="28" spans="1:25" ht="14.45">
      <c r="A28"/>
      <c r="B28" s="39"/>
      <c r="C28" s="50"/>
      <c r="E28" s="30" t="s">
        <v>64</v>
      </c>
      <c r="F28" s="30" t="s">
        <v>0</v>
      </c>
      <c r="G28" s="97" t="s">
        <v>65</v>
      </c>
      <c r="H28" s="98"/>
      <c r="I28" s="98"/>
      <c r="J28" s="98"/>
      <c r="K28" s="98"/>
      <c r="L28" s="55"/>
      <c r="M28" s="55"/>
      <c r="N28" s="55"/>
      <c r="O28" s="55"/>
      <c r="P28" s="55"/>
      <c r="Q28" s="55"/>
      <c r="R28" s="56"/>
      <c r="S28" s="56"/>
      <c r="T28" s="60"/>
      <c r="U28" s="60"/>
      <c r="V28" s="44" t="s">
        <v>66</v>
      </c>
      <c r="W28" s="44">
        <v>4</v>
      </c>
      <c r="X28" s="60"/>
      <c r="Y28" s="54"/>
    </row>
    <row r="29" spans="1:25" ht="14.45">
      <c r="A29"/>
      <c r="B29" s="39"/>
      <c r="C29" s="50"/>
      <c r="E29" s="30" t="s">
        <v>67</v>
      </c>
      <c r="F29" s="30" t="s">
        <v>0</v>
      </c>
      <c r="G29" s="47"/>
      <c r="H29" s="47"/>
      <c r="I29" s="47"/>
      <c r="J29" s="47"/>
      <c r="K29" s="55"/>
      <c r="L29" s="55"/>
      <c r="M29" s="55"/>
      <c r="N29" s="55"/>
      <c r="O29" s="55"/>
      <c r="P29" s="55"/>
      <c r="Q29" s="55"/>
      <c r="R29" s="55"/>
      <c r="S29" s="56"/>
      <c r="T29" s="66"/>
      <c r="U29" s="66"/>
      <c r="V29" s="44"/>
      <c r="W29" s="44"/>
      <c r="X29" s="59"/>
    </row>
    <row r="30" spans="1:25" ht="15" customHeight="1">
      <c r="A30"/>
      <c r="B30" s="39"/>
      <c r="C30" s="50"/>
      <c r="E30" s="21"/>
      <c r="F30" s="67">
        <v>1</v>
      </c>
      <c r="G30" s="79" t="s">
        <v>47</v>
      </c>
      <c r="H30" s="47"/>
      <c r="I30" s="47"/>
      <c r="J30" s="47"/>
      <c r="K30" s="62"/>
      <c r="L30" s="62"/>
      <c r="M30" s="62"/>
      <c r="N30" s="62"/>
      <c r="O30" s="62"/>
      <c r="P30" s="62"/>
      <c r="Q30" s="62"/>
      <c r="R30" s="62"/>
      <c r="S30" s="65"/>
      <c r="T30" s="66"/>
      <c r="U30" s="66"/>
      <c r="V30" s="7"/>
      <c r="W30" s="7"/>
      <c r="X30" s="31"/>
    </row>
    <row r="31" spans="1:25" ht="14.45">
      <c r="A31"/>
      <c r="B31" s="39"/>
      <c r="C31" s="50"/>
      <c r="E31" s="21"/>
      <c r="F31" s="67">
        <v>2</v>
      </c>
      <c r="G31" s="79" t="s">
        <v>47</v>
      </c>
      <c r="H31" s="47"/>
      <c r="I31" s="47"/>
      <c r="J31" s="47"/>
      <c r="K31" s="62"/>
      <c r="L31" s="62"/>
      <c r="M31" s="62"/>
      <c r="N31" s="62"/>
      <c r="O31" s="62"/>
      <c r="P31" s="62"/>
      <c r="Q31" s="62"/>
      <c r="R31" s="62"/>
      <c r="S31" s="65"/>
      <c r="T31" s="66"/>
      <c r="U31" s="66"/>
      <c r="V31" s="7"/>
      <c r="W31" s="7"/>
      <c r="X31" s="7"/>
    </row>
    <row r="32" spans="1:25" ht="14.45">
      <c r="A32"/>
      <c r="B32" s="39"/>
      <c r="C32" s="50"/>
      <c r="E32" s="21"/>
      <c r="F32" s="67">
        <v>3</v>
      </c>
      <c r="G32" s="79" t="s">
        <v>47</v>
      </c>
      <c r="H32" s="47"/>
      <c r="I32" s="47"/>
      <c r="J32" s="47"/>
      <c r="K32" s="55"/>
      <c r="L32" s="55"/>
      <c r="M32" s="55"/>
      <c r="N32" s="55"/>
      <c r="O32" s="55"/>
      <c r="P32" s="55"/>
      <c r="Q32" s="55"/>
      <c r="R32" s="55"/>
      <c r="S32" s="56"/>
      <c r="T32" s="66"/>
      <c r="U32" s="66"/>
      <c r="V32" s="7"/>
      <c r="W32" s="7"/>
      <c r="X32" s="7"/>
    </row>
    <row r="33" spans="1:24" ht="14.45">
      <c r="A33"/>
      <c r="B33" s="39"/>
      <c r="C33" s="50"/>
      <c r="E33" s="21"/>
      <c r="F33" s="67"/>
      <c r="G33" s="79"/>
      <c r="H33" s="47"/>
      <c r="I33" s="47"/>
      <c r="J33" s="47"/>
      <c r="K33" s="55"/>
      <c r="L33" s="55"/>
      <c r="M33" s="55"/>
      <c r="N33" s="55"/>
      <c r="O33" s="55"/>
      <c r="P33" s="55"/>
      <c r="Q33" s="55"/>
      <c r="R33" s="55"/>
      <c r="S33" s="56"/>
      <c r="T33" s="66"/>
      <c r="U33" s="66"/>
      <c r="V33" s="7"/>
      <c r="W33" s="7"/>
      <c r="X33" s="7"/>
    </row>
    <row r="34" spans="1:24" ht="14.45" customHeight="1">
      <c r="A34"/>
      <c r="B34" s="39"/>
      <c r="C34" s="50"/>
      <c r="E34" s="21" t="s">
        <v>68</v>
      </c>
      <c r="F34" s="47" t="s">
        <v>0</v>
      </c>
      <c r="G34" s="100" t="s">
        <v>69</v>
      </c>
      <c r="H34" s="100"/>
      <c r="I34" s="100"/>
      <c r="J34" s="100"/>
      <c r="K34" s="100"/>
      <c r="L34" s="100"/>
      <c r="M34" s="100"/>
      <c r="N34" s="100"/>
      <c r="O34" s="100"/>
      <c r="P34" s="100"/>
      <c r="Q34" s="100"/>
      <c r="R34" s="100"/>
      <c r="S34" s="100"/>
      <c r="T34" s="100"/>
      <c r="U34" s="100"/>
      <c r="V34" s="7"/>
      <c r="W34" s="7"/>
      <c r="X34" s="7"/>
    </row>
    <row r="35" spans="1:24" ht="14.45">
      <c r="A35"/>
      <c r="B35" s="39"/>
      <c r="C35" s="50"/>
      <c r="E35" s="21"/>
      <c r="F35" s="67"/>
      <c r="G35" s="100"/>
      <c r="H35" s="100"/>
      <c r="I35" s="100"/>
      <c r="J35" s="100"/>
      <c r="K35" s="100"/>
      <c r="L35" s="100"/>
      <c r="M35" s="100"/>
      <c r="N35" s="100"/>
      <c r="O35" s="100"/>
      <c r="P35" s="100"/>
      <c r="Q35" s="100"/>
      <c r="R35" s="100"/>
      <c r="S35" s="100"/>
      <c r="T35" s="100"/>
      <c r="U35" s="100"/>
      <c r="V35" s="7"/>
      <c r="W35" s="7"/>
      <c r="X35" s="7"/>
    </row>
    <row r="36" spans="1:24" ht="14.45">
      <c r="A36"/>
      <c r="B36" s="39"/>
      <c r="C36" s="50"/>
      <c r="E36" s="21"/>
      <c r="F36" s="67"/>
      <c r="G36" s="100"/>
      <c r="H36" s="100"/>
      <c r="I36" s="100"/>
      <c r="J36" s="100"/>
      <c r="K36" s="100"/>
      <c r="L36" s="100"/>
      <c r="M36" s="100"/>
      <c r="N36" s="100"/>
      <c r="O36" s="100"/>
      <c r="P36" s="100"/>
      <c r="Q36" s="100"/>
      <c r="R36" s="100"/>
      <c r="S36" s="100"/>
      <c r="T36" s="100"/>
      <c r="U36" s="100"/>
      <c r="V36" s="7"/>
      <c r="W36" s="7"/>
      <c r="X36" s="7"/>
    </row>
    <row r="37" spans="1:24" ht="14.45">
      <c r="A37"/>
      <c r="B37" s="81"/>
      <c r="C37" s="50"/>
      <c r="E37" s="68"/>
      <c r="F37" s="69"/>
      <c r="G37" s="59" t="b">
        <v>0</v>
      </c>
      <c r="H37" s="59"/>
      <c r="I37" s="59" t="b">
        <v>1</v>
      </c>
      <c r="J37" s="66"/>
      <c r="K37" s="66"/>
      <c r="L37" s="66"/>
      <c r="M37" s="66"/>
      <c r="N37" s="66"/>
      <c r="O37" s="66"/>
      <c r="P37" s="66"/>
      <c r="Q37" s="66"/>
      <c r="R37" s="66"/>
      <c r="S37" s="66"/>
      <c r="T37" s="66"/>
      <c r="U37" s="66"/>
      <c r="V37" s="7"/>
      <c r="W37" s="7"/>
      <c r="X37" s="31"/>
    </row>
    <row r="38" spans="1:24" ht="14.45">
      <c r="A38"/>
      <c r="B38" s="81"/>
      <c r="C38" s="50"/>
      <c r="E38" s="31" t="s">
        <v>70</v>
      </c>
      <c r="F38" s="30" t="s">
        <v>0</v>
      </c>
      <c r="G38" s="66"/>
      <c r="H38" s="66"/>
      <c r="I38" s="66"/>
      <c r="J38" s="66"/>
      <c r="K38" s="66"/>
      <c r="L38" s="66"/>
      <c r="M38" s="66"/>
      <c r="N38" s="66"/>
      <c r="O38" s="66"/>
      <c r="P38" s="66"/>
      <c r="Q38" s="66"/>
      <c r="R38" s="66"/>
      <c r="S38" s="66"/>
      <c r="T38" s="66"/>
      <c r="U38" s="66"/>
      <c r="V38" s="7"/>
      <c r="W38" s="7"/>
      <c r="X38" s="7"/>
    </row>
    <row r="39" spans="1:24" ht="14.45">
      <c r="A39"/>
      <c r="B39" s="81"/>
      <c r="C39" s="50"/>
      <c r="E39" s="31"/>
      <c r="F39" s="31"/>
      <c r="G39" s="66"/>
      <c r="H39" s="66"/>
      <c r="I39" s="66"/>
      <c r="J39" s="66"/>
      <c r="K39" s="66"/>
      <c r="L39" s="66"/>
      <c r="M39" s="66"/>
      <c r="N39" s="66"/>
      <c r="O39" s="66"/>
      <c r="P39" s="66"/>
      <c r="Q39" s="66"/>
      <c r="R39" s="66"/>
      <c r="S39" s="66"/>
      <c r="T39" s="66"/>
      <c r="U39" s="66"/>
      <c r="V39" s="7"/>
      <c r="W39" s="7"/>
      <c r="X39" s="31"/>
    </row>
    <row r="40" spans="1:24" ht="14.45">
      <c r="A40"/>
      <c r="B40" s="81"/>
      <c r="C40" s="50"/>
      <c r="E40" s="31"/>
      <c r="F40" s="31"/>
      <c r="G40" s="66"/>
      <c r="H40" s="66"/>
      <c r="I40" s="66"/>
      <c r="J40" s="66"/>
      <c r="K40" s="66"/>
      <c r="L40" s="66"/>
      <c r="M40" s="66"/>
      <c r="N40" s="66"/>
      <c r="O40" s="66"/>
      <c r="P40" s="66"/>
      <c r="Q40" s="66"/>
      <c r="R40" s="66"/>
      <c r="S40" s="66"/>
      <c r="T40" s="66"/>
      <c r="U40" s="66"/>
      <c r="V40" s="7"/>
      <c r="W40" s="7"/>
      <c r="X40" s="31"/>
    </row>
    <row r="41" spans="1:24" ht="14.45">
      <c r="A41"/>
      <c r="B41" s="39"/>
      <c r="C41" s="50"/>
      <c r="E41" s="26"/>
      <c r="F41" s="70"/>
      <c r="G41" s="71" t="str">
        <f>IF(G37=TRUE,"Penekanan suatu hal","")</f>
        <v/>
      </c>
      <c r="H41" s="71"/>
      <c r="I41" s="71"/>
      <c r="J41" s="71"/>
      <c r="K41" s="71"/>
      <c r="L41" s="71"/>
      <c r="M41" s="71"/>
      <c r="N41" s="71"/>
      <c r="O41" s="71"/>
      <c r="P41" s="71"/>
      <c r="Q41" s="71"/>
      <c r="R41" s="71"/>
      <c r="S41" s="71"/>
      <c r="T41" s="71"/>
      <c r="U41" s="71"/>
      <c r="V41" s="7"/>
      <c r="W41" s="7"/>
      <c r="X41" s="7"/>
    </row>
    <row r="42" spans="1:24" ht="15" customHeight="1">
      <c r="A42"/>
      <c r="B42" s="39"/>
      <c r="C42" s="50"/>
      <c r="E42" s="26"/>
      <c r="F42" s="70"/>
      <c r="G42" s="99"/>
      <c r="H42" s="99"/>
      <c r="I42" s="99"/>
      <c r="J42" s="99"/>
      <c r="K42" s="99"/>
      <c r="L42" s="99"/>
      <c r="M42" s="99"/>
      <c r="N42" s="99"/>
      <c r="O42" s="99"/>
      <c r="P42" s="99"/>
      <c r="Q42" s="99"/>
      <c r="R42" s="99"/>
      <c r="S42" s="99"/>
      <c r="T42" s="99"/>
      <c r="U42" s="99"/>
      <c r="V42" s="7"/>
      <c r="W42" s="7"/>
      <c r="X42" s="31"/>
    </row>
    <row r="43" spans="1:24" ht="14.45">
      <c r="A43"/>
      <c r="B43" s="39"/>
      <c r="C43" s="50"/>
      <c r="E43" s="26"/>
      <c r="F43" s="70"/>
      <c r="G43" s="99"/>
      <c r="H43" s="99"/>
      <c r="I43" s="99"/>
      <c r="J43" s="99"/>
      <c r="K43" s="99"/>
      <c r="L43" s="99"/>
      <c r="M43" s="99"/>
      <c r="N43" s="99"/>
      <c r="O43" s="99"/>
      <c r="P43" s="99"/>
      <c r="Q43" s="99"/>
      <c r="R43" s="99"/>
      <c r="S43" s="99"/>
      <c r="T43" s="99"/>
      <c r="U43" s="99"/>
      <c r="V43" s="7"/>
      <c r="W43" s="7"/>
      <c r="X43" s="7"/>
    </row>
    <row r="44" spans="1:24" ht="14.45">
      <c r="A44"/>
      <c r="B44" s="39"/>
      <c r="C44" s="50"/>
      <c r="E44" s="26"/>
      <c r="F44" s="70"/>
      <c r="G44" s="99"/>
      <c r="H44" s="99"/>
      <c r="I44" s="99"/>
      <c r="J44" s="99"/>
      <c r="K44" s="99"/>
      <c r="L44" s="99"/>
      <c r="M44" s="99"/>
      <c r="N44" s="99"/>
      <c r="O44" s="99"/>
      <c r="P44" s="99"/>
      <c r="Q44" s="99"/>
      <c r="R44" s="99"/>
      <c r="S44" s="99"/>
      <c r="T44" s="99"/>
      <c r="U44" s="99"/>
      <c r="V44" s="7"/>
      <c r="W44" s="7"/>
      <c r="X44" s="7"/>
    </row>
    <row r="45" spans="1:24" ht="14.45">
      <c r="A45"/>
      <c r="B45" s="39"/>
      <c r="C45" s="50"/>
      <c r="E45" s="72"/>
      <c r="F45" s="73"/>
      <c r="G45" s="73"/>
      <c r="H45" s="73"/>
      <c r="I45" s="73"/>
      <c r="J45" s="73"/>
      <c r="K45" s="31"/>
      <c r="L45" s="31"/>
      <c r="M45" s="31"/>
      <c r="N45" s="31"/>
      <c r="O45" s="31"/>
      <c r="P45" s="31"/>
      <c r="Q45" s="31"/>
      <c r="R45" s="31"/>
      <c r="S45" s="31"/>
      <c r="T45" s="31"/>
      <c r="U45" s="31"/>
      <c r="V45" s="7"/>
      <c r="W45" s="7"/>
      <c r="X45" s="31"/>
    </row>
    <row r="46" spans="1:24" ht="14.45">
      <c r="A46"/>
      <c r="B46" s="39"/>
      <c r="C46" s="50"/>
      <c r="E46" s="31"/>
      <c r="F46" s="31"/>
      <c r="G46" s="74" t="s">
        <v>71</v>
      </c>
      <c r="H46" s="74"/>
      <c r="I46" s="74"/>
      <c r="J46" s="74"/>
      <c r="K46" s="74"/>
      <c r="L46" s="74"/>
      <c r="M46" s="74"/>
      <c r="N46" s="74"/>
      <c r="O46" s="74"/>
      <c r="P46" s="74"/>
      <c r="Q46" s="74"/>
      <c r="R46" s="74"/>
      <c r="S46" s="74"/>
      <c r="T46" s="74"/>
      <c r="U46" s="74"/>
      <c r="V46" s="7"/>
      <c r="W46" s="7"/>
      <c r="X46" s="7"/>
    </row>
    <row r="47" spans="1:24" ht="14.45">
      <c r="A47"/>
      <c r="B47" s="50"/>
      <c r="C47" s="50"/>
      <c r="E47" s="31"/>
      <c r="F47" s="31"/>
      <c r="G47" s="75" t="s">
        <v>47</v>
      </c>
      <c r="H47" s="31"/>
      <c r="I47" s="31"/>
      <c r="J47" s="31"/>
      <c r="K47" s="31"/>
      <c r="L47" s="31"/>
      <c r="M47" s="31"/>
      <c r="N47" s="31"/>
      <c r="O47" s="31"/>
      <c r="P47" s="31"/>
      <c r="Q47" s="31"/>
      <c r="R47" s="31"/>
      <c r="S47" s="31"/>
      <c r="T47" s="31"/>
      <c r="U47" s="31"/>
    </row>
    <row r="48" spans="1:24">
      <c r="A48" s="50"/>
      <c r="B48" s="50"/>
      <c r="C48" s="50"/>
      <c r="E48" s="31"/>
      <c r="F48" s="31"/>
      <c r="G48" s="88" t="s">
        <v>72</v>
      </c>
      <c r="H48" s="88"/>
      <c r="I48" s="88"/>
      <c r="J48" s="88"/>
      <c r="K48" s="88"/>
      <c r="L48" s="88"/>
      <c r="M48" s="88"/>
      <c r="N48" s="88"/>
      <c r="O48" s="88"/>
      <c r="P48" s="88"/>
      <c r="Q48" s="88"/>
      <c r="R48" s="88"/>
      <c r="S48" s="88"/>
      <c r="T48" s="88"/>
      <c r="U48" s="88"/>
    </row>
    <row r="49" spans="1:21">
      <c r="A49" s="50"/>
      <c r="B49" s="50"/>
      <c r="C49" s="50"/>
      <c r="E49" s="31"/>
      <c r="F49" s="31"/>
      <c r="G49" s="88"/>
      <c r="H49" s="88"/>
      <c r="I49" s="88"/>
      <c r="J49" s="88"/>
      <c r="K49" s="88"/>
      <c r="L49" s="88"/>
      <c r="M49" s="88"/>
      <c r="N49" s="88"/>
      <c r="O49" s="88"/>
      <c r="P49" s="88"/>
      <c r="Q49" s="88"/>
      <c r="R49" s="88"/>
      <c r="S49" s="88"/>
      <c r="T49" s="88"/>
      <c r="U49" s="88"/>
    </row>
    <row r="50" spans="1:21">
      <c r="A50" s="50"/>
      <c r="B50" s="50"/>
      <c r="C50" s="50"/>
      <c r="E50" s="31"/>
      <c r="F50" s="31"/>
      <c r="G50" s="88"/>
      <c r="H50" s="88"/>
      <c r="I50" s="88"/>
      <c r="J50" s="88"/>
      <c r="K50" s="88"/>
      <c r="L50" s="88"/>
      <c r="M50" s="88"/>
      <c r="N50" s="88"/>
      <c r="O50" s="88"/>
      <c r="P50" s="88"/>
      <c r="Q50" s="88"/>
      <c r="R50" s="88"/>
      <c r="S50" s="88"/>
      <c r="T50" s="88"/>
      <c r="U50" s="88"/>
    </row>
    <row r="51" spans="1:21">
      <c r="A51" s="50"/>
      <c r="B51" s="50"/>
      <c r="C51" s="50"/>
      <c r="E51" s="31"/>
      <c r="F51" s="31"/>
      <c r="G51" s="31"/>
      <c r="H51" s="31"/>
      <c r="I51" s="31"/>
      <c r="J51" s="31"/>
      <c r="K51" s="31"/>
      <c r="L51" s="31"/>
      <c r="M51" s="31"/>
      <c r="N51" s="31"/>
      <c r="O51" s="31"/>
      <c r="P51" s="31"/>
      <c r="Q51" s="31"/>
      <c r="R51" s="31"/>
      <c r="S51" s="31"/>
      <c r="T51" s="31"/>
      <c r="U51" s="31"/>
    </row>
    <row r="52" spans="1:21">
      <c r="A52" s="50"/>
      <c r="B52" s="50"/>
      <c r="C52" s="50"/>
      <c r="E52" s="31"/>
      <c r="F52" s="31"/>
      <c r="G52" s="31"/>
      <c r="H52" s="31"/>
      <c r="I52" s="31"/>
      <c r="J52" s="31"/>
      <c r="K52" s="31"/>
      <c r="L52" s="31"/>
      <c r="M52" s="31"/>
      <c r="N52" s="31"/>
      <c r="O52" s="31"/>
      <c r="P52" s="31"/>
      <c r="Q52" s="31"/>
      <c r="R52" s="31"/>
      <c r="S52" s="31"/>
      <c r="T52" s="31"/>
      <c r="U52" s="31"/>
    </row>
    <row r="53" spans="1:21">
      <c r="A53" s="50"/>
      <c r="B53" s="50"/>
      <c r="C53" s="50"/>
      <c r="E53" s="76" t="s">
        <v>73</v>
      </c>
      <c r="F53" s="31"/>
      <c r="G53" s="31"/>
      <c r="H53" s="31"/>
      <c r="I53" s="31"/>
      <c r="J53" s="31"/>
      <c r="K53" s="31"/>
      <c r="L53" s="31"/>
      <c r="M53" s="31"/>
      <c r="N53" s="31"/>
      <c r="O53" s="31"/>
      <c r="P53" s="31"/>
      <c r="Q53" s="31"/>
      <c r="R53" s="31"/>
      <c r="S53" s="31"/>
      <c r="T53" s="31"/>
      <c r="U53" s="31"/>
    </row>
    <row r="54" spans="1:21">
      <c r="A54" s="50"/>
      <c r="B54" s="50"/>
      <c r="C54" s="50"/>
      <c r="E54" s="89" t="s">
        <v>74</v>
      </c>
      <c r="F54" s="90"/>
      <c r="G54" s="90"/>
      <c r="H54" s="90"/>
      <c r="I54" s="90"/>
      <c r="J54" s="91"/>
      <c r="K54" s="92" t="s">
        <v>75</v>
      </c>
      <c r="L54" s="93"/>
      <c r="M54" s="94"/>
      <c r="N54" s="95" t="str">
        <f>IF(E54="","Incompleted","Completed")</f>
        <v>Completed</v>
      </c>
      <c r="O54" s="96"/>
      <c r="P54" s="96"/>
      <c r="Q54" s="96"/>
      <c r="R54" s="31"/>
      <c r="S54" s="31"/>
      <c r="T54" s="31"/>
      <c r="U54" s="31"/>
    </row>
    <row r="55" spans="1:21">
      <c r="A55" s="50"/>
      <c r="B55" s="50"/>
      <c r="C55" s="50"/>
      <c r="E55" s="77"/>
      <c r="F55" s="77"/>
      <c r="G55" s="16"/>
      <c r="H55" s="16"/>
      <c r="I55" s="7"/>
      <c r="J55" s="7"/>
      <c r="K55" s="7"/>
      <c r="L55" s="7"/>
      <c r="M55" s="7"/>
      <c r="N55" s="7"/>
      <c r="O55" s="7"/>
      <c r="P55" s="7"/>
      <c r="Q55" s="7"/>
      <c r="R55" s="7"/>
      <c r="S55" s="7"/>
      <c r="T55" s="7"/>
      <c r="U55" s="7"/>
    </row>
    <row r="56" spans="1:21">
      <c r="A56" s="50"/>
      <c r="B56" s="50"/>
      <c r="C56" s="50"/>
      <c r="E56" s="77"/>
      <c r="F56" s="77"/>
      <c r="G56" s="16"/>
      <c r="H56" s="16"/>
      <c r="I56" s="7"/>
      <c r="J56" s="7"/>
      <c r="K56" s="7"/>
      <c r="L56" s="7"/>
      <c r="M56" s="7"/>
      <c r="N56" s="7"/>
      <c r="O56" s="7"/>
      <c r="P56" s="7"/>
      <c r="Q56" s="7"/>
      <c r="R56" s="7"/>
      <c r="S56" s="7"/>
      <c r="T56" s="7"/>
      <c r="U56" s="7"/>
    </row>
    <row r="57" spans="1:21">
      <c r="A57" s="50"/>
      <c r="B57" s="50"/>
      <c r="C57" s="50"/>
      <c r="E57" s="77"/>
      <c r="F57" s="77"/>
      <c r="G57" s="16"/>
      <c r="H57" s="16"/>
      <c r="I57" s="7"/>
      <c r="J57" s="7"/>
      <c r="K57" s="7"/>
      <c r="L57" s="7"/>
      <c r="M57" s="7"/>
      <c r="N57" s="7"/>
      <c r="O57" s="7"/>
      <c r="P57" s="7"/>
      <c r="Q57" s="7"/>
      <c r="R57" s="7"/>
      <c r="S57" s="7"/>
      <c r="T57" s="7"/>
      <c r="U57" s="7"/>
    </row>
    <row r="58" spans="1:21">
      <c r="A58" s="50"/>
      <c r="B58" s="50"/>
      <c r="C58" s="50"/>
      <c r="E58" s="77"/>
      <c r="F58" s="77"/>
      <c r="G58" s="16"/>
      <c r="H58" s="16"/>
      <c r="I58" s="7"/>
      <c r="J58" s="7"/>
      <c r="K58" s="7"/>
      <c r="L58" s="7"/>
      <c r="M58" s="7"/>
      <c r="N58" s="7"/>
      <c r="O58" s="7"/>
      <c r="P58" s="7"/>
      <c r="Q58" s="7"/>
      <c r="R58" s="7"/>
      <c r="S58" s="7"/>
      <c r="T58" s="7"/>
      <c r="U58" s="7"/>
    </row>
    <row r="59" spans="1:21">
      <c r="A59" s="50"/>
      <c r="B59" s="50"/>
      <c r="C59" s="50"/>
      <c r="E59" s="77"/>
      <c r="F59" s="77"/>
      <c r="G59" s="16"/>
      <c r="H59" s="16"/>
      <c r="I59" s="7"/>
      <c r="J59" s="7"/>
      <c r="K59" s="7"/>
      <c r="L59" s="7"/>
      <c r="M59" s="7"/>
      <c r="N59" s="7"/>
      <c r="O59" s="7"/>
      <c r="P59" s="7"/>
      <c r="Q59" s="7"/>
      <c r="R59" s="7"/>
      <c r="S59" s="7"/>
      <c r="T59" s="7"/>
      <c r="U59" s="7"/>
    </row>
    <row r="60" spans="1:21">
      <c r="A60" s="50"/>
      <c r="B60" s="50"/>
      <c r="C60" s="50"/>
      <c r="E60" s="77"/>
      <c r="F60" s="77"/>
      <c r="G60" s="16"/>
      <c r="H60" s="16"/>
      <c r="I60" s="7"/>
      <c r="J60" s="7"/>
      <c r="K60" s="7"/>
      <c r="L60" s="7"/>
      <c r="M60" s="7"/>
      <c r="N60" s="7"/>
      <c r="O60" s="7"/>
      <c r="P60" s="7"/>
      <c r="Q60" s="7"/>
      <c r="R60" s="7"/>
      <c r="S60" s="7"/>
      <c r="T60" s="7"/>
      <c r="U60" s="7"/>
    </row>
  </sheetData>
  <mergeCells count="13">
    <mergeCell ref="G26:W27"/>
    <mergeCell ref="G25:K25"/>
    <mergeCell ref="G18:I18"/>
    <mergeCell ref="G20:I20"/>
    <mergeCell ref="G21:Q21"/>
    <mergeCell ref="G22:K22"/>
    <mergeCell ref="G48:U50"/>
    <mergeCell ref="E54:J54"/>
    <mergeCell ref="K54:M54"/>
    <mergeCell ref="N54:Q54"/>
    <mergeCell ref="G28:K28"/>
    <mergeCell ref="G42:U44"/>
    <mergeCell ref="G34:U36"/>
  </mergeCells>
  <conditionalFormatting sqref="E57">
    <cfRule type="expression" dxfId="7" priority="7">
      <formula>IF(#REF!&lt;&gt;"",TRUE,FALSE)</formula>
    </cfRule>
    <cfRule type="expression" dxfId="6" priority="8">
      <formula>IF($I$673&lt;&gt;"",TRUE,FALSE)</formula>
    </cfRule>
    <cfRule type="expression" dxfId="5" priority="9">
      <formula>IF($F$5330&lt;&gt;"",TRUE,FALSE)</formula>
    </cfRule>
  </conditionalFormatting>
  <conditionalFormatting sqref="G23">
    <cfRule type="expression" dxfId="4" priority="12">
      <formula>IF($E$23&lt;&gt;"",TRUE,FALSE)</formula>
    </cfRule>
  </conditionalFormatting>
  <conditionalFormatting sqref="G30:G33">
    <cfRule type="notContainsBlanks" dxfId="3" priority="11">
      <formula>LEN(TRIM(G30))&gt;0</formula>
    </cfRule>
  </conditionalFormatting>
  <conditionalFormatting sqref="G42:U44">
    <cfRule type="expression" dxfId="2" priority="6">
      <formula>IF($G$41&lt;&gt;"",TRUE,FALSE)</formula>
    </cfRule>
    <cfRule type="expression" dxfId="1" priority="10">
      <formula>IF($G$37=TRUE,TRUE,FALSE)</formula>
    </cfRule>
  </conditionalFormatting>
  <conditionalFormatting sqref="G48:U50">
    <cfRule type="expression" dxfId="0" priority="2">
      <formula>IF($G$47&lt;&gt;"",TRUE,FALSE)</formula>
    </cfRule>
  </conditionalFormatting>
  <dataValidations count="6">
    <dataValidation type="list" allowBlank="1" showInputMessage="1" showErrorMessage="1" sqref="E54:J54" xr:uid="{6B71E838-65B6-4A70-A6E1-A878758BA057}">
      <formula1>"LAI telah memadai, LAI tidak memadai"</formula1>
    </dataValidation>
    <dataValidation type="date" operator="greaterThanOrEqual" allowBlank="1" showInputMessage="1" showErrorMessage="1" error="Tanggal Mulai Review harus sama dengan atau diatas Tanggal Selesai Preparer" prompt="isi dengan format tanggal/bulan/tahun " sqref="S8:S9" xr:uid="{3C95E2E7-E0BB-4866-9838-404B683945E3}">
      <formula1>S4</formula1>
    </dataValidation>
    <dataValidation allowBlank="1" showInputMessage="1" showErrorMessage="1" prompt="Tidak perlu diisi, otomatis terisi" sqref="U5:U6 U10:U12 O13" xr:uid="{B6E1D3BA-E62C-4E4D-A3F3-767AFB6E80F6}"/>
    <dataValidation allowBlank="1" showInputMessage="1" showErrorMessage="1" prompt="Cell ini otomatis terisi, tidak perlu diinput" sqref="S5:S6 S10:S12 M13" xr:uid="{751B1F62-D777-42C1-A859-1408D901DC33}"/>
    <dataValidation allowBlank="1" showInputMessage="1" showErrorMessage="1" prompt="isi dengan format tanggal/bulan/tahun " sqref="S3:S4" xr:uid="{583D7BE3-6525-40B4-B3F6-5E0802F8380E}"/>
    <dataValidation type="list" allowBlank="1" showInputMessage="1" showErrorMessage="1" prompt="Pilih sesuai pilihan dengan melakukan dropdown" sqref="X42 X45 X28:X30 X39:X40 X37" xr:uid="{254D67D6-F4E4-4D08-B702-8108454328F2}">
      <formula1>"Ya,Tidak"</formula1>
    </dataValidation>
  </dataValidations>
  <hyperlinks>
    <hyperlink ref="G30" location="OPINI1!A1" display="OPINI1!A1" xr:uid="{A812D719-078F-4DFF-BD62-300EFCE54098}"/>
    <hyperlink ref="G31:G32" location="OPINI1!A1" display="OPINI1!A1" xr:uid="{792A1B7D-063F-41B7-8623-C610565D48E9}"/>
    <hyperlink ref="G31" location="OPINI2!A1" display="OPINI2!A1" xr:uid="{C32C55A0-9FA4-44DA-A6B3-F12502B9889B}"/>
    <hyperlink ref="G32" location="OPINI3!A1" display="OPINI3!A1" xr:uid="{E3908706-3C16-4EFC-9080-1A576946FAAD}"/>
  </hyperlinks>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Group Box 1">
              <controlPr defaultSize="0" autoFill="0" autoPict="0">
                <anchor moveWithCells="1">
                  <from>
                    <xdr:col>6</xdr:col>
                    <xdr:colOff>0</xdr:colOff>
                    <xdr:row>37</xdr:row>
                    <xdr:rowOff>31750</xdr:rowOff>
                  </from>
                  <to>
                    <xdr:col>6</xdr:col>
                    <xdr:colOff>990600</xdr:colOff>
                    <xdr:row>39</xdr:row>
                    <xdr:rowOff>95250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6</xdr:col>
                    <xdr:colOff>12700</xdr:colOff>
                    <xdr:row>37</xdr:row>
                    <xdr:rowOff>31750</xdr:rowOff>
                  </from>
                  <to>
                    <xdr:col>6</xdr:col>
                    <xdr:colOff>742950</xdr:colOff>
                    <xdr:row>38</xdr:row>
                    <xdr:rowOff>50800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6</xdr:col>
                    <xdr:colOff>12700</xdr:colOff>
                    <xdr:row>38</xdr:row>
                    <xdr:rowOff>31750</xdr:rowOff>
                  </from>
                  <to>
                    <xdr:col>6</xdr:col>
                    <xdr:colOff>514350</xdr:colOff>
                    <xdr:row>39</xdr:row>
                    <xdr:rowOff>57150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Vivi Zulfiani</cp:lastModifiedBy>
  <cp:revision/>
  <dcterms:created xsi:type="dcterms:W3CDTF">2021-03-29T13:25:52Z</dcterms:created>
  <dcterms:modified xsi:type="dcterms:W3CDTF">2025-10-17T08:10:13Z</dcterms:modified>
  <cp:category/>
  <cp:contentStatus/>
</cp:coreProperties>
</file>