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PMGN 1\Documents\Backup Lidya 2024\Backup Lidya 04.07.23\Backup Lidya\DATA LIDYA\Data Klien kap mgn\Klien 2024\PT IAS Tbk dan Entitas Anak_Des 2024\5000 Reporting Form\"/>
    </mc:Choice>
  </mc:AlternateContent>
  <xr:revisionPtr revIDLastSave="0" documentId="13_ncr:1_{663A0139-241E-426E-8875-70E34CA64300}" xr6:coauthVersionLast="47" xr6:coauthVersionMax="47" xr10:uidLastSave="{00000000-0000-0000-0000-000000000000}"/>
  <bookViews>
    <workbookView xWindow="-110" yWindow="-110" windowWidth="19420" windowHeight="10300" xr2:uid="{D3F1A4AD-C344-4D33-9DDB-5365C4DD6C88}"/>
  </bookViews>
  <sheets>
    <sheet name="Sheet1" sheetId="1" r:id="rId1"/>
    <sheet name="Z Score" sheetId="2" state="hidden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2" i="1" l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41" i="1"/>
  <c r="E8" i="2"/>
  <c r="E7" i="2"/>
  <c r="E6" i="2"/>
  <c r="E5" i="2"/>
  <c r="E4" i="2"/>
  <c r="D8" i="2"/>
  <c r="D7" i="2"/>
  <c r="D6" i="2"/>
  <c r="D5" i="2"/>
  <c r="D4" i="2"/>
  <c r="D15" i="2" l="1"/>
  <c r="O18" i="1" s="1"/>
  <c r="E9" i="2"/>
  <c r="D9" i="2"/>
  <c r="D14" i="2"/>
  <c r="P18" i="1" s="1"/>
</calcChain>
</file>

<file path=xl/sharedStrings.xml><?xml version="1.0" encoding="utf-8"?>
<sst xmlns="http://schemas.openxmlformats.org/spreadsheetml/2006/main" count="167" uniqueCount="110">
  <si>
    <t>Nama KAP</t>
  </si>
  <si>
    <t>Nama AP</t>
  </si>
  <si>
    <t>Nama Klien</t>
  </si>
  <si>
    <t>Alamat Klien</t>
  </si>
  <si>
    <t>Tahun Buku</t>
  </si>
  <si>
    <t>Indeks KKP</t>
  </si>
  <si>
    <t>Nama Indeks</t>
  </si>
  <si>
    <t>SA Yang relevan</t>
  </si>
  <si>
    <t>Disiapkan oleh</t>
  </si>
  <si>
    <t>Tanggal Mulai</t>
  </si>
  <si>
    <t>Tanggal Selesai</t>
  </si>
  <si>
    <t>Jumlah Hari</t>
  </si>
  <si>
    <t>Diriview oleh</t>
  </si>
  <si>
    <t>Tanggal selesai</t>
  </si>
  <si>
    <t>Waktu Mulai</t>
  </si>
  <si>
    <t>Waktu Selesai</t>
  </si>
  <si>
    <t>Jumlah jam</t>
  </si>
  <si>
    <t>Tanggal mulai</t>
  </si>
  <si>
    <t>Waktu milai</t>
  </si>
  <si>
    <t>Waktu selesai</t>
  </si>
  <si>
    <t>Total Waktu</t>
  </si>
  <si>
    <t>Pilih akun yang sesuai dengan saldo laba dan modal pemegang saham</t>
  </si>
  <si>
    <t>Saldo Laba</t>
  </si>
  <si>
    <t xml:space="preserve">Modal Pemegang </t>
  </si>
  <si>
    <t>Modal disetor</t>
  </si>
  <si>
    <t>Analisis  Z Score</t>
  </si>
  <si>
    <t>Z=0.717 X1 + 0.847 X2 + 3.107 X3 + 0.24 X4 + 0.998 X5</t>
  </si>
  <si>
    <t>dimana :</t>
  </si>
  <si>
    <t>X1=Modal Kerja dibagi total aset</t>
  </si>
  <si>
    <t>X2=Laba ditahan dibagi total aset</t>
  </si>
  <si>
    <t>X3= EBIT dibagi total Aset</t>
  </si>
  <si>
    <t>X4=</t>
  </si>
  <si>
    <t>Ekuitas pemegang saham dibagi total kewajiban</t>
  </si>
  <si>
    <t>X5=</t>
  </si>
  <si>
    <t>Penjualan dibagi total aset</t>
  </si>
  <si>
    <t>Jika :</t>
  </si>
  <si>
    <t>Hasil Z&lt;1.23, maka mengindikasikan kelangsungan usaha dalam prediksi paillit</t>
  </si>
  <si>
    <t>Hasil 1,23 &lt; Z &lt; 2,90, maka mengindikasikan kelangsungan usaha dalam prediksi Grey Area ;</t>
  </si>
  <si>
    <t>Hasil Z &gt; 2,90, maka mengindikasikan kelangsungan usaha dalam prediksi Tidak Pailit,</t>
  </si>
  <si>
    <t>Unaudited</t>
  </si>
  <si>
    <t>Audited</t>
  </si>
  <si>
    <t>Z-Score</t>
  </si>
  <si>
    <t/>
  </si>
  <si>
    <t>Area</t>
  </si>
  <si>
    <t>Pelaksanaan Prosedur</t>
  </si>
  <si>
    <t>PENJELASAN</t>
  </si>
  <si>
    <t>Ref KKP</t>
  </si>
  <si>
    <t>Analisis kelangsungan usaha-Risk Assesment</t>
  </si>
  <si>
    <t>Prosedur dan aktivitas terkait</t>
  </si>
  <si>
    <t>Berikur merupakan contoh peristiwa/Kejadian yang dapat memengaruhi kelangsungan usaha</t>
  </si>
  <si>
    <t>(baik secara individual maupun kolektif)</t>
  </si>
  <si>
    <t>Keuangan Perusahaan</t>
  </si>
  <si>
    <t>Produk yang dijual tidak menghasilkan profit</t>
  </si>
  <si>
    <t>Permintaan yang rendah terhadap barang /jasa</t>
  </si>
  <si>
    <t>Operasi Perusahaan</t>
  </si>
  <si>
    <t>Intensi Manajemen untuk mencairkan aset-asetnya untuk menutup biaya operasi</t>
  </si>
  <si>
    <t>Habisnya persediaan utama perusahaan</t>
  </si>
  <si>
    <t>Munculnya pesaing/kompetitor yang kuat dan merebut pasar</t>
  </si>
  <si>
    <t>Lainnya</t>
  </si>
  <si>
    <t>Ketidakpatuhan dengan aturan yang berlaku</t>
  </si>
  <si>
    <t>Perubahan aturan hukum/peraturan pemerintah yang sekiranya merugikan perusahaan</t>
  </si>
  <si>
    <t>-</t>
  </si>
  <si>
    <t>YA/TIDAK</t>
  </si>
  <si>
    <t>Status KKP</t>
  </si>
  <si>
    <t>LAMPIRAN KERTAS KERJA</t>
  </si>
  <si>
    <t>TIDAK DILAKSANAKAN</t>
  </si>
  <si>
    <t>TIDAK BERLAKU</t>
  </si>
  <si>
    <t>TIDAK</t>
  </si>
  <si>
    <t xml:space="preserve"> Completed</t>
  </si>
  <si>
    <t>Kesimpulan</t>
  </si>
  <si>
    <t>: KAP MAURICE GANDA NAINGGOLAN &amp; REKAN</t>
  </si>
  <si>
    <t>: B240</t>
  </si>
  <si>
    <t>: Kelangsungan Usaha</t>
  </si>
  <si>
    <t>: SA 570 Kelangsungan Usaha</t>
  </si>
  <si>
    <r>
      <t xml:space="preserve">1. Melakukan evaluasi adanya indikasi permasalahan </t>
    </r>
    <r>
      <rPr>
        <i/>
        <sz val="11"/>
        <color theme="1"/>
        <rFont val="Calibri"/>
        <family val="2"/>
        <scheme val="minor"/>
      </rPr>
      <t xml:space="preserve">going concern </t>
    </r>
    <r>
      <rPr>
        <sz val="11"/>
        <color theme="1"/>
        <rFont val="Calibri"/>
        <family val="2"/>
        <scheme val="minor"/>
      </rPr>
      <t>dengan menggunakan analisis statistik dan hasil prosedur</t>
    </r>
  </si>
  <si>
    <t>3. Melakukan permintaan keterangan dengan manajemen mengenai kejadian/kondisi di luar tanggal neraca yang didapat</t>
  </si>
  <si>
    <t>Mutasi/berhentinya dari manajemen kunci tanpa adanya pengganti</t>
  </si>
  <si>
    <r>
      <t xml:space="preserve">Hilangnya pangsa pasar, pelanggan tetap, hak </t>
    </r>
    <r>
      <rPr>
        <i/>
        <sz val="11"/>
        <color theme="1"/>
        <rFont val="Calibri"/>
        <family val="2"/>
        <scheme val="minor"/>
      </rPr>
      <t>franchise</t>
    </r>
    <r>
      <rPr>
        <sz val="11"/>
        <color theme="1"/>
        <rFont val="Calibri"/>
        <family val="2"/>
        <scheme val="minor"/>
      </rPr>
      <t xml:space="preserve"> dan vendor yg utama</t>
    </r>
  </si>
  <si>
    <t>Ketidakmampuan pengelolaan sumber daya karyawan</t>
  </si>
  <si>
    <t>Adanya permasalahan hukum yang belum dapat diselesaikan</t>
  </si>
  <si>
    <t>EBIT dibagi total Aset</t>
  </si>
  <si>
    <t>X3=</t>
  </si>
  <si>
    <t>Laba ditahan dibagi total aset</t>
  </si>
  <si>
    <t>X2=</t>
  </si>
  <si>
    <t>Modal Kerja dibagi total aset</t>
  </si>
  <si>
    <t>X1=</t>
  </si>
  <si>
    <t>: Jl. Ir. Sutami Km. 13 Desa Sukanegara, Kec. Tanjung Bintang, Kab. Lampung Selatan</t>
  </si>
  <si>
    <r>
      <t xml:space="preserve">2. Mendapatkan dokumen pendukung yang relevan terkait rencana manajemen dalam merespon isu </t>
    </r>
    <r>
      <rPr>
        <i/>
        <sz val="11"/>
        <color theme="1"/>
        <rFont val="Calibri"/>
        <family val="2"/>
        <scheme val="minor"/>
      </rPr>
      <t>going concern</t>
    </r>
  </si>
  <si>
    <r>
      <t>Terdapat aset-aset yang tidak ter-</t>
    </r>
    <r>
      <rPr>
        <i/>
        <sz val="11"/>
        <color theme="1"/>
        <rFont val="Calibri"/>
        <family val="2"/>
        <scheme val="minor"/>
      </rPr>
      <t xml:space="preserve">cover </t>
    </r>
    <r>
      <rPr>
        <sz val="11"/>
        <color theme="1"/>
        <rFont val="Calibri"/>
        <family val="2"/>
        <scheme val="minor"/>
      </rPr>
      <t>oleh asuransi bila terjadi kecelakaan/</t>
    </r>
    <r>
      <rPr>
        <i/>
        <sz val="11"/>
        <color theme="1"/>
        <rFont val="Calibri"/>
        <family val="2"/>
        <scheme val="minor"/>
      </rPr>
      <t>force majure</t>
    </r>
  </si>
  <si>
    <t xml:space="preserve">4. Melakukan evaluasi kembali berdasarkan dokumen rencana manajemen dan hasil permintaan keterangan dengan manajemen apakah masih terdapat keraguan </t>
  </si>
  <si>
    <t>Perusahaan menghadapi kerugian yang substantsial atau sedang dalam kerugian operasi</t>
  </si>
  <si>
    <r>
      <t xml:space="preserve">Perusahaan berada dalam posisi </t>
    </r>
    <r>
      <rPr>
        <i/>
        <sz val="11"/>
        <rFont val="Calibri"/>
        <family val="2"/>
        <scheme val="minor"/>
      </rPr>
      <t>net liability</t>
    </r>
    <r>
      <rPr>
        <sz val="11"/>
        <rFont val="Calibri"/>
        <family val="2"/>
        <scheme val="minor"/>
      </rPr>
      <t xml:space="preserve"> atau </t>
    </r>
    <r>
      <rPr>
        <i/>
        <sz val="11"/>
        <rFont val="Calibri"/>
        <family val="2"/>
        <scheme val="minor"/>
      </rPr>
      <t>current liability</t>
    </r>
  </si>
  <si>
    <t>Ketidakmampuan memenuhi ketentuan sebagaimana kontrak pinjaman</t>
  </si>
  <si>
    <r>
      <t xml:space="preserve">Biaya operasi yang tinggi sehingga </t>
    </r>
    <r>
      <rPr>
        <i/>
        <sz val="11"/>
        <rFont val="Calibri"/>
        <family val="2"/>
        <scheme val="minor"/>
      </rPr>
      <t>profit margin</t>
    </r>
    <r>
      <rPr>
        <sz val="11"/>
        <rFont val="Calibri"/>
        <family val="2"/>
        <scheme val="minor"/>
      </rPr>
      <t xml:space="preserve"> rendah</t>
    </r>
  </si>
  <si>
    <r>
      <t xml:space="preserve">Penekanan penjualan untuk menghabiskan </t>
    </r>
    <r>
      <rPr>
        <i/>
        <sz val="11"/>
        <rFont val="Calibri"/>
        <family val="2"/>
        <scheme val="minor"/>
      </rPr>
      <t>volume</t>
    </r>
  </si>
  <si>
    <r>
      <t xml:space="preserve">Diskon bersar-besaran untuk menghabiskan </t>
    </r>
    <r>
      <rPr>
        <i/>
        <sz val="11"/>
        <rFont val="Calibri"/>
        <family val="2"/>
        <scheme val="minor"/>
      </rPr>
      <t>stock</t>
    </r>
  </si>
  <si>
    <t>Ketidakmampuan membayar utang dalam waktu yang ditentukan</t>
  </si>
  <si>
    <t>Pinjaman jangka panjang yang mendekati jatuh tempo tanpa prospek yang realistis untuk diperpanjang atau terlalu mengandalkan pada pinjaman jangka pendek untuk pembiayaan aset jangka panjang</t>
  </si>
  <si>
    <t>Indikasi adanya penarikan pinjaman dari kreditur</t>
  </si>
  <si>
    <t>Rasio keuangan yang vital bernilai negatif (rugi)</t>
  </si>
  <si>
    <t>Kerugian operasional yang signifikan atau penurunan signifikan dari nilai aset yang digunakan untuk menghasilkan arus kas</t>
  </si>
  <si>
    <t>Adanya tunggakan deviden atau tidak ada deviden yang tidak dapat didistribusikan</t>
  </si>
  <si>
    <r>
      <t xml:space="preserve">Perubahan transaksi dari basis kredit menjadi basis kas dengan </t>
    </r>
    <r>
      <rPr>
        <i/>
        <sz val="11"/>
        <rFont val="Calibri"/>
        <family val="2"/>
        <scheme val="minor"/>
      </rPr>
      <t>supplier</t>
    </r>
  </si>
  <si>
    <t>Ketidakmampuan membiayai pengembangan produk terbaru atau investasi yang penting</t>
  </si>
  <si>
    <t>Nilai arus kas operasi bernilai negatif, yang terindikasi dari data keuangan historis</t>
  </si>
  <si>
    <t>: PT Indo American Seafoods Tbk</t>
  </si>
  <si>
    <t>Berdasarkan kriteria-kriteria untuk issue going corncern di atas, bahwa PT Indo American Seafoods Tbk tidak termasuk di dalam kriteria tersebut.</t>
  </si>
  <si>
    <t>: 31 Desember 2024</t>
  </si>
  <si>
    <t>NLS</t>
  </si>
  <si>
    <t>KNW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</si>
</sst>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(* #,##0_);_(* \(#,##0\);_(* &quot;-&quot;_);_(@_)"/>
    <numFmt numFmtId="165" formatCode="_(* #,##0.000_);_(* \(#,##0.000\);_(* &quot;-&quot;_);_(@_)"/>
    <numFmt numFmtId="166" formatCode="_-* #,##0.00_-;\-* #,##0.00_-;_-* &quot;-&quot;_-;_-@_-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3" fillId="0" borderId="0"/>
    <xf numFmtId="41" fontId="8" fillId="0" borderId="0" applyFont="0" applyFill="0" applyBorder="0" applyAlignment="0" applyProtection="0"/>
  </cellStyleXfs>
  <cellXfs count="91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6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166" fontId="0" fillId="0" borderId="0" xfId="3" applyNumberFormat="1" applyFont="1"/>
    <xf numFmtId="166" fontId="2" fillId="0" borderId="0" xfId="3" applyNumberFormat="1" applyFont="1"/>
    <xf numFmtId="166" fontId="1" fillId="0" borderId="0" xfId="3" applyNumberFormat="1" applyFont="1"/>
    <xf numFmtId="0" fontId="0" fillId="0" borderId="0" xfId="0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0" xfId="0" applyFont="1" applyAlignment="1">
      <alignment vertical="center"/>
    </xf>
    <xf numFmtId="164" fontId="2" fillId="0" borderId="0" xfId="1" applyFont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vertical="center"/>
    </xf>
    <xf numFmtId="14" fontId="4" fillId="2" borderId="6" xfId="0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164" fontId="2" fillId="0" borderId="1" xfId="1" applyFont="1" applyBorder="1" applyAlignment="1">
      <alignment vertical="center"/>
    </xf>
    <xf numFmtId="166" fontId="0" fillId="2" borderId="6" xfId="3" quotePrefix="1" applyNumberFormat="1" applyFont="1" applyFill="1" applyBorder="1" applyAlignment="1" applyProtection="1">
      <alignment vertical="center"/>
      <protection hidden="1"/>
    </xf>
    <xf numFmtId="166" fontId="0" fillId="2" borderId="1" xfId="3" quotePrefix="1" applyNumberFormat="1" applyFont="1" applyFill="1" applyBorder="1" applyAlignment="1" applyProtection="1">
      <alignment vertical="center"/>
      <protection hidden="1"/>
    </xf>
    <xf numFmtId="165" fontId="0" fillId="2" borderId="0" xfId="1" applyNumberFormat="1" applyFont="1" applyFill="1" applyBorder="1" applyAlignment="1" applyProtection="1">
      <alignment vertical="center"/>
      <protection hidden="1"/>
    </xf>
    <xf numFmtId="164" fontId="0" fillId="2" borderId="6" xfId="1" quotePrefix="1" applyFont="1" applyFill="1" applyBorder="1" applyAlignment="1" applyProtection="1">
      <alignment vertical="center"/>
      <protection hidden="1"/>
    </xf>
    <xf numFmtId="164" fontId="0" fillId="2" borderId="1" xfId="1" quotePrefix="1" applyFont="1" applyFill="1" applyBorder="1" applyAlignment="1" applyProtection="1">
      <alignment vertical="center"/>
      <protection hidden="1"/>
    </xf>
    <xf numFmtId="164" fontId="0" fillId="2" borderId="0" xfId="1" applyFont="1" applyFill="1" applyBorder="1" applyAlignment="1" applyProtection="1">
      <alignment vertical="center"/>
      <protection hidden="1"/>
    </xf>
    <xf numFmtId="0" fontId="0" fillId="2" borderId="0" xfId="0" applyFill="1" applyAlignment="1" applyProtection="1">
      <alignment vertical="center"/>
      <protection locked="0"/>
    </xf>
    <xf numFmtId="0" fontId="0" fillId="2" borderId="0" xfId="0" applyFill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vertical="center"/>
    </xf>
    <xf numFmtId="0" fontId="0" fillId="4" borderId="1" xfId="0" applyFill="1" applyBorder="1" applyAlignment="1">
      <alignment horizontal="right" vertical="center"/>
    </xf>
    <xf numFmtId="0" fontId="0" fillId="4" borderId="19" xfId="0" applyFill="1" applyBorder="1" applyAlignment="1">
      <alignment vertical="center"/>
    </xf>
    <xf numFmtId="0" fontId="0" fillId="4" borderId="20" xfId="0" applyFill="1" applyBorder="1" applyAlignment="1">
      <alignment vertical="center"/>
    </xf>
    <xf numFmtId="0" fontId="0" fillId="4" borderId="21" xfId="0" applyFill="1" applyBorder="1" applyAlignment="1">
      <alignment vertical="center"/>
    </xf>
    <xf numFmtId="0" fontId="0" fillId="4" borderId="22" xfId="0" applyFill="1" applyBorder="1" applyAlignment="1">
      <alignment vertical="center"/>
    </xf>
    <xf numFmtId="0" fontId="0" fillId="4" borderId="0" xfId="0" applyFill="1" applyAlignment="1">
      <alignment vertical="center"/>
    </xf>
    <xf numFmtId="20" fontId="0" fillId="4" borderId="23" xfId="0" applyNumberFormat="1" applyFill="1" applyBorder="1" applyAlignment="1">
      <alignment vertical="center"/>
    </xf>
    <xf numFmtId="0" fontId="0" fillId="4" borderId="0" xfId="0" applyFill="1" applyAlignment="1" applyProtection="1">
      <alignment vertical="center"/>
      <protection hidden="1"/>
    </xf>
    <xf numFmtId="0" fontId="0" fillId="4" borderId="0" xfId="0" applyFill="1" applyAlignment="1" applyProtection="1">
      <alignment vertical="center" wrapText="1"/>
      <protection hidden="1"/>
    </xf>
    <xf numFmtId="0" fontId="0" fillId="4" borderId="23" xfId="0" applyFill="1" applyBorder="1" applyAlignment="1">
      <alignment vertical="center"/>
    </xf>
    <xf numFmtId="15" fontId="0" fillId="4" borderId="0" xfId="0" applyNumberFormat="1" applyFill="1" applyAlignment="1">
      <alignment vertical="center"/>
    </xf>
    <xf numFmtId="0" fontId="0" fillId="4" borderId="24" xfId="0" applyFill="1" applyBorder="1" applyAlignment="1">
      <alignment vertical="center"/>
    </xf>
    <xf numFmtId="0" fontId="0" fillId="4" borderId="25" xfId="0" applyFill="1" applyBorder="1" applyAlignment="1">
      <alignment vertical="center"/>
    </xf>
    <xf numFmtId="0" fontId="0" fillId="4" borderId="26" xfId="0" applyFill="1" applyBorder="1" applyAlignment="1">
      <alignment horizontal="right" vertical="center"/>
    </xf>
    <xf numFmtId="0" fontId="0" fillId="4" borderId="27" xfId="0" applyFill="1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15" fontId="2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5" fontId="2" fillId="4" borderId="1" xfId="0" applyNumberFormat="1" applyFont="1" applyFill="1" applyBorder="1" applyAlignment="1">
      <alignment vertical="center"/>
    </xf>
  </cellXfs>
  <cellStyles count="4">
    <cellStyle name="Comma [0]" xfId="3" builtinId="6"/>
    <cellStyle name="Comma [0] 3" xfId="1" xr:uid="{E60CB556-CA69-4402-B68A-7FC918A19370}"/>
    <cellStyle name="Normal" xfId="0" builtinId="0"/>
    <cellStyle name="Normal 2 4" xfId="2" xr:uid="{E8CE701B-6826-4FC2-B157-EF44CDFA2B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nindya's\2022\PT%20Indo%20American%20Seafoods%20(In-charge)\2.%20LK\Reports\Revisi%20pak%20Maurice%201%20Sep%202023\WS%20PT%20IAS%20GA%2022_01.09.23.xlsx" TargetMode="External"/><Relationship Id="rId1" Type="http://schemas.openxmlformats.org/officeDocument/2006/relationships/externalLinkPath" Target="/Anindya's/2022/PT%20Indo%20American%20Seafoods%20(In-charge)/2.%20LK/Reports/Revisi%20pak%20Maurice%201%20Sep%202023/WS%20PT%20IAS%20GA%2022_01.09.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A"/>
      <sheetName val="COGS (1)"/>
      <sheetName val="Penjualan Lokal&amp; Eksport"/>
      <sheetName val="WP CF-20"/>
      <sheetName val="SPT-BS"/>
      <sheetName val="SPT-PL"/>
      <sheetName val="Udang-21"/>
      <sheetName val="Pembantu-21"/>
      <sheetName val="PL SPT 21"/>
      <sheetName val="CALK-PPh 29"/>
      <sheetName val="PL SPT 20"/>
      <sheetName val="Perhitungan PPh 20"/>
      <sheetName val="Perhitungan PPh 21"/>
      <sheetName val="Def Tax 20"/>
      <sheetName val="CIT 20"/>
      <sheetName val="Tax 21"/>
      <sheetName val="EB"/>
      <sheetName val="DTA 2021"/>
      <sheetName val="IPK"/>
      <sheetName val="DTA1"/>
      <sheetName val="DTA 22"/>
      <sheetName val="TAX 22, 21, 20"/>
      <sheetName val="Perhitungan PPh 22"/>
      <sheetName val="PL SPT 22"/>
      <sheetName val="Udang-22 (Add Stock)"/>
      <sheetName val="AJE CAJE 2022"/>
      <sheetName val="AJE CAJE 2021"/>
      <sheetName val="AJE CAJE 2020"/>
      <sheetName val="Udang-22 "/>
      <sheetName val="Solar &amp; Pembantu-22"/>
      <sheetName val="CF Des 2021"/>
      <sheetName val="DATA MEETING"/>
      <sheetName val="WBS"/>
      <sheetName val="BS"/>
      <sheetName val="PL"/>
      <sheetName val="LPE"/>
      <sheetName val="ARK DIR"/>
      <sheetName val="9. Aset Tetap"/>
      <sheetName val="CF Des 2020"/>
      <sheetName val="CF Des 2022"/>
      <sheetName val="NOTE "/>
      <sheetName val="XX"/>
      <sheetName val="LPS "/>
      <sheetName val="5. Kas dan Bank"/>
      <sheetName val="6. Piutang Usaha"/>
      <sheetName val="7. Piutang Lain-lain"/>
      <sheetName val="8. Persediaan"/>
      <sheetName val="10. Utang Usaha"/>
      <sheetName val="11. Utang Lain-lain"/>
      <sheetName val="12. Biaya YMH Dibayar"/>
      <sheetName val="13. Perpajakan"/>
      <sheetName val="14. Liabilitas IPK"/>
      <sheetName val="15. Utang Bank Jk. Pendek"/>
      <sheetName val="16. Utang Bank Jk. Panjang"/>
      <sheetName val="18. Modal Saham"/>
      <sheetName val="19. Penjualan"/>
      <sheetName val="20. Beban Pokok Penjualan"/>
      <sheetName val="COGS_R"/>
      <sheetName val="21. Beban Usaha"/>
      <sheetName val="22. Pendapatan (Beban) Lainnya"/>
      <sheetName val="COGS"/>
      <sheetName val="OPEX"/>
      <sheetName val="Trans dgn Pihak Berelasi (b)"/>
      <sheetName val="Risiko Likuiditas"/>
      <sheetName val="Instrumen Keuangan"/>
      <sheetName val="Risiko Kredit"/>
      <sheetName val="Other Income (Expense)"/>
      <sheetName val="CF"/>
      <sheetName val="CF 21"/>
      <sheetName val="CF Des 20"/>
      <sheetName val="CF 20"/>
      <sheetName val="TB Pend (Beban) lainnya"/>
      <sheetName val="Disclosure Aset"/>
      <sheetName val="PPh 25"/>
      <sheetName val="PPh 22"/>
      <sheetName val="PPh 23"/>
      <sheetName val="Rekon gaji PPh 21"/>
      <sheetName val="Rekon pembelian PPN"/>
      <sheetName val="Sheet1"/>
      <sheetName val="Summary Penj 22"/>
      <sheetName val="Summary Penj 21"/>
      <sheetName val="Penj. E 22"/>
      <sheetName val="Penj. L 22"/>
      <sheetName val="Penj. L 21"/>
      <sheetName val="Penj. E 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60">
          <cell r="D160">
            <v>190496816375.21002</v>
          </cell>
        </row>
        <row r="281">
          <cell r="D281">
            <v>100350269618.07002</v>
          </cell>
        </row>
        <row r="283">
          <cell r="D283">
            <v>40000000000</v>
          </cell>
        </row>
        <row r="287">
          <cell r="D287">
            <v>8098936710.9900284</v>
          </cell>
        </row>
        <row r="308">
          <cell r="D308">
            <v>245651809706</v>
          </cell>
        </row>
        <row r="452">
          <cell r="D452">
            <v>7441077857.4099884</v>
          </cell>
        </row>
      </sheetData>
      <sheetData sheetId="33">
        <row r="45">
          <cell r="H45">
            <v>176611926143.73544</v>
          </cell>
        </row>
        <row r="80">
          <cell r="H80">
            <v>92514369843.48381</v>
          </cell>
        </row>
        <row r="86">
          <cell r="H86">
            <v>40000000000</v>
          </cell>
        </row>
        <row r="92">
          <cell r="N92">
            <v>13426333849.186987</v>
          </cell>
        </row>
      </sheetData>
      <sheetData sheetId="34">
        <row r="10">
          <cell r="F10">
            <v>245651809706</v>
          </cell>
        </row>
        <row r="22">
          <cell r="F22">
            <v>6644883327.6051636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C623D-1BF6-4A4B-8DEB-425DB15AF4C3}">
  <dimension ref="A1:S89"/>
  <sheetViews>
    <sheetView showGridLines="0" tabSelected="1" zoomScale="80" zoomScaleNormal="80" workbookViewId="0">
      <selection activeCell="A74" sqref="A74:J75"/>
    </sheetView>
  </sheetViews>
  <sheetFormatPr defaultColWidth="9.1796875" defaultRowHeight="14.5" x14ac:dyDescent="0.35"/>
  <cols>
    <col min="1" max="1" width="3.26953125" style="9" customWidth="1"/>
    <col min="2" max="2" width="19.1796875" style="9" customWidth="1"/>
    <col min="3" max="3" width="3.26953125" style="9" customWidth="1"/>
    <col min="4" max="4" width="18.7265625" style="9" customWidth="1"/>
    <col min="5" max="5" width="14.26953125" style="9" customWidth="1"/>
    <col min="6" max="6" width="22.1796875" style="9" customWidth="1"/>
    <col min="7" max="7" width="13.26953125" style="9" customWidth="1"/>
    <col min="8" max="8" width="11.26953125" style="9" customWidth="1"/>
    <col min="9" max="11" width="2.81640625" style="9" customWidth="1"/>
    <col min="12" max="12" width="11" style="9" bestFit="1" customWidth="1"/>
    <col min="13" max="13" width="12.26953125" style="9" bestFit="1" customWidth="1"/>
    <col min="14" max="14" width="20.26953125" style="9" customWidth="1"/>
    <col min="15" max="15" width="12.453125" style="9" customWidth="1"/>
    <col min="16" max="16" width="8.81640625" style="9" bestFit="1" customWidth="1"/>
    <col min="17" max="17" width="31.453125" style="9" customWidth="1"/>
    <col min="18" max="18" width="17.26953125" style="9" bestFit="1" customWidth="1"/>
    <col min="19" max="19" width="11.1796875" style="9" bestFit="1" customWidth="1"/>
    <col min="20" max="16384" width="9.1796875" style="9"/>
  </cols>
  <sheetData>
    <row r="1" spans="2:18" ht="15" thickBot="1" x14ac:dyDescent="0.4"/>
    <row r="2" spans="2:18" ht="15" thickBot="1" x14ac:dyDescent="0.4">
      <c r="B2" s="44" t="s">
        <v>0</v>
      </c>
      <c r="C2" s="45"/>
      <c r="D2" s="45" t="s">
        <v>70</v>
      </c>
      <c r="E2" s="45"/>
      <c r="F2" s="45"/>
      <c r="G2" s="45"/>
      <c r="H2" s="45"/>
      <c r="I2" s="45"/>
      <c r="J2" s="45"/>
      <c r="K2" s="45"/>
      <c r="L2" s="45"/>
      <c r="M2" s="45"/>
      <c r="N2" s="45" t="s">
        <v>8</v>
      </c>
      <c r="O2" s="87" t="s">
        <v>108</v>
      </c>
      <c r="P2" s="45"/>
      <c r="Q2" s="45"/>
      <c r="R2" s="46"/>
    </row>
    <row r="3" spans="2:18" x14ac:dyDescent="0.35">
      <c r="B3" s="47" t="s">
        <v>1</v>
      </c>
      <c r="C3" s="48"/>
      <c r="D3" s="45" t="s">
        <v>70</v>
      </c>
      <c r="E3" s="48"/>
      <c r="F3" s="48"/>
      <c r="G3" s="48"/>
      <c r="H3" s="48"/>
      <c r="I3" s="48"/>
      <c r="J3" s="48"/>
      <c r="K3" s="48"/>
      <c r="L3" s="48"/>
      <c r="M3" s="48"/>
      <c r="N3" s="48" t="s">
        <v>9</v>
      </c>
      <c r="O3" s="88">
        <v>45768</v>
      </c>
      <c r="P3" s="48"/>
      <c r="Q3" s="48" t="s">
        <v>14</v>
      </c>
      <c r="R3" s="49">
        <v>0.35416666666666669</v>
      </c>
    </row>
    <row r="4" spans="2:18" x14ac:dyDescent="0.35">
      <c r="B4" s="47" t="s">
        <v>2</v>
      </c>
      <c r="C4" s="48"/>
      <c r="D4" s="50" t="s">
        <v>105</v>
      </c>
      <c r="E4" s="48"/>
      <c r="F4" s="48"/>
      <c r="G4" s="48"/>
      <c r="H4" s="48"/>
      <c r="I4" s="48"/>
      <c r="J4" s="48"/>
      <c r="K4" s="48"/>
      <c r="L4" s="48"/>
      <c r="M4" s="48"/>
      <c r="N4" s="48" t="s">
        <v>10</v>
      </c>
      <c r="O4" s="88">
        <v>45770</v>
      </c>
      <c r="P4" s="48"/>
      <c r="Q4" s="48" t="s">
        <v>15</v>
      </c>
      <c r="R4" s="49">
        <v>0.5</v>
      </c>
    </row>
    <row r="5" spans="2:18" ht="15" customHeight="1" x14ac:dyDescent="0.35">
      <c r="B5" s="47" t="s">
        <v>3</v>
      </c>
      <c r="C5" s="48"/>
      <c r="D5" s="50" t="s">
        <v>86</v>
      </c>
      <c r="E5" s="51"/>
      <c r="F5" s="51"/>
      <c r="G5" s="51"/>
      <c r="H5" s="51"/>
      <c r="I5" s="51"/>
      <c r="J5" s="51"/>
      <c r="K5" s="51"/>
      <c r="L5" s="51"/>
      <c r="M5" s="48"/>
      <c r="N5" s="48" t="s">
        <v>11</v>
      </c>
      <c r="O5" s="43" t="s">
        <v>61</v>
      </c>
      <c r="P5" s="48"/>
      <c r="Q5" s="48" t="s">
        <v>16</v>
      </c>
      <c r="R5" s="52">
        <v>4.5</v>
      </c>
    </row>
    <row r="6" spans="2:18" x14ac:dyDescent="0.35">
      <c r="B6" s="47" t="s">
        <v>4</v>
      </c>
      <c r="C6" s="48"/>
      <c r="D6" s="53" t="s">
        <v>107</v>
      </c>
      <c r="E6" s="48"/>
      <c r="F6" s="48"/>
      <c r="G6" s="48"/>
      <c r="H6" s="48"/>
      <c r="I6" s="48"/>
      <c r="J6" s="48"/>
      <c r="K6" s="48"/>
      <c r="L6" s="48"/>
      <c r="M6" s="48"/>
      <c r="N6" s="48" t="s">
        <v>12</v>
      </c>
      <c r="O6" s="89" t="s">
        <v>109</v>
      </c>
      <c r="P6" s="48"/>
      <c r="Q6" s="48"/>
      <c r="R6" s="52"/>
    </row>
    <row r="7" spans="2:18" x14ac:dyDescent="0.35">
      <c r="B7" s="47" t="s">
        <v>5</v>
      </c>
      <c r="C7" s="48"/>
      <c r="D7" s="48" t="s">
        <v>71</v>
      </c>
      <c r="E7" s="48"/>
      <c r="F7" s="48"/>
      <c r="G7" s="48"/>
      <c r="H7" s="48"/>
      <c r="I7" s="48"/>
      <c r="J7" s="48"/>
      <c r="K7" s="48"/>
      <c r="L7" s="48"/>
      <c r="M7" s="48"/>
      <c r="N7" s="48" t="s">
        <v>17</v>
      </c>
      <c r="O7" s="90">
        <v>45770</v>
      </c>
      <c r="P7" s="48"/>
      <c r="Q7" s="48" t="s">
        <v>18</v>
      </c>
      <c r="R7" s="49">
        <v>0.54166666666666663</v>
      </c>
    </row>
    <row r="8" spans="2:18" x14ac:dyDescent="0.35">
      <c r="B8" s="47" t="s">
        <v>6</v>
      </c>
      <c r="C8" s="48"/>
      <c r="D8" s="48" t="s">
        <v>72</v>
      </c>
      <c r="E8" s="48"/>
      <c r="F8" s="48"/>
      <c r="G8" s="48"/>
      <c r="H8" s="48"/>
      <c r="I8" s="48"/>
      <c r="J8" s="48"/>
      <c r="K8" s="48"/>
      <c r="L8" s="48"/>
      <c r="M8" s="48"/>
      <c r="N8" s="48" t="s">
        <v>13</v>
      </c>
      <c r="O8" s="90">
        <v>45770</v>
      </c>
      <c r="P8" s="48"/>
      <c r="Q8" s="48" t="s">
        <v>19</v>
      </c>
      <c r="R8" s="49">
        <v>0.72916666666666663</v>
      </c>
    </row>
    <row r="9" spans="2:18" x14ac:dyDescent="0.35">
      <c r="B9" s="47" t="s">
        <v>7</v>
      </c>
      <c r="C9" s="48"/>
      <c r="D9" s="48" t="s">
        <v>73</v>
      </c>
      <c r="E9" s="48"/>
      <c r="F9" s="48"/>
      <c r="G9" s="48"/>
      <c r="H9" s="48"/>
      <c r="I9" s="48"/>
      <c r="J9" s="48"/>
      <c r="K9" s="48"/>
      <c r="L9" s="48"/>
      <c r="M9" s="48"/>
      <c r="N9" s="48" t="s">
        <v>11</v>
      </c>
      <c r="O9" s="43" t="s">
        <v>61</v>
      </c>
      <c r="P9" s="48"/>
      <c r="Q9" s="48" t="s">
        <v>16</v>
      </c>
      <c r="R9" s="52">
        <v>4.5</v>
      </c>
    </row>
    <row r="10" spans="2:18" ht="15" thickBot="1" x14ac:dyDescent="0.4">
      <c r="B10" s="54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 t="s">
        <v>11</v>
      </c>
      <c r="O10" s="56" t="s">
        <v>61</v>
      </c>
      <c r="P10" s="55"/>
      <c r="Q10" s="55" t="s">
        <v>20</v>
      </c>
      <c r="R10" s="57">
        <v>8</v>
      </c>
    </row>
    <row r="11" spans="2:18" hidden="1" x14ac:dyDescent="0.35">
      <c r="B11" s="12" t="s">
        <v>21</v>
      </c>
    </row>
    <row r="12" spans="2:18" hidden="1" x14ac:dyDescent="0.35">
      <c r="B12" s="73" t="s">
        <v>22</v>
      </c>
      <c r="C12" s="75"/>
      <c r="D12" s="11" t="s">
        <v>22</v>
      </c>
      <c r="E12" s="3"/>
      <c r="F12" s="5"/>
    </row>
    <row r="13" spans="2:18" hidden="1" x14ac:dyDescent="0.35">
      <c r="B13" s="13" t="s">
        <v>23</v>
      </c>
      <c r="C13" s="14"/>
      <c r="D13" s="11" t="s">
        <v>24</v>
      </c>
      <c r="E13" s="15"/>
      <c r="F13" s="14"/>
    </row>
    <row r="15" spans="2:18" hidden="1" x14ac:dyDescent="0.35">
      <c r="B15" s="16" t="s">
        <v>25</v>
      </c>
    </row>
    <row r="16" spans="2:18" hidden="1" x14ac:dyDescent="0.35">
      <c r="B16" s="12" t="s">
        <v>26</v>
      </c>
      <c r="N16" s="17"/>
      <c r="O16" s="18" t="s">
        <v>39</v>
      </c>
      <c r="P16" s="18" t="s">
        <v>40</v>
      </c>
      <c r="Q16" s="19"/>
    </row>
    <row r="17" spans="1:19" hidden="1" x14ac:dyDescent="0.35">
      <c r="B17" s="9" t="s">
        <v>27</v>
      </c>
      <c r="N17" s="20"/>
      <c r="O17" s="21"/>
      <c r="P17" s="22"/>
      <c r="Q17" s="19"/>
    </row>
    <row r="18" spans="1:19" hidden="1" x14ac:dyDescent="0.35">
      <c r="C18" s="9" t="s">
        <v>28</v>
      </c>
      <c r="N18" s="23" t="s">
        <v>41</v>
      </c>
      <c r="O18" s="24">
        <f>'Z Score'!D15</f>
        <v>1.6905458171575503</v>
      </c>
      <c r="P18" s="25">
        <f>'Z Score'!D14</f>
        <v>1.8355774570754557</v>
      </c>
      <c r="Q18" s="26"/>
    </row>
    <row r="19" spans="1:19" hidden="1" x14ac:dyDescent="0.35">
      <c r="C19" s="9" t="s">
        <v>29</v>
      </c>
      <c r="N19" s="23" t="s">
        <v>43</v>
      </c>
      <c r="O19" s="27"/>
      <c r="P19" s="28" t="s">
        <v>42</v>
      </c>
      <c r="Q19" s="29"/>
    </row>
    <row r="20" spans="1:19" hidden="1" x14ac:dyDescent="0.35">
      <c r="C20" s="9" t="s">
        <v>30</v>
      </c>
    </row>
    <row r="21" spans="1:19" hidden="1" x14ac:dyDescent="0.35">
      <c r="C21" s="9" t="s">
        <v>31</v>
      </c>
      <c r="D21" s="9" t="s">
        <v>32</v>
      </c>
    </row>
    <row r="22" spans="1:19" hidden="1" x14ac:dyDescent="0.35">
      <c r="C22" s="9" t="s">
        <v>33</v>
      </c>
      <c r="D22" s="9" t="s">
        <v>34</v>
      </c>
    </row>
    <row r="23" spans="1:19" hidden="1" x14ac:dyDescent="0.35"/>
    <row r="24" spans="1:19" hidden="1" x14ac:dyDescent="0.35">
      <c r="B24" s="9" t="s">
        <v>35</v>
      </c>
    </row>
    <row r="25" spans="1:19" hidden="1" x14ac:dyDescent="0.35">
      <c r="C25" s="9" t="s">
        <v>36</v>
      </c>
    </row>
    <row r="26" spans="1:19" hidden="1" x14ac:dyDescent="0.35">
      <c r="C26" s="30" t="s">
        <v>37</v>
      </c>
    </row>
    <row r="27" spans="1:19" hidden="1" x14ac:dyDescent="0.35">
      <c r="C27" s="30" t="s">
        <v>38</v>
      </c>
    </row>
    <row r="28" spans="1:19" hidden="1" x14ac:dyDescent="0.35">
      <c r="C28" s="30"/>
    </row>
    <row r="29" spans="1:19" x14ac:dyDescent="0.35">
      <c r="A29" s="86" t="s">
        <v>47</v>
      </c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4" t="s">
        <v>44</v>
      </c>
      <c r="R29" s="84" t="s">
        <v>45</v>
      </c>
      <c r="S29" s="84" t="s">
        <v>46</v>
      </c>
    </row>
    <row r="30" spans="1:19" x14ac:dyDescent="0.35">
      <c r="A30" s="86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5"/>
      <c r="R30" s="85"/>
      <c r="S30" s="85"/>
    </row>
    <row r="31" spans="1:19" x14ac:dyDescent="0.35">
      <c r="A31" s="79" t="s">
        <v>74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11" t="s">
        <v>65</v>
      </c>
      <c r="R31" s="11"/>
      <c r="S31" s="11"/>
    </row>
    <row r="32" spans="1:19" x14ac:dyDescent="0.35">
      <c r="A32" s="79" t="s">
        <v>87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11" t="s">
        <v>66</v>
      </c>
      <c r="R32" s="11"/>
      <c r="S32" s="11"/>
    </row>
    <row r="33" spans="1:19" s="31" customFormat="1" x14ac:dyDescent="0.35">
      <c r="A33" s="80" t="s">
        <v>75</v>
      </c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20" t="s">
        <v>65</v>
      </c>
      <c r="R33" s="20"/>
      <c r="S33" s="20"/>
    </row>
    <row r="34" spans="1:19" ht="15" customHeight="1" x14ac:dyDescent="0.35">
      <c r="A34" s="81" t="s">
        <v>89</v>
      </c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3"/>
      <c r="Q34" s="11" t="s">
        <v>65</v>
      </c>
      <c r="R34" s="11"/>
      <c r="S34" s="11"/>
    </row>
    <row r="35" spans="1:19" x14ac:dyDescent="0.35">
      <c r="A35" s="73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5"/>
      <c r="Q35" s="11"/>
      <c r="R35" s="11"/>
      <c r="S35" s="11"/>
    </row>
    <row r="36" spans="1:19" x14ac:dyDescent="0.35">
      <c r="A36" s="32" t="s">
        <v>48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4"/>
      <c r="Q36" s="35" t="s">
        <v>62</v>
      </c>
      <c r="R36" s="36" t="s">
        <v>45</v>
      </c>
      <c r="S36" s="36" t="s">
        <v>46</v>
      </c>
    </row>
    <row r="37" spans="1:19" x14ac:dyDescent="0.35">
      <c r="A37" s="58" t="s">
        <v>49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60"/>
      <c r="Q37" s="70"/>
      <c r="R37" s="11"/>
      <c r="S37" s="11"/>
    </row>
    <row r="38" spans="1:19" x14ac:dyDescent="0.35">
      <c r="A38" s="3" t="s">
        <v>50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5"/>
      <c r="Q38" s="71"/>
      <c r="R38" s="11"/>
      <c r="S38" s="11"/>
    </row>
    <row r="39" spans="1:19" x14ac:dyDescent="0.35">
      <c r="A39" s="32" t="s">
        <v>51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4"/>
      <c r="Q39" s="72"/>
      <c r="R39" s="11"/>
      <c r="S39" s="11"/>
    </row>
    <row r="40" spans="1:19" x14ac:dyDescent="0.35">
      <c r="A40" s="11">
        <v>1</v>
      </c>
      <c r="B40" s="37" t="s">
        <v>90</v>
      </c>
      <c r="C40" s="38"/>
      <c r="D40" s="38"/>
      <c r="E40" s="38"/>
      <c r="F40" s="38"/>
      <c r="G40" s="38"/>
      <c r="H40" s="38"/>
      <c r="I40" s="38"/>
      <c r="J40" s="38"/>
      <c r="K40" s="38"/>
      <c r="L40" s="39"/>
      <c r="M40" s="39"/>
      <c r="N40" s="39"/>
      <c r="O40" s="39"/>
      <c r="P40" s="40"/>
      <c r="Q40" s="11" t="s">
        <v>67</v>
      </c>
      <c r="R40" s="11"/>
      <c r="S40" s="11"/>
    </row>
    <row r="41" spans="1:19" x14ac:dyDescent="0.35">
      <c r="A41" s="11">
        <f>A40+1</f>
        <v>2</v>
      </c>
      <c r="B41" s="37" t="s">
        <v>52</v>
      </c>
      <c r="C41" s="38"/>
      <c r="D41" s="38"/>
      <c r="E41" s="38"/>
      <c r="F41" s="38"/>
      <c r="G41" s="38"/>
      <c r="H41" s="38"/>
      <c r="I41" s="38"/>
      <c r="J41" s="38"/>
      <c r="K41" s="38"/>
      <c r="L41" s="4"/>
      <c r="M41" s="4"/>
      <c r="N41" s="4"/>
      <c r="O41" s="4"/>
      <c r="P41" s="5"/>
      <c r="Q41" s="11" t="s">
        <v>67</v>
      </c>
      <c r="R41" s="11"/>
      <c r="S41" s="11"/>
    </row>
    <row r="42" spans="1:19" x14ac:dyDescent="0.35">
      <c r="A42" s="11">
        <f t="shared" ref="A42:A56" si="0">A41+1</f>
        <v>3</v>
      </c>
      <c r="B42" s="37" t="s">
        <v>53</v>
      </c>
      <c r="C42" s="38"/>
      <c r="D42" s="38"/>
      <c r="E42" s="38"/>
      <c r="F42" s="38"/>
      <c r="G42" s="38"/>
      <c r="H42" s="38"/>
      <c r="I42" s="38"/>
      <c r="J42" s="38"/>
      <c r="K42" s="38"/>
      <c r="L42" s="4"/>
      <c r="M42" s="4"/>
      <c r="N42" s="4"/>
      <c r="O42" s="4"/>
      <c r="P42" s="5"/>
      <c r="Q42" s="11" t="s">
        <v>67</v>
      </c>
      <c r="R42" s="11"/>
      <c r="S42" s="11"/>
    </row>
    <row r="43" spans="1:19" x14ac:dyDescent="0.35">
      <c r="A43" s="11">
        <f t="shared" si="0"/>
        <v>4</v>
      </c>
      <c r="B43" s="37" t="s">
        <v>93</v>
      </c>
      <c r="C43" s="38"/>
      <c r="D43" s="38"/>
      <c r="E43" s="38"/>
      <c r="F43" s="38"/>
      <c r="G43" s="38"/>
      <c r="H43" s="38"/>
      <c r="I43" s="38"/>
      <c r="J43" s="38"/>
      <c r="K43" s="38"/>
      <c r="L43" s="4"/>
      <c r="M43" s="4"/>
      <c r="N43" s="4"/>
      <c r="O43" s="4"/>
      <c r="P43" s="5"/>
      <c r="Q43" s="11" t="s">
        <v>67</v>
      </c>
      <c r="R43" s="11"/>
      <c r="S43" s="11"/>
    </row>
    <row r="44" spans="1:19" x14ac:dyDescent="0.35">
      <c r="A44" s="11">
        <f t="shared" si="0"/>
        <v>5</v>
      </c>
      <c r="B44" s="37" t="s">
        <v>94</v>
      </c>
      <c r="C44" s="38"/>
      <c r="D44" s="38"/>
      <c r="E44" s="38"/>
      <c r="F44" s="38"/>
      <c r="G44" s="38"/>
      <c r="H44" s="38"/>
      <c r="I44" s="38"/>
      <c r="J44" s="38"/>
      <c r="K44" s="38"/>
      <c r="L44" s="4"/>
      <c r="M44" s="4"/>
      <c r="N44" s="4"/>
      <c r="O44" s="4"/>
      <c r="P44" s="5"/>
      <c r="Q44" s="11" t="s">
        <v>67</v>
      </c>
      <c r="R44" s="11"/>
      <c r="S44" s="11"/>
    </row>
    <row r="45" spans="1:19" x14ac:dyDescent="0.35">
      <c r="A45" s="11">
        <f t="shared" si="0"/>
        <v>6</v>
      </c>
      <c r="B45" s="37" t="s">
        <v>95</v>
      </c>
      <c r="C45" s="38"/>
      <c r="D45" s="38"/>
      <c r="E45" s="38"/>
      <c r="F45" s="38"/>
      <c r="G45" s="38"/>
      <c r="H45" s="38"/>
      <c r="I45" s="38"/>
      <c r="J45" s="38"/>
      <c r="K45" s="38"/>
      <c r="L45" s="4"/>
      <c r="M45" s="4"/>
      <c r="N45" s="4"/>
      <c r="O45" s="4"/>
      <c r="P45" s="5"/>
      <c r="Q45" s="11" t="s">
        <v>67</v>
      </c>
      <c r="R45" s="11"/>
      <c r="S45" s="11"/>
    </row>
    <row r="46" spans="1:19" x14ac:dyDescent="0.35">
      <c r="A46" s="11">
        <f t="shared" si="0"/>
        <v>7</v>
      </c>
      <c r="B46" s="37" t="s">
        <v>91</v>
      </c>
      <c r="C46" s="38"/>
      <c r="D46" s="38"/>
      <c r="E46" s="38"/>
      <c r="F46" s="38"/>
      <c r="G46" s="38"/>
      <c r="H46" s="38"/>
      <c r="I46" s="38"/>
      <c r="J46" s="38"/>
      <c r="K46" s="38"/>
      <c r="L46" s="39"/>
      <c r="M46" s="39"/>
      <c r="N46" s="39"/>
      <c r="O46" s="39"/>
      <c r="P46" s="40"/>
      <c r="Q46" s="11" t="s">
        <v>67</v>
      </c>
      <c r="R46" s="11"/>
      <c r="S46" s="11"/>
    </row>
    <row r="47" spans="1:19" x14ac:dyDescent="0.35">
      <c r="A47" s="11">
        <f t="shared" si="0"/>
        <v>8</v>
      </c>
      <c r="B47" s="37" t="s">
        <v>96</v>
      </c>
      <c r="C47" s="38"/>
      <c r="D47" s="38"/>
      <c r="E47" s="38"/>
      <c r="F47" s="38"/>
      <c r="G47" s="38"/>
      <c r="H47" s="38"/>
      <c r="I47" s="38"/>
      <c r="J47" s="38"/>
      <c r="K47" s="38"/>
      <c r="L47" s="4"/>
      <c r="M47" s="4"/>
      <c r="N47" s="4"/>
      <c r="O47" s="4"/>
      <c r="P47" s="5"/>
      <c r="Q47" s="11" t="s">
        <v>67</v>
      </c>
      <c r="R47" s="11"/>
      <c r="S47" s="11"/>
    </row>
    <row r="48" spans="1:19" x14ac:dyDescent="0.35">
      <c r="A48" s="11">
        <f t="shared" si="0"/>
        <v>9</v>
      </c>
      <c r="B48" s="37" t="s">
        <v>92</v>
      </c>
      <c r="C48" s="38"/>
      <c r="D48" s="38"/>
      <c r="E48" s="38"/>
      <c r="F48" s="38"/>
      <c r="G48" s="38"/>
      <c r="H48" s="38"/>
      <c r="I48" s="38"/>
      <c r="J48" s="38"/>
      <c r="K48" s="38"/>
      <c r="L48" s="4"/>
      <c r="M48" s="4"/>
      <c r="N48" s="4"/>
      <c r="O48" s="4"/>
      <c r="P48" s="5"/>
      <c r="Q48" s="11" t="s">
        <v>67</v>
      </c>
      <c r="R48" s="11"/>
      <c r="S48" s="11"/>
    </row>
    <row r="49" spans="1:19" ht="28.5" customHeight="1" x14ac:dyDescent="0.35">
      <c r="A49" s="11">
        <f t="shared" si="0"/>
        <v>10</v>
      </c>
      <c r="B49" s="76" t="s">
        <v>97</v>
      </c>
      <c r="C49" s="77"/>
      <c r="D49" s="77"/>
      <c r="E49" s="77"/>
      <c r="F49" s="77"/>
      <c r="G49" s="77"/>
      <c r="H49" s="77"/>
      <c r="I49" s="77"/>
      <c r="J49" s="77"/>
      <c r="K49" s="77"/>
      <c r="L49" s="4"/>
      <c r="M49" s="4"/>
      <c r="N49" s="4"/>
      <c r="O49" s="4"/>
      <c r="P49" s="5"/>
      <c r="Q49" s="11" t="s">
        <v>67</v>
      </c>
      <c r="R49" s="11"/>
      <c r="S49" s="11"/>
    </row>
    <row r="50" spans="1:19" x14ac:dyDescent="0.35">
      <c r="A50" s="11">
        <f t="shared" si="0"/>
        <v>11</v>
      </c>
      <c r="B50" s="37" t="s">
        <v>98</v>
      </c>
      <c r="C50" s="38"/>
      <c r="D50" s="38"/>
      <c r="E50" s="38"/>
      <c r="F50" s="38"/>
      <c r="G50" s="38"/>
      <c r="H50" s="38"/>
      <c r="I50" s="38"/>
      <c r="J50" s="38"/>
      <c r="K50" s="38"/>
      <c r="L50" s="4"/>
      <c r="M50" s="4"/>
      <c r="N50" s="4"/>
      <c r="O50" s="4"/>
      <c r="P50" s="5"/>
      <c r="Q50" s="11" t="s">
        <v>67</v>
      </c>
      <c r="R50" s="11"/>
      <c r="S50" s="11"/>
    </row>
    <row r="51" spans="1:19" x14ac:dyDescent="0.35">
      <c r="A51" s="11">
        <f t="shared" si="0"/>
        <v>12</v>
      </c>
      <c r="B51" s="37" t="s">
        <v>104</v>
      </c>
      <c r="C51" s="38"/>
      <c r="D51" s="38"/>
      <c r="E51" s="38"/>
      <c r="F51" s="38"/>
      <c r="G51" s="38"/>
      <c r="H51" s="38"/>
      <c r="I51" s="38"/>
      <c r="J51" s="38"/>
      <c r="K51" s="38"/>
      <c r="L51" s="4"/>
      <c r="M51" s="4"/>
      <c r="N51" s="4"/>
      <c r="O51" s="4"/>
      <c r="P51" s="5"/>
      <c r="Q51" s="11" t="s">
        <v>67</v>
      </c>
      <c r="R51" s="11"/>
      <c r="S51" s="11"/>
    </row>
    <row r="52" spans="1:19" x14ac:dyDescent="0.35">
      <c r="A52" s="11">
        <f t="shared" si="0"/>
        <v>13</v>
      </c>
      <c r="B52" s="37" t="s">
        <v>99</v>
      </c>
      <c r="C52" s="38"/>
      <c r="D52" s="38"/>
      <c r="E52" s="38"/>
      <c r="F52" s="38"/>
      <c r="G52" s="38"/>
      <c r="H52" s="38"/>
      <c r="I52" s="38"/>
      <c r="J52" s="38"/>
      <c r="K52" s="38"/>
      <c r="L52" s="4"/>
      <c r="M52" s="4"/>
      <c r="N52" s="4"/>
      <c r="O52" s="4"/>
      <c r="P52" s="5"/>
      <c r="Q52" s="11" t="s">
        <v>67</v>
      </c>
      <c r="R52" s="11"/>
      <c r="S52" s="11"/>
    </row>
    <row r="53" spans="1:19" x14ac:dyDescent="0.35">
      <c r="A53" s="11">
        <f t="shared" si="0"/>
        <v>14</v>
      </c>
      <c r="B53" s="37" t="s">
        <v>100</v>
      </c>
      <c r="C53" s="38"/>
      <c r="D53" s="38"/>
      <c r="E53" s="38"/>
      <c r="F53" s="38"/>
      <c r="G53" s="38"/>
      <c r="H53" s="38"/>
      <c r="I53" s="38"/>
      <c r="J53" s="38"/>
      <c r="K53" s="38"/>
      <c r="L53" s="4"/>
      <c r="M53" s="4"/>
      <c r="N53" s="4"/>
      <c r="O53" s="4"/>
      <c r="P53" s="5"/>
      <c r="Q53" s="11" t="s">
        <v>67</v>
      </c>
      <c r="R53" s="11"/>
      <c r="S53" s="11"/>
    </row>
    <row r="54" spans="1:19" x14ac:dyDescent="0.35">
      <c r="A54" s="11">
        <f t="shared" si="0"/>
        <v>15</v>
      </c>
      <c r="B54" s="37" t="s">
        <v>101</v>
      </c>
      <c r="C54" s="38"/>
      <c r="D54" s="38"/>
      <c r="E54" s="38"/>
      <c r="F54" s="38"/>
      <c r="G54" s="38"/>
      <c r="H54" s="38"/>
      <c r="I54" s="38"/>
      <c r="J54" s="38"/>
      <c r="K54" s="38"/>
      <c r="L54" s="4"/>
      <c r="M54" s="4"/>
      <c r="N54" s="4"/>
      <c r="O54" s="4"/>
      <c r="P54" s="5"/>
      <c r="Q54" s="11" t="s">
        <v>67</v>
      </c>
      <c r="R54" s="11"/>
      <c r="S54" s="11"/>
    </row>
    <row r="55" spans="1:19" x14ac:dyDescent="0.35">
      <c r="A55" s="11">
        <f t="shared" si="0"/>
        <v>16</v>
      </c>
      <c r="B55" s="37" t="s">
        <v>102</v>
      </c>
      <c r="C55" s="38"/>
      <c r="D55" s="38"/>
      <c r="E55" s="38"/>
      <c r="F55" s="38"/>
      <c r="G55" s="38"/>
      <c r="H55" s="38"/>
      <c r="I55" s="38"/>
      <c r="J55" s="38"/>
      <c r="K55" s="38"/>
      <c r="L55" s="4"/>
      <c r="M55" s="4"/>
      <c r="N55" s="4"/>
      <c r="O55" s="4"/>
      <c r="P55" s="5"/>
      <c r="Q55" s="11" t="s">
        <v>67</v>
      </c>
      <c r="R55" s="11"/>
      <c r="S55" s="11"/>
    </row>
    <row r="56" spans="1:19" x14ac:dyDescent="0.35">
      <c r="A56" s="11">
        <f t="shared" si="0"/>
        <v>17</v>
      </c>
      <c r="B56" s="37" t="s">
        <v>103</v>
      </c>
      <c r="C56" s="38"/>
      <c r="D56" s="38"/>
      <c r="E56" s="38"/>
      <c r="F56" s="38"/>
      <c r="G56" s="38"/>
      <c r="H56" s="38"/>
      <c r="I56" s="38"/>
      <c r="J56" s="38"/>
      <c r="K56" s="38"/>
      <c r="L56" s="4"/>
      <c r="M56" s="4"/>
      <c r="N56" s="4"/>
      <c r="O56" s="4"/>
      <c r="P56" s="5"/>
      <c r="Q56" s="11" t="s">
        <v>67</v>
      </c>
      <c r="R56" s="11"/>
      <c r="S56" s="11"/>
    </row>
    <row r="57" spans="1:19" x14ac:dyDescent="0.35">
      <c r="A57" s="11"/>
      <c r="B57" s="73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5"/>
      <c r="Q57" s="70"/>
      <c r="R57" s="11"/>
      <c r="S57" s="11"/>
    </row>
    <row r="58" spans="1:19" x14ac:dyDescent="0.35">
      <c r="A58" s="32" t="s">
        <v>54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4"/>
      <c r="Q58" s="72"/>
      <c r="R58" s="11"/>
      <c r="S58" s="11"/>
    </row>
    <row r="59" spans="1:19" x14ac:dyDescent="0.35">
      <c r="A59" s="10" t="s">
        <v>61</v>
      </c>
      <c r="B59" s="3" t="s">
        <v>55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5"/>
      <c r="Q59" s="11" t="s">
        <v>67</v>
      </c>
      <c r="R59" s="11"/>
      <c r="S59" s="11"/>
    </row>
    <row r="60" spans="1:19" x14ac:dyDescent="0.35">
      <c r="A60" s="10" t="s">
        <v>61</v>
      </c>
      <c r="B60" s="3" t="s">
        <v>76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5"/>
      <c r="Q60" s="11" t="s">
        <v>67</v>
      </c>
      <c r="R60" s="11"/>
      <c r="S60" s="11"/>
    </row>
    <row r="61" spans="1:19" x14ac:dyDescent="0.35">
      <c r="A61" s="10" t="s">
        <v>61</v>
      </c>
      <c r="B61" s="3" t="s">
        <v>77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5"/>
      <c r="Q61" s="11" t="s">
        <v>67</v>
      </c>
      <c r="R61" s="11"/>
      <c r="S61" s="11"/>
    </row>
    <row r="62" spans="1:19" x14ac:dyDescent="0.35">
      <c r="A62" s="10" t="s">
        <v>61</v>
      </c>
      <c r="B62" s="3" t="s">
        <v>78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5"/>
      <c r="Q62" s="11" t="s">
        <v>67</v>
      </c>
      <c r="R62" s="11"/>
      <c r="S62" s="11"/>
    </row>
    <row r="63" spans="1:19" x14ac:dyDescent="0.35">
      <c r="A63" s="10" t="s">
        <v>61</v>
      </c>
      <c r="B63" s="3" t="s">
        <v>56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5"/>
      <c r="Q63" s="11" t="s">
        <v>67</v>
      </c>
      <c r="R63" s="11"/>
      <c r="S63" s="11"/>
    </row>
    <row r="64" spans="1:19" x14ac:dyDescent="0.35">
      <c r="A64" s="10" t="s">
        <v>61</v>
      </c>
      <c r="B64" s="3" t="s">
        <v>57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5"/>
      <c r="Q64" s="11" t="s">
        <v>67</v>
      </c>
      <c r="R64" s="11"/>
      <c r="S64" s="11"/>
    </row>
    <row r="65" spans="1:19" x14ac:dyDescent="0.35">
      <c r="A65" s="11"/>
      <c r="B65" s="73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5"/>
      <c r="Q65" s="70"/>
      <c r="R65" s="11"/>
      <c r="S65" s="11"/>
    </row>
    <row r="66" spans="1:19" x14ac:dyDescent="0.35">
      <c r="A66" s="32" t="s">
        <v>58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4"/>
      <c r="Q66" s="72"/>
      <c r="R66" s="11"/>
      <c r="S66" s="11"/>
    </row>
    <row r="67" spans="1:19" x14ac:dyDescent="0.35">
      <c r="A67" s="10" t="s">
        <v>61</v>
      </c>
      <c r="B67" s="3" t="s">
        <v>59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5"/>
      <c r="Q67" s="11" t="s">
        <v>67</v>
      </c>
      <c r="R67" s="11"/>
      <c r="S67" s="11"/>
    </row>
    <row r="68" spans="1:19" x14ac:dyDescent="0.35">
      <c r="A68" s="10" t="s">
        <v>61</v>
      </c>
      <c r="B68" s="3" t="s">
        <v>79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5"/>
      <c r="Q68" s="11" t="s">
        <v>67</v>
      </c>
      <c r="R68" s="11"/>
      <c r="S68" s="11"/>
    </row>
    <row r="69" spans="1:19" x14ac:dyDescent="0.35">
      <c r="A69" s="10" t="s">
        <v>61</v>
      </c>
      <c r="B69" s="3" t="s">
        <v>60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5"/>
      <c r="Q69" s="11" t="s">
        <v>67</v>
      </c>
      <c r="R69" s="11"/>
      <c r="S69" s="11"/>
    </row>
    <row r="70" spans="1:19" x14ac:dyDescent="0.35">
      <c r="A70" s="10" t="s">
        <v>61</v>
      </c>
      <c r="B70" s="3" t="s">
        <v>88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5"/>
      <c r="Q70" s="11" t="s">
        <v>67</v>
      </c>
      <c r="R70" s="11"/>
      <c r="S70" s="11"/>
    </row>
    <row r="73" spans="1:19" x14ac:dyDescent="0.35">
      <c r="A73" s="41" t="s">
        <v>69</v>
      </c>
    </row>
    <row r="74" spans="1:19" ht="15" customHeight="1" x14ac:dyDescent="0.35">
      <c r="A74" s="78" t="s">
        <v>106</v>
      </c>
      <c r="B74" s="78"/>
      <c r="C74" s="78"/>
      <c r="D74" s="78"/>
      <c r="E74" s="78"/>
      <c r="F74" s="78"/>
      <c r="G74" s="78"/>
      <c r="H74" s="78"/>
      <c r="I74" s="78"/>
      <c r="J74" s="78"/>
    </row>
    <row r="75" spans="1:19" x14ac:dyDescent="0.35">
      <c r="A75" s="78"/>
      <c r="B75" s="78"/>
      <c r="C75" s="78"/>
      <c r="D75" s="78"/>
      <c r="E75" s="78"/>
      <c r="F75" s="78"/>
      <c r="G75" s="78"/>
      <c r="H75" s="78"/>
      <c r="I75" s="78"/>
      <c r="J75" s="78"/>
      <c r="L75" s="42" t="s">
        <v>63</v>
      </c>
      <c r="M75" s="42" t="s">
        <v>68</v>
      </c>
    </row>
    <row r="79" spans="1:19" hidden="1" x14ac:dyDescent="0.35"/>
    <row r="80" spans="1:19" ht="17.25" hidden="1" customHeight="1" x14ac:dyDescent="0.35"/>
    <row r="81" spans="1:10" hidden="1" x14ac:dyDescent="0.35">
      <c r="A81" s="61" t="s">
        <v>64</v>
      </c>
      <c r="B81" s="62"/>
      <c r="C81" s="62"/>
      <c r="D81" s="62"/>
      <c r="E81" s="62"/>
      <c r="F81" s="62"/>
      <c r="G81" s="62"/>
      <c r="H81" s="62"/>
      <c r="I81" s="62"/>
      <c r="J81" s="63"/>
    </row>
    <row r="82" spans="1:10" hidden="1" x14ac:dyDescent="0.35">
      <c r="A82" s="64"/>
      <c r="B82" s="65"/>
      <c r="C82" s="65"/>
      <c r="D82" s="65"/>
      <c r="E82" s="65"/>
      <c r="F82" s="65"/>
      <c r="G82" s="65"/>
      <c r="H82" s="65"/>
      <c r="I82" s="65"/>
      <c r="J82" s="66"/>
    </row>
    <row r="83" spans="1:10" hidden="1" x14ac:dyDescent="0.35">
      <c r="A83" s="64"/>
      <c r="B83" s="65"/>
      <c r="C83" s="65"/>
      <c r="D83" s="65"/>
      <c r="E83" s="65"/>
      <c r="F83" s="65"/>
      <c r="G83" s="65"/>
      <c r="H83" s="65"/>
      <c r="I83" s="65"/>
      <c r="J83" s="66"/>
    </row>
    <row r="84" spans="1:10" hidden="1" x14ac:dyDescent="0.35">
      <c r="A84" s="64"/>
      <c r="B84" s="65"/>
      <c r="C84" s="65"/>
      <c r="D84" s="65"/>
      <c r="E84" s="65"/>
      <c r="F84" s="65"/>
      <c r="G84" s="65"/>
      <c r="H84" s="65"/>
      <c r="I84" s="65"/>
      <c r="J84" s="66"/>
    </row>
    <row r="85" spans="1:10" hidden="1" x14ac:dyDescent="0.35">
      <c r="A85" s="64"/>
      <c r="B85" s="65"/>
      <c r="C85" s="65"/>
      <c r="D85" s="65"/>
      <c r="E85" s="65"/>
      <c r="F85" s="65"/>
      <c r="G85" s="65"/>
      <c r="H85" s="65"/>
      <c r="I85" s="65"/>
      <c r="J85" s="66"/>
    </row>
    <row r="86" spans="1:10" hidden="1" x14ac:dyDescent="0.35">
      <c r="A86" s="64"/>
      <c r="B86" s="65"/>
      <c r="C86" s="65"/>
      <c r="D86" s="65"/>
      <c r="E86" s="65"/>
      <c r="F86" s="65"/>
      <c r="G86" s="65"/>
      <c r="H86" s="65"/>
      <c r="I86" s="65"/>
      <c r="J86" s="66"/>
    </row>
    <row r="87" spans="1:10" hidden="1" x14ac:dyDescent="0.35">
      <c r="A87" s="64"/>
      <c r="B87" s="65"/>
      <c r="C87" s="65"/>
      <c r="D87" s="65"/>
      <c r="E87" s="65"/>
      <c r="F87" s="65"/>
      <c r="G87" s="65"/>
      <c r="H87" s="65"/>
      <c r="I87" s="65"/>
      <c r="J87" s="66"/>
    </row>
    <row r="88" spans="1:10" hidden="1" x14ac:dyDescent="0.35">
      <c r="A88" s="67"/>
      <c r="B88" s="68"/>
      <c r="C88" s="68"/>
      <c r="D88" s="68"/>
      <c r="E88" s="68"/>
      <c r="F88" s="68"/>
      <c r="G88" s="68"/>
      <c r="H88" s="68"/>
      <c r="I88" s="68"/>
      <c r="J88" s="69"/>
    </row>
    <row r="89" spans="1:10" hidden="1" x14ac:dyDescent="0.35"/>
  </sheetData>
  <mergeCells count="19">
    <mergeCell ref="B12:C12"/>
    <mergeCell ref="S29:S30"/>
    <mergeCell ref="Q29:Q30"/>
    <mergeCell ref="R29:R30"/>
    <mergeCell ref="A29:P30"/>
    <mergeCell ref="A31:P31"/>
    <mergeCell ref="A32:P32"/>
    <mergeCell ref="A33:P33"/>
    <mergeCell ref="A34:P34"/>
    <mergeCell ref="A35:P35"/>
    <mergeCell ref="A37:P37"/>
    <mergeCell ref="A81:J88"/>
    <mergeCell ref="Q37:Q39"/>
    <mergeCell ref="Q65:Q66"/>
    <mergeCell ref="Q57:Q58"/>
    <mergeCell ref="B65:P65"/>
    <mergeCell ref="B57:P57"/>
    <mergeCell ref="B49:K49"/>
    <mergeCell ref="A74:J75"/>
  </mergeCells>
  <pageMargins left="0.51181102362204722" right="0.31496062992125984" top="0.55118110236220474" bottom="0.94488188976377963" header="0.31496062992125984" footer="0.31496062992125984"/>
  <pageSetup paperSize="9" scale="5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298E6-1E2B-4EA8-AA23-8BD76C9F150B}">
  <dimension ref="B3:E15"/>
  <sheetViews>
    <sheetView showGridLines="0" zoomScale="90" zoomScaleNormal="90" workbookViewId="0">
      <selection activeCell="D14" sqref="D14"/>
    </sheetView>
  </sheetViews>
  <sheetFormatPr defaultRowHeight="14.5" x14ac:dyDescent="0.35"/>
  <cols>
    <col min="1" max="1" width="2.1796875" customWidth="1"/>
    <col min="2" max="2" width="4.54296875" customWidth="1"/>
    <col min="3" max="3" width="44.26953125" bestFit="1" customWidth="1"/>
    <col min="4" max="4" width="8.1796875" style="6" bestFit="1" customWidth="1"/>
    <col min="5" max="5" width="10.26953125" style="6" bestFit="1" customWidth="1"/>
  </cols>
  <sheetData>
    <row r="3" spans="2:5" x14ac:dyDescent="0.35">
      <c r="D3" s="8" t="s">
        <v>40</v>
      </c>
      <c r="E3" s="8" t="s">
        <v>39</v>
      </c>
    </row>
    <row r="4" spans="2:5" x14ac:dyDescent="0.35">
      <c r="B4" t="s">
        <v>85</v>
      </c>
      <c r="C4" t="s">
        <v>84</v>
      </c>
      <c r="D4" s="6">
        <f>[1]BS!$H$86/[1]BS!$H$45</f>
        <v>0.22648527125765017</v>
      </c>
      <c r="E4" s="6">
        <f>[1]WBS!$D$283/[1]WBS!$D$160</f>
        <v>0.2099772624084931</v>
      </c>
    </row>
    <row r="5" spans="2:5" x14ac:dyDescent="0.35">
      <c r="B5" t="s">
        <v>83</v>
      </c>
      <c r="C5" t="s">
        <v>82</v>
      </c>
      <c r="D5" s="6">
        <f>[1]BS!$N$92/[1]BS!$H$45</f>
        <v>7.6021671595722123E-2</v>
      </c>
      <c r="E5" s="6">
        <f>[1]WBS!$D$287/[1]WBS!$D$160</f>
        <v>4.2514813974833282E-2</v>
      </c>
    </row>
    <row r="6" spans="2:5" x14ac:dyDescent="0.35">
      <c r="B6" t="s">
        <v>81</v>
      </c>
      <c r="C6" t="s">
        <v>80</v>
      </c>
      <c r="D6" s="6">
        <f>[1]PL!$F$22/[1]BS!$H$45</f>
        <v>3.7624205073202313E-2</v>
      </c>
      <c r="E6" s="6">
        <f>[1]WBS!$D$452/[1]WBS!$D$160</f>
        <v>3.9061428946685121E-2</v>
      </c>
    </row>
    <row r="7" spans="2:5" x14ac:dyDescent="0.35">
      <c r="B7" t="s">
        <v>31</v>
      </c>
      <c r="C7" t="s">
        <v>32</v>
      </c>
      <c r="D7" s="6">
        <f>[1]BS!$H$86/[1]BS!$H$80</f>
        <v>0.43236526463588482</v>
      </c>
      <c r="E7" s="6">
        <f>[1]WBS!$D$283/[1]WBS!$D$281</f>
        <v>0.39860381195026923</v>
      </c>
    </row>
    <row r="8" spans="2:5" x14ac:dyDescent="0.35">
      <c r="B8" t="s">
        <v>33</v>
      </c>
      <c r="C8" t="s">
        <v>34</v>
      </c>
      <c r="D8" s="6">
        <f>[1]PL!$F$10/[1]BS!$H$45</f>
        <v>1.3909129189049019</v>
      </c>
      <c r="E8" s="6">
        <f>[1]WBS!$D$308/[1]WBS!$D$160</f>
        <v>1.2895323626939494</v>
      </c>
    </row>
    <row r="9" spans="2:5" x14ac:dyDescent="0.35">
      <c r="D9" s="7">
        <f>SUM(D4:D8)</f>
        <v>2.1634093314673613</v>
      </c>
      <c r="E9" s="7">
        <f>SUM(E4:E8)</f>
        <v>1.9796896799742303</v>
      </c>
    </row>
    <row r="12" spans="2:5" x14ac:dyDescent="0.35">
      <c r="B12" s="2" t="s">
        <v>25</v>
      </c>
    </row>
    <row r="13" spans="2:5" x14ac:dyDescent="0.35">
      <c r="B13" s="1" t="s">
        <v>26</v>
      </c>
    </row>
    <row r="14" spans="2:5" x14ac:dyDescent="0.35">
      <c r="B14" s="2" t="s">
        <v>40</v>
      </c>
      <c r="D14" s="6">
        <f>(0.717*D4)+(0.847*D5)+(3.107*D6)+(0.24*D7)+(0.998*D8)</f>
        <v>1.8355774570754557</v>
      </c>
    </row>
    <row r="15" spans="2:5" x14ac:dyDescent="0.35">
      <c r="B15" s="2" t="s">
        <v>39</v>
      </c>
      <c r="D15" s="6">
        <f>(0.717*E4)+(0.847*E5)+(3.107*E6)+(0.24*E7)+(0.998*E8)</f>
        <v>1.6905458171575503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Z 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Jaelani Akbar</dc:creator>
  <cp:lastModifiedBy>KAP MGN 1</cp:lastModifiedBy>
  <cp:lastPrinted>2022-10-12T15:54:58Z</cp:lastPrinted>
  <dcterms:created xsi:type="dcterms:W3CDTF">2021-03-30T02:42:50Z</dcterms:created>
  <dcterms:modified xsi:type="dcterms:W3CDTF">2025-10-06T09:21:41Z</dcterms:modified>
</cp:coreProperties>
</file>