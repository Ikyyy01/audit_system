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5000 Reporting Form\"/>
    </mc:Choice>
  </mc:AlternateContent>
  <xr:revisionPtr revIDLastSave="0" documentId="13_ncr:1_{A9F59347-557F-421B-A3D0-DF6510AFE9E0}" xr6:coauthVersionLast="47" xr6:coauthVersionMax="47" xr10:uidLastSave="{00000000-0000-0000-0000-000000000000}"/>
  <bookViews>
    <workbookView xWindow="-110" yWindow="-110" windowWidth="19420" windowHeight="10300" xr2:uid="{A3873449-A313-4E5D-9C28-CE9BD6F6F2D2}"/>
  </bookViews>
  <sheets>
    <sheet name="Koreksi Salah Saji" sheetId="1" r:id="rId1"/>
  </sheets>
  <externalReferences>
    <externalReference r:id="rId2"/>
  </externalReferences>
  <definedNames>
    <definedName name="Yes_No">[1]DropDowns!$A$8:$A$9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5" i="1" l="1"/>
  <c r="I54" i="1"/>
  <c r="L51" i="1"/>
  <c r="K51" i="1"/>
  <c r="I51" i="1"/>
  <c r="H51" i="1"/>
  <c r="H59" i="1" l="1"/>
  <c r="K57" i="1" l="1"/>
  <c r="O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Cowley</author>
  </authors>
  <commentList>
    <comment ref="H57" authorId="0" shapeId="0" xr:uid="{A2F60038-1284-43F8-92CB-AFD039E0AC48}">
      <text>
        <r>
          <rPr>
            <sz val="8"/>
            <color indexed="81"/>
            <rFont val="Tahoma"/>
            <family val="2"/>
          </rPr>
          <t>Insert final materiality based on actual financial results.</t>
        </r>
      </text>
    </comment>
    <comment ref="K57" authorId="0" shapeId="0" xr:uid="{853584D8-2811-4EF2-85A4-D36574CC97F2}">
      <text>
        <r>
          <rPr>
            <sz val="8"/>
            <color indexed="81"/>
            <rFont val="Tahoma"/>
            <family val="2"/>
          </rPr>
          <t>If the Dr's and Cr's of the journals posted do not balance this cell will indicate that there is an error.</t>
        </r>
      </text>
    </comment>
  </commentList>
</comments>
</file>

<file path=xl/sharedStrings.xml><?xml version="1.0" encoding="utf-8"?>
<sst xmlns="http://schemas.openxmlformats.org/spreadsheetml/2006/main" count="114" uniqueCount="53">
  <si>
    <t>Ringkasan Salah Saji yang Dikoreksi</t>
  </si>
  <si>
    <t>Tahun Buku 2024</t>
  </si>
  <si>
    <t>No</t>
  </si>
  <si>
    <t>CAJE-AJE-REAJE</t>
  </si>
  <si>
    <t>COA</t>
  </si>
  <si>
    <t>Nama Akun</t>
  </si>
  <si>
    <t>Neraca</t>
  </si>
  <si>
    <t>Laba Rugi</t>
  </si>
  <si>
    <t>Apakah Jurnal Diposting?</t>
  </si>
  <si>
    <t>Inisial Manajer Audit</t>
  </si>
  <si>
    <t>Debit</t>
  </si>
  <si>
    <t>Kredit</t>
  </si>
  <si>
    <t>Total</t>
  </si>
  <si>
    <t>Cumulative effect, including tax, on Net Assets/(Liabilities)</t>
  </si>
  <si>
    <t>Cumulative effect, including tax, on (Profit)/Loss</t>
  </si>
  <si>
    <t>FINAL MATERIALITY (ASSET)</t>
  </si>
  <si>
    <t>FINAL MATERIALITY</t>
  </si>
  <si>
    <t>Threshold used for trivial errors</t>
  </si>
  <si>
    <t>PT Indo American Seafood Tbk dan Entitas Anak</t>
  </si>
  <si>
    <t>ELIM 1</t>
  </si>
  <si>
    <t>ELIM 2</t>
  </si>
  <si>
    <t>ELIM 3</t>
  </si>
  <si>
    <t>ELIM 4</t>
  </si>
  <si>
    <t>ELIM 5</t>
  </si>
  <si>
    <t>ELIM 6</t>
  </si>
  <si>
    <t>ELIM 7</t>
  </si>
  <si>
    <t>ELIM 8</t>
  </si>
  <si>
    <t>PT Indo American Seafoods (Keuangan)</t>
  </si>
  <si>
    <t>PT Indokom Samudra Persada (Keuangan)</t>
  </si>
  <si>
    <t>PT Indokom Samudra Persada</t>
  </si>
  <si>
    <t>PT Indo American Seafoods</t>
  </si>
  <si>
    <t>Indo American Seafoods, PT (Saham)</t>
  </si>
  <si>
    <t>PT Indo American Seafoods (Modal)</t>
  </si>
  <si>
    <t>Penjualan Lokal  ISP to IAS</t>
  </si>
  <si>
    <t>Pendapatan Lain-Lain</t>
  </si>
  <si>
    <t xml:space="preserve">Penjualan Roti </t>
  </si>
  <si>
    <t>Pembelian Bahan Baku to IAS</t>
  </si>
  <si>
    <t>Pembelian Baku Pembantunya</t>
  </si>
  <si>
    <t xml:space="preserve">Penjualan IAS </t>
  </si>
  <si>
    <t>Pembelian ISP</t>
  </si>
  <si>
    <t>LABA DITAHAN</t>
  </si>
  <si>
    <t>Tambahan Modal Disetor (Tax Amnesty)</t>
  </si>
  <si>
    <t>Modal Disetor (ISP)</t>
  </si>
  <si>
    <t>(Mengeliminasi modal disetor ISP selain kepemilikan IAS menjadi tambahan modal disetor atas kombinasi bisnis entitas sepengendali)</t>
  </si>
  <si>
    <t>Sewa IPAL</t>
  </si>
  <si>
    <t>(Eleminasi Sewa IPAL 2024)</t>
  </si>
  <si>
    <t xml:space="preserve">Eleminasi Utang Piutang Keuangan </t>
  </si>
  <si>
    <t xml:space="preserve">Eleminasi Utang Piutang </t>
  </si>
  <si>
    <t>Eleminasi IAS Investasi pada Anak</t>
  </si>
  <si>
    <t>Eleminasi Penjualan ISP to IAS</t>
  </si>
  <si>
    <t>Eleminasi Penjualan IAS to ISP</t>
  </si>
  <si>
    <t>Ya</t>
  </si>
  <si>
    <t>KNW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</si>
</sst>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3" formatCode="_-* #,##0.00_-;\-* #,##0.00_-;_-* &quot;-&quot;??_-;_-@_-"/>
    <numFmt numFmtId="164" formatCode="_(* #,##0_);_(* \(#,##0\);_(* &quot;-&quot;_);_(@_)"/>
    <numFmt numFmtId="165" formatCode="_(* #,##0.00_);_(* \(#,##0.00\);_(* &quot;-&quot;??_);_(@_)"/>
    <numFmt numFmtId="166" formatCode="_-* #,##0_-_-;* \(#,##0\)_-;_-* &quot;-&quot;_-_-;_-@_-"/>
    <numFmt numFmtId="167" formatCode="#,##0;\(#,##0\)"/>
    <numFmt numFmtId="168" formatCode="_(* #,##0_);_(* \(#,##0\);_(* &quot;-&quot;??_);_(@_)"/>
    <numFmt numFmtId="169" formatCode="[$-409]mmm\-yy;@"/>
  </numFmts>
  <fonts count="18" x14ac:knownFonts="1">
    <font>
      <sz val="11"/>
      <color theme="1"/>
      <name val="Calibri"/>
      <family val="2"/>
      <charset val="1"/>
      <scheme val="minor"/>
    </font>
    <font>
      <sz val="11"/>
      <color theme="1"/>
      <name val="Calibri"/>
      <family val="2"/>
      <scheme val="minor"/>
    </font>
    <font>
      <sz val="11"/>
      <color theme="1"/>
      <name val="Calibri"/>
      <family val="2"/>
      <scheme val="minor"/>
    </font>
    <font>
      <sz val="9"/>
      <color theme="1"/>
      <name val="Arial Narrow"/>
      <family val="2"/>
    </font>
    <font>
      <sz val="11"/>
      <color theme="1"/>
      <name val="Calibri"/>
      <family val="2"/>
      <charset val="1"/>
      <scheme val="minor"/>
    </font>
    <font>
      <sz val="11"/>
      <name val="Franklin Gothic Book"/>
      <family val="2"/>
    </font>
    <font>
      <sz val="8"/>
      <color indexed="81"/>
      <name val="Tahoma"/>
      <family val="2"/>
    </font>
    <font>
      <i/>
      <sz val="9"/>
      <color rgb="FFFF0000"/>
      <name val="Arial Narrow"/>
      <family val="2"/>
    </font>
    <font>
      <i/>
      <sz val="10"/>
      <color rgb="FFFF0000"/>
      <name val="Arial Narrow"/>
      <family val="2"/>
    </font>
    <font>
      <sz val="11"/>
      <name val="Arial Narrow"/>
      <family val="2"/>
    </font>
    <font>
      <b/>
      <sz val="11"/>
      <name val="Arial Narrow"/>
      <family val="2"/>
    </font>
    <font>
      <b/>
      <sz val="11"/>
      <color indexed="12"/>
      <name val="Arial Narrow"/>
      <family val="2"/>
    </font>
    <font>
      <b/>
      <sz val="11"/>
      <color indexed="10"/>
      <name val="Arial Narrow"/>
      <family val="2"/>
    </font>
    <font>
      <b/>
      <sz val="10"/>
      <color indexed="8"/>
      <name val="Arial Narrow"/>
      <family val="2"/>
    </font>
    <font>
      <sz val="11"/>
      <color indexed="8"/>
      <name val="Calibri"/>
      <family val="2"/>
      <charset val="1"/>
    </font>
    <font>
      <sz val="11"/>
      <color indexed="8"/>
      <name val="Calibri"/>
      <family val="2"/>
    </font>
    <font>
      <sz val="10"/>
      <name val="Arial"/>
      <family val="2"/>
    </font>
    <font>
      <sz val="10"/>
      <color theme="1"/>
      <name val="Arial"/>
      <family val="2"/>
    </font>
  </fonts>
  <fills count="6">
    <fill>
      <patternFill patternType="none"/>
    </fill>
    <fill>
      <patternFill patternType="gray125"/>
    </fill>
    <fill>
      <patternFill patternType="solid">
        <fgColor rgb="FF2EB0A4"/>
        <bgColor indexed="64"/>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s>
  <cellStyleXfs count="17">
    <xf numFmtId="0" fontId="0" fillId="0" borderId="0"/>
    <xf numFmtId="165" fontId="4" fillId="0" borderId="0" applyFont="0" applyFill="0" applyBorder="0" applyAlignment="0" applyProtection="0"/>
    <xf numFmtId="0" fontId="2" fillId="0" borderId="0"/>
    <xf numFmtId="0" fontId="1" fillId="0" borderId="0"/>
    <xf numFmtId="164" fontId="14" fillId="0" borderId="0" applyFont="0" applyFill="0" applyBorder="0" applyAlignment="0" applyProtection="0"/>
    <xf numFmtId="165" fontId="15" fillId="0" borderId="0" applyFont="0" applyFill="0" applyBorder="0" applyAlignment="0" applyProtection="0"/>
    <xf numFmtId="164" fontId="4" fillId="0" borderId="0" applyFont="0" applyFill="0" applyBorder="0" applyAlignment="0" applyProtection="0"/>
    <xf numFmtId="9" fontId="16" fillId="0" borderId="0" applyFont="0" applyFill="0" applyBorder="0" applyAlignment="0" applyProtection="0">
      <alignment vertical="center"/>
    </xf>
    <xf numFmtId="165" fontId="16" fillId="0" borderId="0" applyFont="0" applyFill="0" applyBorder="0" applyAlignment="0" applyProtection="0"/>
    <xf numFmtId="0" fontId="4" fillId="0" borderId="0"/>
    <xf numFmtId="0" fontId="17" fillId="0" borderId="0"/>
    <xf numFmtId="9"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41" fontId="16" fillId="0" borderId="0" applyFont="0" applyFill="0" applyBorder="0" applyAlignment="0" applyProtection="0"/>
    <xf numFmtId="0" fontId="16" fillId="0" borderId="0"/>
    <xf numFmtId="169" fontId="1" fillId="0" borderId="0"/>
  </cellStyleXfs>
  <cellXfs count="54">
    <xf numFmtId="0" fontId="0" fillId="0" borderId="0" xfId="0"/>
    <xf numFmtId="0" fontId="3"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left" vertical="center"/>
    </xf>
    <xf numFmtId="0" fontId="5" fillId="0" borderId="0" xfId="0" applyFont="1"/>
    <xf numFmtId="14" fontId="5" fillId="0" borderId="0" xfId="0" applyNumberFormat="1" applyFont="1"/>
    <xf numFmtId="167" fontId="5" fillId="0" borderId="0" xfId="0" applyNumberFormat="1" applyFont="1"/>
    <xf numFmtId="0" fontId="7" fillId="0" borderId="1" xfId="0" applyFont="1" applyBorder="1" applyAlignment="1">
      <alignment vertical="center"/>
    </xf>
    <xf numFmtId="0" fontId="8" fillId="4" borderId="0" xfId="0" applyFont="1" applyFill="1" applyAlignment="1">
      <alignment vertical="center"/>
    </xf>
    <xf numFmtId="168" fontId="3" fillId="0" borderId="1" xfId="1" applyNumberFormat="1" applyFont="1" applyBorder="1" applyAlignment="1">
      <alignment vertical="center"/>
    </xf>
    <xf numFmtId="0" fontId="9" fillId="0" borderId="2" xfId="0" applyFont="1" applyBorder="1"/>
    <xf numFmtId="0" fontId="9" fillId="0" borderId="3" xfId="0" applyFont="1" applyBorder="1"/>
    <xf numFmtId="0" fontId="10" fillId="0" borderId="2" xfId="0" applyFont="1" applyBorder="1"/>
    <xf numFmtId="43" fontId="9" fillId="0" borderId="3" xfId="0" applyNumberFormat="1" applyFont="1" applyBorder="1"/>
    <xf numFmtId="0" fontId="9" fillId="3" borderId="5" xfId="0" applyFont="1" applyFill="1" applyBorder="1" applyAlignment="1">
      <alignment horizontal="right"/>
    </xf>
    <xf numFmtId="0" fontId="9" fillId="0" borderId="7" xfId="0" applyFont="1" applyBorder="1"/>
    <xf numFmtId="0" fontId="9" fillId="0" borderId="8" xfId="0" applyFont="1" applyBorder="1"/>
    <xf numFmtId="166" fontId="9" fillId="0" borderId="8" xfId="0" applyNumberFormat="1" applyFont="1" applyBorder="1"/>
    <xf numFmtId="14" fontId="9" fillId="0" borderId="8" xfId="0" applyNumberFormat="1" applyFont="1" applyBorder="1"/>
    <xf numFmtId="43" fontId="9" fillId="0" borderId="9" xfId="0" applyNumberFormat="1" applyFont="1" applyBorder="1"/>
    <xf numFmtId="0" fontId="9" fillId="0" borderId="10" xfId="0" applyFont="1" applyBorder="1"/>
    <xf numFmtId="0" fontId="9" fillId="0" borderId="11" xfId="0" applyFont="1" applyBorder="1"/>
    <xf numFmtId="166" fontId="9" fillId="0" borderId="11" xfId="0" applyNumberFormat="1" applyFont="1" applyBorder="1"/>
    <xf numFmtId="14" fontId="9" fillId="0" borderId="11" xfId="0" applyNumberFormat="1" applyFont="1" applyBorder="1"/>
    <xf numFmtId="0" fontId="9" fillId="0" borderId="13" xfId="0" applyFont="1" applyBorder="1"/>
    <xf numFmtId="0" fontId="9" fillId="0" borderId="0" xfId="0" applyFont="1"/>
    <xf numFmtId="0" fontId="10" fillId="0" borderId="0" xfId="0" applyFont="1"/>
    <xf numFmtId="166" fontId="9" fillId="0" borderId="0" xfId="0" applyNumberFormat="1" applyFont="1"/>
    <xf numFmtId="41" fontId="9" fillId="0" borderId="0" xfId="0" applyNumberFormat="1" applyFont="1"/>
    <xf numFmtId="14" fontId="9" fillId="0" borderId="0" xfId="0" applyNumberFormat="1" applyFont="1"/>
    <xf numFmtId="0" fontId="9" fillId="0" borderId="0" xfId="0" applyFont="1" applyAlignment="1">
      <alignment horizontal="right"/>
    </xf>
    <xf numFmtId="166" fontId="11" fillId="0" borderId="0" xfId="0" applyNumberFormat="1" applyFont="1" applyAlignment="1">
      <alignment horizontal="center"/>
    </xf>
    <xf numFmtId="168" fontId="3" fillId="0" borderId="0" xfId="1" applyNumberFormat="1" applyFont="1" applyAlignment="1">
      <alignment vertical="center"/>
    </xf>
    <xf numFmtId="168" fontId="3" fillId="0" borderId="1" xfId="1" applyNumberFormat="1" applyFont="1" applyBorder="1" applyAlignment="1">
      <alignment horizontal="center" vertical="center"/>
    </xf>
    <xf numFmtId="168" fontId="9" fillId="0" borderId="12" xfId="1" applyNumberFormat="1" applyFont="1" applyBorder="1"/>
    <xf numFmtId="168" fontId="9" fillId="0" borderId="11" xfId="1" applyNumberFormat="1" applyFont="1" applyBorder="1"/>
    <xf numFmtId="168" fontId="9" fillId="0" borderId="0" xfId="1" applyNumberFormat="1" applyFont="1"/>
    <xf numFmtId="168" fontId="9" fillId="2" borderId="4" xfId="1" applyNumberFormat="1" applyFont="1" applyFill="1" applyBorder="1"/>
    <xf numFmtId="168" fontId="11" fillId="0" borderId="0" xfId="1" applyNumberFormat="1" applyFont="1" applyAlignment="1">
      <alignment horizontal="center"/>
    </xf>
    <xf numFmtId="168" fontId="12" fillId="0" borderId="0" xfId="1" applyNumberFormat="1" applyFont="1"/>
    <xf numFmtId="168" fontId="9" fillId="3" borderId="6" xfId="1" applyNumberFormat="1" applyFont="1" applyFill="1" applyBorder="1"/>
    <xf numFmtId="168" fontId="9" fillId="0" borderId="8" xfId="1" applyNumberFormat="1" applyFont="1" applyBorder="1"/>
    <xf numFmtId="168" fontId="5" fillId="0" borderId="0" xfId="1" applyNumberFormat="1" applyFont="1"/>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68" fontId="3" fillId="0" borderId="1" xfId="1" applyNumberFormat="1" applyFont="1" applyBorder="1" applyAlignment="1">
      <alignment horizontal="center" vertical="center"/>
    </xf>
    <xf numFmtId="0" fontId="7" fillId="0" borderId="1" xfId="0" applyFont="1" applyBorder="1" applyAlignment="1">
      <alignment horizontal="left" vertical="center"/>
    </xf>
    <xf numFmtId="41" fontId="3" fillId="0" borderId="1" xfId="1" applyNumberFormat="1" applyFont="1" applyBorder="1" applyAlignment="1">
      <alignment horizontal="center" vertical="center"/>
    </xf>
    <xf numFmtId="0" fontId="3" fillId="0" borderId="1" xfId="1" applyNumberFormat="1" applyFont="1" applyBorder="1" applyAlignment="1">
      <alignment horizontal="center" vertical="center"/>
    </xf>
    <xf numFmtId="41" fontId="3" fillId="0" borderId="1" xfId="1" applyNumberFormat="1" applyFont="1" applyBorder="1" applyAlignment="1">
      <alignment vertical="center"/>
    </xf>
    <xf numFmtId="164" fontId="3" fillId="0" borderId="1" xfId="1" applyNumberFormat="1" applyFont="1" applyBorder="1" applyAlignment="1">
      <alignment vertical="center"/>
    </xf>
    <xf numFmtId="164" fontId="13" fillId="5" borderId="3" xfId="6" applyNumberFormat="1" applyFont="1" applyFill="1" applyBorder="1"/>
  </cellXfs>
  <cellStyles count="17">
    <cellStyle name="Comma" xfId="1" builtinId="3"/>
    <cellStyle name="Comma [0] 13 2" xfId="4" xr:uid="{5B34325B-6AE0-4F44-BE3A-79432B903488}"/>
    <cellStyle name="Comma [0] 2" xfId="13" xr:uid="{40CC5D9B-3D78-4CF5-9B29-09DD6F61FFF4}"/>
    <cellStyle name="Comma [0] 4" xfId="14" xr:uid="{C5D4A196-FA2E-4F25-96A9-13134635EE3B}"/>
    <cellStyle name="Comma [0] 74 2" xfId="6" xr:uid="{5E77BDE7-EA6A-4FE2-BFE7-97A53A04B0F9}"/>
    <cellStyle name="Comma 2 2" xfId="12" xr:uid="{D8453F94-D350-4097-B511-0B340BC70F35}"/>
    <cellStyle name="Comma 32 3" xfId="8" xr:uid="{4E25185B-861D-48AD-B32A-9FED7A37E41C}"/>
    <cellStyle name="Comma 66 2 2" xfId="5" xr:uid="{99BDB0D5-6296-4D66-A055-80EDE3BACBE8}"/>
    <cellStyle name="Normal" xfId="0" builtinId="0"/>
    <cellStyle name="Normal 2" xfId="3" xr:uid="{1D12E1F5-56E1-4946-B42C-1E24530D0710}"/>
    <cellStyle name="Normal 2 2" xfId="10" xr:uid="{6C544E92-B38E-479A-B14E-60623DFD6D33}"/>
    <cellStyle name="Normal 3 2" xfId="2" xr:uid="{433E766F-EACD-47E7-B8D6-C43C86C5AB4A}"/>
    <cellStyle name="Normal 3 2 10" xfId="16" xr:uid="{D7309A30-1EC1-4F5A-8168-B0AB89FC5D86}"/>
    <cellStyle name="Normal 3 2 2" xfId="9" xr:uid="{C12D5145-CD5E-4C4A-9E20-B8DC8A365C57}"/>
    <cellStyle name="Normal 4" xfId="15" xr:uid="{7F320C70-C467-4ABE-83C4-C09D602084E8}"/>
    <cellStyle name="Percent 13 2" xfId="7" xr:uid="{9B7DF531-F376-4B40-827F-454D4EB04765}"/>
    <cellStyle name="Percent 2 2" xfId="11" xr:uid="{BD47A52A-5336-4A60-8889-06A6C2A69D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PMGN-7\Downloads\5200%20Kesalahan%20yang%20Tidak%20Terkoreksi_LPI_31%20Des%2023.xls" TargetMode="External"/><Relationship Id="rId1" Type="http://schemas.openxmlformats.org/officeDocument/2006/relationships/externalLinkPath" Target="/Users/KAPMGN-7/Downloads/5200%20Kesalahan%20yang%20Tidak%20Terkoreksi_LPI_31%20Des%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sstatements"/>
      <sheetName val="Uncorrected Misstatements"/>
      <sheetName val="DropDown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E65C-FE18-4893-B363-07289D1698B9}">
  <dimension ref="B2:R61"/>
  <sheetViews>
    <sheetView showGridLines="0" tabSelected="1" topLeftCell="A27" zoomScale="96" zoomScaleNormal="96" workbookViewId="0">
      <selection activeCell="H38" sqref="H38"/>
    </sheetView>
  </sheetViews>
  <sheetFormatPr defaultColWidth="9.26953125" defaultRowHeight="11.5" x14ac:dyDescent="0.35"/>
  <cols>
    <col min="1" max="1" width="9.26953125" style="1"/>
    <col min="2" max="2" width="3.7265625" style="1" customWidth="1"/>
    <col min="3" max="4" width="14.7265625" style="1" customWidth="1"/>
    <col min="5" max="5" width="8.26953125" style="1" customWidth="1"/>
    <col min="6" max="6" width="33.1796875" style="1" customWidth="1"/>
    <col min="7" max="7" width="2.54296875" style="1" hidden="1" customWidth="1"/>
    <col min="8" max="8" width="18.7265625" style="33" bestFit="1" customWidth="1"/>
    <col min="9" max="9" width="17.26953125" style="33" bestFit="1" customWidth="1"/>
    <col min="10" max="10" width="2.7265625" style="33" hidden="1" customWidth="1"/>
    <col min="11" max="11" width="12.7265625" style="33" customWidth="1"/>
    <col min="12" max="12" width="14.90625" style="33" bestFit="1" customWidth="1"/>
    <col min="13" max="13" width="2.7265625" style="1" hidden="1" customWidth="1"/>
    <col min="14" max="14" width="10.7265625" style="1" customWidth="1"/>
    <col min="15" max="15" width="14.81640625" style="1" bestFit="1" customWidth="1"/>
    <col min="16" max="16384" width="9.26953125" style="1"/>
  </cols>
  <sheetData>
    <row r="2" spans="2:15" x14ac:dyDescent="0.35">
      <c r="B2" s="1" t="s">
        <v>18</v>
      </c>
    </row>
    <row r="3" spans="2:15" x14ac:dyDescent="0.35">
      <c r="B3" s="1" t="s">
        <v>0</v>
      </c>
    </row>
    <row r="4" spans="2:15" x14ac:dyDescent="0.35">
      <c r="B4" s="1" t="s">
        <v>1</v>
      </c>
    </row>
    <row r="6" spans="2:15" x14ac:dyDescent="0.35">
      <c r="B6" s="45" t="s">
        <v>2</v>
      </c>
      <c r="C6" s="45" t="s">
        <v>3</v>
      </c>
      <c r="D6" s="45" t="s">
        <v>4</v>
      </c>
      <c r="E6" s="45" t="s">
        <v>5</v>
      </c>
      <c r="F6" s="45"/>
      <c r="G6" s="2"/>
      <c r="H6" s="47" t="s">
        <v>6</v>
      </c>
      <c r="I6" s="47"/>
      <c r="J6" s="34"/>
      <c r="K6" s="47" t="s">
        <v>7</v>
      </c>
      <c r="L6" s="47"/>
      <c r="M6" s="2"/>
      <c r="N6" s="46" t="s">
        <v>8</v>
      </c>
      <c r="O6" s="46" t="s">
        <v>9</v>
      </c>
    </row>
    <row r="7" spans="2:15" x14ac:dyDescent="0.35">
      <c r="B7" s="45"/>
      <c r="C7" s="45"/>
      <c r="D7" s="45"/>
      <c r="E7" s="45"/>
      <c r="F7" s="45"/>
      <c r="G7" s="2"/>
      <c r="H7" s="34" t="s">
        <v>10</v>
      </c>
      <c r="I7" s="34" t="s">
        <v>11</v>
      </c>
      <c r="J7" s="34"/>
      <c r="K7" s="34" t="s">
        <v>10</v>
      </c>
      <c r="L7" s="34" t="s">
        <v>11</v>
      </c>
      <c r="M7" s="2"/>
      <c r="N7" s="46"/>
      <c r="O7" s="46"/>
    </row>
    <row r="8" spans="2:15" x14ac:dyDescent="0.35">
      <c r="B8" s="2"/>
      <c r="C8" s="2" t="s">
        <v>19</v>
      </c>
      <c r="D8" s="2" t="s">
        <v>27</v>
      </c>
      <c r="E8" s="2"/>
      <c r="F8" s="2"/>
      <c r="G8" s="2"/>
      <c r="H8" s="49">
        <v>86709426551</v>
      </c>
      <c r="I8" s="49"/>
      <c r="J8" s="49"/>
      <c r="K8" s="49"/>
      <c r="L8" s="34"/>
      <c r="M8" s="2"/>
      <c r="N8" s="44" t="s">
        <v>51</v>
      </c>
      <c r="O8" s="44" t="s">
        <v>52</v>
      </c>
    </row>
    <row r="9" spans="2:15" x14ac:dyDescent="0.35">
      <c r="B9" s="2"/>
      <c r="C9" s="2" t="s">
        <v>19</v>
      </c>
      <c r="D9" s="2"/>
      <c r="E9" s="3" t="s">
        <v>28</v>
      </c>
      <c r="F9" s="2"/>
      <c r="G9" s="2"/>
      <c r="H9" s="49"/>
      <c r="I9" s="49">
        <v>86709426551</v>
      </c>
      <c r="J9" s="49"/>
      <c r="K9" s="49"/>
      <c r="L9" s="34"/>
      <c r="M9" s="2"/>
      <c r="N9" s="44" t="s">
        <v>51</v>
      </c>
      <c r="O9" s="44" t="s">
        <v>52</v>
      </c>
    </row>
    <row r="10" spans="2:15" x14ac:dyDescent="0.35">
      <c r="B10" s="2"/>
      <c r="C10" s="2"/>
      <c r="D10" s="2"/>
      <c r="E10" s="3"/>
      <c r="F10" s="4"/>
      <c r="G10" s="2"/>
      <c r="H10" s="49"/>
      <c r="I10" s="49"/>
      <c r="J10" s="49"/>
      <c r="K10" s="49"/>
      <c r="L10" s="34"/>
      <c r="M10" s="2"/>
      <c r="N10" s="2"/>
      <c r="O10" s="2"/>
    </row>
    <row r="11" spans="2:15" x14ac:dyDescent="0.35">
      <c r="B11" s="2"/>
      <c r="C11" s="2"/>
      <c r="D11" s="48" t="s">
        <v>46</v>
      </c>
      <c r="E11" s="3"/>
      <c r="F11" s="4"/>
      <c r="G11" s="2"/>
      <c r="H11" s="49"/>
      <c r="I11" s="49"/>
      <c r="J11" s="49"/>
      <c r="K11" s="49"/>
      <c r="L11" s="34"/>
      <c r="M11" s="2"/>
      <c r="N11" s="2"/>
      <c r="O11" s="2"/>
    </row>
    <row r="12" spans="2:15" x14ac:dyDescent="0.35">
      <c r="B12" s="2"/>
      <c r="C12" s="2"/>
      <c r="D12" s="2"/>
      <c r="E12" s="3"/>
      <c r="F12" s="4"/>
      <c r="G12" s="2"/>
      <c r="H12" s="49"/>
      <c r="I12" s="49"/>
      <c r="J12" s="49"/>
      <c r="K12" s="49"/>
      <c r="L12" s="34"/>
      <c r="M12" s="2"/>
      <c r="N12" s="2"/>
      <c r="O12" s="2"/>
    </row>
    <row r="13" spans="2:15" x14ac:dyDescent="0.35">
      <c r="B13" s="2"/>
      <c r="C13" s="2" t="s">
        <v>20</v>
      </c>
      <c r="D13" s="2" t="s">
        <v>29</v>
      </c>
      <c r="E13" s="3"/>
      <c r="F13" s="2"/>
      <c r="G13" s="2"/>
      <c r="H13" s="49">
        <v>29592782261</v>
      </c>
      <c r="I13" s="50"/>
      <c r="J13" s="49"/>
      <c r="K13" s="49"/>
      <c r="L13" s="34"/>
      <c r="M13" s="2"/>
      <c r="N13" s="44" t="s">
        <v>51</v>
      </c>
      <c r="O13" s="44" t="s">
        <v>52</v>
      </c>
    </row>
    <row r="14" spans="2:15" x14ac:dyDescent="0.35">
      <c r="B14" s="2"/>
      <c r="C14" s="2" t="s">
        <v>20</v>
      </c>
      <c r="D14" s="2"/>
      <c r="E14" s="3" t="s">
        <v>30</v>
      </c>
      <c r="F14" s="2"/>
      <c r="G14" s="2"/>
      <c r="H14" s="49"/>
      <c r="I14" s="49">
        <v>29592782261</v>
      </c>
      <c r="J14" s="49"/>
      <c r="K14" s="49"/>
      <c r="L14" s="34"/>
      <c r="M14" s="2"/>
      <c r="N14" s="44" t="s">
        <v>51</v>
      </c>
      <c r="O14" s="44" t="s">
        <v>52</v>
      </c>
    </row>
    <row r="15" spans="2:15" x14ac:dyDescent="0.35">
      <c r="B15" s="2"/>
      <c r="C15" s="2"/>
      <c r="D15" s="48" t="s">
        <v>47</v>
      </c>
      <c r="E15" s="3"/>
      <c r="F15" s="2"/>
      <c r="G15" s="2"/>
      <c r="H15" s="49"/>
      <c r="I15" s="49"/>
      <c r="J15" s="49"/>
      <c r="K15" s="49"/>
      <c r="L15" s="34"/>
      <c r="M15" s="2"/>
      <c r="N15" s="2"/>
      <c r="O15" s="2"/>
    </row>
    <row r="16" spans="2:15" x14ac:dyDescent="0.35">
      <c r="B16" s="2"/>
      <c r="C16" s="2"/>
      <c r="D16" s="2"/>
      <c r="E16" s="3"/>
      <c r="F16" s="2"/>
      <c r="G16" s="2"/>
      <c r="H16" s="49"/>
      <c r="I16" s="49"/>
      <c r="J16" s="49"/>
      <c r="K16" s="49"/>
      <c r="L16" s="34"/>
      <c r="M16" s="2"/>
      <c r="N16" s="2"/>
      <c r="O16" s="2"/>
    </row>
    <row r="17" spans="2:15" x14ac:dyDescent="0.35">
      <c r="B17" s="2"/>
      <c r="C17" s="2" t="s">
        <v>21</v>
      </c>
      <c r="D17" s="2" t="s">
        <v>30</v>
      </c>
      <c r="E17" s="3"/>
      <c r="F17" s="2"/>
      <c r="G17" s="2"/>
      <c r="H17" s="49">
        <v>4557621225</v>
      </c>
      <c r="I17" s="50"/>
      <c r="J17" s="49"/>
      <c r="K17" s="49"/>
      <c r="L17" s="34"/>
      <c r="M17" s="2"/>
      <c r="N17" s="44" t="s">
        <v>51</v>
      </c>
      <c r="O17" s="44" t="s">
        <v>52</v>
      </c>
    </row>
    <row r="18" spans="2:15" x14ac:dyDescent="0.35">
      <c r="B18" s="2"/>
      <c r="C18" s="2" t="s">
        <v>21</v>
      </c>
      <c r="D18" s="2"/>
      <c r="E18" s="3" t="s">
        <v>29</v>
      </c>
      <c r="F18" s="2"/>
      <c r="G18" s="2"/>
      <c r="H18" s="49"/>
      <c r="I18" s="49">
        <v>4557621225</v>
      </c>
      <c r="J18" s="49"/>
      <c r="K18" s="49"/>
      <c r="L18" s="34"/>
      <c r="M18" s="2"/>
      <c r="N18" s="44" t="s">
        <v>51</v>
      </c>
      <c r="O18" s="44" t="s">
        <v>52</v>
      </c>
    </row>
    <row r="19" spans="2:15" x14ac:dyDescent="0.35">
      <c r="B19" s="2"/>
      <c r="C19" s="2"/>
      <c r="D19" s="48" t="s">
        <v>47</v>
      </c>
      <c r="E19" s="3"/>
      <c r="F19" s="2"/>
      <c r="G19" s="2"/>
      <c r="H19" s="49"/>
      <c r="I19" s="49"/>
      <c r="J19" s="49"/>
      <c r="K19" s="49"/>
      <c r="L19" s="34"/>
      <c r="M19" s="2"/>
      <c r="N19" s="44"/>
      <c r="O19" s="44"/>
    </row>
    <row r="20" spans="2:15" x14ac:dyDescent="0.35">
      <c r="B20" s="2"/>
      <c r="C20" s="2"/>
      <c r="D20" s="2"/>
      <c r="E20" s="3"/>
      <c r="F20" s="2"/>
      <c r="G20" s="2"/>
      <c r="H20" s="49"/>
      <c r="I20" s="49"/>
      <c r="J20" s="49"/>
      <c r="K20" s="49"/>
      <c r="L20" s="34"/>
      <c r="M20" s="2"/>
      <c r="N20" s="44"/>
      <c r="O20" s="44"/>
    </row>
    <row r="21" spans="2:15" x14ac:dyDescent="0.35">
      <c r="B21" s="2"/>
      <c r="C21" s="2" t="s">
        <v>22</v>
      </c>
      <c r="D21" s="2" t="s">
        <v>31</v>
      </c>
      <c r="E21" s="3"/>
      <c r="F21" s="3"/>
      <c r="G21" s="3"/>
      <c r="H21" s="51">
        <v>1050000000</v>
      </c>
      <c r="I21" s="51"/>
      <c r="J21" s="51"/>
      <c r="K21" s="51"/>
      <c r="L21" s="10"/>
      <c r="M21" s="3"/>
      <c r="N21" s="44" t="s">
        <v>51</v>
      </c>
      <c r="O21" s="44" t="s">
        <v>52</v>
      </c>
    </row>
    <row r="22" spans="2:15" x14ac:dyDescent="0.35">
      <c r="B22" s="2"/>
      <c r="C22" s="2" t="s">
        <v>22</v>
      </c>
      <c r="D22" s="2"/>
      <c r="E22" s="3" t="s">
        <v>32</v>
      </c>
      <c r="F22" s="3"/>
      <c r="G22" s="3"/>
      <c r="H22" s="51"/>
      <c r="I22" s="51">
        <v>1050000000</v>
      </c>
      <c r="J22" s="51"/>
      <c r="K22" s="51"/>
      <c r="L22" s="10"/>
      <c r="M22" s="3"/>
      <c r="N22" s="44" t="s">
        <v>51</v>
      </c>
      <c r="O22" s="44" t="s">
        <v>52</v>
      </c>
    </row>
    <row r="23" spans="2:15" x14ac:dyDescent="0.35">
      <c r="B23" s="2"/>
      <c r="C23" s="2"/>
      <c r="D23" s="48" t="s">
        <v>48</v>
      </c>
      <c r="E23" s="3"/>
      <c r="F23" s="3"/>
      <c r="G23" s="3"/>
      <c r="H23" s="51"/>
      <c r="I23" s="51"/>
      <c r="J23" s="51"/>
      <c r="K23" s="51"/>
      <c r="L23" s="10"/>
      <c r="M23" s="3"/>
      <c r="N23" s="2"/>
      <c r="O23" s="2"/>
    </row>
    <row r="24" spans="2:15" x14ac:dyDescent="0.35">
      <c r="B24" s="2"/>
      <c r="C24" s="2"/>
      <c r="D24" s="2"/>
      <c r="E24" s="8"/>
      <c r="F24" s="3"/>
      <c r="G24" s="3"/>
      <c r="H24" s="51"/>
      <c r="I24" s="51"/>
      <c r="J24" s="51"/>
      <c r="K24" s="51"/>
      <c r="L24" s="10"/>
      <c r="M24" s="3"/>
      <c r="N24" s="2"/>
      <c r="O24" s="2"/>
    </row>
    <row r="25" spans="2:15" x14ac:dyDescent="0.35">
      <c r="B25" s="2"/>
      <c r="C25" s="2" t="s">
        <v>23</v>
      </c>
      <c r="D25" s="2" t="s">
        <v>33</v>
      </c>
      <c r="E25" s="8"/>
      <c r="F25" s="3"/>
      <c r="G25" s="3"/>
      <c r="H25" s="51"/>
      <c r="I25" s="51"/>
      <c r="J25" s="51">
        <v>29814768331.690002</v>
      </c>
      <c r="K25" s="51">
        <v>29814768331.690002</v>
      </c>
      <c r="L25" s="10"/>
      <c r="M25" s="3"/>
      <c r="N25" s="44" t="s">
        <v>51</v>
      </c>
      <c r="O25" s="44" t="s">
        <v>52</v>
      </c>
    </row>
    <row r="26" spans="2:15" x14ac:dyDescent="0.35">
      <c r="B26" s="2"/>
      <c r="C26" s="2" t="s">
        <v>23</v>
      </c>
      <c r="D26" s="2" t="s">
        <v>34</v>
      </c>
      <c r="E26" s="3"/>
      <c r="F26" s="3"/>
      <c r="G26" s="3"/>
      <c r="H26" s="51"/>
      <c r="I26" s="51"/>
      <c r="J26" s="51">
        <v>390631231</v>
      </c>
      <c r="K26" s="51">
        <v>390631231</v>
      </c>
      <c r="L26" s="10"/>
      <c r="M26" s="3"/>
      <c r="N26" s="44" t="s">
        <v>51</v>
      </c>
      <c r="O26" s="44" t="s">
        <v>52</v>
      </c>
    </row>
    <row r="27" spans="2:15" x14ac:dyDescent="0.35">
      <c r="B27" s="2"/>
      <c r="C27" s="2" t="s">
        <v>23</v>
      </c>
      <c r="D27" s="2" t="s">
        <v>35</v>
      </c>
      <c r="E27" s="3"/>
      <c r="F27" s="3"/>
      <c r="G27" s="3"/>
      <c r="H27" s="51"/>
      <c r="I27" s="51"/>
      <c r="J27" s="51">
        <v>1744087000</v>
      </c>
      <c r="K27" s="51">
        <v>1744087000</v>
      </c>
      <c r="L27" s="10"/>
      <c r="M27" s="3"/>
      <c r="N27" s="44" t="s">
        <v>51</v>
      </c>
      <c r="O27" s="44" t="s">
        <v>52</v>
      </c>
    </row>
    <row r="28" spans="2:15" x14ac:dyDescent="0.35">
      <c r="B28" s="2"/>
      <c r="C28" s="2" t="s">
        <v>23</v>
      </c>
      <c r="D28" s="2"/>
      <c r="E28" s="3" t="s">
        <v>36</v>
      </c>
      <c r="F28" s="3"/>
      <c r="G28" s="3"/>
      <c r="H28" s="51"/>
      <c r="I28" s="51"/>
      <c r="J28" s="51"/>
      <c r="K28" s="51"/>
      <c r="L28" s="51">
        <v>29814768334.690018</v>
      </c>
      <c r="M28" s="3"/>
      <c r="N28" s="44" t="s">
        <v>51</v>
      </c>
      <c r="O28" s="44" t="s">
        <v>52</v>
      </c>
    </row>
    <row r="29" spans="2:15" x14ac:dyDescent="0.35">
      <c r="B29" s="2"/>
      <c r="C29" s="2" t="s">
        <v>23</v>
      </c>
      <c r="D29" s="2"/>
      <c r="E29" s="1" t="s">
        <v>37</v>
      </c>
      <c r="F29" s="3"/>
      <c r="G29" s="3"/>
      <c r="H29" s="51"/>
      <c r="I29" s="51"/>
      <c r="J29" s="51"/>
      <c r="K29" s="51"/>
      <c r="L29" s="51">
        <v>2134718228</v>
      </c>
      <c r="M29" s="3"/>
      <c r="N29" s="44" t="s">
        <v>51</v>
      </c>
      <c r="O29" s="44" t="s">
        <v>52</v>
      </c>
    </row>
    <row r="30" spans="2:15" x14ac:dyDescent="0.35">
      <c r="B30" s="2"/>
      <c r="C30" s="2"/>
      <c r="D30" s="48" t="s">
        <v>49</v>
      </c>
      <c r="F30" s="3"/>
      <c r="G30" s="3"/>
      <c r="H30" s="51"/>
      <c r="I30" s="51"/>
      <c r="J30" s="51"/>
      <c r="K30" s="51"/>
      <c r="L30" s="51"/>
      <c r="M30" s="3"/>
      <c r="N30" s="2"/>
      <c r="O30" s="2"/>
    </row>
    <row r="31" spans="2:15" ht="13" x14ac:dyDescent="0.35">
      <c r="B31" s="2"/>
      <c r="C31" s="2"/>
      <c r="D31" s="2"/>
      <c r="E31" s="9"/>
      <c r="F31" s="3"/>
      <c r="G31" s="3"/>
      <c r="H31" s="51"/>
      <c r="I31" s="51"/>
      <c r="J31" s="51"/>
      <c r="K31" s="51"/>
      <c r="L31" s="10"/>
      <c r="M31" s="3"/>
      <c r="N31" s="3"/>
      <c r="O31" s="3"/>
    </row>
    <row r="32" spans="2:15" x14ac:dyDescent="0.35">
      <c r="B32" s="2"/>
      <c r="C32" s="2" t="s">
        <v>24</v>
      </c>
      <c r="D32" s="2" t="s">
        <v>38</v>
      </c>
      <c r="E32" s="8"/>
      <c r="F32" s="3"/>
      <c r="G32" s="3"/>
      <c r="H32" s="51"/>
      <c r="I32" s="51"/>
      <c r="J32" s="51">
        <v>15071358583.120007</v>
      </c>
      <c r="K32" s="51">
        <v>15071358583</v>
      </c>
      <c r="L32" s="10"/>
      <c r="M32" s="3"/>
      <c r="N32" s="44" t="s">
        <v>51</v>
      </c>
      <c r="O32" s="44" t="s">
        <v>52</v>
      </c>
    </row>
    <row r="33" spans="2:15" x14ac:dyDescent="0.35">
      <c r="B33" s="2"/>
      <c r="C33" s="2" t="s">
        <v>24</v>
      </c>
      <c r="D33" s="2"/>
      <c r="E33" s="3" t="s">
        <v>39</v>
      </c>
      <c r="F33" s="3"/>
      <c r="G33" s="3"/>
      <c r="H33" s="51"/>
      <c r="I33" s="51"/>
      <c r="J33" s="51"/>
      <c r="K33" s="51"/>
      <c r="L33" s="51">
        <v>15071358583</v>
      </c>
      <c r="M33" s="3"/>
      <c r="N33" s="44" t="s">
        <v>51</v>
      </c>
      <c r="O33" s="44" t="s">
        <v>52</v>
      </c>
    </row>
    <row r="34" spans="2:15" x14ac:dyDescent="0.35">
      <c r="B34" s="2"/>
      <c r="C34" s="2"/>
      <c r="D34" s="2"/>
      <c r="E34" s="2"/>
      <c r="F34" s="2"/>
      <c r="G34" s="2"/>
      <c r="H34" s="49"/>
      <c r="I34" s="49"/>
      <c r="J34" s="49"/>
      <c r="K34" s="49"/>
      <c r="L34" s="34"/>
      <c r="M34" s="2"/>
      <c r="N34" s="44"/>
      <c r="O34" s="44"/>
    </row>
    <row r="35" spans="2:15" x14ac:dyDescent="0.35">
      <c r="B35" s="2"/>
      <c r="C35" s="48"/>
      <c r="D35" s="48" t="s">
        <v>50</v>
      </c>
      <c r="E35" s="2"/>
      <c r="F35" s="2"/>
      <c r="G35" s="2"/>
      <c r="H35" s="49"/>
      <c r="I35" s="49"/>
      <c r="J35" s="49"/>
      <c r="K35" s="49"/>
      <c r="L35" s="34"/>
      <c r="M35" s="2"/>
      <c r="N35" s="44"/>
      <c r="O35" s="44"/>
    </row>
    <row r="36" spans="2:15" x14ac:dyDescent="0.35">
      <c r="B36" s="2"/>
      <c r="C36" s="2" t="s">
        <v>25</v>
      </c>
      <c r="D36" s="2" t="s">
        <v>40</v>
      </c>
      <c r="E36" s="3"/>
      <c r="F36" s="3"/>
      <c r="G36" s="3"/>
      <c r="H36" s="52">
        <v>4868638298.3429403</v>
      </c>
      <c r="I36" s="51"/>
      <c r="J36" s="51"/>
      <c r="K36" s="51"/>
      <c r="L36" s="10"/>
      <c r="M36" s="3"/>
      <c r="N36" s="44" t="s">
        <v>51</v>
      </c>
      <c r="O36" s="44" t="s">
        <v>52</v>
      </c>
    </row>
    <row r="37" spans="2:15" x14ac:dyDescent="0.35">
      <c r="B37" s="2"/>
      <c r="C37" s="2" t="s">
        <v>25</v>
      </c>
      <c r="D37" s="2"/>
      <c r="E37" s="3" t="s">
        <v>41</v>
      </c>
      <c r="F37" s="3"/>
      <c r="G37" s="3"/>
      <c r="H37" s="51"/>
      <c r="I37" s="51">
        <v>4868638298.3429403</v>
      </c>
      <c r="J37" s="51"/>
      <c r="K37" s="51"/>
      <c r="L37" s="10"/>
      <c r="M37" s="3"/>
      <c r="N37" s="44" t="s">
        <v>51</v>
      </c>
      <c r="O37" s="44" t="s">
        <v>52</v>
      </c>
    </row>
    <row r="38" spans="2:15" x14ac:dyDescent="0.35">
      <c r="B38" s="2"/>
      <c r="C38" s="2"/>
      <c r="D38" s="2"/>
      <c r="E38" s="3"/>
      <c r="F38" s="3"/>
      <c r="G38" s="3"/>
      <c r="H38" s="51"/>
      <c r="I38" s="51"/>
      <c r="J38" s="51"/>
      <c r="K38" s="51"/>
      <c r="L38" s="10"/>
      <c r="M38" s="3"/>
      <c r="N38" s="2"/>
      <c r="O38" s="2"/>
    </row>
    <row r="39" spans="2:15" x14ac:dyDescent="0.35">
      <c r="B39" s="2"/>
      <c r="C39" s="2" t="s">
        <v>26</v>
      </c>
      <c r="D39" s="2" t="s">
        <v>42</v>
      </c>
      <c r="E39" s="8"/>
      <c r="F39" s="3"/>
      <c r="G39" s="3"/>
      <c r="H39" s="52">
        <v>1000000000</v>
      </c>
      <c r="I39" s="51"/>
      <c r="J39" s="51"/>
      <c r="K39" s="51"/>
      <c r="L39" s="10"/>
      <c r="M39" s="3"/>
      <c r="N39" s="44" t="s">
        <v>51</v>
      </c>
      <c r="O39" s="44" t="s">
        <v>52</v>
      </c>
    </row>
    <row r="40" spans="2:15" x14ac:dyDescent="0.35">
      <c r="B40" s="2"/>
      <c r="C40" s="2" t="s">
        <v>26</v>
      </c>
      <c r="D40" s="2"/>
      <c r="E40" s="3" t="s">
        <v>41</v>
      </c>
      <c r="F40" s="3"/>
      <c r="G40" s="3"/>
      <c r="H40" s="51"/>
      <c r="I40" s="51">
        <v>1000000000</v>
      </c>
      <c r="J40" s="51"/>
      <c r="K40" s="51"/>
      <c r="L40" s="10"/>
      <c r="M40" s="3"/>
      <c r="N40" s="44" t="s">
        <v>51</v>
      </c>
      <c r="O40" s="44" t="s">
        <v>52</v>
      </c>
    </row>
    <row r="41" spans="2:15" x14ac:dyDescent="0.35">
      <c r="B41" s="2"/>
      <c r="C41" s="3"/>
      <c r="D41" s="48" t="s">
        <v>43</v>
      </c>
      <c r="E41" s="3"/>
      <c r="F41" s="3"/>
      <c r="G41" s="3"/>
      <c r="H41" s="10"/>
      <c r="I41" s="10"/>
      <c r="J41" s="10"/>
      <c r="K41" s="10"/>
      <c r="L41" s="10"/>
      <c r="M41" s="3"/>
      <c r="N41" s="2"/>
      <c r="O41" s="2"/>
    </row>
    <row r="42" spans="2:15" x14ac:dyDescent="0.35">
      <c r="B42" s="2"/>
      <c r="C42" s="3"/>
      <c r="D42" s="48"/>
      <c r="E42" s="3"/>
      <c r="F42" s="3"/>
      <c r="G42" s="3"/>
      <c r="H42" s="10"/>
      <c r="I42" s="10"/>
      <c r="J42" s="10"/>
      <c r="K42" s="10"/>
      <c r="L42" s="10"/>
      <c r="M42" s="3"/>
      <c r="N42" s="2"/>
      <c r="O42" s="2"/>
    </row>
    <row r="43" spans="2:15" x14ac:dyDescent="0.35">
      <c r="B43" s="2"/>
      <c r="C43" s="2" t="s">
        <v>26</v>
      </c>
      <c r="D43" s="3" t="s">
        <v>34</v>
      </c>
      <c r="E43" s="3"/>
      <c r="F43" s="3"/>
      <c r="G43" s="3"/>
      <c r="H43" s="10"/>
      <c r="I43" s="10"/>
      <c r="J43" s="10"/>
      <c r="K43" s="51">
        <v>15000000</v>
      </c>
      <c r="L43" s="10"/>
      <c r="M43" s="3"/>
      <c r="N43" s="44" t="s">
        <v>51</v>
      </c>
      <c r="O43" s="44" t="s">
        <v>52</v>
      </c>
    </row>
    <row r="44" spans="2:15" x14ac:dyDescent="0.35">
      <c r="B44" s="2"/>
      <c r="C44" s="2" t="s">
        <v>26</v>
      </c>
      <c r="D44" s="3"/>
      <c r="E44" s="3" t="s">
        <v>44</v>
      </c>
      <c r="F44" s="3"/>
      <c r="G44" s="3"/>
      <c r="H44" s="10"/>
      <c r="I44" s="10"/>
      <c r="J44" s="10"/>
      <c r="K44" s="10"/>
      <c r="L44" s="51">
        <v>15000000</v>
      </c>
      <c r="M44" s="3"/>
      <c r="N44" s="44" t="s">
        <v>51</v>
      </c>
      <c r="O44" s="44" t="s">
        <v>52</v>
      </c>
    </row>
    <row r="45" spans="2:15" x14ac:dyDescent="0.35">
      <c r="B45" s="2"/>
      <c r="C45" s="3"/>
      <c r="D45" s="8" t="s">
        <v>45</v>
      </c>
      <c r="F45" s="3"/>
      <c r="G45" s="3"/>
      <c r="H45" s="10"/>
      <c r="I45" s="10"/>
      <c r="J45" s="10"/>
      <c r="K45" s="10"/>
      <c r="L45" s="10"/>
      <c r="M45" s="3"/>
      <c r="N45" s="2"/>
      <c r="O45" s="2"/>
    </row>
    <row r="46" spans="2:15" ht="13" x14ac:dyDescent="0.35">
      <c r="B46" s="2"/>
      <c r="C46" s="3"/>
      <c r="D46" s="3"/>
      <c r="E46" s="9"/>
      <c r="F46" s="3"/>
      <c r="G46" s="3"/>
      <c r="H46" s="10"/>
      <c r="I46" s="10"/>
      <c r="J46" s="10"/>
      <c r="K46" s="10"/>
      <c r="L46" s="10"/>
      <c r="M46" s="3"/>
      <c r="N46" s="3"/>
      <c r="O46" s="3"/>
    </row>
    <row r="47" spans="2:15" x14ac:dyDescent="0.35">
      <c r="B47" s="2"/>
      <c r="C47" s="3"/>
      <c r="D47" s="3"/>
      <c r="E47" s="8"/>
      <c r="F47" s="3"/>
      <c r="G47" s="3"/>
      <c r="H47" s="10"/>
      <c r="I47" s="10"/>
      <c r="J47" s="10"/>
      <c r="K47" s="10"/>
      <c r="L47" s="10"/>
      <c r="M47" s="3"/>
      <c r="N47" s="3"/>
      <c r="O47" s="3"/>
    </row>
    <row r="48" spans="2:15" x14ac:dyDescent="0.35">
      <c r="B48" s="2"/>
      <c r="C48" s="3"/>
      <c r="D48" s="3"/>
      <c r="E48" s="3"/>
      <c r="F48" s="3"/>
      <c r="G48" s="3"/>
      <c r="H48" s="10"/>
      <c r="I48" s="10"/>
      <c r="J48" s="10"/>
      <c r="K48" s="10"/>
      <c r="L48" s="10"/>
      <c r="M48" s="3"/>
      <c r="N48" s="2"/>
      <c r="O48" s="2"/>
    </row>
    <row r="49" spans="2:18" ht="12" thickBot="1" x14ac:dyDescent="0.4"/>
    <row r="50" spans="2:18" s="5" customFormat="1" ht="19.5" customHeight="1" x14ac:dyDescent="0.4">
      <c r="B50" s="21"/>
      <c r="C50" s="22"/>
      <c r="D50" s="22"/>
      <c r="E50" s="22"/>
      <c r="F50" s="22"/>
      <c r="G50" s="22"/>
      <c r="H50" s="35"/>
      <c r="I50" s="35"/>
      <c r="J50" s="36"/>
      <c r="K50" s="35"/>
      <c r="L50" s="35"/>
      <c r="M50" s="23"/>
      <c r="N50" s="22"/>
      <c r="O50" s="24"/>
      <c r="P50" s="22"/>
      <c r="Q50" s="24"/>
      <c r="R50" s="25"/>
    </row>
    <row r="51" spans="2:18" s="5" customFormat="1" ht="19.5" customHeight="1" x14ac:dyDescent="0.4">
      <c r="B51" s="11"/>
      <c r="C51" s="26"/>
      <c r="D51" s="26"/>
      <c r="E51" s="26"/>
      <c r="F51" s="27" t="s">
        <v>12</v>
      </c>
      <c r="G51" s="26"/>
      <c r="H51" s="33">
        <f>SUM(H8:H48)</f>
        <v>127778468335.34294</v>
      </c>
      <c r="I51" s="33">
        <f>SUM(I8:I48)</f>
        <v>127778468335.34294</v>
      </c>
      <c r="J51" s="37"/>
      <c r="K51" s="33">
        <f>SUM(K8:K48)</f>
        <v>47035845145.690002</v>
      </c>
      <c r="L51" s="33">
        <f>SUM(L8:L48)</f>
        <v>47035845145.690018</v>
      </c>
      <c r="M51" s="28"/>
      <c r="N51" s="26"/>
      <c r="O51" s="29">
        <f>H51+K51-(I51+L51)</f>
        <v>0</v>
      </c>
      <c r="P51" s="26"/>
      <c r="Q51" s="30"/>
      <c r="R51" s="12"/>
    </row>
    <row r="52" spans="2:18" s="5" customFormat="1" ht="19.5" customHeight="1" x14ac:dyDescent="0.4">
      <c r="B52" s="11"/>
      <c r="C52" s="26"/>
      <c r="D52" s="26"/>
      <c r="E52" s="26"/>
      <c r="F52" s="26"/>
      <c r="G52" s="31"/>
      <c r="H52" s="37"/>
      <c r="I52" s="37"/>
      <c r="J52" s="37"/>
      <c r="K52" s="37"/>
      <c r="L52" s="37"/>
      <c r="M52" s="28"/>
      <c r="N52" s="26"/>
      <c r="O52" s="30"/>
      <c r="P52" s="26"/>
      <c r="Q52" s="30"/>
      <c r="R52" s="12"/>
    </row>
    <row r="53" spans="2:18" s="5" customFormat="1" ht="19.5" customHeight="1" x14ac:dyDescent="0.4">
      <c r="B53" s="11"/>
      <c r="C53" s="26"/>
      <c r="D53" s="26"/>
      <c r="E53" s="26"/>
      <c r="F53" s="26"/>
      <c r="G53" s="26"/>
      <c r="H53" s="37"/>
      <c r="I53" s="37"/>
      <c r="J53" s="37"/>
      <c r="K53" s="37"/>
      <c r="L53" s="37"/>
      <c r="M53" s="28"/>
      <c r="N53" s="26"/>
      <c r="O53" s="30"/>
      <c r="P53" s="26"/>
      <c r="Q53" s="30"/>
      <c r="R53" s="12"/>
    </row>
    <row r="54" spans="2:18" s="5" customFormat="1" ht="19.5" customHeight="1" thickBot="1" x14ac:dyDescent="0.45">
      <c r="B54" s="13" t="s">
        <v>13</v>
      </c>
      <c r="C54" s="27"/>
      <c r="D54" s="26"/>
      <c r="E54" s="26"/>
      <c r="F54" s="26"/>
      <c r="G54" s="26"/>
      <c r="H54" s="37"/>
      <c r="I54" s="38">
        <f>H51+K51</f>
        <v>174814313481.03296</v>
      </c>
      <c r="J54" s="39"/>
      <c r="K54" s="37"/>
      <c r="L54" s="37"/>
      <c r="M54" s="28"/>
      <c r="N54" s="26"/>
      <c r="O54" s="30"/>
      <c r="P54" s="26"/>
      <c r="Q54" s="30"/>
      <c r="R54" s="12"/>
    </row>
    <row r="55" spans="2:18" s="5" customFormat="1" ht="19.5" customHeight="1" thickTop="1" thickBot="1" x14ac:dyDescent="0.45">
      <c r="B55" s="13" t="s">
        <v>14</v>
      </c>
      <c r="C55" s="27"/>
      <c r="D55" s="26"/>
      <c r="E55" s="26"/>
      <c r="F55" s="26"/>
      <c r="G55" s="26"/>
      <c r="H55" s="37"/>
      <c r="I55" s="37"/>
      <c r="J55" s="37"/>
      <c r="K55" s="37"/>
      <c r="L55" s="38">
        <f>I51+L51</f>
        <v>174814313481.03296</v>
      </c>
      <c r="M55" s="32"/>
      <c r="N55" s="26"/>
      <c r="O55" s="30"/>
      <c r="P55" s="26"/>
      <c r="Q55" s="30"/>
      <c r="R55" s="12"/>
    </row>
    <row r="56" spans="2:18" s="5" customFormat="1" ht="19.5" customHeight="1" thickTop="1" x14ac:dyDescent="0.4">
      <c r="B56" s="11"/>
      <c r="C56" s="26"/>
      <c r="D56" s="26"/>
      <c r="E56" s="26"/>
      <c r="F56" s="26"/>
      <c r="G56" s="26"/>
      <c r="H56" s="37"/>
      <c r="I56" s="37"/>
      <c r="J56" s="37"/>
      <c r="K56" s="37"/>
      <c r="L56" s="37"/>
      <c r="M56" s="28"/>
      <c r="N56" s="26"/>
      <c r="O56" s="30"/>
      <c r="P56" s="26"/>
      <c r="Q56" s="30"/>
      <c r="R56" s="14"/>
    </row>
    <row r="57" spans="2:18" s="5" customFormat="1" ht="19.5" customHeight="1" x14ac:dyDescent="0.4">
      <c r="B57" s="11"/>
      <c r="C57" s="26"/>
      <c r="D57" s="26"/>
      <c r="E57" s="26"/>
      <c r="F57" s="26" t="s">
        <v>15</v>
      </c>
      <c r="G57" s="31" t="s">
        <v>16</v>
      </c>
      <c r="H57" s="53">
        <v>36978000</v>
      </c>
      <c r="I57" s="37"/>
      <c r="J57" s="37"/>
      <c r="K57" s="40" t="str">
        <f>IF(((I54+L55)=0),"","ERROR")</f>
        <v>ERROR</v>
      </c>
      <c r="L57" s="37"/>
      <c r="M57" s="28"/>
      <c r="N57" s="26"/>
      <c r="O57" s="30"/>
      <c r="P57" s="26"/>
      <c r="Q57" s="30"/>
      <c r="R57" s="14"/>
    </row>
    <row r="58" spans="2:18" s="5" customFormat="1" ht="19.5" customHeight="1" x14ac:dyDescent="0.4">
      <c r="B58" s="11"/>
      <c r="C58" s="26"/>
      <c r="D58" s="26"/>
      <c r="E58" s="26"/>
      <c r="F58" s="26"/>
      <c r="G58" s="31"/>
      <c r="H58" s="37"/>
      <c r="I58" s="37"/>
      <c r="J58" s="37"/>
      <c r="K58" s="40"/>
      <c r="L58" s="37"/>
      <c r="M58" s="28"/>
      <c r="N58" s="26"/>
      <c r="O58" s="30"/>
      <c r="P58" s="26"/>
      <c r="Q58" s="30"/>
      <c r="R58" s="14"/>
    </row>
    <row r="59" spans="2:18" s="5" customFormat="1" ht="19.5" customHeight="1" x14ac:dyDescent="0.4">
      <c r="B59" s="11"/>
      <c r="C59" s="26"/>
      <c r="D59" s="26"/>
      <c r="E59" s="26"/>
      <c r="F59" s="15" t="s">
        <v>17</v>
      </c>
      <c r="G59" s="15" t="s">
        <v>17</v>
      </c>
      <c r="H59" s="41">
        <f>H57*10%</f>
        <v>3697800</v>
      </c>
      <c r="I59" s="37"/>
      <c r="J59" s="37"/>
      <c r="K59" s="37"/>
      <c r="L59" s="37"/>
      <c r="M59" s="28"/>
      <c r="N59" s="26"/>
      <c r="O59" s="30"/>
      <c r="P59" s="26"/>
      <c r="Q59" s="30"/>
      <c r="R59" s="14"/>
    </row>
    <row r="60" spans="2:18" s="5" customFormat="1" ht="19.5" customHeight="1" thickBot="1" x14ac:dyDescent="0.45">
      <c r="B60" s="16"/>
      <c r="C60" s="17"/>
      <c r="D60" s="17"/>
      <c r="E60" s="17"/>
      <c r="F60" s="17"/>
      <c r="G60" s="17"/>
      <c r="H60" s="42"/>
      <c r="I60" s="42"/>
      <c r="J60" s="42"/>
      <c r="K60" s="42"/>
      <c r="L60" s="42"/>
      <c r="M60" s="18"/>
      <c r="N60" s="17"/>
      <c r="O60" s="19"/>
      <c r="P60" s="17"/>
      <c r="Q60" s="19"/>
      <c r="R60" s="20"/>
    </row>
    <row r="61" spans="2:18" s="5" customFormat="1" ht="19.5" customHeight="1" x14ac:dyDescent="0.4">
      <c r="H61" s="43"/>
      <c r="I61" s="43"/>
      <c r="J61" s="43"/>
      <c r="K61" s="43"/>
      <c r="L61" s="43"/>
      <c r="M61" s="7"/>
      <c r="O61" s="6"/>
      <c r="Q61" s="6"/>
    </row>
  </sheetData>
  <mergeCells count="8">
    <mergeCell ref="D6:D7"/>
    <mergeCell ref="C6:C7"/>
    <mergeCell ref="B6:B7"/>
    <mergeCell ref="E6:F7"/>
    <mergeCell ref="O6:O7"/>
    <mergeCell ref="N6:N7"/>
    <mergeCell ref="K6:L6"/>
    <mergeCell ref="H6:I6"/>
  </mergeCells>
  <dataValidations count="2">
    <dataValidation allowBlank="1" showInputMessage="1" showErrorMessage="1" promptTitle="Out of balance warning" prompt="If the Dr's and Cr's of the journals posted do not balance this cell will indicate that there is an error." sqref="K57 JG57 TC57 ACY57 AMU57 AWQ57 BGM57 BQI57 CAE57 CKA57 CTW57 DDS57 DNO57 DXK57 EHG57 ERC57 FAY57 FKU57 FUQ57 GEM57 GOI57 GYE57 HIA57 HRW57 IBS57 ILO57 IVK57 JFG57 JPC57 JYY57 KIU57 KSQ57 LCM57 LMI57 LWE57 MGA57 MPW57 MZS57 NJO57 NTK57 ODG57 ONC57 OWY57 PGU57 PQQ57 QAM57 QKI57 QUE57 REA57 RNW57 RXS57 SHO57 SRK57 TBG57 TLC57 TUY57 UEU57 UOQ57 UYM57 VII57 VSE57 WCA57 WLW57 WVS57" xr:uid="{230AE0EC-F614-494A-8018-0A9938EFB2BE}"/>
    <dataValidation allowBlank="1" showInputMessage="1" showErrorMessage="1" promptTitle="Final Materiality" prompt="Insert final materiality based on actual financial results." sqref="H57 JD57 SZ57 ACV57 AMR57 AWN57 BGJ57 BQF57 CAB57 CJX57 CTT57 DDP57 DNL57 DXH57 EHD57 EQZ57 FAV57 FKR57 FUN57 GEJ57 GOF57 GYB57 HHX57 HRT57 IBP57 ILL57 IVH57 JFD57 JOZ57 JYV57 KIR57 KSN57 LCJ57 LMF57 LWB57 MFX57 MPT57 MZP57 NJL57 NTH57 ODD57 OMZ57 OWV57 PGR57 PQN57 QAJ57 QKF57 QUB57 RDX57 RNT57 RXP57 SHL57 SRH57 TBD57 TKZ57 TUV57 UER57 UON57 UYJ57 VIF57 VSB57 WBX57 WLT57 WVP57" xr:uid="{91DCA3C9-95E1-4A91-95E9-B5A1B18DD25E}"/>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Koreksi Salah Saji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KAP MGN 1</cp:lastModifiedBy>
  <cp:revision/>
  <dcterms:created xsi:type="dcterms:W3CDTF">2024-03-20T02:30:33Z</dcterms:created>
  <dcterms:modified xsi:type="dcterms:W3CDTF">2025-10-24T10:02:55Z</dcterms:modified>
  <cp:category/>
  <cp:contentStatus/>
</cp:coreProperties>
</file>