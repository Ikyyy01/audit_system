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MGN 1\Documents\Backup Lidya 2024\Backup Lidya 04.07.23\Backup Lidya\DATA LIDYA\Data Klien kap mgn\Klien 2024\PT IAS Tbk dan Entitas Anak_Des 2024\5000 Reporting Form\"/>
    </mc:Choice>
  </mc:AlternateContent>
  <xr:revisionPtr revIDLastSave="0" documentId="13_ncr:1_{F0D1EDC5-F032-4817-85A5-88C27A070BC3}" xr6:coauthVersionLast="47" xr6:coauthVersionMax="47" xr10:uidLastSave="{00000000-0000-0000-0000-000000000000}"/>
  <bookViews>
    <workbookView xWindow="-110" yWindow="-110" windowWidth="19420" windowHeight="10300" xr2:uid="{0F87DA7F-8568-4FE5-9CD6-5FCE001EADE0}"/>
  </bookViews>
  <sheets>
    <sheet name="Sheet1" sheetId="1" r:id="rId1"/>
  </sheets>
  <externalReferences>
    <externalReference r:id="rId2"/>
  </externalReferences>
  <definedNames>
    <definedName name="_xlnm.Print_Area" localSheetId="0">Sheet1!$A$1:$H$37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7" i="1" l="1"/>
  <c r="E35" i="1"/>
  <c r="F29" i="1"/>
  <c r="F9" i="1"/>
  <c r="H9" i="1" s="1"/>
  <c r="F5" i="1"/>
  <c r="H5" i="1" s="1"/>
  <c r="H10" i="1" l="1"/>
  <c r="F10" i="1"/>
</calcChain>
</file>

<file path=xl/sharedStrings.xml><?xml version="1.0" encoding="utf-8"?>
<sst xmlns="http://schemas.openxmlformats.org/spreadsheetml/2006/main" count="64" uniqueCount="57">
  <si>
    <t>Nama KAP</t>
  </si>
  <si>
    <t>KAP MAURICE GANDA NAINGGOLAN &amp; REKAN</t>
  </si>
  <si>
    <t>Disiapkan oleh</t>
  </si>
  <si>
    <t>Nama AP</t>
  </si>
  <si>
    <t>Tanggal mulai</t>
  </si>
  <si>
    <t>Waktu mulai</t>
  </si>
  <si>
    <t>Nama Klien</t>
  </si>
  <si>
    <t>Tanggal selesai</t>
  </si>
  <si>
    <t>Waktu selesai</t>
  </si>
  <si>
    <t>Alamat klien</t>
  </si>
  <si>
    <t>Jumlah hari</t>
  </si>
  <si>
    <t>Jumlah Jam</t>
  </si>
  <si>
    <t>Tahun Buku</t>
  </si>
  <si>
    <t>Direview oleh</t>
  </si>
  <si>
    <t>Indeks KKP</t>
  </si>
  <si>
    <t>Nama Indeks</t>
  </si>
  <si>
    <t>AUDIT FINAL MEMORANDUM</t>
  </si>
  <si>
    <t>SA yang relevan</t>
  </si>
  <si>
    <t>Total waktu</t>
  </si>
  <si>
    <t>Deskripsi</t>
  </si>
  <si>
    <t>Referensi</t>
  </si>
  <si>
    <t>Hasil Analisis</t>
  </si>
  <si>
    <t>Informasi terkait ketidakpatuhan terhadap hukum dan peraturan yang berlaku</t>
  </si>
  <si>
    <t>Transaksi tidak biasa (unusual transaction) dengan pihak yang memiliki hubungan istimewa</t>
  </si>
  <si>
    <t>Perkara hukum yang sedang dihadapi klien</t>
  </si>
  <si>
    <t>Konsultasi/keterlibatan spesialis lain di luar divisi audit</t>
  </si>
  <si>
    <t>Keberadaan komitmen dan kontinjensi</t>
  </si>
  <si>
    <t xml:space="preserve">Defisiensi signifikan dalam pengendalian internal </t>
  </si>
  <si>
    <t>Overall materiality, performance materiality, specific materiality</t>
  </si>
  <si>
    <t>Summary audit difference</t>
  </si>
  <si>
    <t>Analitycal procedures</t>
  </si>
  <si>
    <t>Opini audit ( yang dipilih Auditor)</t>
  </si>
  <si>
    <t>Kolom kosong untuk tambah sendiri</t>
  </si>
  <si>
    <t>inset link to dicument</t>
  </si>
  <si>
    <t>Kesimpulan</t>
  </si>
  <si>
    <t>Status KKP</t>
  </si>
  <si>
    <t>Perusahaan patuh terhadap Peraturan yang berlaku</t>
  </si>
  <si>
    <t>Tidak terdapat transaksi tidak biasa</t>
  </si>
  <si>
    <t>Tidak terdapat perkara hukum</t>
  </si>
  <si>
    <t>Audit final memorandum telah memadai</t>
  </si>
  <si>
    <t>Tidak terdapat defisiensi signifikan atas pengendalian internal Perusahaan</t>
  </si>
  <si>
    <t>Ada</t>
  </si>
  <si>
    <t>Form Testing Journal Entry</t>
  </si>
  <si>
    <t>Tidak terdapat Fraud atau indikasi Fraud</t>
  </si>
  <si>
    <t>Jl. Ir. Sutami Km. 13 Desa Sukanegara, Kec. Tanjung Bintang, Kab. Lampung Selatan</t>
  </si>
  <si>
    <r>
      <rPr>
        <i/>
        <sz val="11"/>
        <color theme="1"/>
        <rFont val="Microsoft Sans Serif"/>
        <family val="2"/>
      </rPr>
      <t xml:space="preserve">Fraud </t>
    </r>
    <r>
      <rPr>
        <sz val="11"/>
        <color theme="1"/>
        <rFont val="Microsoft Sans Serif"/>
        <family val="2"/>
      </rPr>
      <t xml:space="preserve">atau indikasi </t>
    </r>
    <r>
      <rPr>
        <i/>
        <sz val="11"/>
        <color theme="1"/>
        <rFont val="Microsoft Sans Serif"/>
        <family val="2"/>
      </rPr>
      <t>fraud</t>
    </r>
  </si>
  <si>
    <r>
      <t>Kondisi yang dapat mempengaruhi keberlangsuhan usaha (</t>
    </r>
    <r>
      <rPr>
        <i/>
        <sz val="11"/>
        <color theme="1"/>
        <rFont val="Microsoft Sans Serif"/>
        <family val="2"/>
      </rPr>
      <t>going concern</t>
    </r>
    <r>
      <rPr>
        <sz val="11"/>
        <color theme="1"/>
        <rFont val="Microsoft Sans Serif"/>
        <family val="2"/>
      </rPr>
      <t>)</t>
    </r>
  </si>
  <si>
    <t>PT Indo American Seafoods Tbk dan Entitas Anak</t>
  </si>
  <si>
    <t>Maurice Ganda Nainggolan</t>
  </si>
  <si>
    <t>31/12/2024</t>
  </si>
  <si>
    <t>NLS</t>
  </si>
  <si>
    <t>KNW</t>
  </si>
  <si>
    <t>Tidak Terdapat  adanya surat Going Concern</t>
  </si>
  <si>
    <t>Terdapat konsultan spesialis selain audit seperti Aktuaria</t>
  </si>
  <si>
    <t>Tidak Tedapat komitmen dan kontijensi</t>
  </si>
  <si>
    <t>OM Rp 36.978.000, PM Rp 46.223.000</t>
  </si>
  <si>
    <t>Wajar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</si>
</sst>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&quot;Rp&quot;#,##0_);[Red]\(&quot;Rp&quot;#,##0\)"/>
    <numFmt numFmtId="165" formatCode="[$-421]dd\ mmmm\ yyyy;@"/>
    <numFmt numFmtId="166" formatCode="[$-13809]h:mm;@"/>
    <numFmt numFmtId="167" formatCode="[h]:mm;@"/>
    <numFmt numFmtId="168" formatCode="_-* #,##0_-;\-* #,##0_-;_-* &quot;-&quot;??_-;_-@_-"/>
    <numFmt numFmtId="170" formatCode="_-&quot;Rp&quot;* #,##0_-;\-&quot;Rp&quot;* #,##0_-;_-&quot;Rp&quot;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badi"/>
      <family val="2"/>
    </font>
    <font>
      <sz val="11"/>
      <color theme="1"/>
      <name val="Microsoft Sans Serif"/>
      <family val="2"/>
    </font>
    <font>
      <sz val="10"/>
      <color theme="1"/>
      <name val="Microsoft Sans Serif"/>
      <family val="2"/>
    </font>
    <font>
      <sz val="11"/>
      <color theme="1"/>
      <name val="Abadi"/>
      <family val="2"/>
    </font>
    <font>
      <b/>
      <i/>
      <sz val="10"/>
      <color rgb="FFFF0000"/>
      <name val="Microsoft Sans Serif"/>
      <family val="2"/>
    </font>
    <font>
      <u/>
      <sz val="11"/>
      <color theme="1"/>
      <name val="Abadi"/>
      <family val="2"/>
    </font>
    <font>
      <b/>
      <sz val="10"/>
      <color theme="1"/>
      <name val="Microsoft Sans Serif"/>
      <family val="2"/>
    </font>
    <font>
      <b/>
      <sz val="11"/>
      <color theme="1"/>
      <name val="Microsoft Sans Serif"/>
      <family val="2"/>
    </font>
    <font>
      <b/>
      <i/>
      <sz val="11"/>
      <color rgb="FFFF0000"/>
      <name val="Microsoft Sans Serif"/>
      <family val="2"/>
    </font>
    <font>
      <b/>
      <sz val="11"/>
      <color rgb="FFC00000"/>
      <name val="Microsoft Sans Serif"/>
      <family val="2"/>
    </font>
    <font>
      <b/>
      <i/>
      <sz val="11"/>
      <color theme="0"/>
      <name val="Microsoft Sans Serif"/>
      <family val="2"/>
    </font>
    <font>
      <sz val="11"/>
      <color theme="0"/>
      <name val="Microsoft Sans Serif"/>
      <family val="2"/>
    </font>
    <font>
      <i/>
      <sz val="11"/>
      <color theme="0"/>
      <name val="Microsoft Sans Serif"/>
      <family val="2"/>
    </font>
    <font>
      <sz val="11"/>
      <color theme="0"/>
      <name val="Abadi"/>
      <family val="2"/>
    </font>
    <font>
      <b/>
      <sz val="11"/>
      <color rgb="FFC00000"/>
      <name val="Abadi"/>
      <family val="2"/>
    </font>
    <font>
      <b/>
      <sz val="11"/>
      <color theme="1"/>
      <name val="Abadi"/>
      <family val="2"/>
    </font>
    <font>
      <b/>
      <i/>
      <sz val="11"/>
      <color rgb="FFC00000"/>
      <name val="Microsoft Sans Serif"/>
      <family val="2"/>
    </font>
    <font>
      <b/>
      <sz val="10"/>
      <name val="Microsoft Sans Serif"/>
      <family val="2"/>
    </font>
    <font>
      <b/>
      <sz val="11"/>
      <color rgb="FFFF0000"/>
      <name val="Microsoft Sans Serif"/>
      <family val="2"/>
    </font>
    <font>
      <sz val="11"/>
      <color rgb="FFFF0000"/>
      <name val="Abadi"/>
      <family val="2"/>
    </font>
    <font>
      <i/>
      <sz val="11"/>
      <color theme="1"/>
      <name val="Microsoft Sans Serif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quotePrefix="1" applyFont="1" applyAlignment="1">
      <alignment vertical="center"/>
    </xf>
    <xf numFmtId="0" fontId="3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3" xfId="0" quotePrefix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2" fillId="0" borderId="0" xfId="0" quotePrefix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9" fillId="2" borderId="3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5" borderId="0" xfId="0" applyFont="1" applyFill="1" applyAlignment="1">
      <alignment vertical="center"/>
    </xf>
    <xf numFmtId="0" fontId="3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>
      <alignment vertical="center"/>
    </xf>
    <xf numFmtId="0" fontId="3" fillId="3" borderId="1" xfId="0" applyFont="1" applyFill="1" applyBorder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165" fontId="4" fillId="4" borderId="1" xfId="0" applyNumberFormat="1" applyFont="1" applyFill="1" applyBorder="1" applyAlignment="1" applyProtection="1">
      <alignment vertical="center"/>
      <protection locked="0"/>
    </xf>
    <xf numFmtId="166" fontId="4" fillId="4" borderId="1" xfId="0" applyNumberFormat="1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>
      <alignment vertical="center"/>
    </xf>
    <xf numFmtId="167" fontId="4" fillId="2" borderId="1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vertical="center"/>
    </xf>
    <xf numFmtId="43" fontId="4" fillId="2" borderId="0" xfId="1" applyFont="1" applyFill="1" applyAlignment="1" applyProtection="1">
      <alignment vertical="center"/>
      <protection locked="0"/>
    </xf>
    <xf numFmtId="167" fontId="4" fillId="2" borderId="1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43" fontId="5" fillId="5" borderId="0" xfId="1" applyFont="1" applyFill="1" applyAlignment="1">
      <alignment vertical="center"/>
    </xf>
    <xf numFmtId="41" fontId="5" fillId="5" borderId="0" xfId="2" applyFont="1" applyFill="1" applyAlignment="1">
      <alignment vertical="center"/>
    </xf>
    <xf numFmtId="168" fontId="5" fillId="5" borderId="0" xfId="1" applyNumberFormat="1" applyFont="1" applyFill="1" applyAlignment="1">
      <alignment vertical="center"/>
    </xf>
    <xf numFmtId="0" fontId="11" fillId="0" borderId="0" xfId="0" quotePrefix="1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quotePrefix="1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0" fillId="8" borderId="3" xfId="0" applyFont="1" applyFill="1" applyBorder="1" applyAlignment="1">
      <alignment horizontal="center" vertical="center"/>
    </xf>
    <xf numFmtId="0" fontId="3" fillId="9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15" fontId="3" fillId="2" borderId="0" xfId="0" quotePrefix="1" applyNumberFormat="1" applyFont="1" applyFill="1" applyAlignment="1" applyProtection="1">
      <alignment horizontal="left" vertical="center"/>
      <protection hidden="1"/>
    </xf>
    <xf numFmtId="0" fontId="21" fillId="2" borderId="0" xfId="0" applyFont="1" applyFill="1" applyAlignment="1" applyProtection="1">
      <alignment horizontal="justify" vertical="center" wrapText="1"/>
      <protection locked="0"/>
    </xf>
    <xf numFmtId="0" fontId="0" fillId="0" borderId="0" xfId="0" applyAlignment="1" applyProtection="1">
      <alignment horizontal="justify" vertical="center" wrapText="1"/>
      <protection locked="0"/>
    </xf>
    <xf numFmtId="0" fontId="3" fillId="6" borderId="4" xfId="0" applyFont="1" applyFill="1" applyBorder="1" applyAlignment="1" applyProtection="1">
      <alignment horizontal="center" vertical="center" wrapText="1"/>
      <protection locked="0"/>
    </xf>
    <xf numFmtId="0" fontId="3" fillId="6" borderId="2" xfId="0" applyFont="1" applyFill="1" applyBorder="1" applyAlignment="1" applyProtection="1">
      <alignment horizontal="center" vertical="center" wrapText="1"/>
      <protection locked="0"/>
    </xf>
    <xf numFmtId="164" fontId="3" fillId="6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18" fillId="7" borderId="5" xfId="0" applyFont="1" applyFill="1" applyBorder="1" applyAlignment="1" applyProtection="1">
      <alignment horizontal="left" vertical="center"/>
      <protection locked="0"/>
    </xf>
    <xf numFmtId="0" fontId="18" fillId="7" borderId="6" xfId="0" applyFont="1" applyFill="1" applyBorder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left" vertical="center" wrapText="1"/>
      <protection hidden="1"/>
    </xf>
    <xf numFmtId="0" fontId="8" fillId="5" borderId="2" xfId="0" applyFont="1" applyFill="1" applyBorder="1" applyAlignment="1" applyProtection="1">
      <alignment horizontal="center" vertical="center"/>
      <protection locked="0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 applyProtection="1">
      <alignment horizontal="center" vertical="center" wrapText="1"/>
      <protection hidden="1"/>
    </xf>
    <xf numFmtId="0" fontId="9" fillId="2" borderId="0" xfId="0" applyFont="1" applyFill="1" applyAlignment="1" applyProtection="1">
      <alignment horizontal="center" vertical="center"/>
      <protection locked="0"/>
    </xf>
    <xf numFmtId="0" fontId="10" fillId="6" borderId="4" xfId="0" quotePrefix="1" applyFont="1" applyFill="1" applyBorder="1" applyAlignment="1" applyProtection="1">
      <alignment horizontal="left" vertical="center" wrapText="1"/>
      <protection locked="0"/>
    </xf>
    <xf numFmtId="0" fontId="10" fillId="6" borderId="2" xfId="0" applyFont="1" applyFill="1" applyBorder="1" applyAlignment="1" applyProtection="1">
      <alignment horizontal="left" vertical="center" wrapText="1"/>
      <protection locked="0"/>
    </xf>
    <xf numFmtId="170" fontId="3" fillId="6" borderId="4" xfId="1" applyNumberFormat="1" applyFont="1" applyFill="1" applyBorder="1" applyAlignment="1" applyProtection="1">
      <alignment horizontal="center" vertical="center" wrapText="1"/>
      <protection locked="0"/>
    </xf>
    <xf numFmtId="170" fontId="3" fillId="6" borderId="2" xfId="1" applyNumberFormat="1" applyFont="1" applyFill="1" applyBorder="1" applyAlignment="1" applyProtection="1">
      <alignment horizontal="center" vertical="center" wrapText="1"/>
      <protection locked="0"/>
    </xf>
  </cellXfs>
  <cellStyles count="3">
    <cellStyle name="Comma" xfId="1" builtinId="3"/>
    <cellStyle name="Comma [0]" xfId="2" builtinId="6"/>
    <cellStyle name="Normal" xfId="0" builtinId="0"/>
  </cellStyles>
  <dxfs count="3"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C400'!A1"/><Relationship Id="rId1" Type="http://schemas.openxmlformats.org/officeDocument/2006/relationships/hyperlink" Target="#'C210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1638299</xdr:colOff>
      <xdr:row>0</xdr:row>
      <xdr:rowOff>0</xdr:rowOff>
    </xdr:from>
    <xdr:to>
      <xdr:col>6</xdr:col>
      <xdr:colOff>305193</xdr:colOff>
      <xdr:row>0</xdr:row>
      <xdr:rowOff>9525</xdr:rowOff>
    </xdr:to>
    <xdr:sp macro="" textlink="">
      <xdr:nvSpPr>
        <xdr:cNvPr id="6" name="Arrow: Notched Right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7CFABF-C24D-4CBC-9872-6835FAC67560}"/>
            </a:ext>
          </a:extLst>
        </xdr:cNvPr>
        <xdr:cNvSpPr/>
      </xdr:nvSpPr>
      <xdr:spPr>
        <a:xfrm rot="10800000" flipV="1">
          <a:off x="8591549" y="9525"/>
          <a:ext cx="1191019" cy="762000"/>
        </a:xfrm>
        <a:prstGeom prst="notchedRightArrow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ysClr val="windowText" lastClr="000000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PREVIOUS</a:t>
          </a:r>
          <a:r>
            <a:rPr lang="en-US" sz="900" b="1" baseline="0">
              <a:solidFill>
                <a:sysClr val="windowText" lastClr="000000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 INDEKS</a:t>
          </a:r>
          <a:endParaRPr lang="en-US" sz="900" b="1">
            <a:solidFill>
              <a:sysClr val="windowText" lastClr="000000"/>
            </a:solidFill>
            <a:latin typeface="Microsoft Sans Serif" panose="020B0604020202020204" pitchFamily="34" charset="0"/>
            <a:ea typeface="Microsoft Sans Serif" panose="020B0604020202020204" pitchFamily="34" charset="0"/>
            <a:cs typeface="Microsoft Sans Serif" panose="020B0604020202020204" pitchFamily="34" charset="0"/>
          </a:endParaRPr>
        </a:p>
      </xdr:txBody>
    </xdr:sp>
    <xdr:clientData/>
  </xdr:twoCellAnchor>
  <xdr:twoCellAnchor>
    <xdr:from>
      <xdr:col>6</xdr:col>
      <xdr:colOff>307575</xdr:colOff>
      <xdr:row>0</xdr:row>
      <xdr:rowOff>0</xdr:rowOff>
    </xdr:from>
    <xdr:to>
      <xdr:col>7</xdr:col>
      <xdr:colOff>386553</xdr:colOff>
      <xdr:row>0</xdr:row>
      <xdr:rowOff>23812</xdr:rowOff>
    </xdr:to>
    <xdr:sp macro="" textlink="">
      <xdr:nvSpPr>
        <xdr:cNvPr id="7" name="Arrow: Notched Right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9B7C84-9739-4FFC-BF79-34D0C8E13CC0}"/>
            </a:ext>
          </a:extLst>
        </xdr:cNvPr>
        <xdr:cNvSpPr/>
      </xdr:nvSpPr>
      <xdr:spPr>
        <a:xfrm>
          <a:off x="9784950" y="0"/>
          <a:ext cx="1107678" cy="785812"/>
        </a:xfrm>
        <a:prstGeom prst="notchedRightArrow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 b="1">
              <a:solidFill>
                <a:schemeClr val="bg1"/>
              </a:solidFill>
              <a:latin typeface="Microsoft Sans Serif" panose="020B0604020202020204" pitchFamily="34" charset="0"/>
              <a:ea typeface="Microsoft Sans Serif" panose="020B0604020202020204" pitchFamily="34" charset="0"/>
              <a:cs typeface="Microsoft Sans Serif" panose="020B0604020202020204" pitchFamily="34" charset="0"/>
            </a:rPr>
            <a:t>TO NEXT INDEKS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ENGET\MANAGER\AUDIT%202020\Puninar%20Yusen%20Logistics\ATLAS-PYID%20-%202021%20-%20Buku%20Feb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LAS"/>
      <sheetName val="Home"/>
      <sheetName val="AuditCycle"/>
      <sheetName val="Content"/>
      <sheetName val="A110"/>
      <sheetName val="INPUTDATALK"/>
      <sheetName val="A1101"/>
      <sheetName val="A1102"/>
      <sheetName val="A1102.1"/>
      <sheetName val="A1102.1A"/>
      <sheetName val="A1102.1B"/>
      <sheetName val="A1102.1C"/>
      <sheetName val="A1102.D"/>
      <sheetName val="A1103A"/>
      <sheetName val="A1103B"/>
      <sheetName val="A1105"/>
      <sheetName val="PERFORM"/>
      <sheetName val="ReFfLink"/>
      <sheetName val="A120"/>
      <sheetName val="JamKerja"/>
      <sheetName val="A130"/>
      <sheetName val="A140"/>
      <sheetName val="A150"/>
      <sheetName val="A160"/>
      <sheetName val="ASM"/>
      <sheetName val="A170"/>
      <sheetName val="A210"/>
      <sheetName val="A230.8"/>
      <sheetName val="Sheet4"/>
      <sheetName val="PREANALITICAL"/>
      <sheetName val="A220.1"/>
      <sheetName val="A220.2"/>
      <sheetName val="Coret Coret"/>
      <sheetName val="A230"/>
      <sheetName val="A230.1"/>
      <sheetName val="A230.2"/>
      <sheetName val="A230.3"/>
      <sheetName val="A230.3.1"/>
      <sheetName val="A230.4"/>
      <sheetName val="A230.5"/>
      <sheetName val="AKUNNTERDAMPAK"/>
      <sheetName val="A230.6"/>
      <sheetName val="A230.6A"/>
      <sheetName val="A230.7"/>
      <sheetName val="A240"/>
      <sheetName val="DataTim"/>
      <sheetName val="DataALK&amp;PB"/>
      <sheetName val="CR"/>
      <sheetName val="A250.1"/>
      <sheetName val="A250.1.1"/>
      <sheetName val="A250.2"/>
      <sheetName val="A.250.2.1"/>
      <sheetName val="A250.3"/>
      <sheetName val="A.250.3.1"/>
      <sheetName val="DAYHOUR"/>
      <sheetName val="A250.4"/>
      <sheetName val="A.250.4.1"/>
      <sheetName val="A250.5"/>
      <sheetName val="A.250.5.1"/>
      <sheetName val="A250.6"/>
      <sheetName val="A.250.6.1"/>
      <sheetName val="A250.7"/>
      <sheetName val="A.250.7.1"/>
      <sheetName val="A250.8"/>
      <sheetName val="A.250.8.1"/>
      <sheetName val="A250.9"/>
      <sheetName val="A.250.9.1"/>
      <sheetName val="A250.10"/>
      <sheetName val="A.250.10.1"/>
      <sheetName val="A250.11"/>
      <sheetName val="A.250.11.1"/>
      <sheetName val="A250.12"/>
      <sheetName val="A.250.12.1"/>
      <sheetName val="A250.13"/>
      <sheetName val="A.250.13.1"/>
      <sheetName val="DATAROMM"/>
      <sheetName val="A260"/>
      <sheetName val="DATACR"/>
      <sheetName val="Sheet2"/>
      <sheetName val="A270"/>
      <sheetName val="A2701"/>
      <sheetName val="A2702"/>
      <sheetName val="B100"/>
      <sheetName val="WSTB-FINAL"/>
      <sheetName val="AJE-RJE"/>
      <sheetName val="HEADERAKUNDOBEL"/>
      <sheetName val="DataLK (Kosong)"/>
      <sheetName val="LK(kosong)"/>
      <sheetName val="Data1"/>
      <sheetName val="COABARU"/>
      <sheetName val="HEADERAKUN"/>
      <sheetName val="FS"/>
      <sheetName val="prosedur horizontal"/>
      <sheetName val="RekapMapAKun"/>
      <sheetName val="B120"/>
      <sheetName val="2"/>
      <sheetName val="2.1"/>
      <sheetName val="3"/>
      <sheetName val="3.1"/>
      <sheetName val="5"/>
      <sheetName val="5.1"/>
      <sheetName val="6"/>
      <sheetName val="6.1"/>
      <sheetName val="7"/>
      <sheetName val="7.1"/>
      <sheetName val="8"/>
      <sheetName val="8.1"/>
      <sheetName val="9"/>
      <sheetName val="9.1"/>
      <sheetName val="10"/>
      <sheetName val="10.1"/>
      <sheetName val="11"/>
      <sheetName val="11.1"/>
      <sheetName val="12"/>
      <sheetName val="12.1"/>
      <sheetName val="13"/>
      <sheetName val="13.1"/>
      <sheetName val="14"/>
      <sheetName val="14.1"/>
      <sheetName val="15"/>
      <sheetName val="15.1"/>
      <sheetName val="16"/>
      <sheetName val="16.1"/>
      <sheetName val="17"/>
      <sheetName val="17.1"/>
      <sheetName val="18"/>
      <sheetName val="18.1"/>
      <sheetName val="19"/>
      <sheetName val="19.1"/>
      <sheetName val="20"/>
      <sheetName val="20.1"/>
      <sheetName val="21"/>
      <sheetName val="21.1"/>
      <sheetName val="22"/>
      <sheetName val="22.1"/>
      <sheetName val="23"/>
      <sheetName val="23.1"/>
      <sheetName val="24"/>
      <sheetName val="24.1"/>
      <sheetName val="25"/>
      <sheetName val="25.1"/>
      <sheetName val="26"/>
      <sheetName val="26.1"/>
      <sheetName val="27"/>
      <sheetName val="27.1"/>
      <sheetName val="28"/>
      <sheetName val="28.1"/>
      <sheetName val="29"/>
      <sheetName val="29.1"/>
      <sheetName val="30"/>
      <sheetName val="30.1"/>
      <sheetName val="31"/>
      <sheetName val="31.1"/>
      <sheetName val="32"/>
      <sheetName val="32.1"/>
      <sheetName val="33"/>
      <sheetName val="33.1"/>
      <sheetName val="34"/>
      <sheetName val="34.1"/>
      <sheetName val="35"/>
      <sheetName val="35.1"/>
      <sheetName val="36"/>
      <sheetName val="36.1"/>
      <sheetName val="37"/>
      <sheetName val="37.1"/>
      <sheetName val="38"/>
      <sheetName val="38.1"/>
      <sheetName val="39"/>
      <sheetName val="39.1"/>
      <sheetName val="40"/>
      <sheetName val="40.1"/>
      <sheetName val="41"/>
      <sheetName val="41.1"/>
      <sheetName val="42"/>
      <sheetName val="42.1"/>
      <sheetName val="43"/>
      <sheetName val="43.1"/>
      <sheetName val="44"/>
      <sheetName val="44.1"/>
      <sheetName val="45"/>
      <sheetName val="45.1"/>
      <sheetName val="46"/>
      <sheetName val="46.1"/>
      <sheetName val="47"/>
      <sheetName val="47.1"/>
      <sheetName val="MdanYa"/>
      <sheetName val="B210"/>
      <sheetName val="B220"/>
      <sheetName val="B230"/>
      <sheetName val="B240"/>
      <sheetName val="B250"/>
      <sheetName val="B260"/>
      <sheetName val="B270"/>
      <sheetName val="B280"/>
      <sheetName val="C110"/>
      <sheetName val="C120"/>
      <sheetName val="C120.1"/>
      <sheetName val="C120.2"/>
      <sheetName val="C220"/>
      <sheetName val="C220A"/>
      <sheetName val="C220B"/>
      <sheetName val="C220C"/>
      <sheetName val="C220D"/>
      <sheetName val="Sheet9"/>
      <sheetName val="C300"/>
      <sheetName val="C100"/>
      <sheetName val="C210"/>
      <sheetName val="C230"/>
      <sheetName val="C400"/>
      <sheetName val="OPINI1"/>
      <sheetName val="OPINI2"/>
      <sheetName val="OPINI3"/>
      <sheetName val="OPINI4"/>
      <sheetName val="DATASIGN"/>
      <sheetName val="Daftar Lampiran"/>
      <sheetName val="Singkatan"/>
    </sheetNames>
    <sheetDataSet>
      <sheetData sheetId="0"/>
      <sheetData sheetId="1">
        <row r="13">
          <cell r="AE13" t="str">
            <v>Perikatan Berulang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7">
          <cell r="F37" t="str">
            <v>Maurice Ganda Nainggolan</v>
          </cell>
        </row>
      </sheetData>
      <sheetData sheetId="19">
        <row r="1">
          <cell r="B1">
            <v>0.35416666666666669</v>
          </cell>
        </row>
        <row r="2">
          <cell r="B2">
            <v>4.1666666666666664E-2</v>
          </cell>
        </row>
        <row r="3">
          <cell r="B3">
            <v>0.72916666666666663</v>
          </cell>
        </row>
        <row r="4">
          <cell r="B4">
            <v>0.33333333333333331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3">
          <cell r="B3" t="str">
            <v>KAP MAURICE GANDA NAINGGOLAN &amp; REKAN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46E7-F1CC-46EA-90E4-936A44335442}">
  <dimension ref="A1:L40"/>
  <sheetViews>
    <sheetView showGridLines="0" tabSelected="1" topLeftCell="A17" zoomScale="80" zoomScaleNormal="80" workbookViewId="0">
      <selection activeCell="F17" sqref="F17:H17"/>
    </sheetView>
  </sheetViews>
  <sheetFormatPr defaultColWidth="3.7265625" defaultRowHeight="15" x14ac:dyDescent="0.35"/>
  <cols>
    <col min="1" max="1" width="19.453125" style="16" bestFit="1" customWidth="1"/>
    <col min="2" max="2" width="31.7265625" style="16" bestFit="1" customWidth="1"/>
    <col min="3" max="3" width="23.81640625" style="16" bestFit="1" customWidth="1"/>
    <col min="4" max="4" width="11.26953125" style="16" customWidth="1"/>
    <col min="5" max="5" width="15.1796875" style="16" bestFit="1" customWidth="1"/>
    <col min="6" max="6" width="25.7265625" style="16" customWidth="1"/>
    <col min="7" max="7" width="14.1796875" style="16" customWidth="1"/>
    <col min="8" max="8" width="15.453125" style="16" customWidth="1"/>
    <col min="9" max="10" width="3.7265625" style="16"/>
    <col min="11" max="11" width="17" style="16" bestFit="1" customWidth="1"/>
    <col min="12" max="12" width="18.453125" style="16" bestFit="1" customWidth="1"/>
    <col min="13" max="16384" width="3.7265625" style="16"/>
  </cols>
  <sheetData>
    <row r="1" spans="1:8" ht="14" x14ac:dyDescent="0.35">
      <c r="A1" s="15"/>
      <c r="B1" s="15"/>
      <c r="C1" s="15"/>
      <c r="D1" s="15"/>
      <c r="E1" s="15"/>
      <c r="F1" s="15"/>
      <c r="G1" s="15"/>
      <c r="H1" s="15"/>
    </row>
    <row r="2" spans="1:8" ht="14" x14ac:dyDescent="0.35">
      <c r="A2" s="3" t="s">
        <v>0</v>
      </c>
      <c r="B2" s="17" t="s">
        <v>1</v>
      </c>
      <c r="C2" s="3"/>
      <c r="D2" s="3"/>
      <c r="E2" s="18" t="s">
        <v>2</v>
      </c>
      <c r="F2" s="19" t="s">
        <v>50</v>
      </c>
      <c r="G2" s="20"/>
      <c r="H2" s="18"/>
    </row>
    <row r="3" spans="1:8" ht="14" x14ac:dyDescent="0.35">
      <c r="A3" s="3" t="s">
        <v>3</v>
      </c>
      <c r="B3" s="17" t="s">
        <v>48</v>
      </c>
      <c r="C3" s="3"/>
      <c r="D3" s="3"/>
      <c r="E3" s="18" t="s">
        <v>4</v>
      </c>
      <c r="F3" s="21">
        <v>45768</v>
      </c>
      <c r="G3" s="18" t="s">
        <v>5</v>
      </c>
      <c r="H3" s="22">
        <v>0.39583333333333331</v>
      </c>
    </row>
    <row r="4" spans="1:8" ht="14" x14ac:dyDescent="0.35">
      <c r="A4" s="3" t="s">
        <v>6</v>
      </c>
      <c r="B4" s="17" t="s">
        <v>47</v>
      </c>
      <c r="C4" s="3"/>
      <c r="D4" s="3"/>
      <c r="E4" s="18" t="s">
        <v>7</v>
      </c>
      <c r="F4" s="21">
        <v>45770</v>
      </c>
      <c r="G4" s="18" t="s">
        <v>8</v>
      </c>
      <c r="H4" s="22">
        <v>0.45833333333333331</v>
      </c>
    </row>
    <row r="5" spans="1:8" ht="34.5" customHeight="1" x14ac:dyDescent="0.35">
      <c r="A5" s="3" t="s">
        <v>9</v>
      </c>
      <c r="B5" s="55" t="s">
        <v>44</v>
      </c>
      <c r="C5" s="55"/>
      <c r="D5" s="3"/>
      <c r="E5" s="18" t="s">
        <v>10</v>
      </c>
      <c r="F5" s="23">
        <f>IF(OR(F3="",F4=""),0,F4-F3)</f>
        <v>2</v>
      </c>
      <c r="G5" s="18" t="s">
        <v>11</v>
      </c>
      <c r="H5" s="24">
        <f>IF(H4="","",IF(F5=0,H4-H3,IF(F5=1,([1]JamKerja!$B$3-H3)+(H4-[1]JamKerja!$B$1)-[1]JamKerja!$B$2,IF(F5&gt;1,(([1]JamKerja!$B$3-H3)+(H4-[1]JamKerja!$B$1)-[1]JamKerja!$B$2)+((F5-1)*[1]JamKerja!$B$4),""))))</f>
        <v>0.72916666666666652</v>
      </c>
    </row>
    <row r="6" spans="1:8" ht="14" x14ac:dyDescent="0.35">
      <c r="A6" s="3" t="s">
        <v>12</v>
      </c>
      <c r="B6" s="44" t="s">
        <v>49</v>
      </c>
      <c r="C6" s="3"/>
      <c r="D6" s="3"/>
      <c r="E6" s="18" t="s">
        <v>13</v>
      </c>
      <c r="F6" s="19" t="s">
        <v>51</v>
      </c>
      <c r="G6" s="25"/>
      <c r="H6" s="26"/>
    </row>
    <row r="7" spans="1:8" ht="14" x14ac:dyDescent="0.35">
      <c r="A7" s="3" t="s">
        <v>14</v>
      </c>
      <c r="B7" s="3"/>
      <c r="C7" s="3"/>
      <c r="D7" s="3"/>
      <c r="E7" s="18" t="s">
        <v>4</v>
      </c>
      <c r="F7" s="21">
        <v>45770</v>
      </c>
      <c r="G7" s="18" t="s">
        <v>5</v>
      </c>
      <c r="H7" s="22">
        <v>0.5625</v>
      </c>
    </row>
    <row r="8" spans="1:8" ht="15" customHeight="1" x14ac:dyDescent="0.35">
      <c r="A8" s="3" t="s">
        <v>15</v>
      </c>
      <c r="B8" s="3" t="s">
        <v>16</v>
      </c>
      <c r="C8" s="5"/>
      <c r="D8" s="5"/>
      <c r="E8" s="18" t="s">
        <v>7</v>
      </c>
      <c r="F8" s="21">
        <v>45770</v>
      </c>
      <c r="G8" s="18" t="s">
        <v>8</v>
      </c>
      <c r="H8" s="22">
        <v>0.60416666666666663</v>
      </c>
    </row>
    <row r="9" spans="1:8" ht="14" x14ac:dyDescent="0.35">
      <c r="A9" s="3" t="s">
        <v>17</v>
      </c>
      <c r="B9" s="3"/>
      <c r="C9" s="3"/>
      <c r="D9" s="3"/>
      <c r="E9" s="18" t="s">
        <v>10</v>
      </c>
      <c r="F9" s="23">
        <f>IF(OR(F7="",F8=""),0,F8-F7)</f>
        <v>0</v>
      </c>
      <c r="G9" s="18" t="s">
        <v>11</v>
      </c>
      <c r="H9" s="24">
        <f>IF(H8="","",IF(F9=0,H8-H7,IF(F9=1,([1]JamKerja!$B$3-H7)+(H8-[1]JamKerja!$B$1)-[1]JamKerja!$B$2,IF(F9&gt;1,(([1]JamKerja!$B$3-H7)+(H8-[1]JamKerja!$B$1)-[1]JamKerja!$B$2)+((F9-1)*[1]JamKerja!$B$4),""))))</f>
        <v>4.166666666666663E-2</v>
      </c>
    </row>
    <row r="10" spans="1:8" ht="14" x14ac:dyDescent="0.35">
      <c r="A10" s="3"/>
      <c r="B10" s="3"/>
      <c r="C10" s="3"/>
      <c r="D10" s="3"/>
      <c r="E10" s="18" t="s">
        <v>10</v>
      </c>
      <c r="F10" s="23">
        <f>F5+F9</f>
        <v>2</v>
      </c>
      <c r="G10" s="18" t="s">
        <v>18</v>
      </c>
      <c r="H10" s="27">
        <f>IF(OR(H5="",H9=""),"",H5+H9)</f>
        <v>0.77083333333333315</v>
      </c>
    </row>
    <row r="11" spans="1:8" ht="5.25" customHeight="1" x14ac:dyDescent="0.35"/>
    <row r="12" spans="1:8" ht="15" customHeight="1" x14ac:dyDescent="0.35">
      <c r="A12" s="28"/>
      <c r="B12" s="29"/>
      <c r="C12" s="30"/>
      <c r="D12" s="30"/>
      <c r="E12" s="20"/>
      <c r="F12" s="20"/>
      <c r="G12" s="20"/>
      <c r="H12" s="20"/>
    </row>
    <row r="13" spans="1:8" ht="15" customHeight="1" x14ac:dyDescent="0.35">
      <c r="A13" s="56" t="s">
        <v>19</v>
      </c>
      <c r="B13" s="56"/>
      <c r="C13" s="56"/>
      <c r="D13" s="56"/>
      <c r="E13" s="57" t="s">
        <v>20</v>
      </c>
      <c r="F13" s="58" t="s">
        <v>21</v>
      </c>
      <c r="G13" s="58"/>
      <c r="H13" s="58"/>
    </row>
    <row r="14" spans="1:8" x14ac:dyDescent="0.35">
      <c r="A14" s="56"/>
      <c r="B14" s="56"/>
      <c r="C14" s="56"/>
      <c r="D14" s="56"/>
      <c r="E14" s="57"/>
      <c r="F14" s="58"/>
      <c r="G14" s="58"/>
      <c r="H14" s="58"/>
    </row>
    <row r="15" spans="1:8" ht="14" x14ac:dyDescent="0.35">
      <c r="A15" s="59"/>
      <c r="B15" s="59"/>
      <c r="C15" s="59"/>
      <c r="D15" s="59"/>
      <c r="E15" s="31"/>
      <c r="F15" s="5"/>
      <c r="G15" s="5"/>
      <c r="H15" s="5"/>
    </row>
    <row r="16" spans="1:8" ht="81.75" customHeight="1" x14ac:dyDescent="0.35">
      <c r="A16" s="1" t="s">
        <v>45</v>
      </c>
      <c r="B16" s="2"/>
      <c r="C16" s="3"/>
      <c r="D16" s="3"/>
      <c r="E16" s="4">
        <v>1440</v>
      </c>
      <c r="F16" s="60" t="s">
        <v>43</v>
      </c>
      <c r="G16" s="61"/>
      <c r="H16" s="61"/>
    </row>
    <row r="17" spans="1:12" ht="15" customHeight="1" x14ac:dyDescent="0.35">
      <c r="A17" s="1" t="s">
        <v>22</v>
      </c>
      <c r="B17" s="13"/>
      <c r="C17" s="5"/>
      <c r="D17" s="5"/>
      <c r="E17" s="7">
        <v>1470</v>
      </c>
      <c r="F17" s="47" t="s">
        <v>36</v>
      </c>
      <c r="G17" s="48"/>
      <c r="H17" s="48"/>
    </row>
    <row r="18" spans="1:12" ht="28" x14ac:dyDescent="0.35">
      <c r="A18" s="1" t="s">
        <v>23</v>
      </c>
      <c r="B18" s="13"/>
      <c r="C18" s="5"/>
      <c r="D18" s="5"/>
      <c r="E18" s="14" t="s">
        <v>42</v>
      </c>
      <c r="F18" s="47" t="s">
        <v>37</v>
      </c>
      <c r="G18" s="48"/>
      <c r="H18" s="48"/>
    </row>
    <row r="19" spans="1:12" x14ac:dyDescent="0.35">
      <c r="A19" s="1" t="s">
        <v>24</v>
      </c>
      <c r="B19" s="5"/>
      <c r="C19" s="5"/>
      <c r="D19" s="5"/>
      <c r="E19" s="32"/>
      <c r="F19" s="47" t="s">
        <v>38</v>
      </c>
      <c r="G19" s="48"/>
      <c r="H19" s="48"/>
    </row>
    <row r="20" spans="1:12" ht="29.25" customHeight="1" x14ac:dyDescent="0.35">
      <c r="A20" s="1" t="s">
        <v>46</v>
      </c>
      <c r="B20" s="5"/>
      <c r="C20" s="5"/>
      <c r="D20" s="5"/>
      <c r="E20" s="7">
        <v>5906</v>
      </c>
      <c r="F20" s="47" t="s">
        <v>52</v>
      </c>
      <c r="G20" s="48"/>
      <c r="H20" s="48"/>
    </row>
    <row r="21" spans="1:12" ht="33" customHeight="1" x14ac:dyDescent="0.35">
      <c r="A21" s="1" t="s">
        <v>25</v>
      </c>
      <c r="B21" s="5"/>
      <c r="C21" s="1"/>
      <c r="D21" s="5"/>
      <c r="E21" s="6">
        <v>4400</v>
      </c>
      <c r="F21" s="47" t="s">
        <v>53</v>
      </c>
      <c r="G21" s="48"/>
      <c r="H21" s="48"/>
    </row>
    <row r="22" spans="1:12" x14ac:dyDescent="0.35">
      <c r="A22" s="1" t="s">
        <v>26</v>
      </c>
      <c r="B22" s="5"/>
      <c r="C22" s="5"/>
      <c r="D22" s="5"/>
      <c r="E22" s="7">
        <v>5907</v>
      </c>
      <c r="F22" s="47" t="s">
        <v>54</v>
      </c>
      <c r="G22" s="48"/>
      <c r="H22" s="48"/>
      <c r="L22" s="33"/>
    </row>
    <row r="23" spans="1:12" ht="30" customHeight="1" x14ac:dyDescent="0.35">
      <c r="A23" s="1" t="s">
        <v>27</v>
      </c>
      <c r="B23" s="5"/>
      <c r="C23" s="5"/>
      <c r="D23" s="5"/>
      <c r="E23" s="7">
        <v>1460</v>
      </c>
      <c r="F23" s="47" t="s">
        <v>40</v>
      </c>
      <c r="G23" s="48"/>
      <c r="H23" s="48"/>
      <c r="L23" s="33"/>
    </row>
    <row r="24" spans="1:12" x14ac:dyDescent="0.35">
      <c r="A24" s="1" t="s">
        <v>28</v>
      </c>
      <c r="B24" s="5"/>
      <c r="C24" s="5"/>
      <c r="D24" s="5"/>
      <c r="E24" s="7">
        <v>5300</v>
      </c>
      <c r="F24" s="49" t="s">
        <v>55</v>
      </c>
      <c r="G24" s="48"/>
      <c r="H24" s="48"/>
      <c r="K24" s="34"/>
    </row>
    <row r="25" spans="1:12" x14ac:dyDescent="0.35">
      <c r="A25" s="1" t="s">
        <v>29</v>
      </c>
      <c r="B25" s="5"/>
      <c r="C25" s="5"/>
      <c r="D25" s="5"/>
      <c r="E25" s="7">
        <v>5300</v>
      </c>
      <c r="F25" s="62">
        <v>2311000</v>
      </c>
      <c r="G25" s="63">
        <v>380097000</v>
      </c>
      <c r="H25" s="63">
        <v>380097000</v>
      </c>
      <c r="K25" s="34"/>
      <c r="L25" s="35"/>
    </row>
    <row r="26" spans="1:12" ht="15" customHeight="1" x14ac:dyDescent="0.35">
      <c r="A26" s="1" t="s">
        <v>30</v>
      </c>
      <c r="B26" s="5"/>
      <c r="C26" s="5"/>
      <c r="D26" s="5"/>
      <c r="E26" s="7">
        <v>1420</v>
      </c>
      <c r="F26" s="47" t="s">
        <v>41</v>
      </c>
      <c r="G26" s="48"/>
      <c r="H26" s="48"/>
      <c r="K26" s="34"/>
    </row>
    <row r="27" spans="1:12" x14ac:dyDescent="0.35">
      <c r="A27" s="1" t="s">
        <v>31</v>
      </c>
      <c r="B27" s="5"/>
      <c r="C27" s="5"/>
      <c r="D27" s="5"/>
      <c r="E27" s="7"/>
      <c r="F27" s="47" t="s">
        <v>56</v>
      </c>
      <c r="G27" s="48"/>
      <c r="H27" s="48"/>
    </row>
    <row r="28" spans="1:12" ht="28" x14ac:dyDescent="0.35">
      <c r="A28" s="8" t="s">
        <v>32</v>
      </c>
      <c r="B28" s="9"/>
      <c r="C28" s="10"/>
      <c r="D28" s="10"/>
      <c r="E28" s="11" t="s">
        <v>33</v>
      </c>
      <c r="F28" s="50"/>
      <c r="G28" s="51"/>
      <c r="H28" s="52"/>
    </row>
    <row r="29" spans="1:12" x14ac:dyDescent="0.35">
      <c r="A29" s="36"/>
      <c r="B29" s="13"/>
      <c r="C29" s="5"/>
      <c r="D29" s="5"/>
      <c r="E29" s="5"/>
      <c r="F29" s="37">
        <f>COUNTA(F16:H27)</f>
        <v>14</v>
      </c>
      <c r="G29" s="20"/>
      <c r="H29" s="20"/>
    </row>
    <row r="30" spans="1:12" x14ac:dyDescent="0.35">
      <c r="A30" s="36"/>
      <c r="B30" s="13"/>
      <c r="C30" s="5"/>
      <c r="D30" s="5"/>
      <c r="E30" s="5"/>
      <c r="F30" s="20"/>
      <c r="G30" s="20"/>
      <c r="H30" s="20"/>
    </row>
    <row r="31" spans="1:12" x14ac:dyDescent="0.35">
      <c r="A31" s="36"/>
      <c r="B31" s="13"/>
      <c r="C31" s="5"/>
      <c r="D31" s="5"/>
      <c r="E31" s="5"/>
      <c r="F31" s="20"/>
      <c r="G31" s="20"/>
      <c r="H31" s="20"/>
    </row>
    <row r="32" spans="1:12" x14ac:dyDescent="0.35">
      <c r="A32" s="38"/>
      <c r="B32" s="39"/>
      <c r="C32" s="20"/>
      <c r="D32" s="20"/>
      <c r="E32" s="20"/>
      <c r="F32" s="20"/>
      <c r="G32" s="20"/>
      <c r="H32" s="20"/>
    </row>
    <row r="33" spans="1:8" x14ac:dyDescent="0.35">
      <c r="A33" s="20"/>
      <c r="B33" s="20"/>
      <c r="C33" s="20"/>
      <c r="D33" s="20"/>
      <c r="E33" s="20"/>
      <c r="F33" s="20"/>
      <c r="G33" s="20"/>
      <c r="H33" s="20"/>
    </row>
    <row r="34" spans="1:8" ht="15.5" thickBot="1" x14ac:dyDescent="0.4">
      <c r="A34" s="40" t="s">
        <v>34</v>
      </c>
      <c r="B34" s="20"/>
      <c r="C34" s="20"/>
      <c r="D34" s="20"/>
      <c r="E34" s="20"/>
      <c r="F34" s="20"/>
      <c r="G34" s="20"/>
      <c r="H34" s="20"/>
    </row>
    <row r="35" spans="1:8" ht="15.5" thickBot="1" x14ac:dyDescent="0.4">
      <c r="A35" s="53" t="s">
        <v>39</v>
      </c>
      <c r="B35" s="54"/>
      <c r="C35" s="20"/>
      <c r="D35" s="12" t="s">
        <v>35</v>
      </c>
      <c r="E35" s="41" t="str">
        <f>IF(A35="","Incompleted","Completed")</f>
        <v>Completed</v>
      </c>
      <c r="F35" s="20"/>
      <c r="G35" s="20"/>
      <c r="H35" s="20"/>
    </row>
    <row r="36" spans="1:8" x14ac:dyDescent="0.35">
      <c r="A36" s="42"/>
      <c r="B36" s="42"/>
      <c r="C36" s="5"/>
      <c r="D36" s="5"/>
      <c r="E36" s="20"/>
      <c r="F36" s="20"/>
      <c r="G36" s="20"/>
      <c r="H36" s="20"/>
    </row>
    <row r="37" spans="1:8" x14ac:dyDescent="0.35">
      <c r="A37" s="43" t="str">
        <f>IF(A35="Audit final memorandum tidak memadai","Jelaskan !","")</f>
        <v/>
      </c>
      <c r="B37" s="30"/>
      <c r="C37" s="30"/>
      <c r="D37" s="30"/>
      <c r="E37" s="20"/>
      <c r="F37" s="20"/>
      <c r="G37" s="20"/>
      <c r="H37" s="20"/>
    </row>
    <row r="38" spans="1:8" x14ac:dyDescent="0.35">
      <c r="A38" s="45"/>
      <c r="B38" s="46"/>
      <c r="C38" s="46"/>
      <c r="D38" s="46"/>
      <c r="E38" s="20"/>
      <c r="F38" s="20"/>
      <c r="G38" s="20"/>
      <c r="H38" s="20"/>
    </row>
    <row r="39" spans="1:8" x14ac:dyDescent="0.35">
      <c r="A39" s="46"/>
      <c r="B39" s="46"/>
      <c r="C39" s="46"/>
      <c r="D39" s="46"/>
      <c r="E39" s="20"/>
      <c r="F39" s="20"/>
      <c r="G39" s="20"/>
      <c r="H39" s="20"/>
    </row>
    <row r="40" spans="1:8" x14ac:dyDescent="0.35">
      <c r="A40" s="46"/>
      <c r="B40" s="46"/>
      <c r="C40" s="46"/>
      <c r="D40" s="46"/>
      <c r="E40" s="20"/>
      <c r="F40" s="20"/>
      <c r="G40" s="20"/>
      <c r="H40" s="20"/>
    </row>
  </sheetData>
  <mergeCells count="20">
    <mergeCell ref="B5:C5"/>
    <mergeCell ref="F18:H18"/>
    <mergeCell ref="A13:D14"/>
    <mergeCell ref="E13:E14"/>
    <mergeCell ref="F13:H14"/>
    <mergeCell ref="A15:D15"/>
    <mergeCell ref="F16:H16"/>
    <mergeCell ref="F17:H17"/>
    <mergeCell ref="A38:D40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A35:B35"/>
  </mergeCells>
  <conditionalFormatting sqref="A38:D40">
    <cfRule type="expression" dxfId="2" priority="1">
      <formula>IF($A$37&lt;&gt;"",TRUE,FALSE)</formula>
    </cfRule>
    <cfRule type="expression" dxfId="1" priority="2">
      <formula>IF($E$669&lt;&gt;"",TRUE,FALSE)</formula>
    </cfRule>
    <cfRule type="expression" dxfId="0" priority="3">
      <formula>IF($B$5326&lt;&gt;"",TRUE,FALSE)</formula>
    </cfRule>
  </conditionalFormatting>
  <dataValidations count="5">
    <dataValidation type="list" allowBlank="1" showInputMessage="1" showErrorMessage="1" sqref="A35:B35" xr:uid="{1C154645-1131-40EE-8479-DD477107A065}">
      <formula1>"Audit final memorandum telah memadai, Audit final memorandum tidak memadai"</formula1>
    </dataValidation>
    <dataValidation type="date" operator="greaterThanOrEqual" allowBlank="1" showInputMessage="1" showErrorMessage="1" error="Tanggal Mulai Review harus sama dengan atau diatas Tanggal Selesai Preparer" prompt="isi dengan format tanggal/bulan/tahun " sqref="F7:F8" xr:uid="{D2382EEC-2BEB-4DF9-8413-0FFED4AD0538}">
      <formula1>F4</formula1>
    </dataValidation>
    <dataValidation allowBlank="1" showInputMessage="1" showErrorMessage="1" prompt="Tidak perlu diisi, otomatis terisi" sqref="H5 H9:H10" xr:uid="{6D951D80-5D1C-48D7-AD5C-F652627232A1}"/>
    <dataValidation allowBlank="1" showInputMessage="1" showErrorMessage="1" prompt="Cell ini otomatis terisi, tidak perlu diinput" sqref="F9:F10 F5" xr:uid="{AB2FC7FE-AAEF-4ACC-ACC6-34018F35B0DB}"/>
    <dataValidation allowBlank="1" showInputMessage="1" showErrorMessage="1" prompt="isi dengan format tanggal/bulan/tahun " sqref="F3:F4" xr:uid="{1C61162C-B843-4929-9154-98484607D5A1}"/>
  </dataValidations>
  <printOptions horizontalCentered="1"/>
  <pageMargins left="0.51181102362204722" right="0.31496062992125984" top="0.55118110236220474" bottom="0.35433070866141736" header="0.31496062992125984" footer="0.31496062992125984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KAP MGN 1</cp:lastModifiedBy>
  <cp:lastPrinted>2022-10-12T15:39:55Z</cp:lastPrinted>
  <dcterms:created xsi:type="dcterms:W3CDTF">2021-03-29T13:23:47Z</dcterms:created>
  <dcterms:modified xsi:type="dcterms:W3CDTF">2025-10-24T09:49:22Z</dcterms:modified>
</cp:coreProperties>
</file>