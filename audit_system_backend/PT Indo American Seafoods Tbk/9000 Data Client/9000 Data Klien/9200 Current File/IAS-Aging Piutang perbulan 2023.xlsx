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RIA\KONSOLIDASI IAS-ISP\04-1. AFTER IPO\3. Desember 2024\Aging Piutang Per Bulan\2023\"/>
    </mc:Choice>
  </mc:AlternateContent>
  <xr:revisionPtr revIDLastSave="0" documentId="13_ncr:1_{AECB5DCD-A4DA-4D8A-A458-DD0764D37316}" xr6:coauthVersionLast="47" xr6:coauthVersionMax="47" xr10:uidLastSave="{00000000-0000-0000-0000-000000000000}"/>
  <bookViews>
    <workbookView xWindow="-110" yWindow="-110" windowWidth="19420" windowHeight="10420" firstSheet="2" activeTab="11" xr2:uid="{9CF11C7B-45A4-4C26-B500-F4FF1756D001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10" r:id="rId9"/>
    <sheet name="Oktober" sheetId="9" r:id="rId10"/>
    <sheet name="November" sheetId="12" r:id="rId11"/>
    <sheet name="Desember" sheetId="11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1" l="1"/>
  <c r="E11" i="11"/>
  <c r="E13" i="11"/>
  <c r="Q19" i="11"/>
  <c r="P19" i="11"/>
  <c r="O19" i="11"/>
  <c r="P11" i="12" l="1"/>
  <c r="O11" i="12"/>
  <c r="N11" i="12"/>
  <c r="M11" i="12"/>
  <c r="L11" i="12"/>
  <c r="L26" i="12"/>
  <c r="L22" i="12"/>
  <c r="L18" i="12"/>
  <c r="L17" i="12"/>
  <c r="L16" i="12"/>
  <c r="J26" i="12"/>
  <c r="K26" i="12" s="1"/>
  <c r="J22" i="12"/>
  <c r="K22" i="12" s="1"/>
  <c r="J18" i="12"/>
  <c r="K18" i="12" s="1"/>
  <c r="J17" i="12"/>
  <c r="K17" i="12" s="1"/>
  <c r="K16" i="12"/>
  <c r="J16" i="12"/>
  <c r="E26" i="12"/>
  <c r="F25" i="12"/>
  <c r="E22" i="12"/>
  <c r="F21" i="12"/>
  <c r="E18" i="12"/>
  <c r="E17" i="12"/>
  <c r="E16" i="12"/>
  <c r="F15" i="12"/>
  <c r="D10" i="12"/>
  <c r="E10" i="12"/>
  <c r="P16" i="9"/>
  <c r="O16" i="9"/>
  <c r="N16" i="9"/>
  <c r="M16" i="9"/>
  <c r="L16" i="9"/>
  <c r="N35" i="7"/>
  <c r="M31" i="5"/>
  <c r="P14" i="4"/>
  <c r="O14" i="4"/>
  <c r="N14" i="4"/>
  <c r="M14" i="4"/>
  <c r="L14" i="4"/>
  <c r="F19" i="12" l="1"/>
  <c r="F23" i="12"/>
  <c r="F27" i="12"/>
  <c r="E22" i="2" l="1"/>
  <c r="F20" i="7"/>
  <c r="N32" i="8"/>
  <c r="H37" i="7"/>
  <c r="H34" i="8"/>
  <c r="H31" i="8"/>
  <c r="G33" i="8"/>
  <c r="F33" i="8"/>
  <c r="O24" i="7"/>
  <c r="F24" i="7"/>
  <c r="G24" i="7"/>
  <c r="L26" i="6"/>
  <c r="F26" i="6"/>
  <c r="F32" i="5"/>
  <c r="P15" i="5"/>
  <c r="O15" i="5"/>
  <c r="N15" i="5"/>
  <c r="M15" i="5"/>
  <c r="M28" i="3"/>
  <c r="P35" i="3"/>
  <c r="F36" i="3"/>
  <c r="F35" i="3"/>
  <c r="J44" i="2"/>
  <c r="K44" i="2" s="1"/>
  <c r="J22" i="2"/>
  <c r="K22" i="2"/>
  <c r="F36" i="2"/>
  <c r="F35" i="2"/>
  <c r="Q35" i="1"/>
  <c r="G36" i="1"/>
  <c r="Q15" i="1" l="1"/>
  <c r="P15" i="1"/>
  <c r="O15" i="1"/>
  <c r="N15" i="1"/>
  <c r="P17" i="2"/>
  <c r="O17" i="2"/>
  <c r="N17" i="2"/>
  <c r="M17" i="2"/>
  <c r="L17" i="2"/>
  <c r="P17" i="3"/>
  <c r="O17" i="3"/>
  <c r="N17" i="3"/>
  <c r="M17" i="3"/>
  <c r="R15" i="6"/>
  <c r="Q15" i="6"/>
  <c r="P15" i="6"/>
  <c r="O15" i="6"/>
  <c r="R15" i="7"/>
  <c r="Q15" i="7"/>
  <c r="P15" i="7"/>
  <c r="O15" i="7"/>
  <c r="R16" i="8"/>
  <c r="Q16" i="8"/>
  <c r="P16" i="8"/>
  <c r="O16" i="8"/>
  <c r="P16" i="10"/>
  <c r="N16" i="10"/>
  <c r="M16" i="10"/>
  <c r="N16" i="8"/>
  <c r="F48" i="11"/>
  <c r="L48" i="11"/>
  <c r="M48" i="11"/>
  <c r="N48" i="11"/>
  <c r="L35" i="7"/>
  <c r="G36" i="7"/>
  <c r="F36" i="7"/>
  <c r="G35" i="7"/>
  <c r="F35" i="7"/>
  <c r="L57" i="11"/>
  <c r="M57" i="11" s="1"/>
  <c r="F57" i="11"/>
  <c r="F30" i="7"/>
  <c r="G30" i="7"/>
  <c r="L30" i="7"/>
  <c r="M30" i="7"/>
  <c r="N30" i="7"/>
  <c r="F31" i="7"/>
  <c r="G31" i="7"/>
  <c r="L31" i="7"/>
  <c r="M31" i="7"/>
  <c r="N31" i="7"/>
  <c r="L41" i="11"/>
  <c r="M41" i="11" s="1"/>
  <c r="L40" i="11"/>
  <c r="M40" i="11" s="1"/>
  <c r="F41" i="11"/>
  <c r="N41" i="11" s="1"/>
  <c r="F40" i="11"/>
  <c r="L36" i="11"/>
  <c r="M36" i="11" s="1"/>
  <c r="F36" i="11"/>
  <c r="L32" i="11"/>
  <c r="M32" i="11" s="1"/>
  <c r="F32" i="11"/>
  <c r="L28" i="11"/>
  <c r="M28" i="11" s="1"/>
  <c r="L27" i="11"/>
  <c r="M27" i="11" s="1"/>
  <c r="L26" i="11"/>
  <c r="M26" i="11" s="1"/>
  <c r="L25" i="11"/>
  <c r="M25" i="11" s="1"/>
  <c r="L24" i="11"/>
  <c r="M24" i="11" s="1"/>
  <c r="F28" i="11"/>
  <c r="F27" i="11"/>
  <c r="F26" i="11"/>
  <c r="N26" i="11" s="1"/>
  <c r="F25" i="11"/>
  <c r="N25" i="11" s="1"/>
  <c r="F24" i="11"/>
  <c r="E10" i="11"/>
  <c r="H39" i="11" s="1"/>
  <c r="E9" i="11"/>
  <c r="H35" i="11" s="1"/>
  <c r="E8" i="11"/>
  <c r="H31" i="11" s="1"/>
  <c r="E7" i="11"/>
  <c r="H23" i="11" s="1"/>
  <c r="D17" i="11"/>
  <c r="E14" i="11"/>
  <c r="H56" i="11" s="1"/>
  <c r="H52" i="11"/>
  <c r="H54" i="11" s="1"/>
  <c r="E12" i="11"/>
  <c r="H47" i="11" s="1"/>
  <c r="H44" i="11"/>
  <c r="R44" i="11" s="1"/>
  <c r="R19" i="11" s="1"/>
  <c r="J20" i="9"/>
  <c r="K20" i="9" s="1"/>
  <c r="E20" i="9"/>
  <c r="J28" i="10"/>
  <c r="K28" i="10" s="1"/>
  <c r="E28" i="10"/>
  <c r="J24" i="10"/>
  <c r="K24" i="10" s="1"/>
  <c r="E24" i="10"/>
  <c r="J20" i="10"/>
  <c r="K20" i="10" s="1"/>
  <c r="E20" i="10"/>
  <c r="D13" i="10"/>
  <c r="E10" i="10"/>
  <c r="F31" i="10" s="1"/>
  <c r="E9" i="10"/>
  <c r="F27" i="10" s="1"/>
  <c r="E8" i="10"/>
  <c r="F23" i="10" s="1"/>
  <c r="E7" i="10"/>
  <c r="F19" i="10" s="1"/>
  <c r="D13" i="9"/>
  <c r="E8" i="9"/>
  <c r="F23" i="9" s="1"/>
  <c r="P23" i="9" s="1"/>
  <c r="E7" i="9"/>
  <c r="F19" i="9" s="1"/>
  <c r="L41" i="8"/>
  <c r="M41" i="8" s="1"/>
  <c r="F41" i="8"/>
  <c r="L37" i="8"/>
  <c r="M37" i="8" s="1"/>
  <c r="L32" i="8"/>
  <c r="M32" i="8" s="1"/>
  <c r="L28" i="8"/>
  <c r="M28" i="8" s="1"/>
  <c r="L27" i="8"/>
  <c r="M27" i="8" s="1"/>
  <c r="L26" i="8"/>
  <c r="M26" i="8" s="1"/>
  <c r="L25" i="8"/>
  <c r="M25" i="8" s="1"/>
  <c r="F28" i="8"/>
  <c r="N28" i="8" s="1"/>
  <c r="F27" i="8"/>
  <c r="N27" i="8" s="1"/>
  <c r="F26" i="8"/>
  <c r="N26" i="8" s="1"/>
  <c r="F25" i="8"/>
  <c r="N25" i="8" s="1"/>
  <c r="L20" i="8"/>
  <c r="M20" i="8" s="1"/>
  <c r="F20" i="8"/>
  <c r="F11" i="8"/>
  <c r="H40" i="8" s="1"/>
  <c r="E13" i="8"/>
  <c r="F10" i="8"/>
  <c r="H36" i="8" s="1"/>
  <c r="F9" i="8"/>
  <c r="F8" i="8"/>
  <c r="H24" i="8" s="1"/>
  <c r="F7" i="8"/>
  <c r="H19" i="8" s="1"/>
  <c r="L20" i="9" l="1"/>
  <c r="F21" i="9"/>
  <c r="P32" i="10"/>
  <c r="F32" i="10"/>
  <c r="F21" i="10"/>
  <c r="L20" i="10"/>
  <c r="L24" i="10"/>
  <c r="F25" i="10"/>
  <c r="F29" i="10"/>
  <c r="L28" i="10"/>
  <c r="N37" i="8"/>
  <c r="H38" i="8"/>
  <c r="N41" i="8"/>
  <c r="H42" i="8"/>
  <c r="H45" i="11"/>
  <c r="H33" i="11"/>
  <c r="N32" i="11"/>
  <c r="N36" i="11"/>
  <c r="H37" i="11"/>
  <c r="H42" i="11"/>
  <c r="N40" i="11"/>
  <c r="H49" i="11"/>
  <c r="H58" i="11"/>
  <c r="N57" i="11"/>
  <c r="F24" i="9"/>
  <c r="H29" i="11"/>
  <c r="N24" i="11"/>
  <c r="N27" i="11"/>
  <c r="N28" i="11"/>
  <c r="E13" i="10"/>
  <c r="E13" i="9"/>
  <c r="H29" i="8"/>
  <c r="N20" i="8"/>
  <c r="H21" i="8"/>
  <c r="F13" i="8"/>
  <c r="N19" i="11" l="1"/>
  <c r="O16" i="10"/>
  <c r="L16" i="10"/>
  <c r="L26" i="7"/>
  <c r="M26" i="7" s="1"/>
  <c r="L25" i="7"/>
  <c r="M25" i="7" s="1"/>
  <c r="G26" i="7"/>
  <c r="F26" i="7"/>
  <c r="N26" i="7" s="1"/>
  <c r="G25" i="7"/>
  <c r="F25" i="7"/>
  <c r="L20" i="7"/>
  <c r="G20" i="7"/>
  <c r="L19" i="7"/>
  <c r="G19" i="7"/>
  <c r="F19" i="7"/>
  <c r="M35" i="7"/>
  <c r="L24" i="7"/>
  <c r="M24" i="7" s="1"/>
  <c r="M20" i="7"/>
  <c r="N20" i="7"/>
  <c r="M19" i="7"/>
  <c r="D12" i="7"/>
  <c r="E10" i="7"/>
  <c r="H34" i="7" s="1"/>
  <c r="E9" i="7"/>
  <c r="H29" i="7" s="1"/>
  <c r="E8" i="7"/>
  <c r="H23" i="7" s="1"/>
  <c r="E7" i="7"/>
  <c r="L40" i="6"/>
  <c r="M40" i="6" s="1"/>
  <c r="L39" i="6"/>
  <c r="M39" i="6" s="1"/>
  <c r="L38" i="6"/>
  <c r="M38" i="6" s="1"/>
  <c r="F40" i="6"/>
  <c r="N40" i="6" s="1"/>
  <c r="F39" i="6"/>
  <c r="N39" i="6" s="1"/>
  <c r="F38" i="6"/>
  <c r="L33" i="6"/>
  <c r="F33" i="6"/>
  <c r="L29" i="6"/>
  <c r="M29" i="6" s="1"/>
  <c r="L28" i="6"/>
  <c r="M28" i="6" s="1"/>
  <c r="L27" i="6"/>
  <c r="M27" i="6" s="1"/>
  <c r="F29" i="6"/>
  <c r="N29" i="6" s="1"/>
  <c r="F28" i="6"/>
  <c r="N28" i="6" s="1"/>
  <c r="F27" i="6"/>
  <c r="N27" i="6" s="1"/>
  <c r="L22" i="6"/>
  <c r="M22" i="6" s="1"/>
  <c r="L21" i="6"/>
  <c r="M21" i="6" s="1"/>
  <c r="L20" i="6"/>
  <c r="M20" i="6" s="1"/>
  <c r="L19" i="6"/>
  <c r="M19" i="6" s="1"/>
  <c r="F22" i="6"/>
  <c r="N22" i="6" s="1"/>
  <c r="F21" i="6"/>
  <c r="N21" i="6" s="1"/>
  <c r="F20" i="6"/>
  <c r="N20" i="6" s="1"/>
  <c r="F19" i="6"/>
  <c r="E10" i="6"/>
  <c r="H37" i="6" s="1"/>
  <c r="M33" i="6"/>
  <c r="M26" i="6"/>
  <c r="D12" i="6"/>
  <c r="E9" i="6"/>
  <c r="H32" i="6" s="1"/>
  <c r="E8" i="6"/>
  <c r="H25" i="6" s="1"/>
  <c r="E7" i="6"/>
  <c r="J35" i="5"/>
  <c r="K35" i="5" s="1"/>
  <c r="E35" i="5"/>
  <c r="J31" i="5"/>
  <c r="L15" i="5"/>
  <c r="J30" i="5"/>
  <c r="K30" i="5" s="1"/>
  <c r="J29" i="5"/>
  <c r="K29" i="5" s="1"/>
  <c r="J28" i="5"/>
  <c r="K28" i="5" s="1"/>
  <c r="J27" i="5"/>
  <c r="K27" i="5" s="1"/>
  <c r="J26" i="5"/>
  <c r="K26" i="5" s="1"/>
  <c r="E30" i="5"/>
  <c r="L30" i="5" s="1"/>
  <c r="E29" i="5"/>
  <c r="L29" i="5" s="1"/>
  <c r="E28" i="5"/>
  <c r="L28" i="5" s="1"/>
  <c r="E27" i="5"/>
  <c r="L27" i="5" s="1"/>
  <c r="E26" i="5"/>
  <c r="J22" i="5"/>
  <c r="K22" i="5" s="1"/>
  <c r="J21" i="5"/>
  <c r="K21" i="5" s="1"/>
  <c r="J20" i="5"/>
  <c r="K20" i="5" s="1"/>
  <c r="J19" i="5"/>
  <c r="K19" i="5" s="1"/>
  <c r="E22" i="5"/>
  <c r="L22" i="5" s="1"/>
  <c r="E21" i="5"/>
  <c r="L21" i="5" s="1"/>
  <c r="E20" i="5"/>
  <c r="L20" i="5" s="1"/>
  <c r="E19" i="5"/>
  <c r="D12" i="5"/>
  <c r="E9" i="5"/>
  <c r="F34" i="5" s="1"/>
  <c r="E8" i="5"/>
  <c r="F25" i="5" s="1"/>
  <c r="E7" i="5"/>
  <c r="J29" i="4"/>
  <c r="K29" i="4" s="1"/>
  <c r="J28" i="4"/>
  <c r="K28" i="4" s="1"/>
  <c r="J27" i="4"/>
  <c r="K27" i="4" s="1"/>
  <c r="J26" i="4"/>
  <c r="K26" i="4" s="1"/>
  <c r="E29" i="4"/>
  <c r="L29" i="4" s="1"/>
  <c r="E28" i="4"/>
  <c r="L28" i="4" s="1"/>
  <c r="E27" i="4"/>
  <c r="L27" i="4" s="1"/>
  <c r="E26" i="4"/>
  <c r="M15" i="1"/>
  <c r="J22" i="4"/>
  <c r="K22" i="4" s="1"/>
  <c r="J21" i="4"/>
  <c r="K21" i="4" s="1"/>
  <c r="J20" i="4"/>
  <c r="K20" i="4" s="1"/>
  <c r="J19" i="4"/>
  <c r="K19" i="4" s="1"/>
  <c r="J18" i="4"/>
  <c r="K18" i="4" s="1"/>
  <c r="E22" i="4"/>
  <c r="E21" i="4"/>
  <c r="L21" i="4" s="1"/>
  <c r="E20" i="4"/>
  <c r="L20" i="4" s="1"/>
  <c r="E19" i="4"/>
  <c r="L19" i="4" s="1"/>
  <c r="E18" i="4"/>
  <c r="D11" i="4"/>
  <c r="E8" i="4"/>
  <c r="F25" i="4" s="1"/>
  <c r="E7" i="4"/>
  <c r="F17" i="4" s="1"/>
  <c r="J43" i="3"/>
  <c r="K43" i="3" s="1"/>
  <c r="E43" i="3"/>
  <c r="J39" i="3"/>
  <c r="K39" i="3" s="1"/>
  <c r="E39" i="3"/>
  <c r="J31" i="3"/>
  <c r="K31" i="3" s="1"/>
  <c r="J30" i="3"/>
  <c r="K30" i="3" s="1"/>
  <c r="J29" i="3"/>
  <c r="K29" i="3" s="1"/>
  <c r="J28" i="3"/>
  <c r="K28" i="3" s="1"/>
  <c r="J27" i="3"/>
  <c r="K27" i="3" s="1"/>
  <c r="E28" i="3"/>
  <c r="E27" i="3"/>
  <c r="E31" i="3"/>
  <c r="L31" i="3" s="1"/>
  <c r="E30" i="3"/>
  <c r="L30" i="3" s="1"/>
  <c r="E29" i="3"/>
  <c r="L29" i="3" s="1"/>
  <c r="J23" i="3"/>
  <c r="K23" i="3" s="1"/>
  <c r="J22" i="3"/>
  <c r="K22" i="3" s="1"/>
  <c r="J21" i="3"/>
  <c r="K21" i="3" s="1"/>
  <c r="E23" i="3"/>
  <c r="L23" i="3" s="1"/>
  <c r="E22" i="3"/>
  <c r="L22" i="3" s="1"/>
  <c r="E21" i="3"/>
  <c r="L21" i="3" s="1"/>
  <c r="D14" i="3"/>
  <c r="E11" i="3"/>
  <c r="F42" i="3" s="1"/>
  <c r="E10" i="3"/>
  <c r="F38" i="3" s="1"/>
  <c r="E9" i="3"/>
  <c r="E8" i="3"/>
  <c r="F26" i="3" s="1"/>
  <c r="E7" i="3"/>
  <c r="F20" i="3" s="1"/>
  <c r="J48" i="2"/>
  <c r="K48" i="2" s="1"/>
  <c r="E48" i="2"/>
  <c r="E44" i="2"/>
  <c r="J39" i="2"/>
  <c r="K39" i="2" s="1"/>
  <c r="E39" i="2"/>
  <c r="J31" i="2"/>
  <c r="K31" i="2" s="1"/>
  <c r="J30" i="2"/>
  <c r="K30" i="2" s="1"/>
  <c r="E31" i="2"/>
  <c r="L31" i="2" s="1"/>
  <c r="E30" i="2"/>
  <c r="J25" i="2"/>
  <c r="K25" i="2" s="1"/>
  <c r="J24" i="2"/>
  <c r="K24" i="2" s="1"/>
  <c r="J23" i="2"/>
  <c r="K23" i="2" s="1"/>
  <c r="E25" i="2"/>
  <c r="L25" i="2" s="1"/>
  <c r="E24" i="2"/>
  <c r="E23" i="2"/>
  <c r="L23" i="2" s="1"/>
  <c r="L22" i="2"/>
  <c r="N33" i="6" l="1"/>
  <c r="H35" i="6"/>
  <c r="N26" i="6"/>
  <c r="H30" i="6"/>
  <c r="H41" i="6"/>
  <c r="N38" i="6"/>
  <c r="L19" i="5"/>
  <c r="L26" i="5"/>
  <c r="L35" i="5"/>
  <c r="F36" i="5"/>
  <c r="F30" i="4"/>
  <c r="L26" i="4"/>
  <c r="L27" i="3"/>
  <c r="F32" i="3"/>
  <c r="L39" i="3"/>
  <c r="F40" i="3"/>
  <c r="L43" i="3"/>
  <c r="F44" i="3"/>
  <c r="L24" i="2"/>
  <c r="L30" i="2"/>
  <c r="L39" i="2"/>
  <c r="L44" i="2"/>
  <c r="L48" i="2"/>
  <c r="H32" i="7"/>
  <c r="H27" i="7"/>
  <c r="N25" i="7"/>
  <c r="H18" i="7"/>
  <c r="E12" i="7"/>
  <c r="H21" i="7"/>
  <c r="N19" i="7"/>
  <c r="N15" i="7"/>
  <c r="N19" i="6"/>
  <c r="H18" i="6"/>
  <c r="E12" i="6"/>
  <c r="F18" i="5"/>
  <c r="E12" i="5"/>
  <c r="L18" i="4"/>
  <c r="F23" i="4"/>
  <c r="L22" i="4"/>
  <c r="E11" i="4"/>
  <c r="F24" i="3"/>
  <c r="E14" i="3"/>
  <c r="N15" i="6" l="1"/>
  <c r="F23" i="5"/>
  <c r="L17" i="3"/>
  <c r="H23" i="6"/>
  <c r="E12" i="2" l="1"/>
  <c r="F47" i="2" s="1"/>
  <c r="E11" i="2"/>
  <c r="F43" i="2" s="1"/>
  <c r="E10" i="2"/>
  <c r="F38" i="2" s="1"/>
  <c r="E9" i="2"/>
  <c r="E8" i="2"/>
  <c r="F29" i="2" s="1"/>
  <c r="F32" i="2" l="1"/>
  <c r="F40" i="2"/>
  <c r="F45" i="2"/>
  <c r="F49" i="2"/>
  <c r="D14" i="2"/>
  <c r="E7" i="2"/>
  <c r="F20" i="2" s="1"/>
  <c r="K43" i="1"/>
  <c r="L43" i="1" s="1"/>
  <c r="E43" i="1"/>
  <c r="M43" i="1" s="1"/>
  <c r="K39" i="1"/>
  <c r="L39" i="1" s="1"/>
  <c r="E39" i="1"/>
  <c r="M39" i="1" s="1"/>
  <c r="K32" i="1"/>
  <c r="L32" i="1" s="1"/>
  <c r="K31" i="1"/>
  <c r="L31" i="1" s="1"/>
  <c r="E32" i="1"/>
  <c r="M32" i="1" s="1"/>
  <c r="E31" i="1"/>
  <c r="M31" i="1" s="1"/>
  <c r="K27" i="1"/>
  <c r="L27" i="1" s="1"/>
  <c r="E27" i="1"/>
  <c r="M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E19" i="1"/>
  <c r="M19" i="1" s="1"/>
  <c r="E26" i="1"/>
  <c r="M26" i="1" s="1"/>
  <c r="E25" i="1"/>
  <c r="M25" i="1" s="1"/>
  <c r="E24" i="1"/>
  <c r="M24" i="1" s="1"/>
  <c r="E23" i="1"/>
  <c r="M23" i="1" s="1"/>
  <c r="E22" i="1"/>
  <c r="M22" i="1" s="1"/>
  <c r="E21" i="1"/>
  <c r="M21" i="1" s="1"/>
  <c r="E20" i="1"/>
  <c r="M20" i="1" s="1"/>
  <c r="E14" i="2" l="1"/>
  <c r="F26" i="2"/>
  <c r="E11" i="1"/>
  <c r="G42" i="1" s="1"/>
  <c r="G44" i="1" s="1"/>
  <c r="E10" i="1"/>
  <c r="G38" i="1" s="1"/>
  <c r="G40" i="1" s="1"/>
  <c r="E9" i="1"/>
  <c r="G35" i="1" s="1"/>
  <c r="E8" i="1"/>
  <c r="G30" i="1" s="1"/>
  <c r="G33" i="1" s="1"/>
  <c r="D13" i="1" l="1"/>
  <c r="E7" i="1"/>
  <c r="E13" i="1" l="1"/>
  <c r="G18" i="1"/>
  <c r="G28" i="1" s="1"/>
</calcChain>
</file>

<file path=xl/sharedStrings.xml><?xml version="1.0" encoding="utf-8"?>
<sst xmlns="http://schemas.openxmlformats.org/spreadsheetml/2006/main" count="779" uniqueCount="171">
  <si>
    <t xml:space="preserve">DAFTAR PIUTANG EXPORT </t>
  </si>
  <si>
    <t>PER JANUARI 2023</t>
  </si>
  <si>
    <t>NO</t>
  </si>
  <si>
    <t>ORDER/</t>
  </si>
  <si>
    <t>KURS</t>
  </si>
  <si>
    <t>U$D</t>
  </si>
  <si>
    <t>Rp</t>
  </si>
  <si>
    <t>NBR CTR</t>
  </si>
  <si>
    <t xml:space="preserve">HUTANG-PIUTANG CENSEA INC., </t>
  </si>
  <si>
    <t>HUTANG-PIUTANG EASTERN FISH COMPANY LLC</t>
  </si>
  <si>
    <t>HUTANG-PIUTANG EXPORT PACKER CO., LTD</t>
  </si>
  <si>
    <t>HUTANG-PIUTANG ALPHA TRADING CO., LTD</t>
  </si>
  <si>
    <t>HUTANG-PIUTANG SLADE GORTON &amp; CO., INC</t>
  </si>
  <si>
    <t>TOTAL</t>
  </si>
  <si>
    <t>Rincian Piutang</t>
  </si>
  <si>
    <t>TANGGAL</t>
  </si>
  <si>
    <t>DEBET</t>
  </si>
  <si>
    <t>KREDIT</t>
  </si>
  <si>
    <t>SALDO</t>
  </si>
  <si>
    <t>(RP)</t>
  </si>
  <si>
    <t>IDR</t>
  </si>
  <si>
    <t xml:space="preserve">Censea Inc., </t>
  </si>
  <si>
    <t>109/IAS - EXP</t>
  </si>
  <si>
    <t>111/IAS - EXP</t>
  </si>
  <si>
    <t>113/IAS - EXP</t>
  </si>
  <si>
    <t>117/IAS - EXP</t>
  </si>
  <si>
    <t>115/IAS - EXP</t>
  </si>
  <si>
    <t>001/IAS - EXP</t>
  </si>
  <si>
    <t>CENSEA INC.,</t>
  </si>
  <si>
    <t>110/IAS - EXP</t>
  </si>
  <si>
    <t>112/IAS - EXP</t>
  </si>
  <si>
    <t>116/IAS - EXP</t>
  </si>
  <si>
    <t>120/IAS - EXP</t>
  </si>
  <si>
    <t>Invoice</t>
  </si>
  <si>
    <t>AGING</t>
  </si>
  <si>
    <t xml:space="preserve">No </t>
  </si>
  <si>
    <t>Tanggal</t>
  </si>
  <si>
    <t xml:space="preserve">Jatuh Tempo </t>
  </si>
  <si>
    <t>Tanggal Jatuh Tempo</t>
  </si>
  <si>
    <t>Aging</t>
  </si>
  <si>
    <t>Lancar</t>
  </si>
  <si>
    <t xml:space="preserve">1-30 Hari </t>
  </si>
  <si>
    <t xml:space="preserve">31-60 Hari </t>
  </si>
  <si>
    <t xml:space="preserve">61-90 Hari </t>
  </si>
  <si>
    <t xml:space="preserve">&gt; 90 Hari </t>
  </si>
  <si>
    <t>Selisih Kurs</t>
  </si>
  <si>
    <t>EASTERN FISH COMPANY LLC</t>
  </si>
  <si>
    <t>Eastern Fish Company Llc</t>
  </si>
  <si>
    <t>119/IAS - EXP</t>
  </si>
  <si>
    <t>002/IAS - EXP</t>
  </si>
  <si>
    <t>Packer Co., Ltd</t>
  </si>
  <si>
    <t>Alpha Trading Co., Ltd</t>
  </si>
  <si>
    <t>ALPHA TRADING CO., LTD</t>
  </si>
  <si>
    <t>Slade Gorton &amp; Co., Inc</t>
  </si>
  <si>
    <t>SLADE GORTON &amp; CO., INC'</t>
  </si>
  <si>
    <t>118/IAS - EXP</t>
  </si>
  <si>
    <t>HUTANG-PIUTANG SAN SUGAR CO., LTD</t>
  </si>
  <si>
    <t>HUTANG-PIUTANG YACHIYO CORPORATION</t>
  </si>
  <si>
    <t>PER FEBRUARI 2023</t>
  </si>
  <si>
    <t>Penerimaan</t>
  </si>
  <si>
    <t>Penambahan</t>
  </si>
  <si>
    <t>San Sugar CO., LTD</t>
  </si>
  <si>
    <t>SAN SUGAR CO., LTD</t>
  </si>
  <si>
    <t>009/IAS - EXP</t>
  </si>
  <si>
    <t>- tanggal ini sudah di update sesuai info manajemen</t>
  </si>
  <si>
    <t>SLADE GORTON &amp; CO., INC</t>
  </si>
  <si>
    <t>YACHIYO CORPORATION</t>
  </si>
  <si>
    <t>YACHIO CORPORATION</t>
  </si>
  <si>
    <t>010/IAS-EXP</t>
  </si>
  <si>
    <t>PER MARET 2023</t>
  </si>
  <si>
    <t>HUTANG-PIUTANG MONARCH TRADING, LLC</t>
  </si>
  <si>
    <t xml:space="preserve">CENSEA INC., </t>
  </si>
  <si>
    <t>CENSEA INC</t>
  </si>
  <si>
    <t>024/IAS-EXP</t>
  </si>
  <si>
    <t>025/IAS-EXP</t>
  </si>
  <si>
    <t>026/IAS-EXP</t>
  </si>
  <si>
    <t>018/IAS-EXP</t>
  </si>
  <si>
    <t>019/IAS-EXP</t>
  </si>
  <si>
    <t>020/IAS-EXP</t>
  </si>
  <si>
    <t xml:space="preserve"> EXPORT PACKER CO., LTD</t>
  </si>
  <si>
    <t>023/IAS - EXP</t>
  </si>
  <si>
    <t>MONARCH TRADING, LLC</t>
  </si>
  <si>
    <t>MONARCH TRADING,LLC</t>
  </si>
  <si>
    <t>022/IAS - EXP</t>
  </si>
  <si>
    <t>031/IAS - EXP</t>
  </si>
  <si>
    <t>033/IAS - EXP</t>
  </si>
  <si>
    <t>035/IAS - EXP</t>
  </si>
  <si>
    <t>037/IAS - EXP</t>
  </si>
  <si>
    <t>038/IAS - EXP</t>
  </si>
  <si>
    <t>PER APRIL 2023</t>
  </si>
  <si>
    <t>027/IAS-EXP</t>
  </si>
  <si>
    <t>029/IAS-EXP</t>
  </si>
  <si>
    <t xml:space="preserve">HUTANG-PIUTANG CRSYTAL COVE SEAFOODS CORP </t>
  </si>
  <si>
    <t>046/IAS - EXP</t>
  </si>
  <si>
    <t>049/IAS - EXP</t>
  </si>
  <si>
    <t>050/IAS - EXP</t>
  </si>
  <si>
    <t>053/IAS - EXP</t>
  </si>
  <si>
    <t>PER MEI 2023</t>
  </si>
  <si>
    <t>041/IAS-EXP</t>
  </si>
  <si>
    <t>044/IAS-EXP</t>
  </si>
  <si>
    <t>045/IAS-EXP</t>
  </si>
  <si>
    <t>048/IAS-EXP</t>
  </si>
  <si>
    <t>052/IAS-EXP</t>
  </si>
  <si>
    <t xml:space="preserve">CRSYTAL COVE SEAFOODS CORP </t>
  </si>
  <si>
    <t>CRYSTAL COVE SEAFOODS CORP</t>
  </si>
  <si>
    <t>051/IAS - EXP</t>
  </si>
  <si>
    <t>CHOICE CANNING COMPANY INC</t>
  </si>
  <si>
    <t>062/IAS - EXP</t>
  </si>
  <si>
    <t>063/IAS - EXP</t>
  </si>
  <si>
    <t>067/IAS - EXP</t>
  </si>
  <si>
    <t>068/IAS - EXP</t>
  </si>
  <si>
    <t>065/IAS-EXP</t>
  </si>
  <si>
    <t>056/IAS-EXP</t>
  </si>
  <si>
    <t>061/IAS-EXP</t>
  </si>
  <si>
    <t>066/IAS-EXP</t>
  </si>
  <si>
    <t>PER JUNI 2023</t>
  </si>
  <si>
    <t>069/IAS - EXP</t>
  </si>
  <si>
    <t>074/IAS - EXP</t>
  </si>
  <si>
    <t>071/IAS-EXP</t>
  </si>
  <si>
    <t>075/IAS-EXP</t>
  </si>
  <si>
    <t>HUTANG-PIUTANG EIGER CO., LTD</t>
  </si>
  <si>
    <t>HUTANG-PIUTANG SLADE GORTON CO INC</t>
  </si>
  <si>
    <t>084/IAS - EXP</t>
  </si>
  <si>
    <t>077/IAS-EXP</t>
  </si>
  <si>
    <t>085/IAS-EXP</t>
  </si>
  <si>
    <t>EIGER CO., LTD</t>
  </si>
  <si>
    <t>086/IAS - EXP</t>
  </si>
  <si>
    <t>PER AGUSTUS 2023</t>
  </si>
  <si>
    <t>PER JULI 2023</t>
  </si>
  <si>
    <t>PER SEPTEMBER 2023</t>
  </si>
  <si>
    <t>090/IAS - EXP</t>
  </si>
  <si>
    <t>091/IAS - EXP</t>
  </si>
  <si>
    <t>PER OKTOBER 2023</t>
  </si>
  <si>
    <t>096/IAS-EXP</t>
  </si>
  <si>
    <t>PER DESEMBER 2023</t>
  </si>
  <si>
    <t>HUTANG-PIUTANG HOHSUI CORP</t>
  </si>
  <si>
    <t>HUTANG-PIUTANG SAN SUGAR CO LTD</t>
  </si>
  <si>
    <t>HUTANG-PIUTANG YACHIYO CORP</t>
  </si>
  <si>
    <t>HUTANG-PIUTANG CHOICE CANNING COMPANY ANY</t>
  </si>
  <si>
    <t>107/IAS - EXP</t>
  </si>
  <si>
    <t>108/IAS - EXP</t>
  </si>
  <si>
    <t>097/IAS-EXP</t>
  </si>
  <si>
    <t>Hohsui Corp</t>
  </si>
  <si>
    <t>HOHSUI CORPORATION</t>
  </si>
  <si>
    <t>Yachiyo Corp</t>
  </si>
  <si>
    <t>055/IAS-EXP</t>
  </si>
  <si>
    <t>072/IAS - EXP</t>
  </si>
  <si>
    <t>Pembayaran</t>
  </si>
  <si>
    <t>NEGO CRYSTAL COVE SEAFOODS CORP</t>
  </si>
  <si>
    <t>078/IAS-EXP</t>
  </si>
  <si>
    <t>007/IAS - EXP</t>
  </si>
  <si>
    <t>008/IAS - EXP</t>
  </si>
  <si>
    <t>003/IAS - EXP</t>
  </si>
  <si>
    <t xml:space="preserve">Penerimaan </t>
  </si>
  <si>
    <t>PER NOVEMBER 2023</t>
  </si>
  <si>
    <t>HUTANG-PIUTANG CENSEA INC</t>
  </si>
  <si>
    <t>HUTANG-PIUTANG CHOICE CANNING COMPANY</t>
  </si>
  <si>
    <t>HUTANG-PIUTANG ALPHA TRADING</t>
  </si>
  <si>
    <t>Censea Inc</t>
  </si>
  <si>
    <t>102/IAS - EXP</t>
  </si>
  <si>
    <t>103/IAS - EXP</t>
  </si>
  <si>
    <t>104/IAS - EXP</t>
  </si>
  <si>
    <t>Choice Canning Company</t>
  </si>
  <si>
    <t>CHOICE CANNING COMPANY ANY</t>
  </si>
  <si>
    <t>101/IAS-EXP</t>
  </si>
  <si>
    <t>Alpha Trading</t>
  </si>
  <si>
    <t>105/IAS - EXP</t>
  </si>
  <si>
    <t>NEGO CHOICE CANNING COMPANY ANY</t>
  </si>
  <si>
    <t>atas lbh bayar</t>
  </si>
  <si>
    <t>lbh bayar</t>
  </si>
  <si>
    <t>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</si>
</sst>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_-* #,##0.0_-;\-* #,##0.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i/>
      <sz val="8"/>
      <color rgb="FFFF0000"/>
      <name val="Arial"/>
      <family val="2"/>
    </font>
    <font>
      <i/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7">
    <xf numFmtId="0" fontId="0" fillId="0" borderId="0" xfId="0"/>
    <xf numFmtId="15" fontId="3" fillId="0" borderId="2" xfId="1" applyNumberFormat="1" applyFont="1" applyFill="1" applyBorder="1" applyAlignment="1">
      <alignment horizontal="center" vertical="center"/>
    </xf>
    <xf numFmtId="43" fontId="3" fillId="0" borderId="2" xfId="1" applyFont="1" applyFill="1" applyBorder="1" applyAlignment="1">
      <alignment horizontal="centerContinuous"/>
    </xf>
    <xf numFmtId="164" fontId="3" fillId="0" borderId="2" xfId="1" applyNumberFormat="1" applyFont="1" applyFill="1" applyBorder="1" applyAlignment="1">
      <alignment horizontal="centerContinuous"/>
    </xf>
    <xf numFmtId="15" fontId="3" fillId="0" borderId="3" xfId="1" applyNumberFormat="1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horizontal="center"/>
    </xf>
    <xf numFmtId="15" fontId="3" fillId="0" borderId="0" xfId="1" applyNumberFormat="1" applyFont="1" applyFill="1" applyAlignment="1"/>
    <xf numFmtId="164" fontId="3" fillId="0" borderId="0" xfId="1" applyNumberFormat="1" applyFont="1" applyFill="1" applyAlignment="1">
      <alignment horizontal="centerContinuous"/>
    </xf>
    <xf numFmtId="164" fontId="3" fillId="0" borderId="0" xfId="1" applyNumberFormat="1" applyFont="1" applyFill="1" applyAlignment="1">
      <alignment horizontal="center"/>
    </xf>
    <xf numFmtId="43" fontId="3" fillId="0" borderId="0" xfId="1" applyFont="1" applyFill="1" applyAlignment="1">
      <alignment horizontal="centerContinuous"/>
    </xf>
    <xf numFmtId="0" fontId="5" fillId="0" borderId="0" xfId="0" applyFont="1"/>
    <xf numFmtId="15" fontId="3" fillId="0" borderId="0" xfId="1" applyNumberFormat="1" applyFont="1" applyFill="1" applyBorder="1" applyAlignment="1"/>
    <xf numFmtId="164" fontId="4" fillId="0" borderId="0" xfId="1" applyNumberFormat="1" applyFont="1" applyFill="1" applyBorder="1"/>
    <xf numFmtId="164" fontId="4" fillId="0" borderId="0" xfId="1" applyNumberFormat="1" applyFont="1" applyFill="1" applyBorder="1" applyAlignment="1">
      <alignment horizontal="center"/>
    </xf>
    <xf numFmtId="43" fontId="4" fillId="0" borderId="0" xfId="1" applyFont="1" applyFill="1" applyBorder="1"/>
    <xf numFmtId="164" fontId="3" fillId="0" borderId="0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0" fontId="4" fillId="0" borderId="0" xfId="1" applyNumberFormat="1" applyFont="1" applyFill="1" applyBorder="1" applyAlignment="1">
      <alignment horizontal="center"/>
    </xf>
    <xf numFmtId="15" fontId="4" fillId="0" borderId="0" xfId="1" applyNumberFormat="1" applyFont="1" applyFill="1" applyBorder="1" applyAlignment="1">
      <alignment horizontal="left"/>
    </xf>
    <xf numFmtId="0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3" fontId="3" fillId="0" borderId="0" xfId="1" applyFont="1" applyBorder="1"/>
    <xf numFmtId="0" fontId="6" fillId="0" borderId="0" xfId="0" applyFont="1"/>
    <xf numFmtId="15" fontId="4" fillId="0" borderId="4" xfId="1" applyNumberFormat="1" applyFont="1" applyFill="1" applyBorder="1" applyAlignment="1">
      <alignment horizontal="center"/>
    </xf>
    <xf numFmtId="164" fontId="4" fillId="0" borderId="4" xfId="1" applyNumberFormat="1" applyFont="1" applyFill="1" applyBorder="1"/>
    <xf numFmtId="43" fontId="4" fillId="0" borderId="4" xfId="1" applyFont="1" applyFill="1" applyBorder="1" applyAlignment="1">
      <alignment horizontal="center"/>
    </xf>
    <xf numFmtId="43" fontId="4" fillId="0" borderId="4" xfId="1" applyFont="1" applyFill="1" applyBorder="1"/>
    <xf numFmtId="164" fontId="4" fillId="0" borderId="4" xfId="1" applyNumberFormat="1" applyFont="1" applyFill="1" applyBorder="1" applyAlignment="1">
      <alignment horizontal="centerContinuous"/>
    </xf>
    <xf numFmtId="164" fontId="4" fillId="2" borderId="4" xfId="1" applyNumberFormat="1" applyFont="1" applyFill="1" applyBorder="1"/>
    <xf numFmtId="0" fontId="2" fillId="4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43" fontId="3" fillId="6" borderId="2" xfId="1" applyFont="1" applyFill="1" applyBorder="1" applyAlignment="1">
      <alignment horizontal="centerContinuous"/>
    </xf>
    <xf numFmtId="43" fontId="3" fillId="6" borderId="3" xfId="1" applyFont="1" applyFill="1" applyBorder="1" applyAlignment="1">
      <alignment horizontal="center"/>
    </xf>
    <xf numFmtId="15" fontId="6" fillId="3" borderId="0" xfId="0" applyNumberFormat="1" applyFont="1" applyFill="1"/>
    <xf numFmtId="164" fontId="3" fillId="0" borderId="0" xfId="1" applyNumberFormat="1" applyFont="1" applyFill="1" applyBorder="1"/>
    <xf numFmtId="164" fontId="6" fillId="0" borderId="0" xfId="0" applyNumberFormat="1" applyFont="1"/>
    <xf numFmtId="43" fontId="4" fillId="0" borderId="0" xfId="1" applyFont="1" applyFill="1" applyBorder="1" applyAlignment="1">
      <alignment vertical="center"/>
    </xf>
    <xf numFmtId="164" fontId="4" fillId="0" borderId="0" xfId="1" applyNumberFormat="1" applyFont="1" applyFill="1" applyBorder="1" applyAlignment="1"/>
    <xf numFmtId="15" fontId="3" fillId="0" borderId="0" xfId="1" applyNumberFormat="1" applyFont="1" applyFill="1" applyBorder="1" applyAlignment="1">
      <alignment horizontal="center"/>
    </xf>
    <xf numFmtId="43" fontId="3" fillId="0" borderId="0" xfId="1" applyFont="1" applyFill="1" applyBorder="1"/>
    <xf numFmtId="0" fontId="6" fillId="4" borderId="9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64" fontId="5" fillId="0" borderId="0" xfId="0" applyNumberFormat="1" applyFont="1"/>
    <xf numFmtId="0" fontId="5" fillId="0" borderId="0" xfId="0" quotePrefix="1" applyFont="1"/>
    <xf numFmtId="165" fontId="4" fillId="0" borderId="0" xfId="1" applyNumberFormat="1" applyFont="1" applyFill="1" applyBorder="1" applyAlignment="1">
      <alignment vertical="center"/>
    </xf>
    <xf numFmtId="43" fontId="4" fillId="0" borderId="0" xfId="1" applyFont="1" applyFill="1" applyBorder="1" applyAlignment="1">
      <alignment horizontal="center" vertical="center"/>
    </xf>
    <xf numFmtId="166" fontId="4" fillId="0" borderId="0" xfId="1" applyNumberFormat="1" applyFont="1" applyFill="1" applyBorder="1"/>
    <xf numFmtId="43" fontId="3" fillId="0" borderId="0" xfId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65" fontId="5" fillId="0" borderId="0" xfId="1" applyNumberFormat="1" applyFont="1"/>
    <xf numFmtId="0" fontId="6" fillId="0" borderId="5" xfId="0" applyFont="1" applyBorder="1"/>
    <xf numFmtId="43" fontId="6" fillId="0" borderId="5" xfId="0" applyNumberFormat="1" applyFont="1" applyBorder="1"/>
    <xf numFmtId="41" fontId="6" fillId="0" borderId="5" xfId="2" applyFont="1" applyBorder="1"/>
    <xf numFmtId="0" fontId="5" fillId="0" borderId="4" xfId="0" applyFont="1" applyBorder="1"/>
    <xf numFmtId="15" fontId="5" fillId="0" borderId="4" xfId="0" applyNumberFormat="1" applyFont="1" applyBorder="1"/>
    <xf numFmtId="164" fontId="5" fillId="0" borderId="4" xfId="0" applyNumberFormat="1" applyFont="1" applyBorder="1"/>
    <xf numFmtId="0" fontId="6" fillId="0" borderId="4" xfId="0" applyFont="1" applyBorder="1"/>
    <xf numFmtId="0" fontId="7" fillId="0" borderId="4" xfId="0" applyFont="1" applyBorder="1"/>
    <xf numFmtId="164" fontId="7" fillId="0" borderId="4" xfId="0" applyNumberFormat="1" applyFont="1" applyBorder="1"/>
    <xf numFmtId="15" fontId="3" fillId="0" borderId="4" xfId="1" applyNumberFormat="1" applyFont="1" applyFill="1" applyBorder="1" applyAlignment="1">
      <alignment horizontal="left"/>
    </xf>
    <xf numFmtId="164" fontId="3" fillId="0" borderId="4" xfId="1" applyNumberFormat="1" applyFont="1" applyFill="1" applyBorder="1"/>
    <xf numFmtId="164" fontId="6" fillId="0" borderId="4" xfId="0" applyNumberFormat="1" applyFont="1" applyBorder="1"/>
    <xf numFmtId="43" fontId="3" fillId="7" borderId="2" xfId="1" applyFont="1" applyFill="1" applyBorder="1" applyAlignment="1">
      <alignment horizontal="centerContinuous"/>
    </xf>
    <xf numFmtId="164" fontId="3" fillId="7" borderId="2" xfId="1" applyNumberFormat="1" applyFont="1" applyFill="1" applyBorder="1" applyAlignment="1">
      <alignment horizontal="centerContinuous"/>
    </xf>
    <xf numFmtId="43" fontId="3" fillId="7" borderId="3" xfId="1" applyFont="1" applyFill="1" applyBorder="1" applyAlignment="1">
      <alignment horizontal="center"/>
    </xf>
    <xf numFmtId="164" fontId="3" fillId="7" borderId="3" xfId="1" applyNumberFormat="1" applyFont="1" applyFill="1" applyBorder="1" applyAlignment="1">
      <alignment horizontal="center"/>
    </xf>
    <xf numFmtId="164" fontId="9" fillId="0" borderId="4" xfId="0" applyNumberFormat="1" applyFont="1" applyBorder="1"/>
    <xf numFmtId="165" fontId="6" fillId="0" borderId="4" xfId="0" applyNumberFormat="1" applyFont="1" applyBorder="1"/>
    <xf numFmtId="165" fontId="9" fillId="0" borderId="4" xfId="0" applyNumberFormat="1" applyFont="1" applyBorder="1"/>
    <xf numFmtId="164" fontId="8" fillId="0" borderId="4" xfId="0" applyNumberFormat="1" applyFont="1" applyBorder="1"/>
    <xf numFmtId="165" fontId="4" fillId="0" borderId="4" xfId="1" applyNumberFormat="1" applyFont="1" applyFill="1" applyBorder="1"/>
    <xf numFmtId="15" fontId="3" fillId="0" borderId="4" xfId="1" applyNumberFormat="1" applyFont="1" applyFill="1" applyBorder="1" applyAlignment="1">
      <alignment horizontal="center" vertical="center"/>
    </xf>
    <xf numFmtId="43" fontId="3" fillId="0" borderId="4" xfId="1" applyFont="1" applyFill="1" applyBorder="1" applyAlignment="1">
      <alignment horizontal="center"/>
    </xf>
    <xf numFmtId="43" fontId="3" fillId="6" borderId="4" xfId="1" applyFont="1" applyFill="1" applyBorder="1" applyAlignment="1">
      <alignment horizontal="center"/>
    </xf>
    <xf numFmtId="164" fontId="3" fillId="0" borderId="4" xfId="1" applyNumberFormat="1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5" fillId="0" borderId="5" xfId="0" applyFont="1" applyBorder="1"/>
    <xf numFmtId="164" fontId="6" fillId="0" borderId="5" xfId="0" applyNumberFormat="1" applyFont="1" applyBorder="1"/>
    <xf numFmtId="165" fontId="6" fillId="0" borderId="0" xfId="1" applyNumberFormat="1" applyFont="1"/>
    <xf numFmtId="164" fontId="4" fillId="0" borderId="4" xfId="1" quotePrefix="1" applyNumberFormat="1" applyFont="1" applyFill="1" applyBorder="1" applyAlignment="1">
      <alignment horizontal="center"/>
    </xf>
    <xf numFmtId="43" fontId="5" fillId="0" borderId="4" xfId="1" applyFont="1" applyFill="1" applyBorder="1"/>
    <xf numFmtId="43" fontId="3" fillId="7" borderId="4" xfId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/>
    </xf>
    <xf numFmtId="43" fontId="3" fillId="0" borderId="4" xfId="1" applyFont="1" applyFill="1" applyBorder="1"/>
    <xf numFmtId="41" fontId="3" fillId="7" borderId="2" xfId="2" applyFont="1" applyFill="1" applyBorder="1" applyAlignment="1">
      <alignment horizontal="centerContinuous"/>
    </xf>
    <xf numFmtId="43" fontId="4" fillId="0" borderId="4" xfId="1" applyFont="1" applyFill="1" applyBorder="1" applyAlignment="1">
      <alignment horizontal="left"/>
    </xf>
    <xf numFmtId="164" fontId="4" fillId="0" borderId="4" xfId="1" applyNumberFormat="1" applyFont="1" applyFill="1" applyBorder="1" applyAlignment="1">
      <alignment horizontal="center"/>
    </xf>
    <xf numFmtId="15" fontId="4" fillId="0" borderId="4" xfId="0" applyNumberFormat="1" applyFont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15" fontId="3" fillId="0" borderId="0" xfId="1" applyNumberFormat="1" applyFont="1" applyFill="1" applyBorder="1" applyAlignment="1">
      <alignment horizontal="center" vertical="center"/>
    </xf>
    <xf numFmtId="15" fontId="3" fillId="0" borderId="1" xfId="1" applyNumberFormat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15" fontId="3" fillId="0" borderId="2" xfId="1" applyNumberFormat="1" applyFont="1" applyFill="1" applyBorder="1" applyAlignment="1">
      <alignment horizontal="center" vertical="center"/>
    </xf>
    <xf numFmtId="15" fontId="3" fillId="0" borderId="3" xfId="1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15" fontId="3" fillId="0" borderId="4" xfId="1" applyNumberFormat="1" applyFont="1" applyFill="1" applyBorder="1" applyAlignment="1">
      <alignment horizontal="center" vertical="center"/>
    </xf>
    <xf numFmtId="41" fontId="4" fillId="0" borderId="4" xfId="2" applyFont="1" applyFill="1" applyBorder="1"/>
    <xf numFmtId="43" fontId="3" fillId="7" borderId="2" xfId="1" applyFont="1" applyFill="1" applyBorder="1" applyAlignment="1">
      <alignment horizontal="center"/>
    </xf>
    <xf numFmtId="43" fontId="3" fillId="6" borderId="2" xfId="1" applyFont="1" applyFill="1" applyBorder="1" applyAlignment="1">
      <alignment horizontal="center"/>
    </xf>
    <xf numFmtId="15" fontId="3" fillId="0" borderId="5" xfId="1" applyNumberFormat="1" applyFont="1" applyFill="1" applyBorder="1" applyAlignment="1">
      <alignment horizontal="left"/>
    </xf>
    <xf numFmtId="164" fontId="3" fillId="0" borderId="13" xfId="1" applyNumberFormat="1" applyFont="1" applyFill="1" applyBorder="1" applyAlignment="1">
      <alignment horizontal="center"/>
    </xf>
    <xf numFmtId="41" fontId="6" fillId="0" borderId="0" xfId="2" applyFont="1"/>
    <xf numFmtId="43" fontId="3" fillId="0" borderId="2" xfId="1" applyFont="1" applyFill="1" applyBorder="1" applyAlignment="1">
      <alignment horizontal="center"/>
    </xf>
    <xf numFmtId="0" fontId="10" fillId="0" borderId="4" xfId="0" applyFont="1" applyBorder="1"/>
    <xf numFmtId="0" fontId="11" fillId="0" borderId="0" xfId="0" applyFont="1"/>
    <xf numFmtId="3" fontId="5" fillId="0" borderId="0" xfId="0" applyNumberFormat="1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2B60-AC1C-47BD-9F44-5C26240374D7}">
  <dimension ref="A2:T46"/>
  <sheetViews>
    <sheetView showGridLines="0" topLeftCell="B3" workbookViewId="0">
      <selection activeCell="C16" sqref="C16:E17"/>
    </sheetView>
  </sheetViews>
  <sheetFormatPr defaultColWidth="8.81640625" defaultRowHeight="11.5" x14ac:dyDescent="0.25"/>
  <cols>
    <col min="1" max="1" width="9.54296875" style="10" customWidth="1"/>
    <col min="2" max="2" width="40.453125" style="10" bestFit="1" customWidth="1"/>
    <col min="3" max="3" width="12.08984375" style="10" bestFit="1" customWidth="1"/>
    <col min="4" max="4" width="11.54296875" style="10" bestFit="1" customWidth="1"/>
    <col min="5" max="5" width="15.81640625" style="10" bestFit="1" customWidth="1"/>
    <col min="6" max="6" width="16" style="10" hidden="1" customWidth="1"/>
    <col min="7" max="7" width="13.08984375" style="10" bestFit="1" customWidth="1"/>
    <col min="8" max="8" width="12.08984375" style="10" bestFit="1" customWidth="1"/>
    <col min="9" max="9" width="13" style="10" bestFit="1" customWidth="1"/>
    <col min="10" max="10" width="12.36328125" style="10" bestFit="1" customWidth="1"/>
    <col min="11" max="11" width="19.08984375" style="10" bestFit="1" customWidth="1"/>
    <col min="12" max="12" width="12.1796875" style="10" bestFit="1" customWidth="1"/>
    <col min="13" max="13" width="13.08984375" style="10" bestFit="1" customWidth="1"/>
    <col min="14" max="14" width="12.08984375" style="10" bestFit="1" customWidth="1"/>
    <col min="15" max="15" width="18.6328125" style="10" bestFit="1" customWidth="1"/>
    <col min="16" max="16" width="9.90625" style="10" bestFit="1" customWidth="1"/>
    <col min="17" max="17" width="12.08984375" style="10" bestFit="1" customWidth="1"/>
    <col min="18" max="18" width="8.81640625" style="10" bestFit="1" customWidth="1"/>
    <col min="19" max="20" width="9.81640625" style="10" bestFit="1" customWidth="1"/>
    <col min="21" max="21" width="8.6328125" style="10" bestFit="1" customWidth="1"/>
    <col min="22" max="16384" width="8.81640625" style="10"/>
  </cols>
  <sheetData>
    <row r="2" spans="1:20" x14ac:dyDescent="0.25">
      <c r="A2" s="6" t="s">
        <v>0</v>
      </c>
      <c r="B2" s="7"/>
      <c r="C2" s="8"/>
      <c r="D2" s="9"/>
      <c r="E2" s="9"/>
    </row>
    <row r="3" spans="1:20" x14ac:dyDescent="0.25">
      <c r="A3" s="6" t="s">
        <v>1</v>
      </c>
      <c r="B3" s="7"/>
      <c r="C3" s="8"/>
      <c r="D3" s="9"/>
      <c r="E3" s="9"/>
    </row>
    <row r="4" spans="1:20" x14ac:dyDescent="0.25">
      <c r="A4" s="11"/>
      <c r="B4" s="12"/>
      <c r="C4" s="13"/>
      <c r="D4" s="14"/>
      <c r="E4" s="14"/>
    </row>
    <row r="5" spans="1:20" x14ac:dyDescent="0.25">
      <c r="A5" s="96" t="s">
        <v>2</v>
      </c>
      <c r="B5" s="15" t="s">
        <v>3</v>
      </c>
      <c r="C5" s="98" t="s">
        <v>4</v>
      </c>
      <c r="D5" s="98" t="s">
        <v>5</v>
      </c>
      <c r="E5" s="98" t="s">
        <v>6</v>
      </c>
    </row>
    <row r="6" spans="1:20" ht="12" thickBot="1" x14ac:dyDescent="0.3">
      <c r="A6" s="97"/>
      <c r="B6" s="16" t="s">
        <v>7</v>
      </c>
      <c r="C6" s="99"/>
      <c r="D6" s="99"/>
      <c r="E6" s="99"/>
    </row>
    <row r="7" spans="1:20" x14ac:dyDescent="0.25">
      <c r="A7" s="17">
        <v>1</v>
      </c>
      <c r="B7" s="18" t="s">
        <v>8</v>
      </c>
      <c r="C7" s="14">
        <v>14979</v>
      </c>
      <c r="D7" s="14">
        <v>999020</v>
      </c>
      <c r="E7" s="12">
        <f>C7*D7</f>
        <v>14964320580</v>
      </c>
    </row>
    <row r="8" spans="1:20" x14ac:dyDescent="0.25">
      <c r="A8" s="17">
        <v>2</v>
      </c>
      <c r="B8" s="18" t="s">
        <v>9</v>
      </c>
      <c r="C8" s="14">
        <v>14979</v>
      </c>
      <c r="D8" s="14">
        <v>216650</v>
      </c>
      <c r="E8" s="12">
        <f>D8*C8</f>
        <v>3245200350</v>
      </c>
    </row>
    <row r="9" spans="1:20" x14ac:dyDescent="0.25">
      <c r="A9" s="17">
        <v>3</v>
      </c>
      <c r="B9" s="18" t="s">
        <v>10</v>
      </c>
      <c r="C9" s="14">
        <v>14979</v>
      </c>
      <c r="D9" s="14">
        <v>25331.01</v>
      </c>
      <c r="E9" s="12">
        <f>C9*D9</f>
        <v>379433198.78999996</v>
      </c>
    </row>
    <row r="10" spans="1:20" x14ac:dyDescent="0.25">
      <c r="A10" s="17">
        <v>4</v>
      </c>
      <c r="B10" s="18" t="s">
        <v>11</v>
      </c>
      <c r="C10" s="14">
        <v>14979</v>
      </c>
      <c r="D10" s="14">
        <v>73399</v>
      </c>
      <c r="E10" s="12">
        <f>C10*D10</f>
        <v>1099443621</v>
      </c>
    </row>
    <row r="11" spans="1:20" x14ac:dyDescent="0.25">
      <c r="A11" s="17">
        <v>5</v>
      </c>
      <c r="B11" s="18" t="s">
        <v>12</v>
      </c>
      <c r="C11" s="14">
        <v>14979</v>
      </c>
      <c r="D11" s="14">
        <v>106720</v>
      </c>
      <c r="E11" s="12">
        <f>C11*D11</f>
        <v>1598558880</v>
      </c>
    </row>
    <row r="12" spans="1:20" x14ac:dyDescent="0.25">
      <c r="A12" s="17"/>
      <c r="B12" s="18"/>
      <c r="C12" s="14"/>
      <c r="D12" s="14"/>
      <c r="E12" s="12"/>
    </row>
    <row r="13" spans="1:20" x14ac:dyDescent="0.25">
      <c r="A13" s="19"/>
      <c r="B13" s="20" t="s">
        <v>13</v>
      </c>
      <c r="C13" s="21"/>
      <c r="D13" s="22">
        <f>SUM(D7:D12)</f>
        <v>1421120.01</v>
      </c>
      <c r="E13" s="22">
        <f>SUM(E7:E12)</f>
        <v>21286956629.790001</v>
      </c>
    </row>
    <row r="14" spans="1:20" x14ac:dyDescent="0.25">
      <c r="L14" s="34">
        <v>44957</v>
      </c>
    </row>
    <row r="15" spans="1:20" ht="12" thickBot="1" x14ac:dyDescent="0.3">
      <c r="A15" s="23" t="s">
        <v>14</v>
      </c>
      <c r="M15" s="43">
        <f>SUM(M19:M50)</f>
        <v>21602075499</v>
      </c>
      <c r="N15" s="43">
        <f t="shared" ref="N15:Q15" si="0">SUM(N19:N50)</f>
        <v>0</v>
      </c>
      <c r="O15" s="43">
        <f t="shared" si="0"/>
        <v>0</v>
      </c>
      <c r="P15" s="43">
        <f t="shared" si="0"/>
        <v>0</v>
      </c>
      <c r="Q15" s="43">
        <f t="shared" si="0"/>
        <v>379433198.78999996</v>
      </c>
    </row>
    <row r="16" spans="1:20" ht="15" thickTop="1" x14ac:dyDescent="0.35">
      <c r="A16" s="100" t="s">
        <v>15</v>
      </c>
      <c r="B16" s="1" t="s">
        <v>3</v>
      </c>
      <c r="C16" s="32" t="s">
        <v>16</v>
      </c>
      <c r="D16" s="64" t="s">
        <v>4</v>
      </c>
      <c r="E16" s="65" t="s">
        <v>16</v>
      </c>
      <c r="F16" s="3" t="s">
        <v>17</v>
      </c>
      <c r="G16" s="3" t="s">
        <v>18</v>
      </c>
      <c r="H16" s="90" t="s">
        <v>33</v>
      </c>
      <c r="I16" s="91"/>
      <c r="J16" s="91"/>
      <c r="K16" s="92"/>
      <c r="L16" s="93" t="s">
        <v>34</v>
      </c>
      <c r="M16" s="94"/>
      <c r="N16" s="94"/>
      <c r="O16" s="94"/>
      <c r="P16" s="94"/>
      <c r="Q16" s="95"/>
      <c r="R16"/>
      <c r="S16"/>
      <c r="T16"/>
    </row>
    <row r="17" spans="1:20" ht="14.5" x14ac:dyDescent="0.35">
      <c r="A17" s="101"/>
      <c r="B17" s="4" t="s">
        <v>7</v>
      </c>
      <c r="C17" s="33" t="s">
        <v>5</v>
      </c>
      <c r="D17" s="66" t="s">
        <v>19</v>
      </c>
      <c r="E17" s="67" t="s">
        <v>20</v>
      </c>
      <c r="F17" s="5" t="s">
        <v>20</v>
      </c>
      <c r="G17" s="5" t="s">
        <v>20</v>
      </c>
      <c r="H17" s="30" t="s">
        <v>35</v>
      </c>
      <c r="I17" s="30" t="s">
        <v>36</v>
      </c>
      <c r="J17" s="30" t="s">
        <v>37</v>
      </c>
      <c r="K17" s="30" t="s">
        <v>38</v>
      </c>
      <c r="L17" s="31" t="s">
        <v>39</v>
      </c>
      <c r="M17" s="31" t="s">
        <v>40</v>
      </c>
      <c r="N17" s="31" t="s">
        <v>41</v>
      </c>
      <c r="O17" s="31" t="s">
        <v>42</v>
      </c>
      <c r="P17" s="31" t="s">
        <v>43</v>
      </c>
      <c r="Q17" s="31" t="s">
        <v>44</v>
      </c>
      <c r="R17"/>
      <c r="S17"/>
      <c r="T17"/>
    </row>
    <row r="18" spans="1:20" s="23" customFormat="1" x14ac:dyDescent="0.25">
      <c r="A18" s="52" t="s">
        <v>21</v>
      </c>
      <c r="B18" s="52"/>
      <c r="C18" s="53"/>
      <c r="D18" s="52"/>
      <c r="E18" s="52"/>
      <c r="F18" s="52"/>
      <c r="G18" s="54">
        <f>E7</f>
        <v>14964320580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</row>
    <row r="19" spans="1:20" x14ac:dyDescent="0.25">
      <c r="A19" s="55"/>
      <c r="B19" s="25" t="s">
        <v>28</v>
      </c>
      <c r="C19" s="27">
        <v>96900</v>
      </c>
      <c r="D19" s="28">
        <v>15731</v>
      </c>
      <c r="E19" s="29">
        <f t="shared" ref="E19:E27" si="1">+C19*D19</f>
        <v>1524333900</v>
      </c>
      <c r="F19" s="29"/>
      <c r="G19" s="25"/>
      <c r="H19" s="26" t="s">
        <v>22</v>
      </c>
      <c r="I19" s="24">
        <v>44926</v>
      </c>
      <c r="J19" s="55">
        <v>60</v>
      </c>
      <c r="K19" s="56">
        <f>I19+J19</f>
        <v>44986</v>
      </c>
      <c r="L19" s="55">
        <f>$L$14-K19</f>
        <v>-29</v>
      </c>
      <c r="M19" s="57">
        <f>E19</f>
        <v>1524333900</v>
      </c>
      <c r="N19" s="55"/>
      <c r="O19" s="55"/>
      <c r="P19" s="55"/>
      <c r="Q19" s="55"/>
    </row>
    <row r="20" spans="1:20" x14ac:dyDescent="0.25">
      <c r="A20" s="55"/>
      <c r="B20" s="25" t="s">
        <v>28</v>
      </c>
      <c r="C20" s="27">
        <v>108480</v>
      </c>
      <c r="D20" s="28">
        <v>15731</v>
      </c>
      <c r="E20" s="29">
        <f t="shared" si="1"/>
        <v>1706498880</v>
      </c>
      <c r="F20" s="29"/>
      <c r="G20" s="25"/>
      <c r="H20" s="26" t="s">
        <v>29</v>
      </c>
      <c r="I20" s="24">
        <v>44926</v>
      </c>
      <c r="J20" s="55">
        <v>60</v>
      </c>
      <c r="K20" s="56">
        <f t="shared" ref="K20:K26" si="2">I20+J20</f>
        <v>44986</v>
      </c>
      <c r="L20" s="55">
        <f t="shared" ref="L20:L27" si="3">$L$14-K20</f>
        <v>-29</v>
      </c>
      <c r="M20" s="57">
        <f t="shared" ref="M20:M27" si="4">E20</f>
        <v>1706498880</v>
      </c>
      <c r="N20" s="55"/>
      <c r="O20" s="55"/>
      <c r="P20" s="55"/>
      <c r="Q20" s="55"/>
    </row>
    <row r="21" spans="1:20" x14ac:dyDescent="0.25">
      <c r="A21" s="55"/>
      <c r="B21" s="25" t="s">
        <v>28</v>
      </c>
      <c r="C21" s="27">
        <v>115500</v>
      </c>
      <c r="D21" s="28">
        <v>15731</v>
      </c>
      <c r="E21" s="29">
        <f t="shared" si="1"/>
        <v>1816930500</v>
      </c>
      <c r="F21" s="29"/>
      <c r="G21" s="25"/>
      <c r="H21" s="26" t="s">
        <v>23</v>
      </c>
      <c r="I21" s="24">
        <v>44926</v>
      </c>
      <c r="J21" s="55">
        <v>60</v>
      </c>
      <c r="K21" s="56">
        <f t="shared" si="2"/>
        <v>44986</v>
      </c>
      <c r="L21" s="55">
        <f t="shared" si="3"/>
        <v>-29</v>
      </c>
      <c r="M21" s="57">
        <f t="shared" si="4"/>
        <v>1816930500</v>
      </c>
      <c r="N21" s="55"/>
      <c r="O21" s="55"/>
      <c r="P21" s="55"/>
      <c r="Q21" s="55"/>
    </row>
    <row r="22" spans="1:20" x14ac:dyDescent="0.25">
      <c r="A22" s="55"/>
      <c r="B22" s="25" t="s">
        <v>28</v>
      </c>
      <c r="C22" s="27">
        <v>111630</v>
      </c>
      <c r="D22" s="28">
        <v>15731</v>
      </c>
      <c r="E22" s="29">
        <f t="shared" si="1"/>
        <v>1756051530</v>
      </c>
      <c r="F22" s="29"/>
      <c r="G22" s="25"/>
      <c r="H22" s="26" t="s">
        <v>30</v>
      </c>
      <c r="I22" s="24">
        <v>44926</v>
      </c>
      <c r="J22" s="55">
        <v>60</v>
      </c>
      <c r="K22" s="56">
        <f t="shared" si="2"/>
        <v>44986</v>
      </c>
      <c r="L22" s="55">
        <f t="shared" si="3"/>
        <v>-29</v>
      </c>
      <c r="M22" s="57">
        <f t="shared" si="4"/>
        <v>1756051530</v>
      </c>
      <c r="N22" s="55"/>
      <c r="O22" s="55"/>
      <c r="P22" s="55"/>
      <c r="Q22" s="55"/>
    </row>
    <row r="23" spans="1:20" x14ac:dyDescent="0.25">
      <c r="A23" s="55"/>
      <c r="B23" s="25" t="s">
        <v>28</v>
      </c>
      <c r="C23" s="27">
        <v>129200</v>
      </c>
      <c r="D23" s="28">
        <v>15731</v>
      </c>
      <c r="E23" s="29">
        <f t="shared" si="1"/>
        <v>2032445200</v>
      </c>
      <c r="F23" s="29"/>
      <c r="G23" s="25"/>
      <c r="H23" s="26" t="s">
        <v>24</v>
      </c>
      <c r="I23" s="24">
        <v>44926</v>
      </c>
      <c r="J23" s="55">
        <v>60</v>
      </c>
      <c r="K23" s="56">
        <f t="shared" si="2"/>
        <v>44986</v>
      </c>
      <c r="L23" s="55">
        <f t="shared" si="3"/>
        <v>-29</v>
      </c>
      <c r="M23" s="57">
        <f t="shared" si="4"/>
        <v>2032445200</v>
      </c>
      <c r="N23" s="55"/>
      <c r="O23" s="55"/>
      <c r="P23" s="55"/>
      <c r="Q23" s="55"/>
    </row>
    <row r="24" spans="1:20" x14ac:dyDescent="0.25">
      <c r="A24" s="55"/>
      <c r="B24" s="25" t="s">
        <v>28</v>
      </c>
      <c r="C24" s="27">
        <v>106785</v>
      </c>
      <c r="D24" s="28">
        <v>15731</v>
      </c>
      <c r="E24" s="29">
        <f t="shared" si="1"/>
        <v>1679834835</v>
      </c>
      <c r="F24" s="29"/>
      <c r="G24" s="25"/>
      <c r="H24" s="26" t="s">
        <v>31</v>
      </c>
      <c r="I24" s="24">
        <v>44926</v>
      </c>
      <c r="J24" s="55">
        <v>60</v>
      </c>
      <c r="K24" s="56">
        <f t="shared" si="2"/>
        <v>44986</v>
      </c>
      <c r="L24" s="55">
        <f t="shared" si="3"/>
        <v>-29</v>
      </c>
      <c r="M24" s="57">
        <f t="shared" si="4"/>
        <v>1679834835</v>
      </c>
      <c r="N24" s="55"/>
      <c r="O24" s="55"/>
      <c r="P24" s="55"/>
      <c r="Q24" s="55"/>
    </row>
    <row r="25" spans="1:20" x14ac:dyDescent="0.25">
      <c r="A25" s="55"/>
      <c r="B25" s="25" t="s">
        <v>28</v>
      </c>
      <c r="C25" s="27">
        <v>101700</v>
      </c>
      <c r="D25" s="28">
        <v>15731</v>
      </c>
      <c r="E25" s="29">
        <f t="shared" si="1"/>
        <v>1599842700</v>
      </c>
      <c r="F25" s="29"/>
      <c r="G25" s="25"/>
      <c r="H25" s="26" t="s">
        <v>25</v>
      </c>
      <c r="I25" s="24">
        <v>44926</v>
      </c>
      <c r="J25" s="55">
        <v>60</v>
      </c>
      <c r="K25" s="56">
        <f t="shared" si="2"/>
        <v>44986</v>
      </c>
      <c r="L25" s="55">
        <f t="shared" si="3"/>
        <v>-29</v>
      </c>
      <c r="M25" s="57">
        <f t="shared" si="4"/>
        <v>1599842700</v>
      </c>
      <c r="N25" s="55"/>
      <c r="O25" s="55"/>
      <c r="P25" s="55"/>
      <c r="Q25" s="55"/>
    </row>
    <row r="26" spans="1:20" x14ac:dyDescent="0.25">
      <c r="A26" s="55"/>
      <c r="B26" s="25" t="s">
        <v>28</v>
      </c>
      <c r="C26" s="27">
        <v>106785</v>
      </c>
      <c r="D26" s="28">
        <v>15731</v>
      </c>
      <c r="E26" s="29">
        <f t="shared" si="1"/>
        <v>1679834835</v>
      </c>
      <c r="F26" s="29"/>
      <c r="G26" s="25"/>
      <c r="H26" s="26" t="s">
        <v>32</v>
      </c>
      <c r="I26" s="24">
        <v>44926</v>
      </c>
      <c r="J26" s="55">
        <v>60</v>
      </c>
      <c r="K26" s="56">
        <f t="shared" si="2"/>
        <v>44986</v>
      </c>
      <c r="L26" s="55">
        <f t="shared" si="3"/>
        <v>-29</v>
      </c>
      <c r="M26" s="57">
        <f t="shared" si="4"/>
        <v>1679834835</v>
      </c>
      <c r="N26" s="55"/>
      <c r="O26" s="55"/>
      <c r="P26" s="55"/>
      <c r="Q26" s="55"/>
    </row>
    <row r="27" spans="1:20" x14ac:dyDescent="0.25">
      <c r="A27" s="55"/>
      <c r="B27" s="25" t="s">
        <v>28</v>
      </c>
      <c r="C27" s="25">
        <v>109620</v>
      </c>
      <c r="D27" s="25">
        <v>14979</v>
      </c>
      <c r="E27" s="25">
        <f t="shared" si="1"/>
        <v>1641997980</v>
      </c>
      <c r="F27" s="25"/>
      <c r="G27" s="25"/>
      <c r="H27" s="25" t="s">
        <v>27</v>
      </c>
      <c r="I27" s="24">
        <v>44957</v>
      </c>
      <c r="J27" s="55">
        <v>60</v>
      </c>
      <c r="K27" s="56">
        <f t="shared" ref="K27" si="5">I27+J27</f>
        <v>45017</v>
      </c>
      <c r="L27" s="55">
        <f t="shared" si="3"/>
        <v>-60</v>
      </c>
      <c r="M27" s="57">
        <f t="shared" si="4"/>
        <v>1641997980</v>
      </c>
      <c r="N27" s="55"/>
      <c r="O27" s="55"/>
      <c r="P27" s="55"/>
      <c r="Q27" s="55"/>
    </row>
    <row r="28" spans="1:20" s="23" customFormat="1" x14ac:dyDescent="0.25">
      <c r="A28" s="58"/>
      <c r="B28" s="59" t="s">
        <v>45</v>
      </c>
      <c r="C28" s="58"/>
      <c r="D28" s="58"/>
      <c r="E28" s="58"/>
      <c r="F28" s="58"/>
      <c r="G28" s="60">
        <f>SUM(E19:E27)-G18</f>
        <v>473449780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</row>
    <row r="29" spans="1:20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</row>
    <row r="30" spans="1:20" s="23" customFormat="1" x14ac:dyDescent="0.25">
      <c r="A30" s="61" t="s">
        <v>47</v>
      </c>
      <c r="B30" s="58"/>
      <c r="C30" s="58"/>
      <c r="D30" s="58"/>
      <c r="E30" s="58"/>
      <c r="F30" s="58"/>
      <c r="G30" s="62">
        <f>E8</f>
        <v>3245200350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</row>
    <row r="31" spans="1:20" x14ac:dyDescent="0.25">
      <c r="A31" s="55"/>
      <c r="B31" s="25" t="s">
        <v>46</v>
      </c>
      <c r="C31" s="25">
        <v>113900</v>
      </c>
      <c r="D31" s="25">
        <v>15731</v>
      </c>
      <c r="E31" s="25">
        <f>+C31*D31</f>
        <v>1791760900</v>
      </c>
      <c r="F31" s="25"/>
      <c r="G31" s="25"/>
      <c r="H31" s="25" t="s">
        <v>48</v>
      </c>
      <c r="I31" s="24">
        <v>44957</v>
      </c>
      <c r="J31" s="55">
        <v>60</v>
      </c>
      <c r="K31" s="56">
        <f t="shared" ref="K31:K32" si="6">I31+J31</f>
        <v>45017</v>
      </c>
      <c r="L31" s="55">
        <f t="shared" ref="L31:L32" si="7">$L$14-K31</f>
        <v>-60</v>
      </c>
      <c r="M31" s="57">
        <f t="shared" ref="M31:M32" si="8">E31</f>
        <v>1791760900</v>
      </c>
      <c r="N31" s="55"/>
      <c r="O31" s="55"/>
      <c r="P31" s="55"/>
      <c r="Q31" s="55"/>
    </row>
    <row r="32" spans="1:20" x14ac:dyDescent="0.25">
      <c r="A32" s="55"/>
      <c r="B32" s="25" t="s">
        <v>46</v>
      </c>
      <c r="C32" s="25">
        <v>102750</v>
      </c>
      <c r="D32" s="25">
        <v>14979</v>
      </c>
      <c r="E32" s="25">
        <f>+C32*D32</f>
        <v>1539092250</v>
      </c>
      <c r="F32" s="25"/>
      <c r="G32" s="25"/>
      <c r="H32" s="25" t="s">
        <v>49</v>
      </c>
      <c r="I32" s="24">
        <v>44926</v>
      </c>
      <c r="J32" s="55">
        <v>60</v>
      </c>
      <c r="K32" s="56">
        <f t="shared" si="6"/>
        <v>44986</v>
      </c>
      <c r="L32" s="55">
        <f t="shared" si="7"/>
        <v>-29</v>
      </c>
      <c r="M32" s="57">
        <f t="shared" si="8"/>
        <v>1539092250</v>
      </c>
      <c r="N32" s="55"/>
      <c r="O32" s="55"/>
      <c r="P32" s="55"/>
      <c r="Q32" s="55"/>
    </row>
    <row r="33" spans="1:17" s="23" customFormat="1" x14ac:dyDescent="0.25">
      <c r="A33" s="58"/>
      <c r="B33" s="59" t="s">
        <v>45</v>
      </c>
      <c r="C33" s="58"/>
      <c r="D33" s="58"/>
      <c r="E33" s="58"/>
      <c r="F33" s="58"/>
      <c r="G33" s="60">
        <f>SUM(E31:E32)-G30</f>
        <v>85652800</v>
      </c>
      <c r="H33" s="58"/>
      <c r="I33" s="58"/>
      <c r="J33" s="58"/>
      <c r="K33" s="58"/>
      <c r="L33" s="58"/>
      <c r="M33" s="58"/>
      <c r="N33" s="58"/>
      <c r="O33" s="58"/>
      <c r="P33" s="58"/>
      <c r="Q33" s="58"/>
    </row>
    <row r="34" spans="1:17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</row>
    <row r="35" spans="1:17" s="23" customFormat="1" x14ac:dyDescent="0.25">
      <c r="A35" s="61" t="s">
        <v>50</v>
      </c>
      <c r="B35" s="58"/>
      <c r="C35" s="58"/>
      <c r="D35" s="58"/>
      <c r="E35" s="58"/>
      <c r="F35" s="58"/>
      <c r="G35" s="63">
        <f>E9</f>
        <v>379433198.78999996</v>
      </c>
      <c r="H35" s="58"/>
      <c r="I35" s="58"/>
      <c r="J35" s="58"/>
      <c r="K35" s="58"/>
      <c r="L35" s="58"/>
      <c r="M35" s="58"/>
      <c r="N35" s="58"/>
      <c r="O35" s="58"/>
      <c r="P35" s="58"/>
      <c r="Q35" s="57">
        <f>G35</f>
        <v>379433198.78999996</v>
      </c>
    </row>
    <row r="36" spans="1:17" x14ac:dyDescent="0.25">
      <c r="A36" s="55"/>
      <c r="B36" s="59" t="s">
        <v>45</v>
      </c>
      <c r="C36" s="55"/>
      <c r="D36" s="55"/>
      <c r="E36" s="55"/>
      <c r="F36" s="55"/>
      <c r="G36" s="60">
        <f>G35</f>
        <v>379433198.78999996</v>
      </c>
      <c r="H36" s="55"/>
      <c r="I36" s="55"/>
      <c r="J36" s="55"/>
      <c r="K36" s="55"/>
      <c r="L36" s="55"/>
      <c r="M36" s="55"/>
      <c r="N36" s="55"/>
      <c r="O36" s="55"/>
      <c r="P36" s="55"/>
      <c r="Q36" s="55"/>
    </row>
    <row r="37" spans="1:17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</row>
    <row r="38" spans="1:17" s="23" customFormat="1" x14ac:dyDescent="0.25">
      <c r="A38" s="58" t="s">
        <v>51</v>
      </c>
      <c r="B38" s="58"/>
      <c r="C38" s="58"/>
      <c r="D38" s="58"/>
      <c r="E38" s="58"/>
      <c r="F38" s="58"/>
      <c r="G38" s="63">
        <f>E10</f>
        <v>1099443621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</row>
    <row r="39" spans="1:17" x14ac:dyDescent="0.25">
      <c r="A39" s="55"/>
      <c r="B39" s="25" t="s">
        <v>52</v>
      </c>
      <c r="C39" s="25">
        <v>73399</v>
      </c>
      <c r="D39" s="25">
        <v>15731</v>
      </c>
      <c r="E39" s="25">
        <f>C39*D39</f>
        <v>1154639669</v>
      </c>
      <c r="F39" s="25"/>
      <c r="G39" s="25"/>
      <c r="H39" s="25" t="s">
        <v>26</v>
      </c>
      <c r="I39" s="24">
        <v>44926</v>
      </c>
      <c r="J39" s="55">
        <v>60</v>
      </c>
      <c r="K39" s="56">
        <f t="shared" ref="K39" si="9">I39+J39</f>
        <v>44986</v>
      </c>
      <c r="L39" s="55">
        <f t="shared" ref="L39" si="10">$L$14-K39</f>
        <v>-29</v>
      </c>
      <c r="M39" s="57">
        <f t="shared" ref="M39" si="11">E39</f>
        <v>1154639669</v>
      </c>
      <c r="N39" s="55"/>
      <c r="O39" s="55"/>
      <c r="P39" s="55"/>
      <c r="Q39" s="55"/>
    </row>
    <row r="40" spans="1:17" x14ac:dyDescent="0.25">
      <c r="A40" s="55"/>
      <c r="B40" s="59" t="s">
        <v>45</v>
      </c>
      <c r="C40" s="55"/>
      <c r="D40" s="55"/>
      <c r="E40" s="55"/>
      <c r="F40" s="55"/>
      <c r="G40" s="60">
        <f>E39-G38</f>
        <v>55196048</v>
      </c>
      <c r="H40" s="55"/>
      <c r="I40" s="55"/>
      <c r="J40" s="55"/>
      <c r="K40" s="55"/>
      <c r="L40" s="55"/>
      <c r="M40" s="55"/>
      <c r="N40" s="55"/>
      <c r="O40" s="55"/>
      <c r="P40" s="55"/>
      <c r="Q40" s="55"/>
    </row>
    <row r="41" spans="1:17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</row>
    <row r="42" spans="1:17" s="23" customFormat="1" x14ac:dyDescent="0.25">
      <c r="A42" s="58" t="s">
        <v>53</v>
      </c>
      <c r="B42" s="58"/>
      <c r="C42" s="58"/>
      <c r="D42" s="58"/>
      <c r="E42" s="58"/>
      <c r="F42" s="58"/>
      <c r="G42" s="63">
        <f>E11</f>
        <v>1598558880</v>
      </c>
      <c r="H42" s="58"/>
      <c r="I42" s="58"/>
      <c r="J42" s="58"/>
      <c r="K42" s="58"/>
      <c r="L42" s="58"/>
      <c r="M42" s="58"/>
      <c r="N42" s="58"/>
      <c r="O42" s="58"/>
      <c r="P42" s="58"/>
      <c r="Q42" s="58"/>
    </row>
    <row r="43" spans="1:17" x14ac:dyDescent="0.25">
      <c r="A43" s="55"/>
      <c r="B43" s="25" t="s">
        <v>54</v>
      </c>
      <c r="C43" s="25">
        <v>106720</v>
      </c>
      <c r="D43" s="25">
        <v>15731</v>
      </c>
      <c r="E43" s="25">
        <f>+C43*D43</f>
        <v>1678812320</v>
      </c>
      <c r="F43" s="25"/>
      <c r="G43" s="25"/>
      <c r="H43" s="25" t="s">
        <v>55</v>
      </c>
      <c r="I43" s="24">
        <v>44926</v>
      </c>
      <c r="J43" s="55">
        <v>60</v>
      </c>
      <c r="K43" s="56">
        <f t="shared" ref="K43" si="12">I43+J43</f>
        <v>44986</v>
      </c>
      <c r="L43" s="55">
        <f t="shared" ref="L43" si="13">$L$14-K43</f>
        <v>-29</v>
      </c>
      <c r="M43" s="57">
        <f t="shared" ref="M43" si="14">E43</f>
        <v>1678812320</v>
      </c>
      <c r="N43" s="55"/>
      <c r="O43" s="55"/>
      <c r="P43" s="55"/>
      <c r="Q43" s="55"/>
    </row>
    <row r="44" spans="1:17" x14ac:dyDescent="0.25">
      <c r="A44" s="55"/>
      <c r="B44" s="59" t="s">
        <v>45</v>
      </c>
      <c r="C44" s="55"/>
      <c r="D44" s="55"/>
      <c r="E44" s="55"/>
      <c r="F44" s="55"/>
      <c r="G44" s="60">
        <f>E43-G42</f>
        <v>80253440</v>
      </c>
      <c r="H44" s="55"/>
      <c r="I44" s="55"/>
      <c r="J44" s="55"/>
      <c r="K44" s="55"/>
      <c r="L44" s="55"/>
      <c r="M44" s="55"/>
      <c r="N44" s="55"/>
      <c r="O44" s="55"/>
      <c r="P44" s="55"/>
      <c r="Q44" s="55"/>
    </row>
    <row r="45" spans="1:17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</row>
    <row r="46" spans="1:17" x14ac:dyDescent="0.25">
      <c r="A46" s="58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</row>
  </sheetData>
  <mergeCells count="7">
    <mergeCell ref="H16:K16"/>
    <mergeCell ref="L16:Q16"/>
    <mergeCell ref="A5:A6"/>
    <mergeCell ref="C5:C6"/>
    <mergeCell ref="D5:D6"/>
    <mergeCell ref="E5:E6"/>
    <mergeCell ref="A16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4B2C-64AB-46DC-8626-4BE81D6936BC}">
  <dimension ref="A2:Q51"/>
  <sheetViews>
    <sheetView showGridLines="0" topLeftCell="B10" workbookViewId="0">
      <selection activeCell="J23" sqref="J23"/>
    </sheetView>
  </sheetViews>
  <sheetFormatPr defaultColWidth="8.81640625" defaultRowHeight="11.5" x14ac:dyDescent="0.25"/>
  <cols>
    <col min="1" max="1" width="10.6328125" style="10" customWidth="1"/>
    <col min="2" max="2" width="40.453125" style="10" bestFit="1" customWidth="1"/>
    <col min="3" max="3" width="13.54296875" style="10" bestFit="1" customWidth="1"/>
    <col min="4" max="4" width="12.26953125" style="10" bestFit="1" customWidth="1"/>
    <col min="5" max="5" width="14.81640625" style="10" bestFit="1" customWidth="1"/>
    <col min="6" max="6" width="13.36328125" style="10" bestFit="1" customWidth="1"/>
    <col min="7" max="7" width="12.1796875" style="10" bestFit="1" customWidth="1"/>
    <col min="8" max="8" width="8.90625" style="10" bestFit="1" customWidth="1"/>
    <col min="9" max="9" width="12.36328125" style="10" bestFit="1" customWidth="1"/>
    <col min="10" max="10" width="11.54296875" style="10" bestFit="1" customWidth="1"/>
    <col min="11" max="11" width="14.90625" style="10" bestFit="1" customWidth="1"/>
    <col min="12" max="12" width="12.36328125" style="10" bestFit="1" customWidth="1"/>
    <col min="13" max="16" width="8.90625" style="10" bestFit="1" customWidth="1"/>
    <col min="17" max="17" width="15.453125" style="10" bestFit="1" customWidth="1"/>
    <col min="18" max="16384" width="8.81640625" style="10"/>
  </cols>
  <sheetData>
    <row r="2" spans="1:12" x14ac:dyDescent="0.25">
      <c r="A2" s="6" t="s">
        <v>0</v>
      </c>
      <c r="B2" s="7"/>
      <c r="C2" s="8"/>
      <c r="D2" s="9"/>
      <c r="E2" s="9"/>
    </row>
    <row r="3" spans="1:12" x14ac:dyDescent="0.25">
      <c r="A3" s="6" t="s">
        <v>58</v>
      </c>
      <c r="B3" s="7"/>
      <c r="C3" s="8"/>
      <c r="D3" s="9"/>
      <c r="E3" s="9"/>
    </row>
    <row r="4" spans="1:12" x14ac:dyDescent="0.25">
      <c r="A4" s="14"/>
      <c r="B4" s="14"/>
      <c r="C4" s="14"/>
      <c r="D4" s="14"/>
      <c r="E4" s="14"/>
    </row>
    <row r="5" spans="1:12" x14ac:dyDescent="0.25">
      <c r="A5" s="96" t="s">
        <v>2</v>
      </c>
      <c r="B5" s="15" t="s">
        <v>3</v>
      </c>
      <c r="C5" s="98" t="s">
        <v>4</v>
      </c>
      <c r="D5" s="98" t="s">
        <v>5</v>
      </c>
      <c r="E5" s="98" t="s">
        <v>6</v>
      </c>
    </row>
    <row r="6" spans="1:12" ht="12" thickBot="1" x14ac:dyDescent="0.3">
      <c r="A6" s="97"/>
      <c r="B6" s="16" t="s">
        <v>7</v>
      </c>
      <c r="C6" s="99"/>
      <c r="D6" s="99"/>
      <c r="E6" s="99"/>
    </row>
    <row r="7" spans="1:12" x14ac:dyDescent="0.25">
      <c r="A7" s="17">
        <v>1</v>
      </c>
      <c r="B7" s="18" t="s">
        <v>8</v>
      </c>
      <c r="C7" s="14">
        <v>15274</v>
      </c>
      <c r="D7" s="14">
        <v>424320</v>
      </c>
      <c r="E7" s="12">
        <f>C7*D7</f>
        <v>6481063680</v>
      </c>
    </row>
    <row r="8" spans="1:12" x14ac:dyDescent="0.25">
      <c r="A8" s="17">
        <v>2</v>
      </c>
      <c r="B8" s="18" t="s">
        <v>9</v>
      </c>
      <c r="C8" s="14">
        <v>15274</v>
      </c>
      <c r="D8" s="14">
        <v>216650</v>
      </c>
      <c r="E8" s="12">
        <f>D8*C8</f>
        <v>3309112100</v>
      </c>
    </row>
    <row r="9" spans="1:12" x14ac:dyDescent="0.25">
      <c r="A9" s="17">
        <v>3</v>
      </c>
      <c r="B9" s="18" t="s">
        <v>10</v>
      </c>
      <c r="C9" s="14">
        <v>15274</v>
      </c>
      <c r="D9" s="14">
        <v>25331.01</v>
      </c>
      <c r="E9" s="12">
        <f>C9*D9</f>
        <v>386905846.73999995</v>
      </c>
    </row>
    <row r="10" spans="1:12" x14ac:dyDescent="0.25">
      <c r="A10" s="17">
        <v>4</v>
      </c>
      <c r="B10" s="18" t="s">
        <v>56</v>
      </c>
      <c r="C10" s="14">
        <v>15274</v>
      </c>
      <c r="D10" s="14">
        <v>68695</v>
      </c>
      <c r="E10" s="12">
        <f>C10*D10</f>
        <v>1049247430</v>
      </c>
    </row>
    <row r="11" spans="1:12" x14ac:dyDescent="0.25">
      <c r="A11" s="17">
        <v>5</v>
      </c>
      <c r="B11" s="38" t="s">
        <v>12</v>
      </c>
      <c r="C11" s="37">
        <v>15274</v>
      </c>
      <c r="D11" s="37">
        <v>106720</v>
      </c>
      <c r="E11" s="37">
        <f>C11*D11</f>
        <v>1630041280</v>
      </c>
    </row>
    <row r="12" spans="1:12" x14ac:dyDescent="0.25">
      <c r="A12" s="17">
        <v>6</v>
      </c>
      <c r="B12" s="18" t="s">
        <v>57</v>
      </c>
      <c r="C12" s="14">
        <v>15274</v>
      </c>
      <c r="D12" s="14">
        <v>46590</v>
      </c>
      <c r="E12" s="12">
        <f>C12*D12</f>
        <v>711615660</v>
      </c>
    </row>
    <row r="13" spans="1:12" x14ac:dyDescent="0.25">
      <c r="A13" s="17"/>
      <c r="B13" s="18"/>
      <c r="C13" s="14"/>
      <c r="D13" s="14"/>
      <c r="E13" s="12"/>
    </row>
    <row r="14" spans="1:12" x14ac:dyDescent="0.25">
      <c r="A14" s="17"/>
      <c r="B14" s="39" t="s">
        <v>13</v>
      </c>
      <c r="C14" s="14"/>
      <c r="D14" s="40">
        <f>SUM(D7:D12)</f>
        <v>888306.01</v>
      </c>
      <c r="E14" s="35">
        <f>SUM(E7:E12)</f>
        <v>13567985996.74</v>
      </c>
    </row>
    <row r="16" spans="1:12" x14ac:dyDescent="0.25">
      <c r="L16" s="34">
        <v>44985</v>
      </c>
    </row>
    <row r="17" spans="1:17" ht="12" thickBot="1" x14ac:dyDescent="0.3">
      <c r="A17" s="23" t="s">
        <v>14</v>
      </c>
      <c r="L17" s="51">
        <f>SUM(Q20:Q67)</f>
        <v>0</v>
      </c>
      <c r="M17" s="51">
        <f>SUM(R20:R67)</f>
        <v>0</v>
      </c>
      <c r="N17" s="51">
        <f>SUM(S20:S67)</f>
        <v>0</v>
      </c>
      <c r="O17" s="51">
        <f>SUM(T20:T67)</f>
        <v>0</v>
      </c>
      <c r="P17" s="51">
        <f>SUM(U20:U67)</f>
        <v>0</v>
      </c>
    </row>
    <row r="18" spans="1:17" ht="12" thickTop="1" x14ac:dyDescent="0.25">
      <c r="A18" s="100" t="s">
        <v>15</v>
      </c>
      <c r="B18" s="1" t="s">
        <v>3</v>
      </c>
      <c r="C18" s="32" t="s">
        <v>60</v>
      </c>
      <c r="D18" s="64" t="s">
        <v>4</v>
      </c>
      <c r="E18" s="64" t="s">
        <v>60</v>
      </c>
      <c r="F18" s="3" t="s">
        <v>18</v>
      </c>
      <c r="G18" s="102" t="s">
        <v>33</v>
      </c>
      <c r="H18" s="102"/>
      <c r="I18" s="102"/>
      <c r="J18" s="102"/>
      <c r="K18" s="103" t="s">
        <v>34</v>
      </c>
      <c r="L18" s="104"/>
      <c r="M18" s="104"/>
      <c r="N18" s="104"/>
      <c r="O18" s="104"/>
      <c r="P18" s="105"/>
    </row>
    <row r="19" spans="1:17" x14ac:dyDescent="0.25">
      <c r="A19" s="101"/>
      <c r="B19" s="4" t="s">
        <v>7</v>
      </c>
      <c r="C19" s="33" t="s">
        <v>5</v>
      </c>
      <c r="D19" s="66" t="s">
        <v>19</v>
      </c>
      <c r="E19" s="67" t="s">
        <v>20</v>
      </c>
      <c r="F19" s="5" t="s">
        <v>20</v>
      </c>
      <c r="G19" s="41" t="s">
        <v>35</v>
      </c>
      <c r="H19" s="41" t="s">
        <v>36</v>
      </c>
      <c r="I19" s="41" t="s">
        <v>37</v>
      </c>
      <c r="J19" s="41" t="s">
        <v>38</v>
      </c>
      <c r="K19" s="42" t="s">
        <v>39</v>
      </c>
      <c r="L19" s="42" t="s">
        <v>40</v>
      </c>
      <c r="M19" s="42" t="s">
        <v>41</v>
      </c>
      <c r="N19" s="42" t="s">
        <v>42</v>
      </c>
      <c r="O19" s="42" t="s">
        <v>43</v>
      </c>
      <c r="P19" s="42" t="s">
        <v>44</v>
      </c>
    </row>
    <row r="20" spans="1:17" s="23" customFormat="1" x14ac:dyDescent="0.25">
      <c r="A20" s="58" t="s">
        <v>21</v>
      </c>
      <c r="B20" s="58"/>
      <c r="C20" s="58"/>
      <c r="D20" s="58"/>
      <c r="E20" s="58"/>
      <c r="F20" s="63">
        <f>E7</f>
        <v>6481063680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</row>
    <row r="21" spans="1:17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</row>
    <row r="22" spans="1:17" x14ac:dyDescent="0.25">
      <c r="A22" s="55"/>
      <c r="B22" s="25" t="s">
        <v>28</v>
      </c>
      <c r="C22" s="27">
        <v>107100</v>
      </c>
      <c r="D22" s="28">
        <v>15218</v>
      </c>
      <c r="E22" s="29">
        <f>+C22*D22</f>
        <v>1629847800</v>
      </c>
      <c r="F22" s="25"/>
      <c r="G22" s="26" t="s">
        <v>150</v>
      </c>
      <c r="H22" s="24">
        <v>44980</v>
      </c>
      <c r="I22" s="55">
        <v>60</v>
      </c>
      <c r="J22" s="56">
        <f>H22+I22</f>
        <v>45040</v>
      </c>
      <c r="K22" s="55">
        <f>$L$16-J22</f>
        <v>-55</v>
      </c>
      <c r="L22" s="57">
        <f>E22</f>
        <v>1629847800</v>
      </c>
      <c r="M22" s="55"/>
      <c r="N22" s="55"/>
      <c r="O22" s="55"/>
      <c r="P22" s="55"/>
    </row>
    <row r="23" spans="1:17" x14ac:dyDescent="0.25">
      <c r="A23" s="55"/>
      <c r="B23" s="25" t="s">
        <v>28</v>
      </c>
      <c r="C23" s="27">
        <v>86700</v>
      </c>
      <c r="D23" s="28">
        <v>15187</v>
      </c>
      <c r="E23" s="29">
        <f>+C23*D23</f>
        <v>1316712900</v>
      </c>
      <c r="F23" s="25"/>
      <c r="G23" s="26" t="s">
        <v>151</v>
      </c>
      <c r="H23" s="24">
        <v>44981</v>
      </c>
      <c r="I23" s="55">
        <v>60</v>
      </c>
      <c r="J23" s="56">
        <f t="shared" ref="J23:J25" si="0">H23+I23</f>
        <v>45041</v>
      </c>
      <c r="K23" s="55">
        <f t="shared" ref="K23:K24" si="1">$L$16-J23</f>
        <v>-56</v>
      </c>
      <c r="L23" s="57">
        <f>E23</f>
        <v>1316712900</v>
      </c>
      <c r="M23" s="55"/>
      <c r="N23" s="55"/>
      <c r="O23" s="55"/>
      <c r="P23" s="55"/>
    </row>
    <row r="24" spans="1:17" x14ac:dyDescent="0.25">
      <c r="A24" s="55"/>
      <c r="B24" s="25" t="s">
        <v>28</v>
      </c>
      <c r="C24" s="27">
        <v>109620</v>
      </c>
      <c r="D24" s="28">
        <v>14979</v>
      </c>
      <c r="E24" s="29">
        <f>+C24*D24</f>
        <v>1641997980</v>
      </c>
      <c r="F24" s="25"/>
      <c r="G24" s="26" t="s">
        <v>27</v>
      </c>
      <c r="H24" s="24">
        <v>44957</v>
      </c>
      <c r="I24" s="55">
        <v>60</v>
      </c>
      <c r="J24" s="56">
        <f t="shared" si="0"/>
        <v>45017</v>
      </c>
      <c r="K24" s="55">
        <f t="shared" si="1"/>
        <v>-32</v>
      </c>
      <c r="L24" s="57">
        <f>E24</f>
        <v>1641997980</v>
      </c>
      <c r="M24" s="55"/>
      <c r="N24" s="55"/>
      <c r="O24" s="55"/>
      <c r="P24" s="55"/>
    </row>
    <row r="25" spans="1:17" x14ac:dyDescent="0.25">
      <c r="A25" s="55"/>
      <c r="B25" s="25" t="s">
        <v>28</v>
      </c>
      <c r="C25" s="27">
        <v>120900</v>
      </c>
      <c r="D25" s="28">
        <v>14979</v>
      </c>
      <c r="E25" s="29">
        <f>+C25*D25</f>
        <v>1810961100</v>
      </c>
      <c r="F25" s="25"/>
      <c r="G25" s="26" t="s">
        <v>152</v>
      </c>
      <c r="H25" s="24">
        <v>44957</v>
      </c>
      <c r="I25" s="55">
        <v>60</v>
      </c>
      <c r="J25" s="56">
        <f t="shared" si="0"/>
        <v>45017</v>
      </c>
      <c r="K25" s="55">
        <f>$L$16-J25</f>
        <v>-32</v>
      </c>
      <c r="L25" s="57">
        <f>E25</f>
        <v>1810961100</v>
      </c>
      <c r="M25" s="55"/>
      <c r="N25" s="55"/>
      <c r="O25" s="55"/>
      <c r="P25" s="55"/>
    </row>
    <row r="26" spans="1:17" x14ac:dyDescent="0.25">
      <c r="A26" s="55"/>
      <c r="B26" s="59" t="s">
        <v>45</v>
      </c>
      <c r="C26" s="55"/>
      <c r="D26" s="55"/>
      <c r="E26" s="55"/>
      <c r="F26" s="68">
        <f>SUM(E22:E25)-F20</f>
        <v>-81543900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</row>
    <row r="27" spans="1:17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</row>
    <row r="28" spans="1:17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</row>
    <row r="29" spans="1:17" x14ac:dyDescent="0.25">
      <c r="A29" s="61" t="s">
        <v>47</v>
      </c>
      <c r="B29" s="55"/>
      <c r="C29" s="55"/>
      <c r="D29" s="55"/>
      <c r="E29" s="55"/>
      <c r="F29" s="63">
        <f>E8</f>
        <v>3309112100</v>
      </c>
      <c r="G29" s="55"/>
      <c r="H29" s="55"/>
      <c r="I29" s="55"/>
      <c r="J29" s="55"/>
      <c r="K29" s="55"/>
      <c r="L29" s="55"/>
      <c r="M29" s="55"/>
      <c r="N29" s="55"/>
      <c r="O29" s="55"/>
      <c r="P29" s="55"/>
    </row>
    <row r="30" spans="1:17" x14ac:dyDescent="0.25">
      <c r="A30" s="55"/>
      <c r="B30" s="25" t="s">
        <v>46</v>
      </c>
      <c r="C30" s="27">
        <v>102750</v>
      </c>
      <c r="D30" s="28">
        <v>14979</v>
      </c>
      <c r="E30" s="29">
        <f>+C30*D30</f>
        <v>1539092250</v>
      </c>
      <c r="F30" s="27"/>
      <c r="G30" s="26" t="s">
        <v>49</v>
      </c>
      <c r="H30" s="24">
        <v>44957</v>
      </c>
      <c r="I30" s="55">
        <v>60</v>
      </c>
      <c r="J30" s="56">
        <f>H30+I30</f>
        <v>45017</v>
      </c>
      <c r="K30" s="55">
        <f t="shared" ref="K30:K31" si="2">$L$16-J30</f>
        <v>-32</v>
      </c>
      <c r="L30" s="57">
        <f>E30</f>
        <v>1539092250</v>
      </c>
      <c r="M30" s="55"/>
      <c r="N30" s="55"/>
      <c r="O30" s="55"/>
      <c r="P30" s="55"/>
    </row>
    <row r="31" spans="1:17" x14ac:dyDescent="0.25">
      <c r="A31" s="55"/>
      <c r="B31" s="25" t="s">
        <v>46</v>
      </c>
      <c r="C31" s="27">
        <v>113900</v>
      </c>
      <c r="D31" s="28">
        <v>15731</v>
      </c>
      <c r="E31" s="29">
        <f>+C31*D31</f>
        <v>1791760900</v>
      </c>
      <c r="F31" s="27"/>
      <c r="G31" s="26" t="s">
        <v>48</v>
      </c>
      <c r="H31" s="24">
        <v>44926</v>
      </c>
      <c r="I31" s="55">
        <v>60</v>
      </c>
      <c r="J31" s="56">
        <f>H31+I31</f>
        <v>44986</v>
      </c>
      <c r="K31" s="55">
        <f t="shared" si="2"/>
        <v>-1</v>
      </c>
      <c r="L31" s="57">
        <f>E31</f>
        <v>1791760900</v>
      </c>
      <c r="M31" s="55"/>
      <c r="N31" s="55"/>
      <c r="O31" s="55"/>
      <c r="P31" s="55"/>
      <c r="Q31" s="44" t="s">
        <v>64</v>
      </c>
    </row>
    <row r="32" spans="1:17" x14ac:dyDescent="0.25">
      <c r="A32" s="55"/>
      <c r="B32" s="59" t="s">
        <v>45</v>
      </c>
      <c r="C32" s="55"/>
      <c r="D32" s="55"/>
      <c r="E32" s="55"/>
      <c r="F32" s="68">
        <f>SUM(E30:E31)-F29</f>
        <v>21741050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</row>
    <row r="33" spans="1:16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</row>
    <row r="34" spans="1:16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35" spans="1:16" x14ac:dyDescent="0.25">
      <c r="A35" s="61" t="s">
        <v>50</v>
      </c>
      <c r="B35" s="55"/>
      <c r="C35" s="55"/>
      <c r="D35" s="55"/>
      <c r="E35" s="55"/>
      <c r="F35" s="63">
        <f>E9</f>
        <v>386905846.73999995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</row>
    <row r="36" spans="1:16" x14ac:dyDescent="0.25">
      <c r="A36" s="55"/>
      <c r="B36" s="59" t="s">
        <v>45</v>
      </c>
      <c r="C36" s="55"/>
      <c r="D36" s="55"/>
      <c r="E36" s="55"/>
      <c r="F36" s="68">
        <f>F35</f>
        <v>386905846.73999995</v>
      </c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1:16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</row>
    <row r="38" spans="1:16" x14ac:dyDescent="0.25">
      <c r="A38" s="58" t="s">
        <v>61</v>
      </c>
      <c r="B38" s="55"/>
      <c r="C38" s="55"/>
      <c r="D38" s="55"/>
      <c r="E38" s="55"/>
      <c r="F38" s="63">
        <f>E10</f>
        <v>1049247430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</row>
    <row r="39" spans="1:16" x14ac:dyDescent="0.25">
      <c r="A39" s="55"/>
      <c r="B39" s="25" t="s">
        <v>62</v>
      </c>
      <c r="C39" s="27">
        <v>68695</v>
      </c>
      <c r="D39" s="28">
        <v>15216</v>
      </c>
      <c r="E39" s="29">
        <f>+C39*D39</f>
        <v>1045263120</v>
      </c>
      <c r="F39" s="27"/>
      <c r="G39" s="26" t="s">
        <v>63</v>
      </c>
      <c r="H39" s="24">
        <v>44984</v>
      </c>
      <c r="I39" s="55">
        <v>60</v>
      </c>
      <c r="J39" s="56">
        <f>H39+I39</f>
        <v>45044</v>
      </c>
      <c r="K39" s="55">
        <f t="shared" ref="K39" si="3">$L$16-J39</f>
        <v>-59</v>
      </c>
      <c r="L39" s="57">
        <f>E39</f>
        <v>1045263120</v>
      </c>
      <c r="M39" s="55"/>
      <c r="N39" s="55"/>
      <c r="O39" s="55"/>
      <c r="P39" s="55"/>
    </row>
    <row r="40" spans="1:16" x14ac:dyDescent="0.25">
      <c r="A40" s="55"/>
      <c r="B40" s="59" t="s">
        <v>45</v>
      </c>
      <c r="C40" s="55"/>
      <c r="D40" s="55"/>
      <c r="E40" s="55"/>
      <c r="F40" s="68">
        <f>E39-F38</f>
        <v>-3984310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</row>
    <row r="41" spans="1:16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</row>
    <row r="42" spans="1:16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</row>
    <row r="43" spans="1:16" x14ac:dyDescent="0.25">
      <c r="A43" s="58" t="s">
        <v>65</v>
      </c>
      <c r="B43" s="55"/>
      <c r="C43" s="55"/>
      <c r="D43" s="55"/>
      <c r="E43" s="55"/>
      <c r="F43" s="69">
        <f>E11</f>
        <v>1630041280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</row>
    <row r="44" spans="1:16" x14ac:dyDescent="0.25">
      <c r="A44" s="55"/>
      <c r="B44" s="25" t="s">
        <v>54</v>
      </c>
      <c r="C44" s="27">
        <v>106720</v>
      </c>
      <c r="D44" s="28">
        <v>15731</v>
      </c>
      <c r="E44" s="29">
        <f>+C44*D44</f>
        <v>1678812320</v>
      </c>
      <c r="F44" s="72"/>
      <c r="G44" s="26" t="s">
        <v>55</v>
      </c>
      <c r="H44" s="24">
        <v>44926</v>
      </c>
      <c r="I44" s="55">
        <v>60</v>
      </c>
      <c r="J44" s="56">
        <f>H44+I44</f>
        <v>44986</v>
      </c>
      <c r="K44" s="55">
        <f>$L$16-J44</f>
        <v>-1</v>
      </c>
      <c r="L44" s="57">
        <f>E44</f>
        <v>1678812320</v>
      </c>
      <c r="M44" s="55"/>
      <c r="N44" s="55"/>
      <c r="O44" s="55"/>
      <c r="P44" s="55"/>
    </row>
    <row r="45" spans="1:16" x14ac:dyDescent="0.25">
      <c r="A45" s="55"/>
      <c r="B45" s="59" t="s">
        <v>45</v>
      </c>
      <c r="C45" s="55"/>
      <c r="D45" s="55"/>
      <c r="E45" s="55"/>
      <c r="F45" s="70">
        <f>E44-F43</f>
        <v>48771040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</row>
    <row r="46" spans="1:16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</row>
    <row r="47" spans="1:16" x14ac:dyDescent="0.25">
      <c r="A47" s="58" t="s">
        <v>66</v>
      </c>
      <c r="B47" s="55"/>
      <c r="C47" s="55"/>
      <c r="D47" s="55"/>
      <c r="E47" s="55"/>
      <c r="F47" s="63">
        <f>E12</f>
        <v>711615660</v>
      </c>
      <c r="G47" s="55"/>
      <c r="H47" s="55"/>
      <c r="I47" s="55"/>
      <c r="J47" s="55"/>
      <c r="K47" s="55"/>
      <c r="L47" s="55"/>
      <c r="M47" s="55"/>
      <c r="N47" s="55"/>
      <c r="O47" s="55"/>
      <c r="P47" s="55"/>
    </row>
    <row r="48" spans="1:16" x14ac:dyDescent="0.25">
      <c r="A48" s="55"/>
      <c r="B48" s="25" t="s">
        <v>67</v>
      </c>
      <c r="C48" s="27">
        <v>46590</v>
      </c>
      <c r="D48" s="28">
        <v>15274</v>
      </c>
      <c r="E48" s="29">
        <f>+C48*D48</f>
        <v>711615660</v>
      </c>
      <c r="F48" s="25"/>
      <c r="G48" s="26" t="s">
        <v>68</v>
      </c>
      <c r="H48" s="24">
        <v>44985</v>
      </c>
      <c r="I48" s="55">
        <v>60</v>
      </c>
      <c r="J48" s="56">
        <f>H48+I48</f>
        <v>45045</v>
      </c>
      <c r="K48" s="55">
        <f t="shared" ref="K48" si="4">$L$16-J48</f>
        <v>-60</v>
      </c>
      <c r="L48" s="57">
        <f t="shared" ref="L48" si="5">E48</f>
        <v>711615660</v>
      </c>
      <c r="M48" s="55"/>
      <c r="N48" s="55"/>
      <c r="O48" s="55"/>
      <c r="P48" s="55"/>
    </row>
    <row r="49" spans="1:16" x14ac:dyDescent="0.25">
      <c r="A49" s="55"/>
      <c r="B49" s="59" t="s">
        <v>45</v>
      </c>
      <c r="C49" s="55"/>
      <c r="D49" s="55"/>
      <c r="E49" s="55"/>
      <c r="F49" s="71">
        <f>E48-F47</f>
        <v>0</v>
      </c>
      <c r="G49" s="55"/>
      <c r="H49" s="55"/>
      <c r="I49" s="55"/>
      <c r="J49" s="55"/>
      <c r="K49" s="55"/>
      <c r="L49" s="55"/>
      <c r="M49" s="55"/>
      <c r="N49" s="55"/>
      <c r="O49" s="55"/>
      <c r="P49" s="55"/>
    </row>
    <row r="50" spans="1:16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</row>
    <row r="51" spans="1:16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</row>
  </sheetData>
  <mergeCells count="7">
    <mergeCell ref="G18:J18"/>
    <mergeCell ref="K18:P18"/>
    <mergeCell ref="A18:A19"/>
    <mergeCell ref="A5:A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91D5-68C3-4FDF-97B7-43D1FF15799B}">
  <dimension ref="A2:P45"/>
  <sheetViews>
    <sheetView showGridLines="0" topLeftCell="B1" workbookViewId="0">
      <selection activeCell="E42" sqref="E42"/>
    </sheetView>
  </sheetViews>
  <sheetFormatPr defaultColWidth="8.81640625" defaultRowHeight="11.5" x14ac:dyDescent="0.25"/>
  <cols>
    <col min="1" max="1" width="10.6328125" style="10" customWidth="1"/>
    <col min="2" max="2" width="40.453125" style="10" bestFit="1" customWidth="1"/>
    <col min="3" max="3" width="13.54296875" style="10" bestFit="1" customWidth="1"/>
    <col min="4" max="4" width="12.26953125" style="10" bestFit="1" customWidth="1"/>
    <col min="5" max="5" width="15.36328125" style="10" bestFit="1" customWidth="1"/>
    <col min="6" max="6" width="13.90625" style="10" bestFit="1" customWidth="1"/>
    <col min="7" max="7" width="13.36328125" style="10" bestFit="1" customWidth="1"/>
    <col min="8" max="8" width="8.90625" style="10" bestFit="1" customWidth="1"/>
    <col min="9" max="9" width="12.36328125" style="10" bestFit="1" customWidth="1"/>
    <col min="10" max="10" width="11.54296875" style="10" bestFit="1" customWidth="1"/>
    <col min="11" max="11" width="5.453125" style="10" bestFit="1" customWidth="1"/>
    <col min="12" max="12" width="13.36328125" style="10" bestFit="1" customWidth="1"/>
    <col min="13" max="13" width="12.36328125" style="10" bestFit="1" customWidth="1"/>
    <col min="14" max="15" width="8.90625" style="10" bestFit="1" customWidth="1"/>
    <col min="16" max="16" width="11" style="10" bestFit="1" customWidth="1"/>
    <col min="17" max="17" width="15.453125" style="10" bestFit="1" customWidth="1"/>
    <col min="18" max="16384" width="8.81640625" style="10"/>
  </cols>
  <sheetData>
    <row r="2" spans="1:8" x14ac:dyDescent="0.25">
      <c r="A2" s="6" t="s">
        <v>0</v>
      </c>
      <c r="B2" s="7"/>
      <c r="C2" s="8"/>
      <c r="D2" s="9"/>
      <c r="E2" s="9"/>
    </row>
    <row r="3" spans="1:8" x14ac:dyDescent="0.25">
      <c r="A3" s="6" t="s">
        <v>69</v>
      </c>
      <c r="B3" s="7"/>
      <c r="C3" s="8"/>
      <c r="D3" s="9"/>
      <c r="E3" s="9"/>
    </row>
    <row r="4" spans="1:8" x14ac:dyDescent="0.25">
      <c r="A4" s="14"/>
      <c r="B4" s="14"/>
      <c r="C4" s="14"/>
      <c r="D4" s="14"/>
      <c r="E4" s="14"/>
    </row>
    <row r="5" spans="1:8" x14ac:dyDescent="0.25">
      <c r="A5" s="96" t="s">
        <v>2</v>
      </c>
      <c r="B5" s="15" t="s">
        <v>3</v>
      </c>
      <c r="C5" s="98" t="s">
        <v>4</v>
      </c>
      <c r="D5" s="98" t="s">
        <v>5</v>
      </c>
      <c r="E5" s="98" t="s">
        <v>6</v>
      </c>
    </row>
    <row r="6" spans="1:8" ht="12" thickBot="1" x14ac:dyDescent="0.3">
      <c r="A6" s="97"/>
      <c r="B6" s="16" t="s">
        <v>7</v>
      </c>
      <c r="C6" s="99"/>
      <c r="D6" s="99"/>
      <c r="E6" s="99"/>
    </row>
    <row r="7" spans="1:8" x14ac:dyDescent="0.25">
      <c r="A7" s="17">
        <v>1</v>
      </c>
      <c r="B7" s="18" t="s">
        <v>8</v>
      </c>
      <c r="C7" s="14">
        <v>15062</v>
      </c>
      <c r="D7" s="14">
        <v>358550</v>
      </c>
      <c r="E7" s="12">
        <f>C7*D7</f>
        <v>5400480100</v>
      </c>
    </row>
    <row r="8" spans="1:8" x14ac:dyDescent="0.25">
      <c r="A8" s="17">
        <v>2</v>
      </c>
      <c r="B8" s="18" t="s">
        <v>9</v>
      </c>
      <c r="C8" s="14">
        <v>15062</v>
      </c>
      <c r="D8" s="14">
        <v>545650</v>
      </c>
      <c r="E8" s="12">
        <f>D8*C8</f>
        <v>8218580300</v>
      </c>
    </row>
    <row r="9" spans="1:8" x14ac:dyDescent="0.25">
      <c r="A9" s="17">
        <v>3</v>
      </c>
      <c r="B9" s="18" t="s">
        <v>10</v>
      </c>
      <c r="C9" s="14">
        <v>15062</v>
      </c>
      <c r="D9" s="14">
        <v>25331.01</v>
      </c>
      <c r="E9" s="12">
        <f>C9*D9</f>
        <v>381535672.62</v>
      </c>
    </row>
    <row r="10" spans="1:8" x14ac:dyDescent="0.25">
      <c r="A10" s="17">
        <v>4</v>
      </c>
      <c r="B10" s="18" t="s">
        <v>11</v>
      </c>
      <c r="C10" s="14">
        <v>15062</v>
      </c>
      <c r="D10" s="14">
        <v>74010</v>
      </c>
      <c r="E10" s="12">
        <f>C10*D10</f>
        <v>1114738620</v>
      </c>
    </row>
    <row r="11" spans="1:8" x14ac:dyDescent="0.25">
      <c r="A11" s="17">
        <v>5</v>
      </c>
      <c r="B11" s="38" t="s">
        <v>70</v>
      </c>
      <c r="C11" s="14">
        <v>15062</v>
      </c>
      <c r="D11" s="37">
        <v>85000</v>
      </c>
      <c r="E11" s="45">
        <f>C11*D11</f>
        <v>1280270000</v>
      </c>
    </row>
    <row r="12" spans="1:8" x14ac:dyDescent="0.25">
      <c r="A12" s="17"/>
      <c r="B12" s="18"/>
      <c r="C12" s="14"/>
      <c r="D12" s="14"/>
      <c r="E12" s="12"/>
    </row>
    <row r="13" spans="1:8" x14ac:dyDescent="0.25">
      <c r="A13" s="17"/>
      <c r="B13" s="18"/>
      <c r="C13" s="14"/>
      <c r="D13" s="14"/>
      <c r="E13" s="12"/>
    </row>
    <row r="14" spans="1:8" x14ac:dyDescent="0.25">
      <c r="A14" s="17"/>
      <c r="B14" s="39" t="s">
        <v>13</v>
      </c>
      <c r="C14" s="14"/>
      <c r="D14" s="40">
        <f>SUM(D7:D12)</f>
        <v>1088541.01</v>
      </c>
      <c r="E14" s="35">
        <f>SUM(E7:E12)</f>
        <v>16395604692.620001</v>
      </c>
    </row>
    <row r="16" spans="1:8" x14ac:dyDescent="0.25">
      <c r="H16" s="34">
        <v>45016</v>
      </c>
    </row>
    <row r="17" spans="1:16" ht="12" thickBot="1" x14ac:dyDescent="0.3">
      <c r="A17" s="23" t="s">
        <v>14</v>
      </c>
      <c r="L17" s="80">
        <f>SUM(L20:L48)</f>
        <v>14434184210</v>
      </c>
      <c r="M17" s="80">
        <f t="shared" ref="M17:P17" si="0">SUM(M20:M48)</f>
        <v>1791760900</v>
      </c>
      <c r="N17" s="80">
        <f t="shared" si="0"/>
        <v>0</v>
      </c>
      <c r="O17" s="80">
        <f t="shared" si="0"/>
        <v>0</v>
      </c>
      <c r="P17" s="80">
        <f t="shared" si="0"/>
        <v>381535672.62</v>
      </c>
    </row>
    <row r="18" spans="1:16" ht="12" thickTop="1" x14ac:dyDescent="0.25">
      <c r="A18" s="100" t="s">
        <v>15</v>
      </c>
      <c r="B18" s="1" t="s">
        <v>3</v>
      </c>
      <c r="C18" s="32" t="s">
        <v>60</v>
      </c>
      <c r="D18" s="64" t="s">
        <v>4</v>
      </c>
      <c r="E18" s="64" t="s">
        <v>60</v>
      </c>
      <c r="F18" s="3" t="s">
        <v>18</v>
      </c>
      <c r="G18" s="102" t="s">
        <v>33</v>
      </c>
      <c r="H18" s="102"/>
      <c r="I18" s="102"/>
      <c r="J18" s="102"/>
      <c r="K18" s="103" t="s">
        <v>34</v>
      </c>
      <c r="L18" s="104"/>
      <c r="M18" s="104"/>
      <c r="N18" s="104"/>
      <c r="O18" s="104"/>
      <c r="P18" s="105"/>
    </row>
    <row r="19" spans="1:16" x14ac:dyDescent="0.25">
      <c r="A19" s="106"/>
      <c r="B19" s="73" t="s">
        <v>7</v>
      </c>
      <c r="C19" s="75" t="s">
        <v>5</v>
      </c>
      <c r="D19" s="83" t="s">
        <v>19</v>
      </c>
      <c r="E19" s="84" t="s">
        <v>20</v>
      </c>
      <c r="F19" s="76" t="s">
        <v>20</v>
      </c>
      <c r="G19" s="50" t="s">
        <v>35</v>
      </c>
      <c r="H19" s="50" t="s">
        <v>36</v>
      </c>
      <c r="I19" s="50" t="s">
        <v>37</v>
      </c>
      <c r="J19" s="50" t="s">
        <v>38</v>
      </c>
      <c r="K19" s="77" t="s">
        <v>39</v>
      </c>
      <c r="L19" s="77" t="s">
        <v>40</v>
      </c>
      <c r="M19" s="77" t="s">
        <v>41</v>
      </c>
      <c r="N19" s="77" t="s">
        <v>42</v>
      </c>
      <c r="O19" s="77" t="s">
        <v>43</v>
      </c>
      <c r="P19" s="77" t="s">
        <v>44</v>
      </c>
    </row>
    <row r="20" spans="1:16" x14ac:dyDescent="0.25">
      <c r="A20" s="52" t="s">
        <v>71</v>
      </c>
      <c r="B20" s="78"/>
      <c r="C20" s="78"/>
      <c r="D20" s="78"/>
      <c r="E20" s="78"/>
      <c r="F20" s="79">
        <f>E7</f>
        <v>5400480100</v>
      </c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 x14ac:dyDescent="0.25">
      <c r="A21" s="55"/>
      <c r="B21" s="25" t="s">
        <v>72</v>
      </c>
      <c r="C21" s="27">
        <v>125430</v>
      </c>
      <c r="D21" s="28">
        <v>15088</v>
      </c>
      <c r="E21" s="29">
        <f>C21*D21</f>
        <v>1892487840</v>
      </c>
      <c r="F21" s="25"/>
      <c r="G21" s="26" t="s">
        <v>73</v>
      </c>
      <c r="H21" s="24">
        <v>45014</v>
      </c>
      <c r="I21" s="55">
        <v>60</v>
      </c>
      <c r="J21" s="56">
        <f>H21+I21</f>
        <v>45074</v>
      </c>
      <c r="K21" s="55">
        <f>$H$16-J21</f>
        <v>-58</v>
      </c>
      <c r="L21" s="57">
        <f>E21</f>
        <v>1892487840</v>
      </c>
      <c r="M21" s="55"/>
      <c r="N21" s="55"/>
      <c r="O21" s="55"/>
      <c r="P21" s="55"/>
    </row>
    <row r="22" spans="1:16" x14ac:dyDescent="0.25">
      <c r="A22" s="55"/>
      <c r="B22" s="25" t="s">
        <v>72</v>
      </c>
      <c r="C22" s="27">
        <v>104300</v>
      </c>
      <c r="D22" s="28">
        <v>15088</v>
      </c>
      <c r="E22" s="29">
        <f>C22*D22</f>
        <v>1573678400</v>
      </c>
      <c r="F22" s="25"/>
      <c r="G22" s="26" t="s">
        <v>74</v>
      </c>
      <c r="H22" s="24">
        <v>45014</v>
      </c>
      <c r="I22" s="55">
        <v>60</v>
      </c>
      <c r="J22" s="56">
        <f t="shared" ref="J22:J23" si="1">H22+I22</f>
        <v>45074</v>
      </c>
      <c r="K22" s="55">
        <f>$H$16-J22</f>
        <v>-58</v>
      </c>
      <c r="L22" s="57">
        <f>E22</f>
        <v>1573678400</v>
      </c>
      <c r="M22" s="55"/>
      <c r="N22" s="55"/>
      <c r="O22" s="55"/>
      <c r="P22" s="55"/>
    </row>
    <row r="23" spans="1:16" x14ac:dyDescent="0.25">
      <c r="A23" s="55"/>
      <c r="B23" s="25" t="s">
        <v>72</v>
      </c>
      <c r="C23" s="27">
        <v>128820</v>
      </c>
      <c r="D23" s="28">
        <v>15094</v>
      </c>
      <c r="E23" s="29">
        <f>C23*D23</f>
        <v>1944409080</v>
      </c>
      <c r="F23" s="25"/>
      <c r="G23" s="26" t="s">
        <v>75</v>
      </c>
      <c r="H23" s="24">
        <v>45015</v>
      </c>
      <c r="I23" s="55">
        <v>60</v>
      </c>
      <c r="J23" s="56">
        <f t="shared" si="1"/>
        <v>45075</v>
      </c>
      <c r="K23" s="55">
        <f>$H$16-J23</f>
        <v>-59</v>
      </c>
      <c r="L23" s="57">
        <f>E23</f>
        <v>1944409080</v>
      </c>
      <c r="M23" s="55"/>
      <c r="N23" s="55"/>
      <c r="O23" s="55"/>
      <c r="P23" s="55"/>
    </row>
    <row r="24" spans="1:16" x14ac:dyDescent="0.25">
      <c r="A24" s="55"/>
      <c r="B24" s="59" t="s">
        <v>45</v>
      </c>
      <c r="C24" s="55"/>
      <c r="D24" s="55"/>
      <c r="E24" s="55"/>
      <c r="F24" s="60">
        <f>SUM(E21:E23)-F20</f>
        <v>10095220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</row>
    <row r="25" spans="1:16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</row>
    <row r="26" spans="1:16" x14ac:dyDescent="0.25">
      <c r="A26" s="61" t="s">
        <v>47</v>
      </c>
      <c r="B26" s="55"/>
      <c r="C26" s="55"/>
      <c r="D26" s="55"/>
      <c r="E26" s="55"/>
      <c r="F26" s="63">
        <f>E8</f>
        <v>8218580300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</row>
    <row r="27" spans="1:16" x14ac:dyDescent="0.25">
      <c r="A27" s="55"/>
      <c r="B27" s="25" t="s">
        <v>46</v>
      </c>
      <c r="C27" s="27">
        <v>102750</v>
      </c>
      <c r="D27" s="28">
        <v>14979</v>
      </c>
      <c r="E27" s="29">
        <f>+C27*D27</f>
        <v>1539092250</v>
      </c>
      <c r="F27" s="27"/>
      <c r="G27" s="26" t="s">
        <v>49</v>
      </c>
      <c r="H27" s="24">
        <v>44957</v>
      </c>
      <c r="I27" s="55">
        <v>60</v>
      </c>
      <c r="J27" s="56">
        <f t="shared" ref="J27:J31" si="2">H27+I27</f>
        <v>45017</v>
      </c>
      <c r="K27" s="55">
        <f>$H$16-J27</f>
        <v>-1</v>
      </c>
      <c r="L27" s="57">
        <f>E27</f>
        <v>1539092250</v>
      </c>
      <c r="M27" s="55"/>
      <c r="N27" s="55"/>
      <c r="O27" s="55"/>
      <c r="P27" s="55"/>
    </row>
    <row r="28" spans="1:16" x14ac:dyDescent="0.25">
      <c r="A28" s="55"/>
      <c r="B28" s="25" t="s">
        <v>46</v>
      </c>
      <c r="C28" s="27">
        <v>113900</v>
      </c>
      <c r="D28" s="28">
        <v>15731</v>
      </c>
      <c r="E28" s="29">
        <f>+C28*D28</f>
        <v>1791760900</v>
      </c>
      <c r="F28" s="27"/>
      <c r="G28" s="26" t="s">
        <v>48</v>
      </c>
      <c r="H28" s="24">
        <v>44926</v>
      </c>
      <c r="I28" s="55">
        <v>60</v>
      </c>
      <c r="J28" s="56">
        <f t="shared" si="2"/>
        <v>44986</v>
      </c>
      <c r="K28" s="55">
        <f>$H$16-J28</f>
        <v>30</v>
      </c>
      <c r="L28" s="57"/>
      <c r="M28" s="57">
        <f>E28</f>
        <v>1791760900</v>
      </c>
      <c r="N28" s="55"/>
      <c r="O28" s="55"/>
      <c r="P28" s="55"/>
    </row>
    <row r="29" spans="1:16" x14ac:dyDescent="0.25">
      <c r="A29" s="55"/>
      <c r="B29" s="25" t="s">
        <v>46</v>
      </c>
      <c r="C29" s="27">
        <v>112200</v>
      </c>
      <c r="D29" s="28">
        <v>15372</v>
      </c>
      <c r="E29" s="29">
        <f>+C29*D29</f>
        <v>1724738400</v>
      </c>
      <c r="F29" s="27"/>
      <c r="G29" s="26" t="s">
        <v>76</v>
      </c>
      <c r="H29" s="24">
        <v>45008</v>
      </c>
      <c r="I29" s="55">
        <v>60</v>
      </c>
      <c r="J29" s="56">
        <f t="shared" si="2"/>
        <v>45068</v>
      </c>
      <c r="K29" s="55">
        <f>$H$16-J29</f>
        <v>-52</v>
      </c>
      <c r="L29" s="57">
        <f>E29</f>
        <v>1724738400</v>
      </c>
      <c r="M29" s="55"/>
      <c r="N29" s="55"/>
      <c r="O29" s="55"/>
      <c r="P29" s="55"/>
    </row>
    <row r="30" spans="1:16" x14ac:dyDescent="0.25">
      <c r="A30" s="55"/>
      <c r="B30" s="25" t="s">
        <v>46</v>
      </c>
      <c r="C30" s="27">
        <v>108000</v>
      </c>
      <c r="D30" s="28">
        <v>15372</v>
      </c>
      <c r="E30" s="29">
        <f>+C30*D30</f>
        <v>1660176000</v>
      </c>
      <c r="F30" s="27"/>
      <c r="G30" s="26" t="s">
        <v>77</v>
      </c>
      <c r="H30" s="24">
        <v>45008</v>
      </c>
      <c r="I30" s="55">
        <v>60</v>
      </c>
      <c r="J30" s="56">
        <f t="shared" si="2"/>
        <v>45068</v>
      </c>
      <c r="K30" s="55">
        <f>$H$16-J30</f>
        <v>-52</v>
      </c>
      <c r="L30" s="57">
        <f>E30</f>
        <v>1660176000</v>
      </c>
      <c r="M30" s="55"/>
      <c r="N30" s="55"/>
      <c r="O30" s="55"/>
      <c r="P30" s="55"/>
    </row>
    <row r="31" spans="1:16" x14ac:dyDescent="0.25">
      <c r="A31" s="55"/>
      <c r="B31" s="25" t="s">
        <v>46</v>
      </c>
      <c r="C31" s="27">
        <v>108800</v>
      </c>
      <c r="D31" s="28">
        <v>15372</v>
      </c>
      <c r="E31" s="29">
        <f>+C31*D31</f>
        <v>1672473600</v>
      </c>
      <c r="F31" s="27"/>
      <c r="G31" s="26" t="s">
        <v>78</v>
      </c>
      <c r="H31" s="24">
        <v>45008</v>
      </c>
      <c r="I31" s="55">
        <v>60</v>
      </c>
      <c r="J31" s="56">
        <f t="shared" si="2"/>
        <v>45068</v>
      </c>
      <c r="K31" s="55">
        <f>$H$16-J31</f>
        <v>-52</v>
      </c>
      <c r="L31" s="57">
        <f>E31</f>
        <v>1672473600</v>
      </c>
      <c r="M31" s="55"/>
      <c r="N31" s="55"/>
      <c r="O31" s="55"/>
      <c r="P31" s="55"/>
    </row>
    <row r="32" spans="1:16" x14ac:dyDescent="0.25">
      <c r="A32" s="55"/>
      <c r="B32" s="59" t="s">
        <v>45</v>
      </c>
      <c r="C32" s="55"/>
      <c r="D32" s="55"/>
      <c r="E32" s="55"/>
      <c r="F32" s="60">
        <f>SUM(E27:E31)-F26</f>
        <v>169660850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</row>
    <row r="33" spans="1:16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</row>
    <row r="34" spans="1:16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35" spans="1:16" x14ac:dyDescent="0.25">
      <c r="A35" s="58" t="s">
        <v>79</v>
      </c>
      <c r="B35" s="55"/>
      <c r="C35" s="55"/>
      <c r="D35" s="55"/>
      <c r="E35" s="55"/>
      <c r="F35" s="63">
        <f>E9</f>
        <v>381535672.62</v>
      </c>
      <c r="G35" s="55"/>
      <c r="H35" s="55"/>
      <c r="I35" s="55"/>
      <c r="J35" s="55"/>
      <c r="K35" s="55"/>
      <c r="L35" s="55"/>
      <c r="M35" s="55"/>
      <c r="N35" s="55"/>
      <c r="O35" s="55"/>
      <c r="P35" s="57">
        <f>F35</f>
        <v>381535672.62</v>
      </c>
    </row>
    <row r="36" spans="1:16" x14ac:dyDescent="0.25">
      <c r="A36" s="55"/>
      <c r="B36" s="59" t="s">
        <v>45</v>
      </c>
      <c r="C36" s="55"/>
      <c r="D36" s="55"/>
      <c r="E36" s="55"/>
      <c r="F36" s="60">
        <f>F35</f>
        <v>381535672.62</v>
      </c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1:16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</row>
    <row r="38" spans="1:16" x14ac:dyDescent="0.25">
      <c r="A38" s="58" t="s">
        <v>51</v>
      </c>
      <c r="B38" s="55"/>
      <c r="C38" s="55"/>
      <c r="D38" s="55"/>
      <c r="E38" s="55"/>
      <c r="F38" s="63">
        <f>E10</f>
        <v>1114738620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</row>
    <row r="39" spans="1:16" x14ac:dyDescent="0.25">
      <c r="A39" s="55"/>
      <c r="B39" s="25" t="s">
        <v>52</v>
      </c>
      <c r="C39" s="27">
        <v>74010</v>
      </c>
      <c r="D39" s="28">
        <v>15264</v>
      </c>
      <c r="E39" s="29">
        <f>C39*D39</f>
        <v>1129688640</v>
      </c>
      <c r="F39" s="27"/>
      <c r="G39" s="26" t="s">
        <v>80</v>
      </c>
      <c r="H39" s="24">
        <v>45013</v>
      </c>
      <c r="I39" s="55">
        <v>60</v>
      </c>
      <c r="J39" s="56">
        <f t="shared" ref="J39" si="3">H39+I39</f>
        <v>45073</v>
      </c>
      <c r="K39" s="55">
        <f>$H$16-J39</f>
        <v>-57</v>
      </c>
      <c r="L39" s="57">
        <f>E39</f>
        <v>1129688640</v>
      </c>
      <c r="M39" s="55"/>
      <c r="N39" s="55"/>
      <c r="O39" s="55"/>
      <c r="P39" s="55"/>
    </row>
    <row r="40" spans="1:16" x14ac:dyDescent="0.25">
      <c r="A40" s="55"/>
      <c r="B40" s="59" t="s">
        <v>45</v>
      </c>
      <c r="C40" s="55"/>
      <c r="D40" s="55"/>
      <c r="E40" s="55"/>
      <c r="F40" s="60">
        <f>E39-F38</f>
        <v>14950020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</row>
    <row r="41" spans="1:16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</row>
    <row r="42" spans="1:16" x14ac:dyDescent="0.25">
      <c r="A42" s="58" t="s">
        <v>81</v>
      </c>
      <c r="B42" s="55"/>
      <c r="C42" s="55"/>
      <c r="D42" s="55"/>
      <c r="E42" s="55"/>
      <c r="F42" s="69">
        <f>E11</f>
        <v>1280270000</v>
      </c>
      <c r="G42" s="55"/>
      <c r="H42" s="55"/>
      <c r="I42" s="55"/>
      <c r="J42" s="55"/>
      <c r="K42" s="55"/>
      <c r="L42" s="55"/>
      <c r="M42" s="55"/>
      <c r="N42" s="55"/>
      <c r="O42" s="55"/>
      <c r="P42" s="55"/>
    </row>
    <row r="43" spans="1:16" x14ac:dyDescent="0.25">
      <c r="A43" s="55"/>
      <c r="B43" s="25" t="s">
        <v>82</v>
      </c>
      <c r="C43" s="27">
        <v>85000</v>
      </c>
      <c r="D43" s="28">
        <v>15264</v>
      </c>
      <c r="E43" s="29">
        <f>+C43*D43</f>
        <v>1297440000</v>
      </c>
      <c r="F43" s="27"/>
      <c r="G43" s="26" t="s">
        <v>83</v>
      </c>
      <c r="H43" s="24">
        <v>45013</v>
      </c>
      <c r="I43" s="55">
        <v>60</v>
      </c>
      <c r="J43" s="56">
        <f t="shared" ref="J43" si="4">H43+I43</f>
        <v>45073</v>
      </c>
      <c r="K43" s="55">
        <f>$H$16-J43</f>
        <v>-57</v>
      </c>
      <c r="L43" s="57">
        <f t="shared" ref="L43" si="5">E43</f>
        <v>1297440000</v>
      </c>
      <c r="M43" s="55"/>
      <c r="N43" s="55"/>
      <c r="O43" s="55"/>
      <c r="P43" s="55"/>
    </row>
    <row r="44" spans="1:16" x14ac:dyDescent="0.25">
      <c r="A44" s="55"/>
      <c r="B44" s="59" t="s">
        <v>45</v>
      </c>
      <c r="C44" s="55"/>
      <c r="D44" s="55"/>
      <c r="E44" s="55"/>
      <c r="F44" s="60">
        <f>E43-F42</f>
        <v>17170000</v>
      </c>
      <c r="G44" s="55"/>
      <c r="H44" s="55"/>
      <c r="I44" s="55"/>
      <c r="J44" s="55"/>
      <c r="K44" s="55"/>
      <c r="L44" s="55"/>
      <c r="M44" s="55"/>
      <c r="N44" s="55"/>
      <c r="O44" s="55"/>
      <c r="P44" s="55"/>
    </row>
    <row r="45" spans="1:16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</row>
  </sheetData>
  <mergeCells count="7">
    <mergeCell ref="G18:J18"/>
    <mergeCell ref="K18:P18"/>
    <mergeCell ref="A5:A6"/>
    <mergeCell ref="C5:C6"/>
    <mergeCell ref="D5:D6"/>
    <mergeCell ref="E5:E6"/>
    <mergeCell ref="A18:A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EAA8-4BB4-47E8-A12E-476EE4EABDDA}">
  <dimension ref="A2:P32"/>
  <sheetViews>
    <sheetView showGridLines="0" topLeftCell="B1" workbookViewId="0">
      <selection activeCell="M14" sqref="M14:P14"/>
    </sheetView>
  </sheetViews>
  <sheetFormatPr defaultColWidth="8.81640625" defaultRowHeight="11.5" x14ac:dyDescent="0.25"/>
  <cols>
    <col min="1" max="1" width="10.6328125" style="10" customWidth="1"/>
    <col min="2" max="2" width="40.453125" style="10" bestFit="1" customWidth="1"/>
    <col min="3" max="3" width="13.54296875" style="10" bestFit="1" customWidth="1"/>
    <col min="4" max="4" width="12.26953125" style="10" bestFit="1" customWidth="1"/>
    <col min="5" max="5" width="15.36328125" style="10" bestFit="1" customWidth="1"/>
    <col min="6" max="6" width="13.90625" style="10" bestFit="1" customWidth="1"/>
    <col min="7" max="7" width="12.1796875" style="10" bestFit="1" customWidth="1"/>
    <col min="8" max="8" width="12.36328125" style="10" bestFit="1" customWidth="1"/>
    <col min="9" max="9" width="11.54296875" style="10" bestFit="1" customWidth="1"/>
    <col min="10" max="10" width="15.453125" style="10" bestFit="1" customWidth="1"/>
    <col min="11" max="11" width="11.36328125" style="10" customWidth="1"/>
    <col min="12" max="12" width="13.36328125" style="10" bestFit="1" customWidth="1"/>
    <col min="13" max="13" width="11.54296875" style="10" bestFit="1" customWidth="1"/>
    <col min="14" max="14" width="18.08984375" style="10" bestFit="1" customWidth="1"/>
    <col min="15" max="15" width="8.90625" style="10" bestFit="1" customWidth="1"/>
    <col min="16" max="16" width="14.7265625" style="10" bestFit="1" customWidth="1"/>
    <col min="17" max="16384" width="8.81640625" style="10"/>
  </cols>
  <sheetData>
    <row r="2" spans="1:16" x14ac:dyDescent="0.25">
      <c r="A2" s="6" t="s">
        <v>0</v>
      </c>
      <c r="B2" s="7"/>
      <c r="C2" s="8"/>
      <c r="D2" s="9"/>
      <c r="E2" s="9"/>
    </row>
    <row r="3" spans="1:16" x14ac:dyDescent="0.25">
      <c r="A3" s="6" t="s">
        <v>89</v>
      </c>
      <c r="B3" s="7"/>
      <c r="C3" s="8"/>
      <c r="D3" s="9"/>
      <c r="E3" s="9"/>
    </row>
    <row r="4" spans="1:16" x14ac:dyDescent="0.25">
      <c r="A4" s="14"/>
      <c r="B4" s="14"/>
      <c r="C4" s="14"/>
      <c r="D4" s="14"/>
      <c r="E4" s="14"/>
    </row>
    <row r="5" spans="1:16" x14ac:dyDescent="0.25">
      <c r="A5" s="96" t="s">
        <v>2</v>
      </c>
      <c r="B5" s="15" t="s">
        <v>3</v>
      </c>
      <c r="C5" s="98" t="s">
        <v>4</v>
      </c>
      <c r="D5" s="98" t="s">
        <v>5</v>
      </c>
      <c r="E5" s="98" t="s">
        <v>6</v>
      </c>
    </row>
    <row r="6" spans="1:16" ht="12" thickBot="1" x14ac:dyDescent="0.3">
      <c r="A6" s="97"/>
      <c r="B6" s="16" t="s">
        <v>7</v>
      </c>
      <c r="C6" s="99"/>
      <c r="D6" s="99"/>
      <c r="E6" s="99"/>
    </row>
    <row r="7" spans="1:16" x14ac:dyDescent="0.25">
      <c r="A7" s="17">
        <v>1</v>
      </c>
      <c r="B7" s="18" t="s">
        <v>8</v>
      </c>
      <c r="C7" s="14">
        <v>14751</v>
      </c>
      <c r="D7" s="14">
        <v>533800</v>
      </c>
      <c r="E7" s="12">
        <f>C7*D7</f>
        <v>7874083800</v>
      </c>
    </row>
    <row r="8" spans="1:16" x14ac:dyDescent="0.25">
      <c r="A8" s="17">
        <v>2</v>
      </c>
      <c r="B8" s="18" t="s">
        <v>9</v>
      </c>
      <c r="C8" s="14">
        <v>14751</v>
      </c>
      <c r="D8" s="14">
        <v>436100</v>
      </c>
      <c r="E8" s="12">
        <f>D8*C8</f>
        <v>6432911100</v>
      </c>
    </row>
    <row r="9" spans="1:16" x14ac:dyDescent="0.25">
      <c r="A9" s="17"/>
      <c r="B9" s="18"/>
      <c r="C9" s="14"/>
      <c r="D9" s="14"/>
      <c r="E9" s="12"/>
    </row>
    <row r="10" spans="1:16" x14ac:dyDescent="0.25">
      <c r="A10" s="17"/>
      <c r="B10" s="18"/>
      <c r="C10" s="14"/>
      <c r="D10" s="14"/>
      <c r="E10" s="12"/>
    </row>
    <row r="11" spans="1:16" x14ac:dyDescent="0.25">
      <c r="A11" s="17"/>
      <c r="B11" s="39" t="s">
        <v>13</v>
      </c>
      <c r="C11" s="14"/>
      <c r="D11" s="40">
        <f>SUM(D7:D9)</f>
        <v>969900</v>
      </c>
      <c r="E11" s="35">
        <f>SUM(E7:E9)</f>
        <v>14306994900</v>
      </c>
    </row>
    <row r="13" spans="1:16" x14ac:dyDescent="0.25">
      <c r="H13" s="34">
        <v>45046</v>
      </c>
    </row>
    <row r="14" spans="1:16" ht="12" thickBot="1" x14ac:dyDescent="0.3">
      <c r="A14" s="23" t="s">
        <v>14</v>
      </c>
      <c r="L14" s="36">
        <f>SUBTOTAL(9,L18:L30)</f>
        <v>14517366100</v>
      </c>
      <c r="M14" s="36">
        <f t="shared" ref="M14:P14" si="0">SUBTOTAL(9,M18:M30)</f>
        <v>0</v>
      </c>
      <c r="N14" s="36">
        <f t="shared" si="0"/>
        <v>0</v>
      </c>
      <c r="O14" s="36">
        <f t="shared" si="0"/>
        <v>0</v>
      </c>
      <c r="P14" s="36">
        <f t="shared" si="0"/>
        <v>0</v>
      </c>
    </row>
    <row r="15" spans="1:16" ht="12" thickTop="1" x14ac:dyDescent="0.25">
      <c r="A15" s="100" t="s">
        <v>15</v>
      </c>
      <c r="B15" s="1" t="s">
        <v>3</v>
      </c>
      <c r="C15" s="32" t="s">
        <v>60</v>
      </c>
      <c r="D15" s="64" t="s">
        <v>4</v>
      </c>
      <c r="E15" s="64" t="s">
        <v>60</v>
      </c>
      <c r="F15" s="3" t="s">
        <v>18</v>
      </c>
      <c r="G15" s="102" t="s">
        <v>33</v>
      </c>
      <c r="H15" s="102"/>
      <c r="I15" s="102"/>
      <c r="J15" s="102"/>
      <c r="K15" s="103" t="s">
        <v>34</v>
      </c>
      <c r="L15" s="104"/>
      <c r="M15" s="104"/>
      <c r="N15" s="104"/>
      <c r="O15" s="104"/>
      <c r="P15" s="105"/>
    </row>
    <row r="16" spans="1:16" x14ac:dyDescent="0.25">
      <c r="A16" s="101"/>
      <c r="B16" s="4" t="s">
        <v>7</v>
      </c>
      <c r="C16" s="75" t="s">
        <v>5</v>
      </c>
      <c r="D16" s="83" t="s">
        <v>19</v>
      </c>
      <c r="E16" s="84" t="s">
        <v>20</v>
      </c>
      <c r="F16" s="5" t="s">
        <v>20</v>
      </c>
      <c r="G16" s="41" t="s">
        <v>35</v>
      </c>
      <c r="H16" s="41" t="s">
        <v>36</v>
      </c>
      <c r="I16" s="41" t="s">
        <v>37</v>
      </c>
      <c r="J16" s="41" t="s">
        <v>38</v>
      </c>
      <c r="K16" s="42" t="s">
        <v>39</v>
      </c>
      <c r="L16" s="42" t="s">
        <v>40</v>
      </c>
      <c r="M16" s="42" t="s">
        <v>41</v>
      </c>
      <c r="N16" s="42" t="s">
        <v>42</v>
      </c>
      <c r="O16" s="42" t="s">
        <v>43</v>
      </c>
      <c r="P16" s="42" t="s">
        <v>44</v>
      </c>
    </row>
    <row r="17" spans="1:16" x14ac:dyDescent="0.25">
      <c r="A17" s="52" t="s">
        <v>71</v>
      </c>
      <c r="B17" s="78"/>
      <c r="C17" s="78"/>
      <c r="D17" s="78"/>
      <c r="E17" s="78"/>
      <c r="F17" s="79">
        <f>E7</f>
        <v>7874083800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 customFormat="1" ht="14.5" x14ac:dyDescent="0.35">
      <c r="A18" s="55"/>
      <c r="B18" s="25" t="s">
        <v>72</v>
      </c>
      <c r="C18" s="27">
        <v>95200</v>
      </c>
      <c r="D18" s="28">
        <v>14933</v>
      </c>
      <c r="E18" s="29">
        <f>+C18*D18</f>
        <v>1421621600</v>
      </c>
      <c r="F18" s="81"/>
      <c r="G18" s="26" t="s">
        <v>84</v>
      </c>
      <c r="H18" s="24">
        <v>45022</v>
      </c>
      <c r="I18" s="55">
        <v>60</v>
      </c>
      <c r="J18" s="56">
        <f>H18+I18</f>
        <v>45082</v>
      </c>
      <c r="K18" s="55">
        <f>$H$13-J18</f>
        <v>-36</v>
      </c>
      <c r="L18" s="57">
        <f>E18</f>
        <v>1421621600</v>
      </c>
      <c r="M18" s="55"/>
      <c r="N18" s="55"/>
      <c r="O18" s="55"/>
      <c r="P18" s="55"/>
    </row>
    <row r="19" spans="1:16" x14ac:dyDescent="0.25">
      <c r="A19" s="55"/>
      <c r="B19" s="25" t="s">
        <v>72</v>
      </c>
      <c r="C19" s="27">
        <v>105400</v>
      </c>
      <c r="D19" s="28">
        <v>14866</v>
      </c>
      <c r="E19" s="29">
        <f>+C19*D19</f>
        <v>1566876400</v>
      </c>
      <c r="F19" s="25"/>
      <c r="G19" s="26" t="s">
        <v>85</v>
      </c>
      <c r="H19" s="24">
        <v>45029</v>
      </c>
      <c r="I19" s="55">
        <v>60</v>
      </c>
      <c r="J19" s="56">
        <f t="shared" ref="J19:J22" si="1">H19+I19</f>
        <v>45089</v>
      </c>
      <c r="K19" s="55">
        <f>$H$13-J19</f>
        <v>-43</v>
      </c>
      <c r="L19" s="57">
        <f>E19</f>
        <v>1566876400</v>
      </c>
      <c r="M19" s="55"/>
      <c r="N19" s="55"/>
      <c r="O19" s="55"/>
      <c r="P19" s="55"/>
    </row>
    <row r="20" spans="1:16" x14ac:dyDescent="0.25">
      <c r="A20" s="55"/>
      <c r="B20" s="25" t="s">
        <v>72</v>
      </c>
      <c r="C20" s="27">
        <v>98600</v>
      </c>
      <c r="D20" s="28">
        <v>14792</v>
      </c>
      <c r="E20" s="29">
        <f>+C20*D20</f>
        <v>1458491200</v>
      </c>
      <c r="F20" s="25"/>
      <c r="G20" s="26" t="s">
        <v>86</v>
      </c>
      <c r="H20" s="24">
        <v>45031</v>
      </c>
      <c r="I20" s="55">
        <v>60</v>
      </c>
      <c r="J20" s="56">
        <f t="shared" si="1"/>
        <v>45091</v>
      </c>
      <c r="K20" s="55">
        <f>$H$13-J20</f>
        <v>-45</v>
      </c>
      <c r="L20" s="57">
        <f>E20</f>
        <v>1458491200</v>
      </c>
      <c r="M20" s="55"/>
      <c r="N20" s="55"/>
      <c r="O20" s="55"/>
      <c r="P20" s="55"/>
    </row>
    <row r="21" spans="1:16" x14ac:dyDescent="0.25">
      <c r="A21" s="55"/>
      <c r="B21" s="25" t="s">
        <v>72</v>
      </c>
      <c r="C21" s="27">
        <v>125800</v>
      </c>
      <c r="D21" s="28">
        <v>14773</v>
      </c>
      <c r="E21" s="29">
        <f>+C21*D21</f>
        <v>1858443400</v>
      </c>
      <c r="F21" s="25"/>
      <c r="G21" s="26" t="s">
        <v>87</v>
      </c>
      <c r="H21" s="24">
        <v>45035</v>
      </c>
      <c r="I21" s="55">
        <v>60</v>
      </c>
      <c r="J21" s="56">
        <f t="shared" si="1"/>
        <v>45095</v>
      </c>
      <c r="K21" s="55">
        <f>$H$13-J21</f>
        <v>-49</v>
      </c>
      <c r="L21" s="57">
        <f>E21</f>
        <v>1858443400</v>
      </c>
      <c r="M21" s="55"/>
      <c r="N21" s="55"/>
      <c r="O21" s="55"/>
      <c r="P21" s="55"/>
    </row>
    <row r="22" spans="1:16" x14ac:dyDescent="0.25">
      <c r="A22" s="55"/>
      <c r="B22" s="25" t="s">
        <v>72</v>
      </c>
      <c r="C22" s="27">
        <v>108800</v>
      </c>
      <c r="D22" s="28">
        <v>14773</v>
      </c>
      <c r="E22" s="29">
        <f>+C22*D22</f>
        <v>1607302400</v>
      </c>
      <c r="F22" s="25"/>
      <c r="G22" s="26" t="s">
        <v>88</v>
      </c>
      <c r="H22" s="24">
        <v>45035</v>
      </c>
      <c r="I22" s="55">
        <v>60</v>
      </c>
      <c r="J22" s="56">
        <f t="shared" si="1"/>
        <v>45095</v>
      </c>
      <c r="K22" s="55">
        <f>$H$13-J22</f>
        <v>-49</v>
      </c>
      <c r="L22" s="57">
        <f>E22</f>
        <v>1607302400</v>
      </c>
      <c r="M22" s="55"/>
      <c r="N22" s="55"/>
      <c r="O22" s="55"/>
      <c r="P22" s="55"/>
    </row>
    <row r="23" spans="1:16" x14ac:dyDescent="0.25">
      <c r="A23" s="55"/>
      <c r="B23" s="59" t="s">
        <v>45</v>
      </c>
      <c r="C23" s="55"/>
      <c r="D23" s="55"/>
      <c r="E23" s="55"/>
      <c r="F23" s="60">
        <f>SUM(E18:E22)-F17</f>
        <v>38651200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</row>
    <row r="24" spans="1:16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</row>
    <row r="25" spans="1:16" x14ac:dyDescent="0.25">
      <c r="A25" s="61" t="s">
        <v>47</v>
      </c>
      <c r="B25" s="55"/>
      <c r="C25" s="55"/>
      <c r="D25" s="55"/>
      <c r="E25" s="55"/>
      <c r="F25" s="63">
        <f>E8</f>
        <v>6432911100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</row>
    <row r="26" spans="1:16" customFormat="1" ht="14.5" x14ac:dyDescent="0.35">
      <c r="A26" s="55"/>
      <c r="B26" s="25" t="s">
        <v>46</v>
      </c>
      <c r="C26" s="27">
        <v>112200</v>
      </c>
      <c r="D26" s="28">
        <v>15372</v>
      </c>
      <c r="E26" s="29">
        <f>+C26*D26</f>
        <v>1724738400</v>
      </c>
      <c r="F26" s="27"/>
      <c r="G26" s="26" t="s">
        <v>76</v>
      </c>
      <c r="H26" s="24">
        <v>45008</v>
      </c>
      <c r="I26" s="55">
        <v>60</v>
      </c>
      <c r="J26" s="56">
        <f t="shared" ref="J26:J29" si="2">H26+I26</f>
        <v>45068</v>
      </c>
      <c r="K26" s="55">
        <f>$H$13-J26</f>
        <v>-22</v>
      </c>
      <c r="L26" s="57">
        <f t="shared" ref="L26:L29" si="3">E26</f>
        <v>1724738400</v>
      </c>
      <c r="M26" s="55"/>
      <c r="N26" s="55"/>
      <c r="O26" s="55"/>
      <c r="P26" s="55"/>
    </row>
    <row r="27" spans="1:16" customFormat="1" ht="14.5" x14ac:dyDescent="0.35">
      <c r="A27" s="55"/>
      <c r="B27" s="25" t="s">
        <v>46</v>
      </c>
      <c r="C27" s="27">
        <v>108000</v>
      </c>
      <c r="D27" s="28">
        <v>15372</v>
      </c>
      <c r="E27" s="29">
        <f>+C27*D27</f>
        <v>1660176000</v>
      </c>
      <c r="F27" s="27"/>
      <c r="G27" s="26" t="s">
        <v>77</v>
      </c>
      <c r="H27" s="24">
        <v>45008</v>
      </c>
      <c r="I27" s="55">
        <v>60</v>
      </c>
      <c r="J27" s="56">
        <f t="shared" si="2"/>
        <v>45068</v>
      </c>
      <c r="K27" s="55">
        <f>$H$13-J27</f>
        <v>-22</v>
      </c>
      <c r="L27" s="57">
        <f t="shared" si="3"/>
        <v>1660176000</v>
      </c>
      <c r="M27" s="55"/>
      <c r="N27" s="55"/>
      <c r="O27" s="55"/>
      <c r="P27" s="55"/>
    </row>
    <row r="28" spans="1:16" customFormat="1" ht="14.5" x14ac:dyDescent="0.35">
      <c r="A28" s="55"/>
      <c r="B28" s="25" t="s">
        <v>46</v>
      </c>
      <c r="C28" s="27">
        <v>115600</v>
      </c>
      <c r="D28" s="28">
        <v>14913</v>
      </c>
      <c r="E28" s="29">
        <f>+C28*D28</f>
        <v>1723942800</v>
      </c>
      <c r="F28" s="27"/>
      <c r="G28" s="26" t="s">
        <v>90</v>
      </c>
      <c r="H28" s="24">
        <v>45021</v>
      </c>
      <c r="I28" s="55">
        <v>60</v>
      </c>
      <c r="J28" s="56">
        <f t="shared" si="2"/>
        <v>45081</v>
      </c>
      <c r="K28" s="55">
        <f>$H$13-J28</f>
        <v>-35</v>
      </c>
      <c r="L28" s="57">
        <f t="shared" si="3"/>
        <v>1723942800</v>
      </c>
      <c r="M28" s="55"/>
      <c r="N28" s="55"/>
      <c r="O28" s="55"/>
      <c r="P28" s="55"/>
    </row>
    <row r="29" spans="1:16" customFormat="1" ht="14.5" x14ac:dyDescent="0.35">
      <c r="A29" s="55"/>
      <c r="B29" s="25" t="s">
        <v>46</v>
      </c>
      <c r="C29" s="27">
        <v>100300</v>
      </c>
      <c r="D29" s="28">
        <v>14913</v>
      </c>
      <c r="E29" s="29">
        <f>+C29*D29</f>
        <v>1495773900</v>
      </c>
      <c r="F29" s="27"/>
      <c r="G29" s="26" t="s">
        <v>91</v>
      </c>
      <c r="H29" s="24">
        <v>45021</v>
      </c>
      <c r="I29" s="55">
        <v>60</v>
      </c>
      <c r="J29" s="56">
        <f t="shared" si="2"/>
        <v>45081</v>
      </c>
      <c r="K29" s="55">
        <f>$H$13-J29</f>
        <v>-35</v>
      </c>
      <c r="L29" s="57">
        <f t="shared" si="3"/>
        <v>1495773900</v>
      </c>
      <c r="M29" s="55"/>
      <c r="N29" s="55"/>
      <c r="O29" s="55"/>
      <c r="P29" s="55"/>
    </row>
    <row r="30" spans="1:16" x14ac:dyDescent="0.25">
      <c r="A30" s="55"/>
      <c r="B30" s="59" t="s">
        <v>45</v>
      </c>
      <c r="C30" s="55"/>
      <c r="D30" s="55"/>
      <c r="E30" s="55"/>
      <c r="F30" s="60">
        <f>SUM(E26:E29)-F25</f>
        <v>171720000</v>
      </c>
      <c r="G30" s="55"/>
      <c r="H30" s="55"/>
      <c r="I30" s="55"/>
      <c r="J30" s="55"/>
      <c r="K30" s="55"/>
      <c r="L30" s="55"/>
      <c r="M30" s="55"/>
      <c r="N30" s="55"/>
      <c r="O30" s="55"/>
      <c r="P30" s="55"/>
    </row>
    <row r="31" spans="1:16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</row>
    <row r="32" spans="1:16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</row>
  </sheetData>
  <mergeCells count="7">
    <mergeCell ref="G15:J15"/>
    <mergeCell ref="K15:P15"/>
    <mergeCell ref="A5:A6"/>
    <mergeCell ref="C5:C6"/>
    <mergeCell ref="D5:D6"/>
    <mergeCell ref="E5:E6"/>
    <mergeCell ref="A15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7772-0896-4830-B7E6-5035CAD420B3}">
  <dimension ref="A2:P37"/>
  <sheetViews>
    <sheetView showGridLines="0" topLeftCell="A20" workbookViewId="0">
      <selection activeCell="E31" sqref="E31"/>
    </sheetView>
  </sheetViews>
  <sheetFormatPr defaultColWidth="8.81640625" defaultRowHeight="11.5" x14ac:dyDescent="0.25"/>
  <cols>
    <col min="1" max="1" width="10.6328125" style="10" customWidth="1"/>
    <col min="2" max="2" width="40.453125" style="10" bestFit="1" customWidth="1"/>
    <col min="3" max="3" width="13.54296875" style="10" bestFit="1" customWidth="1"/>
    <col min="4" max="4" width="12.26953125" style="10" bestFit="1" customWidth="1"/>
    <col min="5" max="5" width="15.36328125" style="10" bestFit="1" customWidth="1"/>
    <col min="6" max="6" width="14.7265625" style="10" bestFit="1" customWidth="1"/>
    <col min="7" max="7" width="12.1796875" style="10" bestFit="1" customWidth="1"/>
    <col min="8" max="8" width="8.90625" style="10" bestFit="1" customWidth="1"/>
    <col min="9" max="9" width="12.36328125" style="10" bestFit="1" customWidth="1"/>
    <col min="10" max="10" width="11.54296875" style="10" bestFit="1" customWidth="1"/>
    <col min="11" max="11" width="15.6328125" style="10" bestFit="1" customWidth="1"/>
    <col min="12" max="12" width="13.36328125" style="10" bestFit="1" customWidth="1"/>
    <col min="13" max="13" width="12.36328125" style="10" bestFit="1" customWidth="1"/>
    <col min="14" max="14" width="11.54296875" style="10" bestFit="1" customWidth="1"/>
    <col min="15" max="15" width="18.08984375" style="10" bestFit="1" customWidth="1"/>
    <col min="16" max="16" width="8.90625" style="10" bestFit="1" customWidth="1"/>
    <col min="17" max="17" width="14.7265625" style="10" bestFit="1" customWidth="1"/>
    <col min="18" max="16384" width="8.81640625" style="10"/>
  </cols>
  <sheetData>
    <row r="2" spans="1:16" x14ac:dyDescent="0.25">
      <c r="A2" s="6" t="s">
        <v>0</v>
      </c>
      <c r="B2" s="7"/>
      <c r="C2" s="8"/>
      <c r="D2" s="9"/>
      <c r="E2" s="9"/>
    </row>
    <row r="3" spans="1:16" x14ac:dyDescent="0.25">
      <c r="A3" s="6" t="s">
        <v>97</v>
      </c>
      <c r="B3" s="7"/>
      <c r="C3" s="8"/>
      <c r="D3" s="9"/>
      <c r="E3" s="9"/>
    </row>
    <row r="4" spans="1:16" x14ac:dyDescent="0.25">
      <c r="A4" s="14"/>
      <c r="B4" s="14"/>
      <c r="C4" s="14"/>
      <c r="D4" s="14"/>
      <c r="E4" s="14"/>
    </row>
    <row r="5" spans="1:16" x14ac:dyDescent="0.25">
      <c r="A5" s="96" t="s">
        <v>2</v>
      </c>
      <c r="B5" s="15" t="s">
        <v>3</v>
      </c>
      <c r="C5" s="98" t="s">
        <v>4</v>
      </c>
      <c r="D5" s="98" t="s">
        <v>5</v>
      </c>
      <c r="E5" s="98" t="s">
        <v>6</v>
      </c>
    </row>
    <row r="6" spans="1:16" ht="12" thickBot="1" x14ac:dyDescent="0.3">
      <c r="A6" s="97"/>
      <c r="B6" s="16" t="s">
        <v>7</v>
      </c>
      <c r="C6" s="99"/>
      <c r="D6" s="99"/>
      <c r="E6" s="99"/>
    </row>
    <row r="7" spans="1:16" x14ac:dyDescent="0.25">
      <c r="A7" s="17">
        <v>1</v>
      </c>
      <c r="B7" s="18" t="s">
        <v>8</v>
      </c>
      <c r="C7" s="14">
        <v>14969</v>
      </c>
      <c r="D7" s="14">
        <v>441660</v>
      </c>
      <c r="E7" s="12">
        <f>C7*D7</f>
        <v>6611208540</v>
      </c>
    </row>
    <row r="8" spans="1:16" x14ac:dyDescent="0.25">
      <c r="A8" s="17">
        <v>2</v>
      </c>
      <c r="B8" s="18" t="s">
        <v>9</v>
      </c>
      <c r="C8" s="14">
        <v>14969</v>
      </c>
      <c r="D8" s="14">
        <v>655300</v>
      </c>
      <c r="E8" s="12">
        <f>D8*C8</f>
        <v>9809185700</v>
      </c>
    </row>
    <row r="9" spans="1:16" x14ac:dyDescent="0.25">
      <c r="A9" s="17">
        <v>3</v>
      </c>
      <c r="B9" s="18" t="s">
        <v>92</v>
      </c>
      <c r="C9" s="14">
        <v>14969</v>
      </c>
      <c r="D9" s="14">
        <v>105400</v>
      </c>
      <c r="E9" s="12">
        <f>C9*D9</f>
        <v>1577732600</v>
      </c>
    </row>
    <row r="10" spans="1:16" x14ac:dyDescent="0.25">
      <c r="A10" s="17"/>
      <c r="B10" s="18"/>
      <c r="C10" s="14"/>
      <c r="D10" s="14"/>
      <c r="E10" s="12"/>
    </row>
    <row r="11" spans="1:16" x14ac:dyDescent="0.25">
      <c r="A11" s="17"/>
      <c r="B11" s="18"/>
      <c r="C11" s="14"/>
      <c r="D11" s="14"/>
      <c r="E11" s="12"/>
    </row>
    <row r="12" spans="1:16" x14ac:dyDescent="0.25">
      <c r="A12" s="17"/>
      <c r="B12" s="39" t="s">
        <v>13</v>
      </c>
      <c r="C12" s="14"/>
      <c r="D12" s="40">
        <f>SUM(D7:D10)</f>
        <v>1202360</v>
      </c>
      <c r="E12" s="35">
        <f>SUM(E7:E10)</f>
        <v>17998126840</v>
      </c>
    </row>
    <row r="14" spans="1:16" x14ac:dyDescent="0.25">
      <c r="H14" s="34">
        <v>45077</v>
      </c>
    </row>
    <row r="15" spans="1:16" ht="12" thickBot="1" x14ac:dyDescent="0.3">
      <c r="A15" s="23" t="s">
        <v>14</v>
      </c>
      <c r="L15" s="36">
        <f>SUBTOTAL(9,L19:L35)</f>
        <v>16244723220</v>
      </c>
      <c r="M15" s="36">
        <f t="shared" ref="M15:P15" si="0">SUBTOTAL(9,M19:M35)</f>
        <v>1724738400</v>
      </c>
      <c r="N15" s="36">
        <f t="shared" si="0"/>
        <v>0</v>
      </c>
      <c r="O15" s="36">
        <f t="shared" si="0"/>
        <v>0</v>
      </c>
      <c r="P15" s="36">
        <f t="shared" si="0"/>
        <v>0</v>
      </c>
    </row>
    <row r="16" spans="1:16" ht="12" thickTop="1" x14ac:dyDescent="0.25">
      <c r="A16" s="100" t="s">
        <v>15</v>
      </c>
      <c r="B16" s="1" t="s">
        <v>3</v>
      </c>
      <c r="C16" s="32" t="s">
        <v>60</v>
      </c>
      <c r="D16" s="64" t="s">
        <v>4</v>
      </c>
      <c r="E16" s="64" t="s">
        <v>60</v>
      </c>
      <c r="F16" s="3" t="s">
        <v>18</v>
      </c>
      <c r="G16" s="102" t="s">
        <v>33</v>
      </c>
      <c r="H16" s="102"/>
      <c r="I16" s="102"/>
      <c r="J16" s="102"/>
      <c r="K16" s="103" t="s">
        <v>34</v>
      </c>
      <c r="L16" s="104"/>
      <c r="M16" s="104"/>
      <c r="N16" s="104"/>
      <c r="O16" s="104"/>
      <c r="P16" s="105"/>
    </row>
    <row r="17" spans="1:16" x14ac:dyDescent="0.25">
      <c r="A17" s="106"/>
      <c r="B17" s="73" t="s">
        <v>7</v>
      </c>
      <c r="C17" s="75" t="s">
        <v>5</v>
      </c>
      <c r="D17" s="83" t="s">
        <v>19</v>
      </c>
      <c r="E17" s="84" t="s">
        <v>20</v>
      </c>
      <c r="F17" s="76" t="s">
        <v>20</v>
      </c>
      <c r="G17" s="50" t="s">
        <v>35</v>
      </c>
      <c r="H17" s="50" t="s">
        <v>36</v>
      </c>
      <c r="I17" s="50" t="s">
        <v>37</v>
      </c>
      <c r="J17" s="50" t="s">
        <v>38</v>
      </c>
      <c r="K17" s="77" t="s">
        <v>39</v>
      </c>
      <c r="L17" s="77" t="s">
        <v>40</v>
      </c>
      <c r="M17" s="77" t="s">
        <v>41</v>
      </c>
      <c r="N17" s="77" t="s">
        <v>42</v>
      </c>
      <c r="O17" s="77" t="s">
        <v>43</v>
      </c>
      <c r="P17" s="77" t="s">
        <v>44</v>
      </c>
    </row>
    <row r="18" spans="1:16" x14ac:dyDescent="0.25">
      <c r="A18" s="52" t="s">
        <v>71</v>
      </c>
      <c r="B18" s="78"/>
      <c r="C18" s="78"/>
      <c r="D18" s="78"/>
      <c r="E18" s="78"/>
      <c r="F18" s="79">
        <f>E7</f>
        <v>6611208540</v>
      </c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 customFormat="1" ht="14.5" x14ac:dyDescent="0.35">
      <c r="A19" s="55"/>
      <c r="B19" s="25" t="s">
        <v>72</v>
      </c>
      <c r="C19" s="27">
        <v>108500</v>
      </c>
      <c r="D19" s="28">
        <v>14875</v>
      </c>
      <c r="E19" s="29">
        <f>+C19*D19</f>
        <v>1613937500</v>
      </c>
      <c r="F19" s="25"/>
      <c r="G19" s="26" t="s">
        <v>93</v>
      </c>
      <c r="H19" s="24">
        <v>45065</v>
      </c>
      <c r="I19" s="55">
        <v>60</v>
      </c>
      <c r="J19" s="56">
        <f>H19+I19</f>
        <v>45125</v>
      </c>
      <c r="K19" s="55">
        <f>$H$14-J19</f>
        <v>-48</v>
      </c>
      <c r="L19" s="57">
        <f>E19</f>
        <v>1613937500</v>
      </c>
      <c r="M19" s="55"/>
      <c r="N19" s="55"/>
      <c r="O19" s="55"/>
      <c r="P19" s="55"/>
    </row>
    <row r="20" spans="1:16" customFormat="1" ht="14.5" x14ac:dyDescent="0.35">
      <c r="A20" s="55"/>
      <c r="B20" s="25" t="s">
        <v>72</v>
      </c>
      <c r="C20" s="27">
        <v>112200</v>
      </c>
      <c r="D20" s="28">
        <v>14952</v>
      </c>
      <c r="E20" s="29">
        <f>+C20*D20</f>
        <v>1677614400</v>
      </c>
      <c r="F20" s="81"/>
      <c r="G20" s="26" t="s">
        <v>94</v>
      </c>
      <c r="H20" s="24">
        <v>45072</v>
      </c>
      <c r="I20" s="55">
        <v>60</v>
      </c>
      <c r="J20" s="56">
        <f t="shared" ref="J20:J22" si="1">H20+I20</f>
        <v>45132</v>
      </c>
      <c r="K20" s="55">
        <f t="shared" ref="K20:K22" si="2">$H$14-J20</f>
        <v>-55</v>
      </c>
      <c r="L20" s="57">
        <f>E20</f>
        <v>1677614400</v>
      </c>
      <c r="M20" s="55"/>
      <c r="N20" s="55"/>
      <c r="O20" s="55"/>
      <c r="P20" s="55"/>
    </row>
    <row r="21" spans="1:16" customFormat="1" ht="14.5" x14ac:dyDescent="0.35">
      <c r="A21" s="55"/>
      <c r="B21" s="25" t="s">
        <v>72</v>
      </c>
      <c r="C21" s="27">
        <v>115260</v>
      </c>
      <c r="D21" s="28">
        <v>14952</v>
      </c>
      <c r="E21" s="29">
        <f>+C21*D21</f>
        <v>1723367520</v>
      </c>
      <c r="F21" s="81"/>
      <c r="G21" s="26" t="s">
        <v>95</v>
      </c>
      <c r="H21" s="24">
        <v>45073</v>
      </c>
      <c r="I21" s="55">
        <v>60</v>
      </c>
      <c r="J21" s="56">
        <f t="shared" si="1"/>
        <v>45133</v>
      </c>
      <c r="K21" s="55">
        <f t="shared" si="2"/>
        <v>-56</v>
      </c>
      <c r="L21" s="57">
        <f>E21</f>
        <v>1723367520</v>
      </c>
      <c r="M21" s="55"/>
      <c r="N21" s="55"/>
      <c r="O21" s="55"/>
      <c r="P21" s="55"/>
    </row>
    <row r="22" spans="1:16" customFormat="1" ht="14.5" x14ac:dyDescent="0.35">
      <c r="A22" s="55"/>
      <c r="B22" s="25" t="s">
        <v>72</v>
      </c>
      <c r="C22" s="27">
        <v>105700</v>
      </c>
      <c r="D22" s="28">
        <v>14969</v>
      </c>
      <c r="E22" s="29">
        <f>+C22*D22</f>
        <v>1582223300</v>
      </c>
      <c r="F22" s="25"/>
      <c r="G22" s="26" t="s">
        <v>96</v>
      </c>
      <c r="H22" s="24">
        <v>45077</v>
      </c>
      <c r="I22" s="55">
        <v>60</v>
      </c>
      <c r="J22" s="56">
        <f t="shared" si="1"/>
        <v>45137</v>
      </c>
      <c r="K22" s="55">
        <f t="shared" si="2"/>
        <v>-60</v>
      </c>
      <c r="L22" s="57">
        <f>E22</f>
        <v>1582223300</v>
      </c>
      <c r="M22" s="55"/>
      <c r="N22" s="55"/>
      <c r="O22" s="55"/>
      <c r="P22" s="55"/>
    </row>
    <row r="23" spans="1:16" x14ac:dyDescent="0.25">
      <c r="A23" s="55"/>
      <c r="B23" s="59" t="s">
        <v>45</v>
      </c>
      <c r="C23" s="55"/>
      <c r="D23" s="55"/>
      <c r="E23" s="55"/>
      <c r="F23" s="60">
        <f>SUM(E19:E22)-F18</f>
        <v>-14065820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</row>
    <row r="24" spans="1:16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</row>
    <row r="25" spans="1:16" x14ac:dyDescent="0.25">
      <c r="A25" s="61" t="s">
        <v>47</v>
      </c>
      <c r="B25" s="55"/>
      <c r="C25" s="55"/>
      <c r="D25" s="55"/>
      <c r="E25" s="55"/>
      <c r="F25" s="63">
        <f>E8</f>
        <v>9809185700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</row>
    <row r="26" spans="1:16" customFormat="1" ht="14.5" x14ac:dyDescent="0.35">
      <c r="A26" s="55"/>
      <c r="B26" s="25" t="s">
        <v>46</v>
      </c>
      <c r="C26" s="27">
        <v>112200</v>
      </c>
      <c r="D26" s="28">
        <v>14757</v>
      </c>
      <c r="E26" s="29">
        <f t="shared" ref="E26:E31" si="3">+C26*D26</f>
        <v>1655735400</v>
      </c>
      <c r="F26" s="107"/>
      <c r="G26" s="26" t="s">
        <v>98</v>
      </c>
      <c r="H26" s="24">
        <v>45056</v>
      </c>
      <c r="I26" s="55">
        <v>60</v>
      </c>
      <c r="J26" s="56">
        <f t="shared" ref="J26:J30" si="4">H26+I26</f>
        <v>45116</v>
      </c>
      <c r="K26" s="55">
        <f t="shared" ref="K26:K31" si="5">$H$14-J26</f>
        <v>-39</v>
      </c>
      <c r="L26" s="57">
        <f t="shared" ref="L26:L31" si="6">E26</f>
        <v>1655735400</v>
      </c>
      <c r="M26" s="55"/>
      <c r="N26" s="55"/>
      <c r="O26" s="55"/>
      <c r="P26" s="55"/>
    </row>
    <row r="27" spans="1:16" customFormat="1" ht="14.5" x14ac:dyDescent="0.35">
      <c r="A27" s="55"/>
      <c r="B27" s="25" t="s">
        <v>46</v>
      </c>
      <c r="C27" s="27">
        <v>115600</v>
      </c>
      <c r="D27" s="28">
        <v>14810</v>
      </c>
      <c r="E27" s="29">
        <f t="shared" si="3"/>
        <v>1712036000</v>
      </c>
      <c r="F27" s="27"/>
      <c r="G27" s="26" t="s">
        <v>99</v>
      </c>
      <c r="H27" s="24">
        <v>45064</v>
      </c>
      <c r="I27" s="55">
        <v>60</v>
      </c>
      <c r="J27" s="56">
        <f t="shared" si="4"/>
        <v>45124</v>
      </c>
      <c r="K27" s="55">
        <f t="shared" si="5"/>
        <v>-47</v>
      </c>
      <c r="L27" s="57">
        <f t="shared" si="6"/>
        <v>1712036000</v>
      </c>
      <c r="M27" s="55"/>
      <c r="N27" s="55"/>
      <c r="O27" s="55"/>
      <c r="P27" s="55"/>
    </row>
    <row r="28" spans="1:16" customFormat="1" ht="14.5" x14ac:dyDescent="0.35">
      <c r="A28" s="55"/>
      <c r="B28" s="25" t="s">
        <v>46</v>
      </c>
      <c r="C28" s="27">
        <v>104700</v>
      </c>
      <c r="D28" s="28">
        <v>14810</v>
      </c>
      <c r="E28" s="29">
        <f t="shared" si="3"/>
        <v>1550607000</v>
      </c>
      <c r="F28" s="27"/>
      <c r="G28" s="26" t="s">
        <v>100</v>
      </c>
      <c r="H28" s="24">
        <v>45063</v>
      </c>
      <c r="I28" s="55">
        <v>60</v>
      </c>
      <c r="J28" s="56">
        <f t="shared" si="4"/>
        <v>45123</v>
      </c>
      <c r="K28" s="55">
        <f t="shared" si="5"/>
        <v>-46</v>
      </c>
      <c r="L28" s="57">
        <f t="shared" si="6"/>
        <v>1550607000</v>
      </c>
      <c r="M28" s="55"/>
      <c r="N28" s="55"/>
      <c r="O28" s="55"/>
      <c r="P28" s="55"/>
    </row>
    <row r="29" spans="1:16" customFormat="1" ht="14.5" x14ac:dyDescent="0.35">
      <c r="A29" s="55"/>
      <c r="B29" s="25" t="s">
        <v>46</v>
      </c>
      <c r="C29" s="27">
        <v>107900</v>
      </c>
      <c r="D29" s="28">
        <v>14952</v>
      </c>
      <c r="E29" s="29">
        <f t="shared" si="3"/>
        <v>1613320800</v>
      </c>
      <c r="F29" s="27"/>
      <c r="G29" s="26" t="s">
        <v>101</v>
      </c>
      <c r="H29" s="24">
        <v>45072</v>
      </c>
      <c r="I29" s="55">
        <v>60</v>
      </c>
      <c r="J29" s="56">
        <f t="shared" si="4"/>
        <v>45132</v>
      </c>
      <c r="K29" s="55">
        <f t="shared" si="5"/>
        <v>-55</v>
      </c>
      <c r="L29" s="57">
        <f t="shared" si="6"/>
        <v>1613320800</v>
      </c>
      <c r="M29" s="55"/>
      <c r="N29" s="55"/>
      <c r="O29" s="55"/>
      <c r="P29" s="55"/>
    </row>
    <row r="30" spans="1:16" customFormat="1" ht="14.5" x14ac:dyDescent="0.35">
      <c r="A30" s="55"/>
      <c r="B30" s="25" t="s">
        <v>46</v>
      </c>
      <c r="C30" s="27">
        <v>102700</v>
      </c>
      <c r="D30" s="28">
        <v>14973</v>
      </c>
      <c r="E30" s="29">
        <f t="shared" si="3"/>
        <v>1537727100</v>
      </c>
      <c r="F30" s="27"/>
      <c r="G30" s="26" t="s">
        <v>102</v>
      </c>
      <c r="H30" s="24">
        <v>45076</v>
      </c>
      <c r="I30" s="55">
        <v>60</v>
      </c>
      <c r="J30" s="56">
        <f t="shared" si="4"/>
        <v>45136</v>
      </c>
      <c r="K30" s="55">
        <f t="shared" si="5"/>
        <v>-59</v>
      </c>
      <c r="L30" s="57">
        <f t="shared" si="6"/>
        <v>1537727100</v>
      </c>
      <c r="M30" s="55"/>
      <c r="N30" s="55"/>
      <c r="O30" s="55"/>
      <c r="P30" s="55"/>
    </row>
    <row r="31" spans="1:16" x14ac:dyDescent="0.25">
      <c r="A31" s="55"/>
      <c r="B31" s="25" t="s">
        <v>46</v>
      </c>
      <c r="C31" s="27">
        <v>112200</v>
      </c>
      <c r="D31" s="28">
        <v>15372</v>
      </c>
      <c r="E31" s="29">
        <v>1724738400</v>
      </c>
      <c r="F31" s="27"/>
      <c r="G31" s="26" t="s">
        <v>76</v>
      </c>
      <c r="H31" s="24">
        <v>45008</v>
      </c>
      <c r="I31" s="55">
        <v>60</v>
      </c>
      <c r="J31" s="56">
        <f t="shared" ref="J31" si="7">H31+I31</f>
        <v>45068</v>
      </c>
      <c r="K31" s="55"/>
      <c r="L31" s="57"/>
      <c r="M31" s="57">
        <f>E31</f>
        <v>1724738400</v>
      </c>
      <c r="N31" s="55"/>
      <c r="O31" s="55"/>
      <c r="P31" s="55"/>
    </row>
    <row r="32" spans="1:16" x14ac:dyDescent="0.25">
      <c r="A32" s="55"/>
      <c r="B32" s="59" t="s">
        <v>45</v>
      </c>
      <c r="C32" s="55"/>
      <c r="D32" s="55"/>
      <c r="E32" s="55"/>
      <c r="F32" s="60">
        <f>SUM(E26:E31)-F25</f>
        <v>-15021000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</row>
    <row r="33" spans="1:16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</row>
    <row r="34" spans="1:16" x14ac:dyDescent="0.25">
      <c r="A34" s="58" t="s">
        <v>103</v>
      </c>
      <c r="B34" s="55"/>
      <c r="C34" s="55"/>
      <c r="D34" s="55"/>
      <c r="E34" s="55"/>
      <c r="F34" s="63">
        <f>E9</f>
        <v>1577732600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35" spans="1:16" x14ac:dyDescent="0.25">
      <c r="A35" s="55"/>
      <c r="B35" s="25" t="s">
        <v>104</v>
      </c>
      <c r="C35" s="27">
        <v>105400</v>
      </c>
      <c r="D35" s="28">
        <v>14973</v>
      </c>
      <c r="E35" s="29">
        <f>+C35*D35</f>
        <v>1578154200</v>
      </c>
      <c r="F35" s="25"/>
      <c r="G35" s="26" t="s">
        <v>105</v>
      </c>
      <c r="H35" s="24">
        <v>45076</v>
      </c>
      <c r="I35" s="55">
        <v>60</v>
      </c>
      <c r="J35" s="56">
        <f t="shared" ref="J35" si="8">H35+I35</f>
        <v>45136</v>
      </c>
      <c r="K35" s="55">
        <f t="shared" ref="K35" si="9">$H$14-J35</f>
        <v>-59</v>
      </c>
      <c r="L35" s="57">
        <f t="shared" ref="L35" si="10">E35</f>
        <v>1578154200</v>
      </c>
      <c r="M35" s="55"/>
      <c r="N35" s="55"/>
      <c r="O35" s="55"/>
      <c r="P35" s="55"/>
    </row>
    <row r="36" spans="1:16" x14ac:dyDescent="0.25">
      <c r="A36" s="55"/>
      <c r="B36" s="59" t="s">
        <v>45</v>
      </c>
      <c r="C36" s="55"/>
      <c r="D36" s="55"/>
      <c r="E36" s="55"/>
      <c r="F36" s="60">
        <f>E35-F34</f>
        <v>421600</v>
      </c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1:16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</row>
  </sheetData>
  <mergeCells count="7">
    <mergeCell ref="G16:J16"/>
    <mergeCell ref="K16:P16"/>
    <mergeCell ref="A5:A6"/>
    <mergeCell ref="C5:C6"/>
    <mergeCell ref="D5:D6"/>
    <mergeCell ref="E5:E6"/>
    <mergeCell ref="A16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E364-F8C1-40FD-B17C-C0523A2F79C9}">
  <dimension ref="A2:R43"/>
  <sheetViews>
    <sheetView showGridLines="0" topLeftCell="C29" workbookViewId="0">
      <selection activeCell="N15" sqref="N15:R15"/>
    </sheetView>
  </sheetViews>
  <sheetFormatPr defaultColWidth="8.81640625" defaultRowHeight="11.5" x14ac:dyDescent="0.25"/>
  <cols>
    <col min="1" max="1" width="10.6328125" style="10" customWidth="1"/>
    <col min="2" max="2" width="40.453125" style="10" bestFit="1" customWidth="1"/>
    <col min="3" max="3" width="13.54296875" style="10" bestFit="1" customWidth="1"/>
    <col min="4" max="4" width="12.26953125" style="10" bestFit="1" customWidth="1"/>
    <col min="5" max="5" width="15.36328125" style="10" bestFit="1" customWidth="1"/>
    <col min="6" max="6" width="13.90625" style="10" bestFit="1" customWidth="1"/>
    <col min="7" max="8" width="12.1796875" style="10" bestFit="1" customWidth="1"/>
    <col min="9" max="9" width="12.36328125" style="10" bestFit="1" customWidth="1"/>
    <col min="10" max="10" width="11.54296875" style="10" bestFit="1" customWidth="1"/>
    <col min="11" max="11" width="15.6328125" style="10" bestFit="1" customWidth="1"/>
    <col min="12" max="14" width="13.36328125" style="10" bestFit="1" customWidth="1"/>
    <col min="15" max="15" width="18.08984375" style="10" bestFit="1" customWidth="1"/>
    <col min="16" max="16" width="8.90625" style="10" bestFit="1" customWidth="1"/>
    <col min="17" max="17" width="14.7265625" style="10" bestFit="1" customWidth="1"/>
    <col min="18" max="16384" width="8.81640625" style="10"/>
  </cols>
  <sheetData>
    <row r="2" spans="1:18" x14ac:dyDescent="0.25">
      <c r="A2" s="6" t="s">
        <v>0</v>
      </c>
      <c r="B2" s="7"/>
      <c r="C2" s="8"/>
      <c r="D2" s="9"/>
      <c r="E2" s="9"/>
    </row>
    <row r="3" spans="1:18" x14ac:dyDescent="0.25">
      <c r="A3" s="6" t="s">
        <v>115</v>
      </c>
      <c r="B3" s="7"/>
      <c r="C3" s="8"/>
      <c r="D3" s="9"/>
      <c r="E3" s="9"/>
    </row>
    <row r="4" spans="1:18" x14ac:dyDescent="0.25">
      <c r="A4" s="14"/>
      <c r="B4" s="14"/>
      <c r="C4" s="14"/>
      <c r="D4" s="14"/>
      <c r="E4" s="14"/>
    </row>
    <row r="5" spans="1:18" x14ac:dyDescent="0.25">
      <c r="A5" s="96" t="s">
        <v>2</v>
      </c>
      <c r="B5" s="15" t="s">
        <v>3</v>
      </c>
      <c r="C5" s="98" t="s">
        <v>4</v>
      </c>
      <c r="D5" s="98" t="s">
        <v>5</v>
      </c>
      <c r="E5" s="98" t="s">
        <v>6</v>
      </c>
    </row>
    <row r="6" spans="1:18" ht="12" thickBot="1" x14ac:dyDescent="0.3">
      <c r="A6" s="97"/>
      <c r="B6" s="16" t="s">
        <v>7</v>
      </c>
      <c r="C6" s="99"/>
      <c r="D6" s="99"/>
      <c r="E6" s="99"/>
    </row>
    <row r="7" spans="1:18" x14ac:dyDescent="0.25">
      <c r="A7" s="17">
        <v>1</v>
      </c>
      <c r="B7" s="18" t="s">
        <v>8</v>
      </c>
      <c r="C7" s="14">
        <v>15026</v>
      </c>
      <c r="D7" s="14">
        <v>409900</v>
      </c>
      <c r="E7" s="12">
        <f>C7*D7</f>
        <v>6159157400</v>
      </c>
    </row>
    <row r="8" spans="1:18" x14ac:dyDescent="0.25">
      <c r="A8" s="17">
        <v>2</v>
      </c>
      <c r="B8" s="18" t="s">
        <v>9</v>
      </c>
      <c r="C8" s="14">
        <v>15026</v>
      </c>
      <c r="D8" s="14">
        <v>438400</v>
      </c>
      <c r="E8" s="12">
        <f>D8*C8</f>
        <v>6587398400</v>
      </c>
    </row>
    <row r="9" spans="1:18" x14ac:dyDescent="0.25">
      <c r="A9" s="17">
        <v>3</v>
      </c>
      <c r="B9" s="18" t="s">
        <v>92</v>
      </c>
      <c r="C9" s="14">
        <v>15026</v>
      </c>
      <c r="D9" s="14">
        <v>73815</v>
      </c>
      <c r="E9" s="12">
        <f>C9*D9</f>
        <v>1109144190</v>
      </c>
    </row>
    <row r="10" spans="1:18" x14ac:dyDescent="0.25">
      <c r="A10" s="17">
        <v>4</v>
      </c>
      <c r="B10" s="18" t="s">
        <v>106</v>
      </c>
      <c r="C10" s="14">
        <v>15026</v>
      </c>
      <c r="D10" s="14">
        <v>282600</v>
      </c>
      <c r="E10" s="12">
        <f>C10*D10</f>
        <v>4246347600</v>
      </c>
    </row>
    <row r="11" spans="1:18" x14ac:dyDescent="0.25">
      <c r="A11" s="17"/>
      <c r="B11" s="18"/>
      <c r="C11" s="14"/>
      <c r="D11" s="14"/>
      <c r="E11" s="12"/>
    </row>
    <row r="12" spans="1:18" x14ac:dyDescent="0.25">
      <c r="A12" s="17"/>
      <c r="B12" s="39" t="s">
        <v>13</v>
      </c>
      <c r="C12" s="14"/>
      <c r="D12" s="40">
        <f>SUM(D7:D10)</f>
        <v>1204715</v>
      </c>
      <c r="E12" s="35">
        <f>SUM(E7:E10)</f>
        <v>18102047590</v>
      </c>
    </row>
    <row r="14" spans="1:18" x14ac:dyDescent="0.25">
      <c r="H14" s="34">
        <v>45107</v>
      </c>
    </row>
    <row r="15" spans="1:18" ht="12" thickBot="1" x14ac:dyDescent="0.3">
      <c r="A15" s="23" t="s">
        <v>14</v>
      </c>
      <c r="N15" s="36">
        <f>SUM(N19:N42)</f>
        <v>18016350710</v>
      </c>
      <c r="O15" s="36">
        <f>SUM(O19:O42)</f>
        <v>0</v>
      </c>
      <c r="P15" s="36">
        <f>SUM(P19:P42)</f>
        <v>0</v>
      </c>
      <c r="Q15" s="36">
        <f>SUM(Q19:Q42)</f>
        <v>0</v>
      </c>
      <c r="R15" s="36">
        <f>SUM(R19:R42)</f>
        <v>0</v>
      </c>
    </row>
    <row r="16" spans="1:18" ht="12" thickTop="1" x14ac:dyDescent="0.25">
      <c r="A16" s="100" t="s">
        <v>15</v>
      </c>
      <c r="B16" s="1" t="s">
        <v>3</v>
      </c>
      <c r="C16" s="109" t="s">
        <v>60</v>
      </c>
      <c r="D16" s="32" t="s">
        <v>153</v>
      </c>
      <c r="E16" s="64" t="s">
        <v>4</v>
      </c>
      <c r="F16" s="108" t="s">
        <v>60</v>
      </c>
      <c r="G16" s="64" t="s">
        <v>59</v>
      </c>
      <c r="H16" s="3" t="s">
        <v>18</v>
      </c>
      <c r="I16" s="102" t="s">
        <v>33</v>
      </c>
      <c r="J16" s="102"/>
      <c r="K16" s="102"/>
      <c r="L16" s="102"/>
      <c r="M16" s="103" t="s">
        <v>34</v>
      </c>
      <c r="N16" s="104"/>
      <c r="O16" s="104"/>
      <c r="P16" s="104"/>
      <c r="Q16" s="104"/>
      <c r="R16" s="105"/>
    </row>
    <row r="17" spans="1:18" x14ac:dyDescent="0.25">
      <c r="A17" s="106"/>
      <c r="B17" s="73" t="s">
        <v>7</v>
      </c>
      <c r="C17" s="75" t="s">
        <v>5</v>
      </c>
      <c r="D17" s="75" t="s">
        <v>5</v>
      </c>
      <c r="E17" s="83" t="s">
        <v>19</v>
      </c>
      <c r="F17" s="84" t="s">
        <v>20</v>
      </c>
      <c r="G17" s="84" t="s">
        <v>20</v>
      </c>
      <c r="H17" s="76" t="s">
        <v>20</v>
      </c>
      <c r="I17" s="50" t="s">
        <v>35</v>
      </c>
      <c r="J17" s="50" t="s">
        <v>36</v>
      </c>
      <c r="K17" s="50" t="s">
        <v>37</v>
      </c>
      <c r="L17" s="50" t="s">
        <v>38</v>
      </c>
      <c r="M17" s="77" t="s">
        <v>39</v>
      </c>
      <c r="N17" s="77" t="s">
        <v>40</v>
      </c>
      <c r="O17" s="77" t="s">
        <v>41</v>
      </c>
      <c r="P17" s="77" t="s">
        <v>42</v>
      </c>
      <c r="Q17" s="77" t="s">
        <v>43</v>
      </c>
      <c r="R17" s="77" t="s">
        <v>44</v>
      </c>
    </row>
    <row r="18" spans="1:18" x14ac:dyDescent="0.25">
      <c r="A18" s="52" t="s">
        <v>71</v>
      </c>
      <c r="B18" s="78"/>
      <c r="C18" s="78"/>
      <c r="D18" s="78"/>
      <c r="E18" s="78"/>
      <c r="F18" s="78"/>
      <c r="G18" s="78"/>
      <c r="H18" s="79">
        <f>E7</f>
        <v>6159157400</v>
      </c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1:18" customFormat="1" ht="14.5" x14ac:dyDescent="0.35">
      <c r="A19" s="55"/>
      <c r="B19" s="25" t="s">
        <v>72</v>
      </c>
      <c r="C19" s="27">
        <v>103200</v>
      </c>
      <c r="D19" s="27"/>
      <c r="E19" s="28">
        <v>14943</v>
      </c>
      <c r="F19" s="29">
        <f>+C19*E19</f>
        <v>1542117600</v>
      </c>
      <c r="G19" s="29"/>
      <c r="H19" s="81"/>
      <c r="I19" s="26" t="s">
        <v>107</v>
      </c>
      <c r="J19" s="24">
        <v>45093</v>
      </c>
      <c r="K19" s="55">
        <v>60</v>
      </c>
      <c r="L19" s="56">
        <f t="shared" ref="L19:L22" si="0">J19+K19</f>
        <v>45153</v>
      </c>
      <c r="M19" s="55">
        <f>$H$14-L19</f>
        <v>-46</v>
      </c>
      <c r="N19" s="57">
        <f>F19</f>
        <v>1542117600</v>
      </c>
      <c r="O19" s="55"/>
      <c r="P19" s="55"/>
      <c r="Q19" s="55"/>
      <c r="R19" s="55"/>
    </row>
    <row r="20" spans="1:18" customFormat="1" ht="14.5" x14ac:dyDescent="0.35">
      <c r="A20" s="55"/>
      <c r="B20" s="25" t="s">
        <v>72</v>
      </c>
      <c r="C20" s="27">
        <v>95900</v>
      </c>
      <c r="D20" s="27"/>
      <c r="E20" s="28">
        <v>14943</v>
      </c>
      <c r="F20" s="29">
        <f>+C20*E20</f>
        <v>1433033700</v>
      </c>
      <c r="G20" s="29"/>
      <c r="H20" s="25"/>
      <c r="I20" s="26" t="s">
        <v>108</v>
      </c>
      <c r="J20" s="24">
        <v>45093</v>
      </c>
      <c r="K20" s="55">
        <v>60</v>
      </c>
      <c r="L20" s="56">
        <f t="shared" si="0"/>
        <v>45153</v>
      </c>
      <c r="M20" s="55">
        <f>$H$14-L20</f>
        <v>-46</v>
      </c>
      <c r="N20" s="57">
        <f>F20</f>
        <v>1433033700</v>
      </c>
      <c r="O20" s="55"/>
      <c r="P20" s="55"/>
      <c r="Q20" s="55"/>
      <c r="R20" s="55"/>
    </row>
    <row r="21" spans="1:18" customFormat="1" ht="14.5" x14ac:dyDescent="0.35">
      <c r="A21" s="55"/>
      <c r="B21" s="25" t="s">
        <v>72</v>
      </c>
      <c r="C21" s="27">
        <v>108800</v>
      </c>
      <c r="D21" s="27"/>
      <c r="E21" s="28">
        <v>15026</v>
      </c>
      <c r="F21" s="29">
        <f>+C21*E21</f>
        <v>1634828800</v>
      </c>
      <c r="G21" s="29"/>
      <c r="H21" s="25"/>
      <c r="I21" s="26" t="s">
        <v>109</v>
      </c>
      <c r="J21" s="24">
        <v>45107</v>
      </c>
      <c r="K21" s="55">
        <v>60</v>
      </c>
      <c r="L21" s="56">
        <f t="shared" si="0"/>
        <v>45167</v>
      </c>
      <c r="M21" s="55">
        <f>$H$14-L21</f>
        <v>-60</v>
      </c>
      <c r="N21" s="57">
        <f>F21</f>
        <v>1634828800</v>
      </c>
      <c r="O21" s="55"/>
      <c r="P21" s="55"/>
      <c r="Q21" s="55"/>
      <c r="R21" s="55"/>
    </row>
    <row r="22" spans="1:18" customFormat="1" ht="14.5" x14ac:dyDescent="0.35">
      <c r="A22" s="55"/>
      <c r="B22" s="25" t="s">
        <v>72</v>
      </c>
      <c r="C22" s="27">
        <v>102000</v>
      </c>
      <c r="D22" s="27"/>
      <c r="E22" s="28">
        <v>15026</v>
      </c>
      <c r="F22" s="29">
        <f>+C22*E22</f>
        <v>1532652000</v>
      </c>
      <c r="G22" s="29"/>
      <c r="H22" s="81"/>
      <c r="I22" s="26" t="s">
        <v>110</v>
      </c>
      <c r="J22" s="24">
        <v>45107</v>
      </c>
      <c r="K22" s="55">
        <v>60</v>
      </c>
      <c r="L22" s="56">
        <f t="shared" si="0"/>
        <v>45167</v>
      </c>
      <c r="M22" s="55">
        <f>$H$14-L22</f>
        <v>-60</v>
      </c>
      <c r="N22" s="57">
        <f>F22</f>
        <v>1532652000</v>
      </c>
      <c r="O22" s="55"/>
      <c r="P22" s="55"/>
      <c r="Q22" s="55"/>
      <c r="R22" s="55"/>
    </row>
    <row r="23" spans="1:18" x14ac:dyDescent="0.25">
      <c r="A23" s="55"/>
      <c r="B23" s="59" t="s">
        <v>45</v>
      </c>
      <c r="C23" s="55"/>
      <c r="D23" s="55"/>
      <c r="E23" s="55"/>
      <c r="F23" s="55"/>
      <c r="G23" s="55"/>
      <c r="H23" s="60">
        <f>SUM(F19:F22)-H18</f>
        <v>-16525300</v>
      </c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spans="1:18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spans="1:18" x14ac:dyDescent="0.25">
      <c r="A25" s="61" t="s">
        <v>47</v>
      </c>
      <c r="B25" s="55"/>
      <c r="C25" s="55"/>
      <c r="D25" s="55"/>
      <c r="E25" s="55"/>
      <c r="F25" s="55"/>
      <c r="G25" s="55"/>
      <c r="H25" s="63">
        <f>E8</f>
        <v>6587398400</v>
      </c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spans="1:18" customFormat="1" ht="14.5" x14ac:dyDescent="0.35">
      <c r="A26" s="55"/>
      <c r="B26" s="25" t="s">
        <v>46</v>
      </c>
      <c r="C26" s="27">
        <v>112200</v>
      </c>
      <c r="D26" s="27"/>
      <c r="E26" s="28">
        <v>14757</v>
      </c>
      <c r="F26" s="29">
        <f>+C26*E26</f>
        <v>1655735400</v>
      </c>
      <c r="G26" s="29"/>
      <c r="H26" s="27"/>
      <c r="I26" s="26" t="s">
        <v>98</v>
      </c>
      <c r="J26" s="24">
        <v>45056</v>
      </c>
      <c r="K26" s="55">
        <v>60</v>
      </c>
      <c r="L26" s="56">
        <f t="shared" ref="L26" si="1">J26+K26</f>
        <v>45116</v>
      </c>
      <c r="M26" s="55">
        <f>$H$14-L26</f>
        <v>-9</v>
      </c>
      <c r="N26" s="57">
        <f>F26</f>
        <v>1655735400</v>
      </c>
      <c r="O26" s="55"/>
      <c r="P26" s="55"/>
      <c r="Q26" s="55"/>
      <c r="R26" s="55"/>
    </row>
    <row r="27" spans="1:18" customFormat="1" ht="14.5" x14ac:dyDescent="0.35">
      <c r="A27" s="55"/>
      <c r="B27" s="25" t="s">
        <v>46</v>
      </c>
      <c r="C27" s="27">
        <v>107900</v>
      </c>
      <c r="D27" s="27"/>
      <c r="E27" s="28">
        <v>14952</v>
      </c>
      <c r="F27" s="29">
        <f>+C27*E27</f>
        <v>1613320800</v>
      </c>
      <c r="G27" s="29"/>
      <c r="H27" s="27"/>
      <c r="I27" s="26" t="s">
        <v>101</v>
      </c>
      <c r="J27" s="24">
        <v>45072</v>
      </c>
      <c r="K27" s="55">
        <v>60</v>
      </c>
      <c r="L27" s="56">
        <f t="shared" ref="L27:L29" si="2">J27+K27</f>
        <v>45132</v>
      </c>
      <c r="M27" s="55">
        <f>$H$14-L27</f>
        <v>-25</v>
      </c>
      <c r="N27" s="57">
        <f>F27</f>
        <v>1613320800</v>
      </c>
      <c r="O27" s="55"/>
      <c r="P27" s="55"/>
      <c r="Q27" s="55"/>
      <c r="R27" s="55"/>
    </row>
    <row r="28" spans="1:18" customFormat="1" ht="14.5" x14ac:dyDescent="0.35">
      <c r="A28" s="55"/>
      <c r="B28" s="25" t="s">
        <v>46</v>
      </c>
      <c r="C28" s="27">
        <v>102700</v>
      </c>
      <c r="D28" s="27"/>
      <c r="E28" s="28">
        <v>14973</v>
      </c>
      <c r="F28" s="29">
        <f>+C28*E28</f>
        <v>1537727100</v>
      </c>
      <c r="G28" s="29"/>
      <c r="H28" s="27"/>
      <c r="I28" s="26" t="s">
        <v>102</v>
      </c>
      <c r="J28" s="24">
        <v>45076</v>
      </c>
      <c r="K28" s="55">
        <v>60</v>
      </c>
      <c r="L28" s="56">
        <f t="shared" si="2"/>
        <v>45136</v>
      </c>
      <c r="M28" s="55">
        <f>$H$14-L28</f>
        <v>-29</v>
      </c>
      <c r="N28" s="57">
        <f>F28</f>
        <v>1537727100</v>
      </c>
      <c r="O28" s="55"/>
      <c r="P28" s="55"/>
      <c r="Q28" s="55"/>
      <c r="R28" s="55"/>
    </row>
    <row r="29" spans="1:18" customFormat="1" ht="14.5" x14ac:dyDescent="0.35">
      <c r="A29" s="55"/>
      <c r="B29" s="25" t="s">
        <v>46</v>
      </c>
      <c r="C29" s="27">
        <v>115600</v>
      </c>
      <c r="D29" s="27"/>
      <c r="E29" s="28">
        <v>15040</v>
      </c>
      <c r="F29" s="29">
        <f>+C29*E29</f>
        <v>1738624000</v>
      </c>
      <c r="G29" s="29"/>
      <c r="H29" s="27"/>
      <c r="I29" s="26" t="s">
        <v>111</v>
      </c>
      <c r="J29" s="24">
        <v>45098</v>
      </c>
      <c r="K29" s="55">
        <v>60</v>
      </c>
      <c r="L29" s="56">
        <f t="shared" si="2"/>
        <v>45158</v>
      </c>
      <c r="M29" s="55">
        <f>$H$14-L29</f>
        <v>-51</v>
      </c>
      <c r="N29" s="57">
        <f>F29</f>
        <v>1738624000</v>
      </c>
      <c r="O29" s="55"/>
      <c r="P29" s="55"/>
      <c r="Q29" s="55"/>
      <c r="R29" s="55"/>
    </row>
    <row r="30" spans="1:18" customFormat="1" ht="14.5" x14ac:dyDescent="0.35">
      <c r="A30" s="55"/>
      <c r="B30" s="59" t="s">
        <v>45</v>
      </c>
      <c r="C30" s="55"/>
      <c r="D30" s="55"/>
      <c r="E30" s="55"/>
      <c r="F30" s="55"/>
      <c r="G30" s="55"/>
      <c r="H30" s="60">
        <f>SUM(F26:F29)-H25</f>
        <v>-41991100</v>
      </c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18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spans="1:18" x14ac:dyDescent="0.25">
      <c r="A32" s="58" t="s">
        <v>103</v>
      </c>
      <c r="B32" s="55"/>
      <c r="C32" s="55"/>
      <c r="D32" s="55"/>
      <c r="E32" s="55"/>
      <c r="F32" s="55"/>
      <c r="G32" s="55"/>
      <c r="H32" s="63">
        <f>E9</f>
        <v>1109144190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spans="1:18" x14ac:dyDescent="0.25">
      <c r="A33" s="55"/>
      <c r="B33" s="25" t="s">
        <v>104</v>
      </c>
      <c r="C33" s="27">
        <v>105400</v>
      </c>
      <c r="D33" s="27"/>
      <c r="E33" s="28">
        <v>14973</v>
      </c>
      <c r="F33" s="29">
        <f>+C33*E33</f>
        <v>1578154200</v>
      </c>
      <c r="G33" s="29"/>
      <c r="H33" s="25"/>
      <c r="I33" s="26" t="s">
        <v>105</v>
      </c>
      <c r="J33" s="24">
        <v>45076</v>
      </c>
      <c r="K33" s="55">
        <v>60</v>
      </c>
      <c r="L33" s="56">
        <f>J33+K33</f>
        <v>45136</v>
      </c>
      <c r="M33" s="55">
        <f>$H$14-L33</f>
        <v>-29</v>
      </c>
      <c r="N33" s="57">
        <f>F33-G34</f>
        <v>1108358910</v>
      </c>
      <c r="O33" s="55"/>
      <c r="P33" s="55"/>
      <c r="Q33" s="55"/>
      <c r="R33" s="55"/>
    </row>
    <row r="34" spans="1:18" x14ac:dyDescent="0.25">
      <c r="A34" s="55"/>
      <c r="B34" s="25" t="s">
        <v>148</v>
      </c>
      <c r="C34" s="27"/>
      <c r="D34" s="27">
        <v>31585</v>
      </c>
      <c r="E34" s="28">
        <v>14874</v>
      </c>
      <c r="F34" s="29"/>
      <c r="G34" s="29">
        <v>469795290</v>
      </c>
      <c r="H34" s="25"/>
      <c r="I34" s="26" t="s">
        <v>105</v>
      </c>
      <c r="J34" s="24">
        <v>45090</v>
      </c>
      <c r="K34" s="55"/>
      <c r="L34" s="56"/>
      <c r="M34" s="55"/>
      <c r="N34" s="57"/>
      <c r="O34" s="55"/>
      <c r="P34" s="55"/>
      <c r="Q34" s="55"/>
      <c r="R34" s="55"/>
    </row>
    <row r="35" spans="1:18" x14ac:dyDescent="0.25">
      <c r="A35" s="55"/>
      <c r="B35" s="59" t="s">
        <v>45</v>
      </c>
      <c r="C35" s="55"/>
      <c r="D35" s="55"/>
      <c r="E35" s="55"/>
      <c r="F35" s="55"/>
      <c r="G35" s="55"/>
      <c r="H35" s="60">
        <f>(F33-G34)-H32</f>
        <v>-785280</v>
      </c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spans="1:18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spans="1:18" x14ac:dyDescent="0.25">
      <c r="A37" s="58" t="s">
        <v>106</v>
      </c>
      <c r="B37" s="55"/>
      <c r="C37" s="55"/>
      <c r="D37" s="55"/>
      <c r="E37" s="55"/>
      <c r="F37" s="55"/>
      <c r="G37" s="55"/>
      <c r="H37" s="63">
        <f>E10</f>
        <v>4246347600</v>
      </c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spans="1:18" x14ac:dyDescent="0.25">
      <c r="A38" s="55"/>
      <c r="B38" s="25" t="s">
        <v>106</v>
      </c>
      <c r="C38" s="27">
        <v>93600</v>
      </c>
      <c r="D38" s="27"/>
      <c r="E38" s="28">
        <v>14875</v>
      </c>
      <c r="F38" s="29">
        <f>+C38*E38</f>
        <v>1392300000</v>
      </c>
      <c r="G38" s="29"/>
      <c r="H38" s="27"/>
      <c r="I38" s="26" t="s">
        <v>112</v>
      </c>
      <c r="J38" s="24">
        <v>45085</v>
      </c>
      <c r="K38" s="55">
        <v>60</v>
      </c>
      <c r="L38" s="56">
        <f t="shared" ref="L38:L40" si="3">J38+K38</f>
        <v>45145</v>
      </c>
      <c r="M38" s="55">
        <f>$H$14-L38</f>
        <v>-38</v>
      </c>
      <c r="N38" s="57">
        <f t="shared" ref="N38:N40" si="4">F38</f>
        <v>1392300000</v>
      </c>
      <c r="O38" s="55"/>
      <c r="P38" s="55"/>
      <c r="Q38" s="55"/>
      <c r="R38" s="55"/>
    </row>
    <row r="39" spans="1:18" x14ac:dyDescent="0.25">
      <c r="A39" s="55"/>
      <c r="B39" s="25" t="s">
        <v>106</v>
      </c>
      <c r="C39" s="27">
        <v>93600</v>
      </c>
      <c r="D39" s="27"/>
      <c r="E39" s="28">
        <v>14895</v>
      </c>
      <c r="F39" s="29">
        <f>+C39*E39</f>
        <v>1394172000</v>
      </c>
      <c r="G39" s="29"/>
      <c r="H39" s="27"/>
      <c r="I39" s="26" t="s">
        <v>113</v>
      </c>
      <c r="J39" s="24">
        <v>45092</v>
      </c>
      <c r="K39" s="55">
        <v>60</v>
      </c>
      <c r="L39" s="56">
        <f t="shared" si="3"/>
        <v>45152</v>
      </c>
      <c r="M39" s="55">
        <f>$H$14-L39</f>
        <v>-45</v>
      </c>
      <c r="N39" s="57">
        <f t="shared" si="4"/>
        <v>1394172000</v>
      </c>
      <c r="O39" s="55"/>
      <c r="P39" s="55"/>
      <c r="Q39" s="55"/>
      <c r="R39" s="55"/>
    </row>
    <row r="40" spans="1:18" x14ac:dyDescent="0.25">
      <c r="A40" s="55"/>
      <c r="B40" s="25" t="s">
        <v>106</v>
      </c>
      <c r="C40" s="27">
        <v>95400</v>
      </c>
      <c r="D40" s="27"/>
      <c r="E40" s="28">
        <v>15026</v>
      </c>
      <c r="F40" s="29">
        <f>+C40*E40</f>
        <v>1433480400</v>
      </c>
      <c r="G40" s="29"/>
      <c r="H40" s="27"/>
      <c r="I40" s="26" t="s">
        <v>114</v>
      </c>
      <c r="J40" s="24">
        <v>45105</v>
      </c>
      <c r="K40" s="55">
        <v>60</v>
      </c>
      <c r="L40" s="56">
        <f t="shared" si="3"/>
        <v>45165</v>
      </c>
      <c r="M40" s="55">
        <f>$H$14-L40</f>
        <v>-58</v>
      </c>
      <c r="N40" s="57">
        <f t="shared" si="4"/>
        <v>1433480400</v>
      </c>
      <c r="O40" s="55"/>
      <c r="P40" s="55"/>
      <c r="Q40" s="55"/>
      <c r="R40" s="55"/>
    </row>
    <row r="41" spans="1:18" x14ac:dyDescent="0.25">
      <c r="A41" s="55"/>
      <c r="B41" s="59" t="s">
        <v>45</v>
      </c>
      <c r="C41" s="55"/>
      <c r="D41" s="55"/>
      <c r="E41" s="55"/>
      <c r="F41" s="55"/>
      <c r="G41" s="55"/>
      <c r="H41" s="60">
        <f>SUM(F38:F40)-H37</f>
        <v>-26395200</v>
      </c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spans="1:18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spans="1:18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</sheetData>
  <mergeCells count="7">
    <mergeCell ref="I16:L16"/>
    <mergeCell ref="M16:R16"/>
    <mergeCell ref="A5:A6"/>
    <mergeCell ref="C5:C6"/>
    <mergeCell ref="D5:D6"/>
    <mergeCell ref="E5:E6"/>
    <mergeCell ref="A16:A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BCBC-34B9-401A-B756-D263499B48A7}">
  <dimension ref="A2:R38"/>
  <sheetViews>
    <sheetView showGridLines="0" topLeftCell="F22" workbookViewId="0">
      <selection activeCell="N36" sqref="N36"/>
    </sheetView>
  </sheetViews>
  <sheetFormatPr defaultColWidth="8.81640625" defaultRowHeight="11.5" x14ac:dyDescent="0.25"/>
  <cols>
    <col min="1" max="1" width="10.6328125" style="10" customWidth="1"/>
    <col min="2" max="2" width="40.453125" style="10" bestFit="1" customWidth="1"/>
    <col min="3" max="3" width="13.54296875" style="10" bestFit="1" customWidth="1"/>
    <col min="4" max="4" width="12.26953125" style="10" bestFit="1" customWidth="1"/>
    <col min="5" max="5" width="15.453125" style="10" bestFit="1" customWidth="1"/>
    <col min="6" max="6" width="13.90625" style="10" bestFit="1" customWidth="1"/>
    <col min="7" max="7" width="11.453125" style="10" bestFit="1" customWidth="1"/>
    <col min="8" max="8" width="15.6328125" style="10" bestFit="1" customWidth="1"/>
    <col min="9" max="9" width="12.36328125" style="10" bestFit="1" customWidth="1"/>
    <col min="10" max="10" width="11.54296875" style="10" bestFit="1" customWidth="1"/>
    <col min="11" max="11" width="11.6328125" style="10" bestFit="1" customWidth="1"/>
    <col min="12" max="12" width="18.08984375" style="10" bestFit="1" customWidth="1"/>
    <col min="13" max="13" width="9.1796875" style="10" bestFit="1" customWidth="1"/>
    <col min="14" max="14" width="13.36328125" style="10" bestFit="1" customWidth="1"/>
    <col min="15" max="15" width="12.36328125" style="10" bestFit="1" customWidth="1"/>
    <col min="16" max="16" width="8.90625" style="10" bestFit="1" customWidth="1"/>
    <col min="17" max="17" width="14.7265625" style="10" bestFit="1" customWidth="1"/>
    <col min="18" max="16384" width="8.81640625" style="10"/>
  </cols>
  <sheetData>
    <row r="2" spans="1:18" x14ac:dyDescent="0.25">
      <c r="A2" s="6" t="s">
        <v>0</v>
      </c>
      <c r="B2" s="7"/>
      <c r="C2" s="8"/>
      <c r="D2" s="9"/>
      <c r="E2" s="9"/>
    </row>
    <row r="3" spans="1:18" x14ac:dyDescent="0.25">
      <c r="A3" s="6" t="s">
        <v>128</v>
      </c>
      <c r="B3" s="7"/>
      <c r="C3" s="8"/>
      <c r="D3" s="9"/>
      <c r="E3" s="9"/>
    </row>
    <row r="4" spans="1:18" x14ac:dyDescent="0.25">
      <c r="A4" s="14"/>
      <c r="B4" s="14"/>
      <c r="C4" s="14"/>
      <c r="D4" s="14"/>
      <c r="E4" s="14"/>
    </row>
    <row r="5" spans="1:18" x14ac:dyDescent="0.25">
      <c r="A5" s="96" t="s">
        <v>2</v>
      </c>
      <c r="B5" s="15" t="s">
        <v>3</v>
      </c>
      <c r="C5" s="98" t="s">
        <v>4</v>
      </c>
      <c r="D5" s="98" t="s">
        <v>5</v>
      </c>
      <c r="E5" s="98" t="s">
        <v>6</v>
      </c>
    </row>
    <row r="6" spans="1:18" ht="12" thickBot="1" x14ac:dyDescent="0.3">
      <c r="A6" s="97"/>
      <c r="B6" s="16" t="s">
        <v>7</v>
      </c>
      <c r="C6" s="99"/>
      <c r="D6" s="99"/>
      <c r="E6" s="99"/>
    </row>
    <row r="7" spans="1:18" x14ac:dyDescent="0.25">
      <c r="A7" s="17">
        <v>1</v>
      </c>
      <c r="B7" s="18" t="s">
        <v>8</v>
      </c>
      <c r="C7" s="14">
        <v>15083</v>
      </c>
      <c r="D7" s="14">
        <v>222045</v>
      </c>
      <c r="E7" s="12">
        <f>C7*D7</f>
        <v>3349104735</v>
      </c>
    </row>
    <row r="8" spans="1:18" x14ac:dyDescent="0.25">
      <c r="A8" s="17">
        <v>2</v>
      </c>
      <c r="B8" s="18" t="s">
        <v>9</v>
      </c>
      <c r="C8" s="14">
        <v>15083</v>
      </c>
      <c r="D8" s="14">
        <v>338980</v>
      </c>
      <c r="E8" s="12">
        <f>D8*C8</f>
        <v>5112835340</v>
      </c>
    </row>
    <row r="9" spans="1:18" x14ac:dyDescent="0.25">
      <c r="A9" s="17">
        <v>3</v>
      </c>
      <c r="B9" s="18" t="s">
        <v>106</v>
      </c>
      <c r="C9" s="14">
        <v>15083</v>
      </c>
      <c r="D9" s="14">
        <v>189000</v>
      </c>
      <c r="E9" s="12">
        <f>C9*D9</f>
        <v>2850687000</v>
      </c>
    </row>
    <row r="10" spans="1:18" x14ac:dyDescent="0.25">
      <c r="A10" s="17">
        <v>4</v>
      </c>
      <c r="B10" s="18" t="s">
        <v>92</v>
      </c>
      <c r="C10" s="14">
        <v>15083</v>
      </c>
      <c r="D10" s="14">
        <v>48530</v>
      </c>
      <c r="E10" s="12">
        <f>C10*D10</f>
        <v>731977990</v>
      </c>
    </row>
    <row r="11" spans="1:18" x14ac:dyDescent="0.25">
      <c r="A11" s="17"/>
      <c r="B11" s="18"/>
      <c r="C11" s="14"/>
      <c r="D11" s="14"/>
      <c r="E11" s="12"/>
    </row>
    <row r="12" spans="1:18" x14ac:dyDescent="0.25">
      <c r="A12" s="17"/>
      <c r="B12" s="39" t="s">
        <v>13</v>
      </c>
      <c r="C12" s="14"/>
      <c r="D12" s="40">
        <f>SUM(D7:D10)</f>
        <v>798555</v>
      </c>
      <c r="E12" s="35">
        <f>SUM(E7:E10)</f>
        <v>12044605065</v>
      </c>
    </row>
    <row r="14" spans="1:18" x14ac:dyDescent="0.25">
      <c r="J14" s="34">
        <v>45138</v>
      </c>
    </row>
    <row r="15" spans="1:18" ht="12" thickBot="1" x14ac:dyDescent="0.3">
      <c r="A15" s="23" t="s">
        <v>14</v>
      </c>
      <c r="N15" s="36">
        <f>SUM(N19:N38)</f>
        <v>10243643245</v>
      </c>
      <c r="O15" s="36">
        <f t="shared" ref="O15:R15" si="0">SUM(O19:O38)</f>
        <v>1655735400</v>
      </c>
      <c r="P15" s="36">
        <f t="shared" si="0"/>
        <v>0</v>
      </c>
      <c r="Q15" s="36">
        <f t="shared" si="0"/>
        <v>0</v>
      </c>
      <c r="R15" s="36">
        <f t="shared" si="0"/>
        <v>0</v>
      </c>
    </row>
    <row r="16" spans="1:18" ht="12" thickTop="1" x14ac:dyDescent="0.25">
      <c r="A16" s="100" t="s">
        <v>15</v>
      </c>
      <c r="B16" s="1" t="s">
        <v>3</v>
      </c>
      <c r="C16" s="32" t="s">
        <v>60</v>
      </c>
      <c r="D16" s="32" t="s">
        <v>59</v>
      </c>
      <c r="E16" s="64" t="s">
        <v>4</v>
      </c>
      <c r="F16" s="64" t="s">
        <v>60</v>
      </c>
      <c r="G16" s="86" t="s">
        <v>59</v>
      </c>
      <c r="H16" s="3" t="s">
        <v>18</v>
      </c>
      <c r="I16" s="102" t="s">
        <v>33</v>
      </c>
      <c r="J16" s="102"/>
      <c r="K16" s="102"/>
      <c r="L16" s="102"/>
      <c r="M16" s="103" t="s">
        <v>34</v>
      </c>
      <c r="N16" s="104"/>
      <c r="O16" s="104"/>
      <c r="P16" s="104"/>
      <c r="Q16" s="104"/>
      <c r="R16" s="105"/>
    </row>
    <row r="17" spans="1:18" x14ac:dyDescent="0.25">
      <c r="A17" s="106"/>
      <c r="B17" s="73" t="s">
        <v>7</v>
      </c>
      <c r="C17" s="75" t="s">
        <v>5</v>
      </c>
      <c r="D17" s="75" t="s">
        <v>5</v>
      </c>
      <c r="E17" s="83" t="s">
        <v>19</v>
      </c>
      <c r="F17" s="84" t="s">
        <v>20</v>
      </c>
      <c r="G17" s="84" t="s">
        <v>20</v>
      </c>
      <c r="H17" s="76" t="s">
        <v>20</v>
      </c>
      <c r="I17" s="50" t="s">
        <v>35</v>
      </c>
      <c r="J17" s="50" t="s">
        <v>36</v>
      </c>
      <c r="K17" s="50" t="s">
        <v>37</v>
      </c>
      <c r="L17" s="50" t="s">
        <v>38</v>
      </c>
      <c r="M17" s="77" t="s">
        <v>39</v>
      </c>
      <c r="N17" s="77" t="s">
        <v>40</v>
      </c>
      <c r="O17" s="77" t="s">
        <v>41</v>
      </c>
      <c r="P17" s="77" t="s">
        <v>42</v>
      </c>
      <c r="Q17" s="77" t="s">
        <v>43</v>
      </c>
      <c r="R17" s="77" t="s">
        <v>44</v>
      </c>
    </row>
    <row r="18" spans="1:18" x14ac:dyDescent="0.25">
      <c r="A18" s="52" t="s">
        <v>71</v>
      </c>
      <c r="B18" s="78"/>
      <c r="C18" s="78"/>
      <c r="D18" s="78"/>
      <c r="E18" s="78"/>
      <c r="F18" s="78"/>
      <c r="G18" s="78"/>
      <c r="H18" s="79">
        <f>E7</f>
        <v>3349104735</v>
      </c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1:18" customFormat="1" ht="14.5" x14ac:dyDescent="0.35">
      <c r="A19" s="55"/>
      <c r="B19" s="25" t="s">
        <v>72</v>
      </c>
      <c r="C19" s="27">
        <v>125430</v>
      </c>
      <c r="D19" s="27"/>
      <c r="E19" s="28">
        <v>15003</v>
      </c>
      <c r="F19" s="29">
        <f>+C19*E19</f>
        <v>1881826290</v>
      </c>
      <c r="G19" s="29">
        <f>+D19*E19</f>
        <v>0</v>
      </c>
      <c r="H19" s="81"/>
      <c r="I19" s="26" t="s">
        <v>116</v>
      </c>
      <c r="J19" s="24">
        <v>45136</v>
      </c>
      <c r="K19" s="55">
        <v>60</v>
      </c>
      <c r="L19" s="56">
        <f>J19+K19</f>
        <v>45196</v>
      </c>
      <c r="M19" s="55">
        <f>$J$14-L19</f>
        <v>-58</v>
      </c>
      <c r="N19" s="57">
        <f t="shared" ref="N19:N20" si="1">F19</f>
        <v>1881826290</v>
      </c>
      <c r="O19" s="55"/>
      <c r="P19" s="55"/>
      <c r="Q19" s="55"/>
      <c r="R19" s="55"/>
    </row>
    <row r="20" spans="1:18" customFormat="1" ht="14.5" x14ac:dyDescent="0.35">
      <c r="A20" s="55"/>
      <c r="B20" s="25" t="s">
        <v>72</v>
      </c>
      <c r="C20" s="27">
        <v>96615</v>
      </c>
      <c r="D20" s="27"/>
      <c r="E20" s="28">
        <v>15026</v>
      </c>
      <c r="F20" s="29">
        <f>+C20*E20</f>
        <v>1451736990</v>
      </c>
      <c r="G20" s="29">
        <f>+D20*E20</f>
        <v>0</v>
      </c>
      <c r="H20" s="81"/>
      <c r="I20" s="26" t="s">
        <v>117</v>
      </c>
      <c r="J20" s="24">
        <v>45131</v>
      </c>
      <c r="K20" s="55">
        <v>60</v>
      </c>
      <c r="L20" s="56">
        <f>J20+K20</f>
        <v>45191</v>
      </c>
      <c r="M20" s="55">
        <f>$J$14-L20</f>
        <v>-53</v>
      </c>
      <c r="N20" s="57">
        <f t="shared" si="1"/>
        <v>1451736990</v>
      </c>
      <c r="O20" s="55"/>
      <c r="P20" s="55"/>
      <c r="Q20" s="55"/>
      <c r="R20" s="55"/>
    </row>
    <row r="21" spans="1:18" customFormat="1" ht="14.5" x14ac:dyDescent="0.35">
      <c r="A21" s="55"/>
      <c r="B21" s="59" t="s">
        <v>45</v>
      </c>
      <c r="C21" s="55"/>
      <c r="D21" s="55"/>
      <c r="E21" s="55"/>
      <c r="F21" s="55"/>
      <c r="G21" s="55"/>
      <c r="H21" s="60">
        <f>SUM(F19:F20)-H18</f>
        <v>-15541455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spans="1:18" customFormat="1" ht="14.5" x14ac:dyDescent="0.3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spans="1:18" x14ac:dyDescent="0.25">
      <c r="A23" s="61" t="s">
        <v>47</v>
      </c>
      <c r="B23" s="55"/>
      <c r="C23" s="55"/>
      <c r="D23" s="55"/>
      <c r="E23" s="55"/>
      <c r="F23" s="55"/>
      <c r="G23" s="55"/>
      <c r="H23" s="63">
        <f>E8</f>
        <v>5112835340</v>
      </c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spans="1:18" x14ac:dyDescent="0.25">
      <c r="A24" s="55"/>
      <c r="B24" s="25" t="s">
        <v>46</v>
      </c>
      <c r="C24" s="27">
        <v>112200</v>
      </c>
      <c r="D24" s="27"/>
      <c r="E24" s="28">
        <v>14757</v>
      </c>
      <c r="F24" s="29">
        <f>+C24*E24</f>
        <v>1655735400</v>
      </c>
      <c r="G24" s="29">
        <f>+D24*E24</f>
        <v>0</v>
      </c>
      <c r="H24" s="27"/>
      <c r="I24" s="26" t="s">
        <v>98</v>
      </c>
      <c r="J24" s="24">
        <v>45056</v>
      </c>
      <c r="K24" s="55">
        <v>60</v>
      </c>
      <c r="L24" s="56">
        <f>J24+K24</f>
        <v>45116</v>
      </c>
      <c r="M24" s="55">
        <f>$J$14-L24</f>
        <v>22</v>
      </c>
      <c r="N24" s="57"/>
      <c r="O24" s="57">
        <f>F24</f>
        <v>1655735400</v>
      </c>
      <c r="P24" s="55"/>
      <c r="Q24" s="55"/>
      <c r="R24" s="55"/>
    </row>
    <row r="25" spans="1:18" customFormat="1" ht="14.5" x14ac:dyDescent="0.35">
      <c r="A25" s="55"/>
      <c r="B25" s="25" t="s">
        <v>46</v>
      </c>
      <c r="C25" s="27">
        <v>107100</v>
      </c>
      <c r="D25" s="82"/>
      <c r="E25" s="28">
        <v>15013</v>
      </c>
      <c r="F25" s="29">
        <f>+C25*E25</f>
        <v>1607892300</v>
      </c>
      <c r="G25" s="29">
        <f>+D25*E25</f>
        <v>0</v>
      </c>
      <c r="H25" s="27"/>
      <c r="I25" s="26" t="s">
        <v>118</v>
      </c>
      <c r="J25" s="24">
        <v>45113</v>
      </c>
      <c r="K25" s="55">
        <v>60</v>
      </c>
      <c r="L25" s="56">
        <f t="shared" ref="L25:L26" si="2">J25+K25</f>
        <v>45173</v>
      </c>
      <c r="M25" s="55">
        <f>$J$14-L25</f>
        <v>-35</v>
      </c>
      <c r="N25" s="57">
        <f t="shared" ref="N25:N26" si="3">F25</f>
        <v>1607892300</v>
      </c>
      <c r="O25" s="55"/>
      <c r="P25" s="55"/>
      <c r="Q25" s="55"/>
      <c r="R25" s="55"/>
    </row>
    <row r="26" spans="1:18" customFormat="1" ht="14.5" x14ac:dyDescent="0.35">
      <c r="A26" s="55"/>
      <c r="B26" s="25" t="s">
        <v>46</v>
      </c>
      <c r="C26" s="27">
        <v>116280</v>
      </c>
      <c r="D26" s="27"/>
      <c r="E26" s="28">
        <v>15032</v>
      </c>
      <c r="F26" s="29">
        <f>+C26*E26</f>
        <v>1747920960</v>
      </c>
      <c r="G26" s="29">
        <f>+D26*E26</f>
        <v>0</v>
      </c>
      <c r="H26" s="27"/>
      <c r="I26" s="26" t="s">
        <v>119</v>
      </c>
      <c r="J26" s="24">
        <v>45134</v>
      </c>
      <c r="K26" s="55">
        <v>60</v>
      </c>
      <c r="L26" s="56">
        <f t="shared" si="2"/>
        <v>45194</v>
      </c>
      <c r="M26" s="55">
        <f>$J$14-L26</f>
        <v>-56</v>
      </c>
      <c r="N26" s="57">
        <f t="shared" si="3"/>
        <v>1747920960</v>
      </c>
      <c r="O26" s="55"/>
      <c r="P26" s="55"/>
      <c r="Q26" s="55"/>
      <c r="R26" s="55"/>
    </row>
    <row r="27" spans="1:18" customFormat="1" ht="14.5" x14ac:dyDescent="0.35">
      <c r="A27" s="55"/>
      <c r="B27" s="59" t="s">
        <v>45</v>
      </c>
      <c r="C27" s="55"/>
      <c r="D27" s="55"/>
      <c r="E27" s="55"/>
      <c r="F27" s="55"/>
      <c r="G27" s="55"/>
      <c r="H27" s="60">
        <f>SUM(F24:F26)-H23</f>
        <v>-101286680</v>
      </c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spans="1:18" customFormat="1" ht="14.5" x14ac:dyDescent="0.3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spans="1:18" customFormat="1" ht="14.5" x14ac:dyDescent="0.35">
      <c r="A29" s="58" t="s">
        <v>106</v>
      </c>
      <c r="B29" s="55"/>
      <c r="C29" s="55"/>
      <c r="D29" s="55"/>
      <c r="E29" s="55"/>
      <c r="F29" s="55"/>
      <c r="G29" s="55"/>
      <c r="H29" s="63">
        <f>E9</f>
        <v>2850687000</v>
      </c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spans="1:18" x14ac:dyDescent="0.25">
      <c r="A30" s="55"/>
      <c r="B30" s="25" t="s">
        <v>106</v>
      </c>
      <c r="C30" s="27">
        <v>93600</v>
      </c>
      <c r="D30" s="27"/>
      <c r="E30" s="28">
        <v>14895</v>
      </c>
      <c r="F30" s="29">
        <f>+C30*E30</f>
        <v>1394172000</v>
      </c>
      <c r="G30" s="29">
        <f>+D30*E30</f>
        <v>0</v>
      </c>
      <c r="H30" s="27"/>
      <c r="I30" s="26" t="s">
        <v>113</v>
      </c>
      <c r="J30" s="24">
        <v>45092</v>
      </c>
      <c r="K30" s="55">
        <v>60</v>
      </c>
      <c r="L30" s="56">
        <f>J30+K30</f>
        <v>45152</v>
      </c>
      <c r="M30" s="55">
        <f>$J$14-L30</f>
        <v>-14</v>
      </c>
      <c r="N30" s="57">
        <f t="shared" ref="N30" si="4">F30</f>
        <v>1394172000</v>
      </c>
      <c r="O30" s="55"/>
      <c r="P30" s="55"/>
      <c r="Q30" s="55"/>
      <c r="R30" s="55"/>
    </row>
    <row r="31" spans="1:18" x14ac:dyDescent="0.25">
      <c r="A31" s="55"/>
      <c r="B31" s="25" t="s">
        <v>106</v>
      </c>
      <c r="C31" s="27">
        <v>95400</v>
      </c>
      <c r="D31" s="27"/>
      <c r="E31" s="28">
        <v>15026</v>
      </c>
      <c r="F31" s="29">
        <f>+C31*E31</f>
        <v>1433480400</v>
      </c>
      <c r="G31" s="29">
        <f>+D31*E31</f>
        <v>0</v>
      </c>
      <c r="H31" s="27"/>
      <c r="I31" s="26" t="s">
        <v>114</v>
      </c>
      <c r="J31" s="24">
        <v>45105</v>
      </c>
      <c r="K31" s="55">
        <v>60</v>
      </c>
      <c r="L31" s="56">
        <f>J31+K31</f>
        <v>45165</v>
      </c>
      <c r="M31" s="55">
        <f>$J$14-L31</f>
        <v>-27</v>
      </c>
      <c r="N31" s="57">
        <f t="shared" ref="N31" si="5">F31</f>
        <v>1433480400</v>
      </c>
      <c r="O31" s="55"/>
      <c r="P31" s="55"/>
      <c r="Q31" s="55"/>
      <c r="R31" s="55"/>
    </row>
    <row r="32" spans="1:18" x14ac:dyDescent="0.25">
      <c r="A32" s="55"/>
      <c r="B32" s="59" t="s">
        <v>45</v>
      </c>
      <c r="C32" s="55"/>
      <c r="D32" s="55"/>
      <c r="E32" s="55"/>
      <c r="F32" s="55"/>
      <c r="G32" s="55"/>
      <c r="H32" s="60">
        <f>SUM(F30:F31)-H29</f>
        <v>-23034600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spans="1:18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spans="1:18" x14ac:dyDescent="0.25">
      <c r="A34" s="58" t="s">
        <v>103</v>
      </c>
      <c r="B34" s="55"/>
      <c r="C34" s="55"/>
      <c r="D34" s="55"/>
      <c r="E34" s="55"/>
      <c r="F34" s="55"/>
      <c r="G34" s="55"/>
      <c r="H34" s="63">
        <f>E10</f>
        <v>731977990</v>
      </c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spans="1:18" x14ac:dyDescent="0.25">
      <c r="A35" s="55"/>
      <c r="B35" s="25" t="s">
        <v>104</v>
      </c>
      <c r="C35" s="85">
        <v>70455</v>
      </c>
      <c r="D35" s="85"/>
      <c r="E35" s="28">
        <v>14991</v>
      </c>
      <c r="F35" s="29">
        <f>+C35*E35</f>
        <v>1056190905</v>
      </c>
      <c r="G35" s="29">
        <f>+D35*E35</f>
        <v>0</v>
      </c>
      <c r="H35" s="25"/>
      <c r="I35" s="74" t="s">
        <v>146</v>
      </c>
      <c r="J35" s="24">
        <v>45128</v>
      </c>
      <c r="K35" s="55">
        <v>60</v>
      </c>
      <c r="L35" s="56">
        <f>J35+K35</f>
        <v>45188</v>
      </c>
      <c r="M35" s="55">
        <f>$J$14-L35</f>
        <v>-50</v>
      </c>
      <c r="N35" s="57">
        <f>F35-G36</f>
        <v>726614305</v>
      </c>
      <c r="O35" s="55"/>
      <c r="P35" s="55"/>
      <c r="Q35" s="55"/>
      <c r="R35" s="55"/>
    </row>
    <row r="36" spans="1:18" x14ac:dyDescent="0.25">
      <c r="A36" s="55" t="s">
        <v>147</v>
      </c>
      <c r="B36" s="25" t="s">
        <v>148</v>
      </c>
      <c r="C36" s="85"/>
      <c r="D36" s="85">
        <v>21925</v>
      </c>
      <c r="E36" s="28">
        <v>15032</v>
      </c>
      <c r="F36" s="29">
        <f>+C36*E36</f>
        <v>0</v>
      </c>
      <c r="G36" s="29">
        <f>+D36*E36</f>
        <v>329576600</v>
      </c>
      <c r="H36" s="25"/>
      <c r="I36" s="74" t="s">
        <v>146</v>
      </c>
      <c r="J36" s="24">
        <v>45134</v>
      </c>
      <c r="K36" s="55"/>
      <c r="L36" s="56"/>
      <c r="M36" s="55"/>
      <c r="N36" s="57"/>
      <c r="O36" s="55"/>
      <c r="P36" s="55"/>
      <c r="Q36" s="55"/>
      <c r="R36" s="55"/>
    </row>
    <row r="37" spans="1:18" x14ac:dyDescent="0.25">
      <c r="A37" s="55"/>
      <c r="B37" s="59" t="s">
        <v>45</v>
      </c>
      <c r="C37" s="55"/>
      <c r="D37" s="55"/>
      <c r="E37" s="55"/>
      <c r="F37" s="55"/>
      <c r="G37" s="55"/>
      <c r="H37" s="60">
        <f>(F35-G36)-H34</f>
        <v>-5363685</v>
      </c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spans="1:18" x14ac:dyDescent="0.25">
      <c r="A38" s="55"/>
      <c r="B38" s="55"/>
      <c r="C38" s="55"/>
      <c r="D38" s="55"/>
      <c r="E38" s="55"/>
      <c r="F38" s="55"/>
      <c r="G38" s="55"/>
      <c r="H38" s="57"/>
      <c r="I38" s="55"/>
      <c r="J38" s="55"/>
      <c r="K38" s="55"/>
      <c r="L38" s="55"/>
      <c r="M38" s="55"/>
      <c r="N38" s="55"/>
      <c r="O38" s="55"/>
      <c r="P38" s="55"/>
      <c r="Q38" s="55"/>
      <c r="R38" s="55"/>
    </row>
  </sheetData>
  <mergeCells count="7">
    <mergeCell ref="I16:L16"/>
    <mergeCell ref="M16:R16"/>
    <mergeCell ref="A5:A6"/>
    <mergeCell ref="C5:C6"/>
    <mergeCell ref="D5:D6"/>
    <mergeCell ref="E5:E6"/>
    <mergeCell ref="A16:A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88C3-0EEA-4725-A50C-A9C5A9B95C75}">
  <dimension ref="A2:R43"/>
  <sheetViews>
    <sheetView showGridLines="0" topLeftCell="A22" workbookViewId="0">
      <selection activeCell="E41" sqref="E41"/>
    </sheetView>
  </sheetViews>
  <sheetFormatPr defaultColWidth="8.81640625" defaultRowHeight="11.5" x14ac:dyDescent="0.25"/>
  <cols>
    <col min="1" max="1" width="10.6328125" style="10" customWidth="1"/>
    <col min="2" max="2" width="40.453125" style="10" bestFit="1" customWidth="1"/>
    <col min="3" max="3" width="13.54296875" style="10" bestFit="1" customWidth="1"/>
    <col min="4" max="4" width="13.54296875" style="10" customWidth="1"/>
    <col min="5" max="5" width="12.26953125" style="10" bestFit="1" customWidth="1"/>
    <col min="6" max="6" width="15.36328125" style="10" bestFit="1" customWidth="1"/>
    <col min="7" max="7" width="15.36328125" style="10" customWidth="1"/>
    <col min="8" max="8" width="13" style="10" bestFit="1" customWidth="1"/>
    <col min="9" max="9" width="12.1796875" style="10" bestFit="1" customWidth="1"/>
    <col min="10" max="10" width="8.90625" style="10" bestFit="1" customWidth="1"/>
    <col min="11" max="11" width="12.36328125" style="10" bestFit="1" customWidth="1"/>
    <col min="12" max="12" width="11.54296875" style="10" bestFit="1" customWidth="1"/>
    <col min="13" max="13" width="15.6328125" style="10" bestFit="1" customWidth="1"/>
    <col min="14" max="14" width="12.36328125" style="10" bestFit="1" customWidth="1"/>
    <col min="15" max="15" width="9.1796875" style="10" bestFit="1" customWidth="1"/>
    <col min="16" max="16" width="11.54296875" style="10" bestFit="1" customWidth="1"/>
    <col min="17" max="17" width="18.08984375" style="10" bestFit="1" customWidth="1"/>
    <col min="18" max="18" width="8.90625" style="10" bestFit="1" customWidth="1"/>
    <col min="19" max="19" width="14" style="10" bestFit="1" customWidth="1"/>
    <col min="20" max="16384" width="8.81640625" style="10"/>
  </cols>
  <sheetData>
    <row r="2" spans="1:18" x14ac:dyDescent="0.25">
      <c r="A2" s="6" t="s">
        <v>0</v>
      </c>
      <c r="B2" s="7"/>
      <c r="C2" s="8"/>
      <c r="D2" s="8"/>
      <c r="E2" s="9"/>
      <c r="F2" s="9"/>
      <c r="G2" s="9"/>
    </row>
    <row r="3" spans="1:18" x14ac:dyDescent="0.25">
      <c r="A3" s="6" t="s">
        <v>127</v>
      </c>
      <c r="B3" s="7"/>
      <c r="C3" s="8"/>
      <c r="D3" s="8"/>
      <c r="E3" s="9"/>
      <c r="F3" s="9"/>
      <c r="G3" s="9"/>
    </row>
    <row r="4" spans="1:18" x14ac:dyDescent="0.25">
      <c r="A4" s="14"/>
      <c r="B4" s="14"/>
      <c r="C4" s="14"/>
      <c r="D4" s="14"/>
      <c r="E4" s="14"/>
      <c r="F4" s="14"/>
      <c r="G4" s="14"/>
    </row>
    <row r="5" spans="1:18" x14ac:dyDescent="0.25">
      <c r="A5" s="96" t="s">
        <v>2</v>
      </c>
      <c r="B5" s="15" t="s">
        <v>3</v>
      </c>
      <c r="C5" s="98" t="s">
        <v>4</v>
      </c>
      <c r="D5" s="48"/>
      <c r="E5" s="98" t="s">
        <v>5</v>
      </c>
      <c r="F5" s="98" t="s">
        <v>6</v>
      </c>
      <c r="G5" s="48"/>
    </row>
    <row r="6" spans="1:18" ht="12" thickBot="1" x14ac:dyDescent="0.3">
      <c r="A6" s="97"/>
      <c r="B6" s="16" t="s">
        <v>7</v>
      </c>
      <c r="C6" s="99"/>
      <c r="D6" s="49"/>
      <c r="E6" s="99"/>
      <c r="F6" s="99"/>
      <c r="G6" s="48"/>
    </row>
    <row r="7" spans="1:18" x14ac:dyDescent="0.25">
      <c r="A7" s="17">
        <v>1</v>
      </c>
      <c r="B7" s="18" t="s">
        <v>8</v>
      </c>
      <c r="C7" s="14">
        <v>15239</v>
      </c>
      <c r="D7" s="14"/>
      <c r="E7" s="14">
        <v>98600</v>
      </c>
      <c r="F7" s="12">
        <f>C7*E7</f>
        <v>1502565400</v>
      </c>
      <c r="G7" s="12"/>
    </row>
    <row r="8" spans="1:18" x14ac:dyDescent="0.25">
      <c r="A8" s="17">
        <v>2</v>
      </c>
      <c r="B8" s="18" t="s">
        <v>9</v>
      </c>
      <c r="C8" s="14">
        <v>15239</v>
      </c>
      <c r="D8" s="14"/>
      <c r="E8" s="14">
        <v>449142</v>
      </c>
      <c r="F8" s="12">
        <f>E8*C8</f>
        <v>6844474938</v>
      </c>
      <c r="G8" s="12"/>
    </row>
    <row r="9" spans="1:18" x14ac:dyDescent="0.25">
      <c r="A9" s="17">
        <v>3</v>
      </c>
      <c r="B9" s="18" t="s">
        <v>92</v>
      </c>
      <c r="C9" s="14">
        <v>15239</v>
      </c>
      <c r="D9" s="14"/>
      <c r="E9" s="14">
        <v>48530</v>
      </c>
      <c r="F9" s="12">
        <f>C9*E9</f>
        <v>739548670</v>
      </c>
      <c r="G9" s="12"/>
    </row>
    <row r="10" spans="1:18" x14ac:dyDescent="0.25">
      <c r="A10" s="17">
        <v>4</v>
      </c>
      <c r="B10" s="18" t="s">
        <v>121</v>
      </c>
      <c r="C10" s="14">
        <v>15239</v>
      </c>
      <c r="D10" s="14"/>
      <c r="E10" s="14">
        <v>95605</v>
      </c>
      <c r="F10" s="12">
        <f>C10*E10</f>
        <v>1456924595</v>
      </c>
      <c r="G10" s="12"/>
    </row>
    <row r="11" spans="1:18" x14ac:dyDescent="0.25">
      <c r="A11" s="17">
        <v>5</v>
      </c>
      <c r="B11" s="18" t="s">
        <v>120</v>
      </c>
      <c r="C11" s="14">
        <v>15239</v>
      </c>
      <c r="D11" s="14"/>
      <c r="E11" s="14">
        <v>53840</v>
      </c>
      <c r="F11" s="12">
        <f>C11*E11</f>
        <v>820467760</v>
      </c>
      <c r="G11" s="12"/>
    </row>
    <row r="12" spans="1:18" x14ac:dyDescent="0.25">
      <c r="A12" s="17"/>
      <c r="B12" s="18"/>
      <c r="C12" s="14"/>
      <c r="D12" s="14"/>
      <c r="E12" s="14"/>
      <c r="F12" s="12"/>
      <c r="G12" s="12"/>
    </row>
    <row r="13" spans="1:18" x14ac:dyDescent="0.25">
      <c r="A13" s="17"/>
      <c r="B13" s="39" t="s">
        <v>13</v>
      </c>
      <c r="C13" s="14"/>
      <c r="D13" s="14"/>
      <c r="E13" s="40">
        <f>SUM(E7:E11)</f>
        <v>745717</v>
      </c>
      <c r="F13" s="35">
        <f>SUM(F7:F10)</f>
        <v>10543513603</v>
      </c>
      <c r="G13" s="35"/>
    </row>
    <row r="15" spans="1:18" x14ac:dyDescent="0.25">
      <c r="N15" s="34">
        <v>45169</v>
      </c>
    </row>
    <row r="16" spans="1:18" ht="12" thickBot="1" x14ac:dyDescent="0.3">
      <c r="A16" s="23" t="s">
        <v>14</v>
      </c>
      <c r="N16" s="43">
        <f>SUM(S20:S50)</f>
        <v>0</v>
      </c>
      <c r="O16" s="43">
        <f>SUM(T20:T50)</f>
        <v>0</v>
      </c>
      <c r="P16" s="43">
        <f>SUM(U20:U50)</f>
        <v>0</v>
      </c>
      <c r="Q16" s="43">
        <f>SUM(V20:V50)</f>
        <v>0</v>
      </c>
      <c r="R16" s="43">
        <f>SUM(W20:W50)</f>
        <v>0</v>
      </c>
    </row>
    <row r="17" spans="1:18" ht="12" thickTop="1" x14ac:dyDescent="0.25">
      <c r="A17" s="100" t="s">
        <v>15</v>
      </c>
      <c r="B17" s="1" t="s">
        <v>3</v>
      </c>
      <c r="C17" s="32" t="s">
        <v>60</v>
      </c>
      <c r="D17" s="32" t="s">
        <v>59</v>
      </c>
      <c r="E17" s="64" t="s">
        <v>4</v>
      </c>
      <c r="F17" s="64" t="s">
        <v>60</v>
      </c>
      <c r="G17" s="86" t="s">
        <v>59</v>
      </c>
      <c r="H17" s="3" t="s">
        <v>18</v>
      </c>
      <c r="I17" s="102" t="s">
        <v>33</v>
      </c>
      <c r="J17" s="102"/>
      <c r="K17" s="102"/>
      <c r="L17" s="102"/>
      <c r="M17" s="103" t="s">
        <v>34</v>
      </c>
      <c r="N17" s="104"/>
      <c r="O17" s="104"/>
      <c r="P17" s="104"/>
      <c r="Q17" s="104"/>
      <c r="R17" s="105"/>
    </row>
    <row r="18" spans="1:18" x14ac:dyDescent="0.25">
      <c r="A18" s="101"/>
      <c r="B18" s="4" t="s">
        <v>7</v>
      </c>
      <c r="C18" s="33" t="s">
        <v>5</v>
      </c>
      <c r="D18" s="33" t="s">
        <v>5</v>
      </c>
      <c r="E18" s="66" t="s">
        <v>19</v>
      </c>
      <c r="F18" s="67" t="s">
        <v>20</v>
      </c>
      <c r="G18" s="67" t="s">
        <v>20</v>
      </c>
      <c r="H18" s="5" t="s">
        <v>20</v>
      </c>
      <c r="I18" s="41" t="s">
        <v>35</v>
      </c>
      <c r="J18" s="41" t="s">
        <v>36</v>
      </c>
      <c r="K18" s="41" t="s">
        <v>37</v>
      </c>
      <c r="L18" s="41" t="s">
        <v>38</v>
      </c>
      <c r="M18" s="42" t="s">
        <v>39</v>
      </c>
      <c r="N18" s="42" t="s">
        <v>40</v>
      </c>
      <c r="O18" s="42" t="s">
        <v>41</v>
      </c>
      <c r="P18" s="42" t="s">
        <v>42</v>
      </c>
      <c r="Q18" s="42" t="s">
        <v>43</v>
      </c>
      <c r="R18" s="42" t="s">
        <v>44</v>
      </c>
    </row>
    <row r="19" spans="1:18" x14ac:dyDescent="0.25">
      <c r="A19" s="58" t="s">
        <v>71</v>
      </c>
      <c r="B19" s="55"/>
      <c r="C19" s="55"/>
      <c r="D19" s="55"/>
      <c r="E19" s="55"/>
      <c r="F19" s="55"/>
      <c r="G19" s="55"/>
      <c r="H19" s="63">
        <f>F7</f>
        <v>1502565400</v>
      </c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 spans="1:18" x14ac:dyDescent="0.25">
      <c r="A20" s="55"/>
      <c r="B20" s="25" t="s">
        <v>72</v>
      </c>
      <c r="C20" s="27">
        <v>98600</v>
      </c>
      <c r="D20" s="27"/>
      <c r="E20" s="28">
        <v>15308</v>
      </c>
      <c r="F20" s="29">
        <f>+C20*E20</f>
        <v>1509368800</v>
      </c>
      <c r="G20" s="29"/>
      <c r="H20" s="25"/>
      <c r="I20" s="26" t="s">
        <v>122</v>
      </c>
      <c r="J20" s="24">
        <v>45159</v>
      </c>
      <c r="K20" s="55">
        <v>60</v>
      </c>
      <c r="L20" s="56">
        <f>J20+K20</f>
        <v>45219</v>
      </c>
      <c r="M20" s="55">
        <f>$N$15-L20</f>
        <v>-50</v>
      </c>
      <c r="N20" s="57">
        <f>F20</f>
        <v>1509368800</v>
      </c>
      <c r="O20" s="55"/>
      <c r="P20" s="55"/>
      <c r="Q20" s="55"/>
      <c r="R20" s="55"/>
    </row>
    <row r="21" spans="1:18" x14ac:dyDescent="0.25">
      <c r="A21" s="55"/>
      <c r="B21" s="59" t="s">
        <v>45</v>
      </c>
      <c r="C21" s="55"/>
      <c r="D21" s="55"/>
      <c r="E21" s="55"/>
      <c r="F21" s="55"/>
      <c r="G21" s="55"/>
      <c r="H21" s="60">
        <f>F20-H19</f>
        <v>6803400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spans="1:18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spans="1:18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spans="1:18" x14ac:dyDescent="0.25">
      <c r="A24" s="61" t="s">
        <v>47</v>
      </c>
      <c r="B24" s="55"/>
      <c r="C24" s="55"/>
      <c r="D24" s="55"/>
      <c r="E24" s="55"/>
      <c r="F24" s="55"/>
      <c r="G24" s="55"/>
      <c r="H24" s="63">
        <f>F8</f>
        <v>6844474938</v>
      </c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spans="1:18" x14ac:dyDescent="0.25">
      <c r="A25" s="55"/>
      <c r="B25" s="25" t="s">
        <v>46</v>
      </c>
      <c r="C25" s="27">
        <v>107100</v>
      </c>
      <c r="D25" s="27"/>
      <c r="E25" s="28">
        <v>15013</v>
      </c>
      <c r="F25" s="29">
        <f>+C25*E25</f>
        <v>1607892300</v>
      </c>
      <c r="G25" s="29"/>
      <c r="H25" s="25"/>
      <c r="I25" s="26" t="s">
        <v>118</v>
      </c>
      <c r="J25" s="24">
        <v>45113</v>
      </c>
      <c r="K25" s="55">
        <v>60</v>
      </c>
      <c r="L25" s="56">
        <f t="shared" ref="L25:L28" si="0">J25+K25</f>
        <v>45173</v>
      </c>
      <c r="M25" s="55">
        <f t="shared" ref="M25:M28" si="1">$N$15-L25</f>
        <v>-4</v>
      </c>
      <c r="N25" s="57">
        <f>F25</f>
        <v>1607892300</v>
      </c>
      <c r="O25" s="55"/>
      <c r="P25" s="55"/>
      <c r="Q25" s="55"/>
      <c r="R25" s="55"/>
    </row>
    <row r="26" spans="1:18" x14ac:dyDescent="0.25">
      <c r="A26" s="55"/>
      <c r="B26" s="25" t="s">
        <v>46</v>
      </c>
      <c r="C26" s="27">
        <v>116280</v>
      </c>
      <c r="D26" s="27"/>
      <c r="E26" s="28">
        <v>15032</v>
      </c>
      <c r="F26" s="29">
        <f>+C26*E26</f>
        <v>1747920960</v>
      </c>
      <c r="G26" s="29"/>
      <c r="H26" s="27"/>
      <c r="I26" s="26" t="s">
        <v>119</v>
      </c>
      <c r="J26" s="24">
        <v>45134</v>
      </c>
      <c r="K26" s="55">
        <v>60</v>
      </c>
      <c r="L26" s="56">
        <f t="shared" si="0"/>
        <v>45194</v>
      </c>
      <c r="M26" s="55">
        <f t="shared" si="1"/>
        <v>-25</v>
      </c>
      <c r="N26" s="57">
        <f>F26</f>
        <v>1747920960</v>
      </c>
      <c r="O26" s="55"/>
      <c r="P26" s="55"/>
      <c r="Q26" s="55"/>
      <c r="R26" s="55"/>
    </row>
    <row r="27" spans="1:18" x14ac:dyDescent="0.25">
      <c r="A27" s="55"/>
      <c r="B27" s="25" t="s">
        <v>46</v>
      </c>
      <c r="C27" s="27">
        <v>105700</v>
      </c>
      <c r="D27" s="27"/>
      <c r="E27" s="28">
        <v>15198</v>
      </c>
      <c r="F27" s="29">
        <f>+C27*E27</f>
        <v>1606428600</v>
      </c>
      <c r="G27" s="29"/>
      <c r="H27" s="27"/>
      <c r="I27" s="26" t="s">
        <v>123</v>
      </c>
      <c r="J27" s="24">
        <v>45143</v>
      </c>
      <c r="K27" s="55">
        <v>60</v>
      </c>
      <c r="L27" s="56">
        <f t="shared" si="0"/>
        <v>45203</v>
      </c>
      <c r="M27" s="55">
        <f t="shared" si="1"/>
        <v>-34</v>
      </c>
      <c r="N27" s="57">
        <f>F27</f>
        <v>1606428600</v>
      </c>
      <c r="O27" s="55"/>
      <c r="P27" s="55"/>
      <c r="Q27" s="55"/>
      <c r="R27" s="55"/>
    </row>
    <row r="28" spans="1:18" x14ac:dyDescent="0.25">
      <c r="A28" s="55"/>
      <c r="B28" s="25" t="s">
        <v>46</v>
      </c>
      <c r="C28" s="27">
        <v>120062</v>
      </c>
      <c r="D28" s="27"/>
      <c r="E28" s="28">
        <v>15319</v>
      </c>
      <c r="F28" s="29">
        <f>+C28*E28</f>
        <v>1839229778</v>
      </c>
      <c r="G28" s="29"/>
      <c r="H28" s="27"/>
      <c r="I28" s="26" t="s">
        <v>124</v>
      </c>
      <c r="J28" s="24">
        <v>45162</v>
      </c>
      <c r="K28" s="55">
        <v>60</v>
      </c>
      <c r="L28" s="56">
        <f t="shared" si="0"/>
        <v>45222</v>
      </c>
      <c r="M28" s="55">
        <f t="shared" si="1"/>
        <v>-53</v>
      </c>
      <c r="N28" s="57">
        <f>F28</f>
        <v>1839229778</v>
      </c>
      <c r="O28" s="55"/>
      <c r="P28" s="55"/>
      <c r="Q28" s="55"/>
      <c r="R28" s="55"/>
    </row>
    <row r="29" spans="1:18" x14ac:dyDescent="0.25">
      <c r="A29" s="55"/>
      <c r="B29" s="59" t="s">
        <v>45</v>
      </c>
      <c r="C29" s="55"/>
      <c r="D29" s="55"/>
      <c r="E29" s="55"/>
      <c r="F29" s="55"/>
      <c r="G29" s="55"/>
      <c r="H29" s="60">
        <f>SUM(F25:F28)-H24</f>
        <v>-43003300</v>
      </c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spans="1:18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18" x14ac:dyDescent="0.25">
      <c r="A31" s="58" t="s">
        <v>103</v>
      </c>
      <c r="B31" s="55"/>
      <c r="C31" s="55"/>
      <c r="D31" s="55"/>
      <c r="E31" s="55"/>
      <c r="F31" s="55"/>
      <c r="G31" s="55"/>
      <c r="H31" s="63">
        <f>F9</f>
        <v>739548670</v>
      </c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spans="1:18" x14ac:dyDescent="0.25">
      <c r="A32" s="55"/>
      <c r="B32" s="25" t="s">
        <v>104</v>
      </c>
      <c r="C32" s="27">
        <v>70455</v>
      </c>
      <c r="D32" s="27"/>
      <c r="E32" s="28">
        <v>14958</v>
      </c>
      <c r="F32" s="29">
        <v>1056190905</v>
      </c>
      <c r="G32" s="29"/>
      <c r="H32" s="25"/>
      <c r="I32" s="26" t="s">
        <v>146</v>
      </c>
      <c r="J32" s="24">
        <v>45128</v>
      </c>
      <c r="K32" s="55">
        <v>60</v>
      </c>
      <c r="L32" s="56">
        <f t="shared" ref="L32" si="2">J32+K32</f>
        <v>45188</v>
      </c>
      <c r="M32" s="55">
        <f t="shared" ref="M32" si="3">$N$15-L32</f>
        <v>-19</v>
      </c>
      <c r="N32" s="57">
        <f>F32-G33</f>
        <v>726614305</v>
      </c>
      <c r="O32" s="55"/>
      <c r="P32" s="55"/>
      <c r="Q32" s="55"/>
      <c r="R32" s="55"/>
    </row>
    <row r="33" spans="1:18" x14ac:dyDescent="0.25">
      <c r="A33" s="55" t="s">
        <v>147</v>
      </c>
      <c r="B33" s="25" t="s">
        <v>148</v>
      </c>
      <c r="C33" s="85"/>
      <c r="D33" s="85">
        <v>21925</v>
      </c>
      <c r="E33" s="28">
        <v>15032</v>
      </c>
      <c r="F33" s="29">
        <f>+C33*E33</f>
        <v>0</v>
      </c>
      <c r="G33" s="29">
        <f>+D33*E33</f>
        <v>329576600</v>
      </c>
      <c r="H33" s="29"/>
      <c r="I33" s="26"/>
      <c r="J33" s="24"/>
      <c r="K33" s="55"/>
      <c r="L33" s="56"/>
      <c r="M33" s="55"/>
      <c r="N33" s="57"/>
      <c r="O33" s="55"/>
      <c r="P33" s="55"/>
      <c r="Q33" s="55"/>
      <c r="R33" s="55"/>
    </row>
    <row r="34" spans="1:18" x14ac:dyDescent="0.25">
      <c r="A34" s="55"/>
      <c r="B34" s="59" t="s">
        <v>45</v>
      </c>
      <c r="C34" s="55"/>
      <c r="D34" s="55"/>
      <c r="E34" s="55"/>
      <c r="F34" s="55"/>
      <c r="G34" s="55"/>
      <c r="H34" s="60">
        <f>(F32-G33)-H31</f>
        <v>-12934365</v>
      </c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spans="1:18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spans="1:18" x14ac:dyDescent="0.25">
      <c r="A36" s="58" t="s">
        <v>65</v>
      </c>
      <c r="B36" s="55"/>
      <c r="C36" s="55"/>
      <c r="D36" s="55"/>
      <c r="E36" s="55"/>
      <c r="F36" s="55"/>
      <c r="G36" s="55"/>
      <c r="H36" s="63">
        <f>F10</f>
        <v>1456924595</v>
      </c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spans="1:18" x14ac:dyDescent="0.25">
      <c r="A37" s="55"/>
      <c r="B37" s="25" t="s">
        <v>54</v>
      </c>
      <c r="C37" s="27">
        <v>95605</v>
      </c>
      <c r="D37" s="27"/>
      <c r="E37" s="28">
        <v>15206</v>
      </c>
      <c r="F37" s="29">
        <v>1453769630</v>
      </c>
      <c r="G37" s="29"/>
      <c r="H37" s="27"/>
      <c r="I37" s="26" t="s">
        <v>149</v>
      </c>
      <c r="J37" s="24">
        <v>45148</v>
      </c>
      <c r="K37" s="55">
        <v>60</v>
      </c>
      <c r="L37" s="56">
        <f t="shared" ref="L37" si="4">J37+K37</f>
        <v>45208</v>
      </c>
      <c r="M37" s="55">
        <f t="shared" ref="M37" si="5">$N$15-L37</f>
        <v>-39</v>
      </c>
      <c r="N37" s="57">
        <f>F37</f>
        <v>1453769630</v>
      </c>
      <c r="O37" s="55"/>
      <c r="P37" s="55"/>
      <c r="Q37" s="55"/>
      <c r="R37" s="55"/>
    </row>
    <row r="38" spans="1:18" x14ac:dyDescent="0.25">
      <c r="A38" s="55"/>
      <c r="B38" s="59" t="s">
        <v>45</v>
      </c>
      <c r="C38" s="55"/>
      <c r="D38" s="55"/>
      <c r="E38" s="55"/>
      <c r="F38" s="55"/>
      <c r="G38" s="55"/>
      <c r="H38" s="60">
        <f>F37-H36</f>
        <v>-3154965</v>
      </c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spans="1:18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spans="1:18" x14ac:dyDescent="0.25">
      <c r="A40" s="58" t="s">
        <v>125</v>
      </c>
      <c r="B40" s="55"/>
      <c r="C40" s="55"/>
      <c r="D40" s="55"/>
      <c r="E40" s="55"/>
      <c r="F40" s="55"/>
      <c r="G40" s="55"/>
      <c r="H40" s="63">
        <f>F11</f>
        <v>820467760</v>
      </c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spans="1:18" x14ac:dyDescent="0.25">
      <c r="A41" s="55"/>
      <c r="B41" s="87" t="s">
        <v>125</v>
      </c>
      <c r="C41" s="27">
        <v>53840</v>
      </c>
      <c r="D41" s="27"/>
      <c r="E41" s="88">
        <v>15263</v>
      </c>
      <c r="F41" s="25">
        <f>+C41*E41</f>
        <v>821759920</v>
      </c>
      <c r="G41" s="25"/>
      <c r="H41" s="25"/>
      <c r="I41" s="26" t="s">
        <v>126</v>
      </c>
      <c r="J41" s="89">
        <v>45168</v>
      </c>
      <c r="K41" s="55">
        <v>60</v>
      </c>
      <c r="L41" s="56">
        <f t="shared" ref="L41" si="6">J41+K41</f>
        <v>45228</v>
      </c>
      <c r="M41" s="55">
        <f t="shared" ref="M41" si="7">$N$15-L41</f>
        <v>-59</v>
      </c>
      <c r="N41" s="57">
        <f t="shared" ref="N41" si="8">F41</f>
        <v>821759920</v>
      </c>
      <c r="O41" s="55"/>
      <c r="P41" s="55"/>
      <c r="Q41" s="55"/>
      <c r="R41" s="55"/>
    </row>
    <row r="42" spans="1:18" x14ac:dyDescent="0.25">
      <c r="A42" s="55"/>
      <c r="B42" s="59" t="s">
        <v>45</v>
      </c>
      <c r="C42" s="55"/>
      <c r="D42" s="55"/>
      <c r="E42" s="55"/>
      <c r="F42" s="55"/>
      <c r="G42" s="55"/>
      <c r="H42" s="68">
        <f>F41-H40</f>
        <v>1292160</v>
      </c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spans="1:18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</sheetData>
  <mergeCells count="7">
    <mergeCell ref="I17:L17"/>
    <mergeCell ref="M17:R17"/>
    <mergeCell ref="A5:A6"/>
    <mergeCell ref="C5:C6"/>
    <mergeCell ref="E5:E6"/>
    <mergeCell ref="F5:F6"/>
    <mergeCell ref="A17:A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B099-A67D-4796-95FF-77F184305955}">
  <dimension ref="A2:P33"/>
  <sheetViews>
    <sheetView showGridLines="0" topLeftCell="A19" workbookViewId="0">
      <selection activeCell="F27" sqref="F27"/>
    </sheetView>
  </sheetViews>
  <sheetFormatPr defaultColWidth="8.81640625" defaultRowHeight="11.5" x14ac:dyDescent="0.25"/>
  <cols>
    <col min="1" max="1" width="10.6328125" style="10" customWidth="1"/>
    <col min="2" max="2" width="40.453125" style="10" bestFit="1" customWidth="1"/>
    <col min="3" max="3" width="13.54296875" style="10" bestFit="1" customWidth="1"/>
    <col min="4" max="4" width="12.26953125" style="10" bestFit="1" customWidth="1"/>
    <col min="5" max="5" width="15.36328125" style="10" bestFit="1" customWidth="1"/>
    <col min="6" max="6" width="13.90625" style="10" bestFit="1" customWidth="1"/>
    <col min="7" max="7" width="12.1796875" style="10" bestFit="1" customWidth="1"/>
    <col min="8" max="8" width="8.90625" style="10" bestFit="1" customWidth="1"/>
    <col min="9" max="9" width="12.36328125" style="10" bestFit="1" customWidth="1"/>
    <col min="10" max="10" width="11.54296875" style="10" bestFit="1" customWidth="1"/>
    <col min="11" max="11" width="15.453125" style="10" bestFit="1" customWidth="1"/>
    <col min="12" max="12" width="11.36328125" style="10" customWidth="1"/>
    <col min="13" max="13" width="9.1796875" style="10" bestFit="1" customWidth="1"/>
    <col min="14" max="14" width="11.54296875" style="10" bestFit="1" customWidth="1"/>
    <col min="15" max="15" width="18.08984375" style="10" bestFit="1" customWidth="1"/>
    <col min="16" max="16" width="8.90625" style="10" bestFit="1" customWidth="1"/>
    <col min="17" max="17" width="14" style="10" bestFit="1" customWidth="1"/>
    <col min="18" max="20" width="8.81640625" style="10"/>
    <col min="21" max="21" width="10.08984375" style="10" bestFit="1" customWidth="1"/>
    <col min="22" max="16384" width="8.81640625" style="10"/>
  </cols>
  <sheetData>
    <row r="2" spans="1:16" x14ac:dyDescent="0.25">
      <c r="A2" s="6" t="s">
        <v>0</v>
      </c>
      <c r="B2" s="7"/>
      <c r="C2" s="8"/>
      <c r="D2" s="9"/>
      <c r="E2" s="9"/>
    </row>
    <row r="3" spans="1:16" x14ac:dyDescent="0.25">
      <c r="A3" s="6" t="s">
        <v>129</v>
      </c>
      <c r="B3" s="7"/>
      <c r="C3" s="8"/>
      <c r="D3" s="9"/>
      <c r="E3" s="9"/>
    </row>
    <row r="4" spans="1:16" x14ac:dyDescent="0.25">
      <c r="A4" s="14"/>
      <c r="B4" s="14"/>
      <c r="C4" s="14"/>
      <c r="D4" s="14"/>
      <c r="E4" s="14"/>
    </row>
    <row r="5" spans="1:16" x14ac:dyDescent="0.25">
      <c r="A5" s="96" t="s">
        <v>2</v>
      </c>
      <c r="B5" s="15" t="s">
        <v>3</v>
      </c>
      <c r="C5" s="98" t="s">
        <v>4</v>
      </c>
      <c r="D5" s="98" t="s">
        <v>5</v>
      </c>
      <c r="E5" s="98" t="s">
        <v>6</v>
      </c>
    </row>
    <row r="6" spans="1:16" ht="12" thickBot="1" x14ac:dyDescent="0.3">
      <c r="A6" s="97"/>
      <c r="B6" s="16" t="s">
        <v>7</v>
      </c>
      <c r="C6" s="99"/>
      <c r="D6" s="99"/>
      <c r="E6" s="99"/>
    </row>
    <row r="7" spans="1:16" x14ac:dyDescent="0.25">
      <c r="A7" s="17">
        <v>1</v>
      </c>
      <c r="B7" s="18" t="s">
        <v>8</v>
      </c>
      <c r="C7" s="14">
        <v>15526</v>
      </c>
      <c r="D7" s="14">
        <v>114750</v>
      </c>
      <c r="E7" s="12">
        <f>C7*D7</f>
        <v>1781608500</v>
      </c>
    </row>
    <row r="8" spans="1:16" x14ac:dyDescent="0.25">
      <c r="A8" s="17">
        <v>2</v>
      </c>
      <c r="B8" s="18" t="s">
        <v>9</v>
      </c>
      <c r="C8" s="14">
        <v>15526</v>
      </c>
      <c r="D8" s="14">
        <v>120062</v>
      </c>
      <c r="E8" s="12">
        <f>D8*C8</f>
        <v>1864082612</v>
      </c>
    </row>
    <row r="9" spans="1:16" x14ac:dyDescent="0.25">
      <c r="A9" s="17">
        <v>3</v>
      </c>
      <c r="B9" s="18" t="s">
        <v>120</v>
      </c>
      <c r="C9" s="14">
        <v>15526</v>
      </c>
      <c r="D9" s="14">
        <v>69560</v>
      </c>
      <c r="E9" s="12">
        <f>C9*D9</f>
        <v>1079988560</v>
      </c>
    </row>
    <row r="10" spans="1:16" x14ac:dyDescent="0.25">
      <c r="A10" s="17">
        <v>4</v>
      </c>
      <c r="B10" s="18" t="s">
        <v>121</v>
      </c>
      <c r="C10" s="14">
        <v>15526</v>
      </c>
      <c r="D10" s="14">
        <v>983</v>
      </c>
      <c r="E10" s="12">
        <f>C10*D10</f>
        <v>15262058</v>
      </c>
    </row>
    <row r="11" spans="1:16" x14ac:dyDescent="0.25">
      <c r="A11" s="17"/>
      <c r="B11" s="18"/>
      <c r="C11" s="14"/>
      <c r="D11" s="14"/>
      <c r="E11" s="12"/>
    </row>
    <row r="12" spans="1:16" x14ac:dyDescent="0.25">
      <c r="A12" s="17"/>
      <c r="B12" s="18"/>
      <c r="C12" s="14"/>
      <c r="D12" s="14"/>
      <c r="E12" s="12"/>
    </row>
    <row r="13" spans="1:16" x14ac:dyDescent="0.25">
      <c r="A13" s="17"/>
      <c r="B13" s="39" t="s">
        <v>13</v>
      </c>
      <c r="C13" s="14"/>
      <c r="D13" s="40">
        <f>SUM(D7:D11)</f>
        <v>305355</v>
      </c>
      <c r="E13" s="35">
        <f>SUM(E7:E10)</f>
        <v>4740941730</v>
      </c>
    </row>
    <row r="15" spans="1:16" x14ac:dyDescent="0.25">
      <c r="L15" s="34">
        <v>45199</v>
      </c>
    </row>
    <row r="16" spans="1:16" ht="12" thickBot="1" x14ac:dyDescent="0.3">
      <c r="A16" s="23" t="s">
        <v>14</v>
      </c>
      <c r="L16" s="36">
        <f>SUM(Q19:Q39)</f>
        <v>0</v>
      </c>
      <c r="M16" s="36">
        <f>SUM(R19:R39)</f>
        <v>0</v>
      </c>
      <c r="N16" s="36">
        <f>SUM(S19:S39)</f>
        <v>0</v>
      </c>
      <c r="O16" s="36">
        <f>SUM(T19:T39)</f>
        <v>0</v>
      </c>
      <c r="P16" s="36">
        <f>SUM(U19:U39)</f>
        <v>0</v>
      </c>
    </row>
    <row r="17" spans="1:16" ht="12" thickTop="1" x14ac:dyDescent="0.25">
      <c r="A17" s="100" t="s">
        <v>15</v>
      </c>
      <c r="B17" s="1" t="s">
        <v>3</v>
      </c>
      <c r="C17" s="2" t="s">
        <v>60</v>
      </c>
      <c r="D17" s="2" t="s">
        <v>4</v>
      </c>
      <c r="E17" s="2" t="s">
        <v>60</v>
      </c>
      <c r="F17" s="3" t="s">
        <v>18</v>
      </c>
      <c r="G17" s="102" t="s">
        <v>33</v>
      </c>
      <c r="H17" s="102"/>
      <c r="I17" s="102"/>
      <c r="J17" s="102"/>
      <c r="K17" s="103" t="s">
        <v>34</v>
      </c>
      <c r="L17" s="104"/>
      <c r="M17" s="104"/>
      <c r="N17" s="104"/>
      <c r="O17" s="104"/>
      <c r="P17" s="105"/>
    </row>
    <row r="18" spans="1:16" x14ac:dyDescent="0.25">
      <c r="A18" s="106"/>
      <c r="B18" s="73" t="s">
        <v>7</v>
      </c>
      <c r="C18" s="74" t="s">
        <v>5</v>
      </c>
      <c r="D18" s="74" t="s">
        <v>19</v>
      </c>
      <c r="E18" s="76" t="s">
        <v>20</v>
      </c>
      <c r="F18" s="76" t="s">
        <v>20</v>
      </c>
      <c r="G18" s="50" t="s">
        <v>35</v>
      </c>
      <c r="H18" s="50" t="s">
        <v>36</v>
      </c>
      <c r="I18" s="50" t="s">
        <v>37</v>
      </c>
      <c r="J18" s="50" t="s">
        <v>38</v>
      </c>
      <c r="K18" s="77" t="s">
        <v>39</v>
      </c>
      <c r="L18" s="77" t="s">
        <v>40</v>
      </c>
      <c r="M18" s="77" t="s">
        <v>41</v>
      </c>
      <c r="N18" s="77" t="s">
        <v>42</v>
      </c>
      <c r="O18" s="77" t="s">
        <v>43</v>
      </c>
      <c r="P18" s="77" t="s">
        <v>44</v>
      </c>
    </row>
    <row r="19" spans="1:16" x14ac:dyDescent="0.25">
      <c r="A19" s="52" t="s">
        <v>71</v>
      </c>
      <c r="B19" s="78"/>
      <c r="C19" s="78"/>
      <c r="D19" s="78"/>
      <c r="E19" s="78"/>
      <c r="F19" s="79">
        <f>E7</f>
        <v>1781608500</v>
      </c>
      <c r="G19" s="78"/>
      <c r="H19" s="78"/>
      <c r="I19" s="78"/>
      <c r="J19" s="78"/>
      <c r="K19" s="78"/>
      <c r="L19" s="78"/>
      <c r="M19" s="78"/>
      <c r="N19" s="78"/>
      <c r="O19" s="78"/>
      <c r="P19" s="78"/>
    </row>
    <row r="20" spans="1:16" x14ac:dyDescent="0.25">
      <c r="A20" s="55"/>
      <c r="B20" s="25" t="s">
        <v>72</v>
      </c>
      <c r="C20" s="27">
        <v>114750</v>
      </c>
      <c r="D20" s="25">
        <v>15397</v>
      </c>
      <c r="E20" s="29">
        <f>+C20*D20</f>
        <v>1766805750</v>
      </c>
      <c r="F20" s="25"/>
      <c r="G20" s="26" t="s">
        <v>130</v>
      </c>
      <c r="H20" s="24">
        <v>45192</v>
      </c>
      <c r="I20" s="55">
        <v>60</v>
      </c>
      <c r="J20" s="56">
        <f>H20+I20</f>
        <v>45252</v>
      </c>
      <c r="K20" s="55">
        <f>$L$15-J20</f>
        <v>-53</v>
      </c>
      <c r="L20" s="57">
        <f>E20</f>
        <v>1766805750</v>
      </c>
      <c r="M20" s="55"/>
      <c r="N20" s="55"/>
      <c r="O20" s="55"/>
      <c r="P20" s="55"/>
    </row>
    <row r="21" spans="1:16" x14ac:dyDescent="0.25">
      <c r="A21" s="55"/>
      <c r="B21" s="59" t="s">
        <v>45</v>
      </c>
      <c r="C21" s="55"/>
      <c r="D21" s="55"/>
      <c r="E21" s="55"/>
      <c r="F21" s="60">
        <f>E20-F19</f>
        <v>-14802750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</row>
    <row r="22" spans="1:16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  <row r="23" spans="1:16" x14ac:dyDescent="0.25">
      <c r="A23" s="61" t="s">
        <v>47</v>
      </c>
      <c r="B23" s="55"/>
      <c r="C23" s="55"/>
      <c r="D23" s="55"/>
      <c r="E23" s="55"/>
      <c r="F23" s="57">
        <f>E8</f>
        <v>1864082612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</row>
    <row r="24" spans="1:16" x14ac:dyDescent="0.25">
      <c r="A24" s="55"/>
      <c r="B24" s="25" t="s">
        <v>46</v>
      </c>
      <c r="C24" s="27">
        <v>120062</v>
      </c>
      <c r="D24" s="28">
        <v>15319</v>
      </c>
      <c r="E24" s="29">
        <f>+C24*D24</f>
        <v>1839229778</v>
      </c>
      <c r="F24" s="27"/>
      <c r="G24" s="26" t="s">
        <v>124</v>
      </c>
      <c r="H24" s="24">
        <v>45162</v>
      </c>
      <c r="I24" s="55">
        <v>60</v>
      </c>
      <c r="J24" s="56">
        <f>H24+I24</f>
        <v>45222</v>
      </c>
      <c r="K24" s="55">
        <f>$L$15-J24</f>
        <v>-23</v>
      </c>
      <c r="L24" s="57">
        <f>E24</f>
        <v>1839229778</v>
      </c>
      <c r="M24" s="55"/>
      <c r="N24" s="55"/>
      <c r="O24" s="55"/>
      <c r="P24" s="55"/>
    </row>
    <row r="25" spans="1:16" x14ac:dyDescent="0.25">
      <c r="A25" s="55"/>
      <c r="B25" s="59" t="s">
        <v>45</v>
      </c>
      <c r="C25" s="55"/>
      <c r="D25" s="55"/>
      <c r="E25" s="55"/>
      <c r="F25" s="60">
        <f>E24-F23</f>
        <v>-24852834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</row>
    <row r="26" spans="1:16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</row>
    <row r="27" spans="1:16" x14ac:dyDescent="0.25">
      <c r="A27" s="58" t="s">
        <v>125</v>
      </c>
      <c r="B27" s="55"/>
      <c r="C27" s="55"/>
      <c r="D27" s="55"/>
      <c r="E27" s="55"/>
      <c r="F27" s="63">
        <f>E9</f>
        <v>1079988560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</row>
    <row r="28" spans="1:16" x14ac:dyDescent="0.25">
      <c r="A28" s="55"/>
      <c r="B28" s="87" t="s">
        <v>125</v>
      </c>
      <c r="C28" s="27">
        <v>69560</v>
      </c>
      <c r="D28" s="25">
        <v>15526</v>
      </c>
      <c r="E28" s="25">
        <f>+C28*D28</f>
        <v>1079988560</v>
      </c>
      <c r="F28" s="25"/>
      <c r="G28" s="26" t="s">
        <v>131</v>
      </c>
      <c r="H28" s="89">
        <v>45199</v>
      </c>
      <c r="I28" s="55">
        <v>60</v>
      </c>
      <c r="J28" s="56">
        <f>H28+I28</f>
        <v>45259</v>
      </c>
      <c r="K28" s="55">
        <f>$L$15-J28</f>
        <v>-60</v>
      </c>
      <c r="L28" s="57">
        <f>E28</f>
        <v>1079988560</v>
      </c>
      <c r="M28" s="55"/>
      <c r="N28" s="55"/>
      <c r="O28" s="55"/>
      <c r="P28" s="55"/>
    </row>
    <row r="29" spans="1:16" x14ac:dyDescent="0.25">
      <c r="A29" s="55"/>
      <c r="B29" s="59" t="s">
        <v>45</v>
      </c>
      <c r="C29" s="55"/>
      <c r="D29" s="55"/>
      <c r="E29" s="55"/>
      <c r="F29" s="68">
        <f>E28-F27</f>
        <v>0</v>
      </c>
      <c r="G29" s="55"/>
      <c r="H29" s="55"/>
      <c r="I29" s="55"/>
      <c r="J29" s="55"/>
      <c r="K29" s="55"/>
      <c r="L29" s="55"/>
      <c r="M29" s="55"/>
      <c r="N29" s="55"/>
      <c r="O29" s="55"/>
      <c r="P29" s="55"/>
    </row>
    <row r="30" spans="1:16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</row>
    <row r="31" spans="1:16" x14ac:dyDescent="0.25">
      <c r="A31" s="58" t="s">
        <v>65</v>
      </c>
      <c r="B31" s="55"/>
      <c r="C31" s="55"/>
      <c r="D31" s="55"/>
      <c r="E31" s="55"/>
      <c r="F31" s="63">
        <f>E10</f>
        <v>15262058</v>
      </c>
      <c r="G31" s="55"/>
      <c r="H31" s="55"/>
      <c r="I31" s="55"/>
      <c r="J31" s="55"/>
      <c r="K31" s="55"/>
      <c r="L31" s="55"/>
      <c r="M31" s="55"/>
      <c r="N31" s="55"/>
      <c r="O31" s="55"/>
      <c r="P31" s="55"/>
    </row>
    <row r="32" spans="1:16" x14ac:dyDescent="0.25">
      <c r="A32" s="55"/>
      <c r="B32" s="59" t="s">
        <v>45</v>
      </c>
      <c r="C32" s="55"/>
      <c r="D32" s="55"/>
      <c r="E32" s="55"/>
      <c r="F32" s="60">
        <f>F31</f>
        <v>15262058</v>
      </c>
      <c r="G32" s="55"/>
      <c r="H32" s="55"/>
      <c r="I32" s="55"/>
      <c r="J32" s="56"/>
      <c r="K32" s="55"/>
      <c r="L32" s="57"/>
      <c r="M32" s="55"/>
      <c r="N32" s="55"/>
      <c r="O32" s="55"/>
      <c r="P32" s="57">
        <f>F31</f>
        <v>15262058</v>
      </c>
    </row>
    <row r="33" spans="1:16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</row>
  </sheetData>
  <mergeCells count="7">
    <mergeCell ref="G17:J17"/>
    <mergeCell ref="K17:P17"/>
    <mergeCell ref="A5:A6"/>
    <mergeCell ref="C5:C6"/>
    <mergeCell ref="D5:D6"/>
    <mergeCell ref="E5:E6"/>
    <mergeCell ref="A17:A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93FE-A88F-4A42-8794-EFE7813C9C87}">
  <dimension ref="A2:P26"/>
  <sheetViews>
    <sheetView showGridLines="0" topLeftCell="F1" workbookViewId="0">
      <selection activeCell="H15" sqref="H15"/>
    </sheetView>
  </sheetViews>
  <sheetFormatPr defaultColWidth="8.81640625" defaultRowHeight="11.5" x14ac:dyDescent="0.25"/>
  <cols>
    <col min="1" max="1" width="10.6328125" style="10" customWidth="1"/>
    <col min="2" max="2" width="40.453125" style="10" bestFit="1" customWidth="1"/>
    <col min="3" max="3" width="13.54296875" style="10" bestFit="1" customWidth="1"/>
    <col min="4" max="4" width="12.26953125" style="10" bestFit="1" customWidth="1"/>
    <col min="5" max="5" width="15.36328125" style="10" bestFit="1" customWidth="1"/>
    <col min="6" max="6" width="13.90625" style="10" bestFit="1" customWidth="1"/>
    <col min="7" max="7" width="8.81640625" style="10"/>
    <col min="8" max="8" width="8.90625" style="10" bestFit="1" customWidth="1"/>
    <col min="9" max="9" width="12.36328125" style="10" bestFit="1" customWidth="1"/>
    <col min="10" max="10" width="11.54296875" style="10" bestFit="1" customWidth="1"/>
    <col min="11" max="11" width="15.453125" style="10" bestFit="1" customWidth="1"/>
    <col min="12" max="12" width="12.36328125" style="10" bestFit="1" customWidth="1"/>
    <col min="13" max="13" width="9.1796875" style="10" bestFit="1" customWidth="1"/>
    <col min="14" max="14" width="11.54296875" style="10" bestFit="1" customWidth="1"/>
    <col min="15" max="15" width="18.08984375" style="10" bestFit="1" customWidth="1"/>
    <col min="16" max="16" width="10.08984375" style="10" bestFit="1" customWidth="1"/>
    <col min="17" max="17" width="14" style="10" bestFit="1" customWidth="1"/>
    <col min="18" max="20" width="8.81640625" style="10"/>
    <col min="21" max="21" width="10.08984375" style="10" bestFit="1" customWidth="1"/>
    <col min="22" max="16384" width="8.81640625" style="10"/>
  </cols>
  <sheetData>
    <row r="2" spans="1:16" x14ac:dyDescent="0.25">
      <c r="A2" s="6" t="s">
        <v>0</v>
      </c>
      <c r="B2" s="7"/>
      <c r="C2" s="8"/>
      <c r="D2" s="9"/>
      <c r="E2" s="9"/>
    </row>
    <row r="3" spans="1:16" x14ac:dyDescent="0.25">
      <c r="A3" s="6" t="s">
        <v>132</v>
      </c>
      <c r="B3" s="7"/>
      <c r="C3" s="8"/>
      <c r="D3" s="9"/>
      <c r="E3" s="9"/>
    </row>
    <row r="4" spans="1:16" x14ac:dyDescent="0.25">
      <c r="A4" s="14"/>
      <c r="B4" s="14"/>
      <c r="C4" s="14"/>
      <c r="D4" s="14"/>
      <c r="E4" s="14"/>
    </row>
    <row r="5" spans="1:16" x14ac:dyDescent="0.25">
      <c r="A5" s="96" t="s">
        <v>2</v>
      </c>
      <c r="B5" s="15" t="s">
        <v>3</v>
      </c>
      <c r="C5" s="98" t="s">
        <v>4</v>
      </c>
      <c r="D5" s="98" t="s">
        <v>5</v>
      </c>
      <c r="E5" s="98" t="s">
        <v>6</v>
      </c>
    </row>
    <row r="6" spans="1:16" ht="12" thickBot="1" x14ac:dyDescent="0.3">
      <c r="A6" s="97"/>
      <c r="B6" s="16" t="s">
        <v>7</v>
      </c>
      <c r="C6" s="99"/>
      <c r="D6" s="99"/>
      <c r="E6" s="99"/>
    </row>
    <row r="7" spans="1:16" x14ac:dyDescent="0.25">
      <c r="A7" s="17">
        <v>1</v>
      </c>
      <c r="B7" s="18" t="s">
        <v>9</v>
      </c>
      <c r="C7" s="14">
        <v>15916</v>
      </c>
      <c r="D7" s="14">
        <v>132600</v>
      </c>
      <c r="E7" s="12">
        <f>C7*D7</f>
        <v>2110461600</v>
      </c>
    </row>
    <row r="8" spans="1:16" x14ac:dyDescent="0.25">
      <c r="A8" s="17">
        <v>2</v>
      </c>
      <c r="B8" s="18" t="s">
        <v>121</v>
      </c>
      <c r="C8" s="14">
        <v>15916</v>
      </c>
      <c r="D8" s="14">
        <v>983</v>
      </c>
      <c r="E8" s="12">
        <f>D8*C8</f>
        <v>15645428</v>
      </c>
    </row>
    <row r="9" spans="1:16" x14ac:dyDescent="0.25">
      <c r="A9" s="17"/>
      <c r="B9" s="18"/>
      <c r="C9" s="14"/>
      <c r="D9" s="14"/>
      <c r="E9" s="12"/>
    </row>
    <row r="10" spans="1:16" x14ac:dyDescent="0.25">
      <c r="A10" s="17"/>
      <c r="B10" s="18"/>
      <c r="C10" s="14"/>
      <c r="D10" s="14"/>
      <c r="E10" s="12"/>
    </row>
    <row r="11" spans="1:16" x14ac:dyDescent="0.25">
      <c r="A11" s="17"/>
      <c r="B11" s="18"/>
      <c r="C11" s="14"/>
      <c r="D11" s="14"/>
      <c r="E11" s="12"/>
    </row>
    <row r="12" spans="1:16" x14ac:dyDescent="0.25">
      <c r="A12" s="17"/>
      <c r="B12" s="18"/>
      <c r="C12" s="14"/>
      <c r="D12" s="14"/>
      <c r="E12" s="12"/>
    </row>
    <row r="13" spans="1:16" x14ac:dyDescent="0.25">
      <c r="A13" s="17"/>
      <c r="B13" s="39" t="s">
        <v>13</v>
      </c>
      <c r="C13" s="14"/>
      <c r="D13" s="40">
        <f>SUM(D7:D11)</f>
        <v>133583</v>
      </c>
      <c r="E13" s="35">
        <f>SUM(E7:E10)</f>
        <v>2126107028</v>
      </c>
    </row>
    <row r="15" spans="1:16" x14ac:dyDescent="0.25">
      <c r="H15" s="34">
        <v>45230</v>
      </c>
    </row>
    <row r="16" spans="1:16" ht="12" thickBot="1" x14ac:dyDescent="0.3">
      <c r="A16" s="23" t="s">
        <v>14</v>
      </c>
      <c r="L16" s="36">
        <f>SUM(L19:L26)</f>
        <v>2082085200</v>
      </c>
      <c r="M16" s="36">
        <f t="shared" ref="M16:P16" si="0">SUM(M19:M26)</f>
        <v>0</v>
      </c>
      <c r="N16" s="36">
        <f t="shared" si="0"/>
        <v>0</v>
      </c>
      <c r="O16" s="36">
        <f t="shared" si="0"/>
        <v>0</v>
      </c>
      <c r="P16" s="36">
        <f t="shared" si="0"/>
        <v>15645428</v>
      </c>
    </row>
    <row r="17" spans="1:16" ht="12" thickTop="1" x14ac:dyDescent="0.25">
      <c r="A17" s="100" t="s">
        <v>15</v>
      </c>
      <c r="B17" s="1" t="s">
        <v>3</v>
      </c>
      <c r="C17" s="2" t="s">
        <v>60</v>
      </c>
      <c r="D17" s="2" t="s">
        <v>4</v>
      </c>
      <c r="E17" s="2" t="s">
        <v>60</v>
      </c>
      <c r="F17" s="3" t="s">
        <v>18</v>
      </c>
      <c r="G17" s="102" t="s">
        <v>33</v>
      </c>
      <c r="H17" s="102"/>
      <c r="I17" s="102"/>
      <c r="J17" s="102"/>
      <c r="K17" s="103" t="s">
        <v>34</v>
      </c>
      <c r="L17" s="104"/>
      <c r="M17" s="104"/>
      <c r="N17" s="104"/>
      <c r="O17" s="104"/>
      <c r="P17" s="105"/>
    </row>
    <row r="18" spans="1:16" x14ac:dyDescent="0.25">
      <c r="A18" s="106"/>
      <c r="B18" s="73" t="s">
        <v>7</v>
      </c>
      <c r="C18" s="74" t="s">
        <v>5</v>
      </c>
      <c r="D18" s="74" t="s">
        <v>19</v>
      </c>
      <c r="E18" s="76" t="s">
        <v>20</v>
      </c>
      <c r="F18" s="76" t="s">
        <v>20</v>
      </c>
      <c r="G18" s="50" t="s">
        <v>35</v>
      </c>
      <c r="H18" s="50" t="s">
        <v>36</v>
      </c>
      <c r="I18" s="50" t="s">
        <v>37</v>
      </c>
      <c r="J18" s="50" t="s">
        <v>38</v>
      </c>
      <c r="K18" s="77" t="s">
        <v>39</v>
      </c>
      <c r="L18" s="77" t="s">
        <v>40</v>
      </c>
      <c r="M18" s="77" t="s">
        <v>41</v>
      </c>
      <c r="N18" s="77" t="s">
        <v>42</v>
      </c>
      <c r="O18" s="77" t="s">
        <v>43</v>
      </c>
      <c r="P18" s="77" t="s">
        <v>44</v>
      </c>
    </row>
    <row r="19" spans="1:16" x14ac:dyDescent="0.25">
      <c r="A19" s="110" t="s">
        <v>47</v>
      </c>
      <c r="B19" s="78"/>
      <c r="C19" s="78"/>
      <c r="D19" s="78"/>
      <c r="E19" s="78"/>
      <c r="F19" s="79">
        <f>E7</f>
        <v>2110461600</v>
      </c>
      <c r="G19" s="78"/>
      <c r="H19" s="78"/>
      <c r="I19" s="78"/>
      <c r="J19" s="78"/>
      <c r="K19" s="78"/>
      <c r="L19" s="78"/>
      <c r="M19" s="78"/>
      <c r="N19" s="78"/>
      <c r="O19" s="78"/>
      <c r="P19" s="78"/>
    </row>
    <row r="20" spans="1:16" x14ac:dyDescent="0.25">
      <c r="A20" s="55"/>
      <c r="B20" s="25" t="s">
        <v>46</v>
      </c>
      <c r="C20" s="27">
        <v>132600</v>
      </c>
      <c r="D20" s="28">
        <v>15702</v>
      </c>
      <c r="E20" s="29">
        <f>+C20*D20</f>
        <v>2082085200</v>
      </c>
      <c r="F20" s="27"/>
      <c r="G20" s="26" t="s">
        <v>133</v>
      </c>
      <c r="H20" s="24">
        <v>45213</v>
      </c>
      <c r="I20" s="55">
        <v>60</v>
      </c>
      <c r="J20" s="56">
        <f>H20+I20</f>
        <v>45273</v>
      </c>
      <c r="K20" s="55">
        <f>$H$15-J20</f>
        <v>-43</v>
      </c>
      <c r="L20" s="57">
        <f>E20</f>
        <v>2082085200</v>
      </c>
      <c r="M20" s="55"/>
      <c r="N20" s="55"/>
      <c r="O20" s="55"/>
      <c r="P20" s="55"/>
    </row>
    <row r="21" spans="1:16" x14ac:dyDescent="0.25">
      <c r="A21" s="55"/>
      <c r="B21" s="59" t="s">
        <v>45</v>
      </c>
      <c r="C21" s="55"/>
      <c r="D21" s="55"/>
      <c r="E21" s="55"/>
      <c r="F21" s="60">
        <f>E20-F19</f>
        <v>-28376400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</row>
    <row r="22" spans="1:16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  <row r="23" spans="1:16" x14ac:dyDescent="0.25">
      <c r="A23" s="58" t="s">
        <v>65</v>
      </c>
      <c r="B23" s="55"/>
      <c r="C23" s="55"/>
      <c r="D23" s="55"/>
      <c r="E23" s="55"/>
      <c r="F23" s="63">
        <f>E8</f>
        <v>15645428</v>
      </c>
      <c r="G23" s="55"/>
      <c r="H23" s="55"/>
      <c r="I23" s="55"/>
      <c r="J23" s="55"/>
      <c r="K23" s="55"/>
      <c r="L23" s="55"/>
      <c r="M23" s="55"/>
      <c r="N23" s="55"/>
      <c r="O23" s="55"/>
      <c r="P23" s="57">
        <f>F23</f>
        <v>15645428</v>
      </c>
    </row>
    <row r="24" spans="1:16" x14ac:dyDescent="0.25">
      <c r="A24" s="55"/>
      <c r="B24" s="59" t="s">
        <v>45</v>
      </c>
      <c r="C24" s="55"/>
      <c r="D24" s="55"/>
      <c r="E24" s="55"/>
      <c r="F24" s="60">
        <f>F23</f>
        <v>15645428</v>
      </c>
      <c r="G24" s="55"/>
      <c r="H24" s="55"/>
      <c r="I24" s="55"/>
      <c r="J24" s="56"/>
      <c r="K24" s="55"/>
      <c r="L24" s="57"/>
      <c r="M24" s="55"/>
      <c r="N24" s="55"/>
      <c r="O24" s="55"/>
      <c r="P24" s="57"/>
    </row>
    <row r="25" spans="1:16" x14ac:dyDescent="0.25">
      <c r="A25" s="55"/>
      <c r="B25" s="59"/>
      <c r="C25" s="55"/>
      <c r="D25" s="55"/>
      <c r="E25" s="55"/>
      <c r="F25" s="60"/>
      <c r="G25" s="55"/>
      <c r="H25" s="55"/>
      <c r="I25" s="55"/>
      <c r="J25" s="55"/>
      <c r="K25" s="55"/>
      <c r="L25" s="55"/>
      <c r="M25" s="55"/>
      <c r="N25" s="55"/>
      <c r="O25" s="55"/>
      <c r="P25" s="55"/>
    </row>
    <row r="26" spans="1:16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</row>
  </sheetData>
  <mergeCells count="7">
    <mergeCell ref="G17:J17"/>
    <mergeCell ref="K17:P17"/>
    <mergeCell ref="A5:A6"/>
    <mergeCell ref="C5:C6"/>
    <mergeCell ref="D5:D6"/>
    <mergeCell ref="E5:E6"/>
    <mergeCell ref="A17:A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23C3-245C-45C4-8D5F-5AFC37CD48B8}">
  <dimension ref="A1:P29"/>
  <sheetViews>
    <sheetView showGridLines="0" topLeftCell="C11" workbookViewId="0">
      <selection activeCell="P11" sqref="L11:P11"/>
    </sheetView>
  </sheetViews>
  <sheetFormatPr defaultRowHeight="11.5" x14ac:dyDescent="0.25"/>
  <cols>
    <col min="1" max="1" width="8.7265625" style="10"/>
    <col min="2" max="2" width="40.453125" style="10" bestFit="1" customWidth="1"/>
    <col min="3" max="3" width="13.54296875" style="10" bestFit="1" customWidth="1"/>
    <col min="4" max="4" width="10.08984375" style="10" bestFit="1" customWidth="1"/>
    <col min="5" max="6" width="12.36328125" style="10" bestFit="1" customWidth="1"/>
    <col min="7" max="7" width="12.1796875" style="10" bestFit="1" customWidth="1"/>
    <col min="8" max="8" width="8.7265625" style="10"/>
    <col min="9" max="9" width="12.36328125" style="10" bestFit="1" customWidth="1"/>
    <col min="10" max="10" width="8.7265625" style="10"/>
    <col min="11" max="12" width="12.36328125" style="10" bestFit="1" customWidth="1"/>
    <col min="13" max="16384" width="8.7265625" style="10"/>
  </cols>
  <sheetData>
    <row r="1" spans="1:16" x14ac:dyDescent="0.25">
      <c r="A1" s="6" t="s">
        <v>0</v>
      </c>
      <c r="B1" s="7"/>
      <c r="C1" s="8"/>
      <c r="D1" s="9"/>
      <c r="E1" s="9"/>
    </row>
    <row r="2" spans="1:16" x14ac:dyDescent="0.25">
      <c r="A2" s="6" t="s">
        <v>154</v>
      </c>
      <c r="B2" s="7"/>
      <c r="C2" s="8"/>
      <c r="D2" s="9"/>
      <c r="E2" s="9"/>
    </row>
    <row r="3" spans="1:16" x14ac:dyDescent="0.25">
      <c r="A3" s="14"/>
      <c r="B3" s="14"/>
      <c r="C3" s="14"/>
      <c r="D3" s="14"/>
      <c r="E3" s="14"/>
    </row>
    <row r="4" spans="1:16" x14ac:dyDescent="0.25">
      <c r="A4" s="96" t="s">
        <v>2</v>
      </c>
      <c r="B4" s="15" t="s">
        <v>3</v>
      </c>
      <c r="C4" s="98" t="s">
        <v>4</v>
      </c>
      <c r="D4" s="98" t="s">
        <v>5</v>
      </c>
      <c r="E4" s="98" t="s">
        <v>6</v>
      </c>
    </row>
    <row r="5" spans="1:16" ht="12" thickBot="1" x14ac:dyDescent="0.3">
      <c r="A5" s="97"/>
      <c r="B5" s="16" t="s">
        <v>7</v>
      </c>
      <c r="C5" s="99"/>
      <c r="D5" s="99"/>
      <c r="E5" s="99"/>
    </row>
    <row r="6" spans="1:16" x14ac:dyDescent="0.25">
      <c r="A6" s="17">
        <v>1</v>
      </c>
      <c r="B6" s="18" t="s">
        <v>155</v>
      </c>
      <c r="C6" s="14">
        <v>15384</v>
      </c>
      <c r="D6" s="14">
        <v>330187.38</v>
      </c>
      <c r="E6" s="12">
        <v>5079602653.9200001</v>
      </c>
    </row>
    <row r="7" spans="1:16" x14ac:dyDescent="0.25">
      <c r="A7" s="17">
        <v>2</v>
      </c>
      <c r="B7" s="18" t="s">
        <v>156</v>
      </c>
      <c r="C7" s="14">
        <v>15384</v>
      </c>
      <c r="D7" s="14">
        <v>84350</v>
      </c>
      <c r="E7" s="12">
        <v>1297640400</v>
      </c>
    </row>
    <row r="8" spans="1:16" x14ac:dyDescent="0.25">
      <c r="A8" s="17">
        <v>2</v>
      </c>
      <c r="B8" s="18" t="s">
        <v>157</v>
      </c>
      <c r="C8" s="14">
        <v>15384</v>
      </c>
      <c r="D8" s="14">
        <v>84090</v>
      </c>
      <c r="E8" s="12">
        <v>1293640560</v>
      </c>
    </row>
    <row r="9" spans="1:16" x14ac:dyDescent="0.25">
      <c r="A9" s="17"/>
      <c r="B9" s="18"/>
      <c r="C9" s="14"/>
      <c r="D9" s="14"/>
      <c r="E9" s="12"/>
    </row>
    <row r="10" spans="1:16" x14ac:dyDescent="0.25">
      <c r="A10" s="17"/>
      <c r="B10" s="39" t="s">
        <v>13</v>
      </c>
      <c r="C10" s="14"/>
      <c r="D10" s="35">
        <f>SUM(D6:D8)</f>
        <v>498627.38</v>
      </c>
      <c r="E10" s="35">
        <f>SUM(E6:E8)</f>
        <v>7670883613.9200001</v>
      </c>
    </row>
    <row r="11" spans="1:16" x14ac:dyDescent="0.25">
      <c r="H11" s="34">
        <v>45260</v>
      </c>
      <c r="L11" s="112">
        <f>SUBTOTAL(9,L16:L29)</f>
        <v>7763353616.3400002</v>
      </c>
      <c r="M11" s="112">
        <f t="shared" ref="M11:P11" si="0">SUBTOTAL(9,M16:M29)</f>
        <v>0</v>
      </c>
      <c r="N11" s="112">
        <f t="shared" si="0"/>
        <v>0</v>
      </c>
      <c r="O11" s="112">
        <f t="shared" si="0"/>
        <v>0</v>
      </c>
      <c r="P11" s="112">
        <f t="shared" si="0"/>
        <v>0</v>
      </c>
    </row>
    <row r="12" spans="1:16" ht="12" thickBot="1" x14ac:dyDescent="0.3">
      <c r="A12" s="23" t="s">
        <v>14</v>
      </c>
    </row>
    <row r="13" spans="1:16" ht="12" thickTop="1" x14ac:dyDescent="0.25">
      <c r="A13" s="100" t="s">
        <v>15</v>
      </c>
      <c r="B13" s="1" t="s">
        <v>3</v>
      </c>
      <c r="C13" s="2" t="s">
        <v>16</v>
      </c>
      <c r="D13" s="2" t="s">
        <v>4</v>
      </c>
      <c r="E13" s="3" t="s">
        <v>16</v>
      </c>
      <c r="F13" s="3" t="s">
        <v>18</v>
      </c>
      <c r="G13" s="102" t="s">
        <v>33</v>
      </c>
      <c r="H13" s="102"/>
      <c r="I13" s="102"/>
      <c r="J13" s="102"/>
      <c r="K13" s="103" t="s">
        <v>34</v>
      </c>
      <c r="L13" s="104"/>
      <c r="M13" s="104"/>
      <c r="N13" s="104"/>
      <c r="O13" s="104"/>
      <c r="P13" s="105"/>
    </row>
    <row r="14" spans="1:16" x14ac:dyDescent="0.25">
      <c r="A14" s="106"/>
      <c r="B14" s="111" t="s">
        <v>7</v>
      </c>
      <c r="C14" s="74" t="s">
        <v>5</v>
      </c>
      <c r="D14" s="74" t="s">
        <v>19</v>
      </c>
      <c r="E14" s="76" t="s">
        <v>20</v>
      </c>
      <c r="F14" s="76" t="s">
        <v>20</v>
      </c>
      <c r="G14" s="50" t="s">
        <v>35</v>
      </c>
      <c r="H14" s="50" t="s">
        <v>36</v>
      </c>
      <c r="I14" s="50" t="s">
        <v>37</v>
      </c>
      <c r="J14" s="50" t="s">
        <v>38</v>
      </c>
      <c r="K14" s="77" t="s">
        <v>39</v>
      </c>
      <c r="L14" s="77" t="s">
        <v>40</v>
      </c>
      <c r="M14" s="77" t="s">
        <v>41</v>
      </c>
      <c r="N14" s="77" t="s">
        <v>42</v>
      </c>
      <c r="O14" s="77" t="s">
        <v>43</v>
      </c>
      <c r="P14" s="77" t="s">
        <v>44</v>
      </c>
    </row>
    <row r="15" spans="1:16" x14ac:dyDescent="0.25">
      <c r="A15" s="52" t="s">
        <v>158</v>
      </c>
      <c r="B15" s="78"/>
      <c r="C15" s="78"/>
      <c r="D15" s="78"/>
      <c r="E15" s="78"/>
      <c r="F15" s="79">
        <f>E6</f>
        <v>5079602653.9200001</v>
      </c>
      <c r="G15" s="78"/>
      <c r="H15" s="78"/>
      <c r="I15" s="78"/>
      <c r="J15" s="78"/>
      <c r="K15" s="78"/>
      <c r="L15" s="78"/>
      <c r="M15" s="78"/>
      <c r="N15" s="78"/>
      <c r="O15" s="78"/>
      <c r="P15" s="78"/>
    </row>
    <row r="16" spans="1:16" customFormat="1" ht="14.5" x14ac:dyDescent="0.35">
      <c r="A16" s="55"/>
      <c r="B16" s="25" t="s">
        <v>72</v>
      </c>
      <c r="C16" s="27">
        <v>98815</v>
      </c>
      <c r="D16" s="25">
        <v>15503</v>
      </c>
      <c r="E16" s="29">
        <f>+C16*D16</f>
        <v>1531928945</v>
      </c>
      <c r="F16" s="25"/>
      <c r="G16" s="26" t="s">
        <v>159</v>
      </c>
      <c r="H16" s="24">
        <v>45246</v>
      </c>
      <c r="I16" s="55">
        <v>60</v>
      </c>
      <c r="J16" s="56">
        <f>H16+I16</f>
        <v>45306</v>
      </c>
      <c r="K16" s="55">
        <f>$H$11-J16</f>
        <v>-46</v>
      </c>
      <c r="L16" s="57">
        <f>E16</f>
        <v>1531928945</v>
      </c>
      <c r="M16" s="55"/>
      <c r="N16" s="55"/>
      <c r="O16" s="55"/>
      <c r="P16" s="55"/>
    </row>
    <row r="17" spans="1:16" customFormat="1" ht="14.5" x14ac:dyDescent="0.35">
      <c r="A17" s="55"/>
      <c r="B17" s="25" t="s">
        <v>72</v>
      </c>
      <c r="C17" s="27">
        <v>117000</v>
      </c>
      <c r="D17" s="25">
        <v>15595</v>
      </c>
      <c r="E17" s="29">
        <f>+C17*D17</f>
        <v>1824615000</v>
      </c>
      <c r="F17" s="25"/>
      <c r="G17" s="26" t="s">
        <v>160</v>
      </c>
      <c r="H17" s="24">
        <v>45248</v>
      </c>
      <c r="I17" s="55">
        <v>60</v>
      </c>
      <c r="J17" s="56">
        <f t="shared" ref="J17:J18" si="1">H17+I17</f>
        <v>45308</v>
      </c>
      <c r="K17" s="55">
        <f t="shared" ref="K17:K18" si="2">$H$11-J17</f>
        <v>-48</v>
      </c>
      <c r="L17" s="57">
        <f t="shared" ref="L17:L18" si="3">E17</f>
        <v>1824615000</v>
      </c>
      <c r="M17" s="55"/>
      <c r="N17" s="55"/>
      <c r="O17" s="55"/>
      <c r="P17" s="55"/>
    </row>
    <row r="18" spans="1:16" customFormat="1" ht="14.5" x14ac:dyDescent="0.35">
      <c r="A18" s="55"/>
      <c r="B18" s="25" t="s">
        <v>72</v>
      </c>
      <c r="C18" s="27">
        <v>114372.38</v>
      </c>
      <c r="D18" s="25">
        <v>15593</v>
      </c>
      <c r="E18" s="29">
        <f>+C18*D18</f>
        <v>1783408521.3400002</v>
      </c>
      <c r="F18" s="81"/>
      <c r="G18" s="26" t="s">
        <v>161</v>
      </c>
      <c r="H18" s="24">
        <v>45254</v>
      </c>
      <c r="I18" s="55">
        <v>60</v>
      </c>
      <c r="J18" s="56">
        <f t="shared" si="1"/>
        <v>45314</v>
      </c>
      <c r="K18" s="55">
        <f t="shared" si="2"/>
        <v>-54</v>
      </c>
      <c r="L18" s="57">
        <f t="shared" si="3"/>
        <v>1783408521.3400002</v>
      </c>
      <c r="M18" s="55"/>
      <c r="N18" s="55"/>
      <c r="O18" s="55"/>
      <c r="P18" s="55"/>
    </row>
    <row r="19" spans="1:16" x14ac:dyDescent="0.25">
      <c r="A19" s="55"/>
      <c r="B19" s="59" t="s">
        <v>45</v>
      </c>
      <c r="C19" s="55"/>
      <c r="D19" s="55"/>
      <c r="E19" s="55"/>
      <c r="F19" s="60">
        <f>SUM(E16:E18)-F15</f>
        <v>60349812.420000076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</row>
    <row r="20" spans="1:16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spans="1:16" x14ac:dyDescent="0.25">
      <c r="A21" s="58" t="s">
        <v>162</v>
      </c>
      <c r="B21" s="55"/>
      <c r="C21" s="55"/>
      <c r="D21" s="55"/>
      <c r="E21" s="55"/>
      <c r="F21" s="63">
        <f>E7</f>
        <v>1297640400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</row>
    <row r="22" spans="1:16" x14ac:dyDescent="0.25">
      <c r="A22" s="55"/>
      <c r="B22" s="25" t="s">
        <v>163</v>
      </c>
      <c r="C22" s="27">
        <v>84350</v>
      </c>
      <c r="D22" s="25">
        <v>15699</v>
      </c>
      <c r="E22" s="29">
        <f>+C22*D22</f>
        <v>1324210650</v>
      </c>
      <c r="F22" s="27"/>
      <c r="G22" s="26" t="s">
        <v>164</v>
      </c>
      <c r="H22" s="24">
        <v>45245</v>
      </c>
      <c r="I22" s="55">
        <v>60</v>
      </c>
      <c r="J22" s="56">
        <f>H22+I22</f>
        <v>45305</v>
      </c>
      <c r="K22" s="55">
        <f>$H$11-J22</f>
        <v>-45</v>
      </c>
      <c r="L22" s="57">
        <f>E22</f>
        <v>1324210650</v>
      </c>
      <c r="M22" s="55"/>
      <c r="N22" s="55"/>
      <c r="O22" s="55"/>
      <c r="P22" s="55"/>
    </row>
    <row r="23" spans="1:16" x14ac:dyDescent="0.25">
      <c r="A23" s="55"/>
      <c r="B23" s="59" t="s">
        <v>45</v>
      </c>
      <c r="C23" s="55"/>
      <c r="D23" s="55"/>
      <c r="E23" s="55"/>
      <c r="F23" s="60">
        <f>E22-F21</f>
        <v>26570250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</row>
    <row r="24" spans="1:16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</row>
    <row r="25" spans="1:16" s="23" customFormat="1" x14ac:dyDescent="0.25">
      <c r="A25" s="58" t="s">
        <v>165</v>
      </c>
      <c r="B25" s="58"/>
      <c r="C25" s="58"/>
      <c r="D25" s="58"/>
      <c r="E25" s="58"/>
      <c r="F25" s="63">
        <f>E8</f>
        <v>1293640560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</row>
    <row r="26" spans="1:16" x14ac:dyDescent="0.25">
      <c r="A26" s="55"/>
      <c r="B26" s="25" t="s">
        <v>52</v>
      </c>
      <c r="C26" s="27">
        <v>84090</v>
      </c>
      <c r="D26" s="25">
        <v>15450</v>
      </c>
      <c r="E26" s="29">
        <f>C26*D26</f>
        <v>1299190500</v>
      </c>
      <c r="F26" s="27"/>
      <c r="G26" s="26" t="s">
        <v>166</v>
      </c>
      <c r="H26" s="24">
        <v>45259</v>
      </c>
      <c r="I26" s="55">
        <v>60</v>
      </c>
      <c r="J26" s="56">
        <f>H26+I26</f>
        <v>45319</v>
      </c>
      <c r="K26" s="55">
        <f>$H$11-J26</f>
        <v>-59</v>
      </c>
      <c r="L26" s="57">
        <f>E26</f>
        <v>1299190500</v>
      </c>
      <c r="M26" s="55"/>
      <c r="N26" s="55"/>
      <c r="O26" s="55"/>
      <c r="P26" s="55"/>
    </row>
    <row r="27" spans="1:16" x14ac:dyDescent="0.25">
      <c r="A27" s="55"/>
      <c r="B27" s="59" t="s">
        <v>45</v>
      </c>
      <c r="C27" s="55"/>
      <c r="D27" s="55"/>
      <c r="E27" s="55"/>
      <c r="F27" s="60">
        <f>E26-F25</f>
        <v>5549940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</row>
    <row r="28" spans="1:16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</row>
    <row r="29" spans="1:16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</row>
  </sheetData>
  <mergeCells count="7">
    <mergeCell ref="G13:J13"/>
    <mergeCell ref="K13:P13"/>
    <mergeCell ref="A4:A5"/>
    <mergeCell ref="C4:C5"/>
    <mergeCell ref="D4:D5"/>
    <mergeCell ref="E4:E5"/>
    <mergeCell ref="A13:A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9D58-80FD-48D6-90AD-37A0B1059914}">
  <dimension ref="A2:R59"/>
  <sheetViews>
    <sheetView showGridLines="0" tabSelected="1" workbookViewId="0">
      <selection activeCell="E17" sqref="E17"/>
    </sheetView>
  </sheetViews>
  <sheetFormatPr defaultColWidth="8.81640625" defaultRowHeight="11.5" x14ac:dyDescent="0.25"/>
  <cols>
    <col min="1" max="1" width="10.6328125" style="10" customWidth="1"/>
    <col min="2" max="2" width="40.453125" style="10" bestFit="1" customWidth="1"/>
    <col min="3" max="3" width="13.54296875" style="10" bestFit="1" customWidth="1"/>
    <col min="4" max="4" width="13.1796875" style="10" bestFit="1" customWidth="1"/>
    <col min="5" max="5" width="15.36328125" style="10" bestFit="1" customWidth="1"/>
    <col min="6" max="6" width="12.36328125" style="10" bestFit="1" customWidth="1"/>
    <col min="7" max="7" width="12.1796875" style="10" bestFit="1" customWidth="1"/>
    <col min="8" max="9" width="12.36328125" style="10" bestFit="1" customWidth="1"/>
    <col min="10" max="10" width="11.54296875" style="10" bestFit="1" customWidth="1"/>
    <col min="11" max="11" width="5.453125" style="10" bestFit="1" customWidth="1"/>
    <col min="12" max="12" width="13.36328125" style="10" bestFit="1" customWidth="1"/>
    <col min="13" max="13" width="9.1796875" style="10" bestFit="1" customWidth="1"/>
    <col min="14" max="14" width="13.36328125" style="10" bestFit="1" customWidth="1"/>
    <col min="15" max="15" width="8.1796875" style="10" bestFit="1" customWidth="1"/>
    <col min="16" max="16" width="10.08984375" style="10" bestFit="1" customWidth="1"/>
    <col min="17" max="17" width="14.7265625" style="10" bestFit="1" customWidth="1"/>
    <col min="18" max="18" width="10.08984375" style="10" bestFit="1" customWidth="1"/>
    <col min="19" max="20" width="8.81640625" style="10"/>
    <col min="21" max="21" width="10.08984375" style="10" bestFit="1" customWidth="1"/>
    <col min="22" max="16384" width="8.81640625" style="10"/>
  </cols>
  <sheetData>
    <row r="2" spans="1:6" x14ac:dyDescent="0.25">
      <c r="A2" s="6" t="s">
        <v>0</v>
      </c>
      <c r="B2" s="7"/>
      <c r="C2" s="8"/>
      <c r="D2" s="9"/>
      <c r="E2" s="9"/>
    </row>
    <row r="3" spans="1:6" x14ac:dyDescent="0.25">
      <c r="A3" s="6" t="s">
        <v>134</v>
      </c>
      <c r="B3" s="7"/>
      <c r="C3" s="8"/>
      <c r="D3" s="9"/>
      <c r="E3" s="9"/>
    </row>
    <row r="4" spans="1:6" x14ac:dyDescent="0.25">
      <c r="A4" s="14"/>
      <c r="B4" s="14"/>
      <c r="C4" s="14"/>
      <c r="D4" s="14"/>
      <c r="E4" s="14"/>
    </row>
    <row r="5" spans="1:6" x14ac:dyDescent="0.25">
      <c r="A5" s="96" t="s">
        <v>2</v>
      </c>
      <c r="B5" s="15" t="s">
        <v>3</v>
      </c>
      <c r="C5" s="98" t="s">
        <v>4</v>
      </c>
      <c r="D5" s="98" t="s">
        <v>5</v>
      </c>
      <c r="E5" s="98" t="s">
        <v>6</v>
      </c>
    </row>
    <row r="6" spans="1:6" ht="12" thickBot="1" x14ac:dyDescent="0.3">
      <c r="A6" s="97"/>
      <c r="B6" s="16" t="s">
        <v>7</v>
      </c>
      <c r="C6" s="99"/>
      <c r="D6" s="99"/>
      <c r="E6" s="99"/>
    </row>
    <row r="7" spans="1:6" x14ac:dyDescent="0.25">
      <c r="A7" s="17">
        <v>1</v>
      </c>
      <c r="B7" s="18" t="s">
        <v>8</v>
      </c>
      <c r="C7" s="46">
        <v>15416</v>
      </c>
      <c r="D7" s="46">
        <v>522991</v>
      </c>
      <c r="E7" s="35">
        <f t="shared" ref="E7:E10" si="0">C7*D7</f>
        <v>8062429256</v>
      </c>
    </row>
    <row r="8" spans="1:6" x14ac:dyDescent="0.25">
      <c r="A8" s="17">
        <v>2</v>
      </c>
      <c r="B8" s="18" t="s">
        <v>9</v>
      </c>
      <c r="C8" s="46">
        <v>15416</v>
      </c>
      <c r="D8" s="46">
        <v>107800</v>
      </c>
      <c r="E8" s="35">
        <f t="shared" si="0"/>
        <v>1661844800</v>
      </c>
    </row>
    <row r="9" spans="1:6" x14ac:dyDescent="0.25">
      <c r="A9" s="17">
        <v>3</v>
      </c>
      <c r="B9" s="18" t="s">
        <v>135</v>
      </c>
      <c r="C9" s="46">
        <v>15416</v>
      </c>
      <c r="D9" s="46">
        <v>57750</v>
      </c>
      <c r="E9" s="35">
        <f t="shared" si="0"/>
        <v>890274000</v>
      </c>
    </row>
    <row r="10" spans="1:6" x14ac:dyDescent="0.25">
      <c r="A10" s="17">
        <v>4</v>
      </c>
      <c r="B10" s="18" t="s">
        <v>136</v>
      </c>
      <c r="C10" s="46">
        <v>15416</v>
      </c>
      <c r="D10" s="46">
        <v>131610</v>
      </c>
      <c r="E10" s="35">
        <f t="shared" si="0"/>
        <v>2028899760</v>
      </c>
    </row>
    <row r="11" spans="1:6" ht="12" x14ac:dyDescent="0.3">
      <c r="A11" s="17">
        <v>5</v>
      </c>
      <c r="B11" s="18" t="s">
        <v>121</v>
      </c>
      <c r="C11" s="46">
        <v>15416</v>
      </c>
      <c r="D11" s="14">
        <v>983</v>
      </c>
      <c r="E11" s="12">
        <f>-C11*D11</f>
        <v>-15153928</v>
      </c>
      <c r="F11" s="115" t="s">
        <v>170</v>
      </c>
    </row>
    <row r="12" spans="1:6" x14ac:dyDescent="0.25">
      <c r="A12" s="17">
        <v>6</v>
      </c>
      <c r="B12" s="18" t="s">
        <v>137</v>
      </c>
      <c r="C12" s="46">
        <v>15416</v>
      </c>
      <c r="D12" s="14">
        <v>40495</v>
      </c>
      <c r="E12" s="35">
        <f>D12*C12</f>
        <v>624270920</v>
      </c>
    </row>
    <row r="13" spans="1:6" ht="12" x14ac:dyDescent="0.3">
      <c r="A13" s="17">
        <v>7</v>
      </c>
      <c r="B13" s="18" t="s">
        <v>138</v>
      </c>
      <c r="C13" s="46">
        <v>15416</v>
      </c>
      <c r="D13" s="47">
        <v>87999.710999999996</v>
      </c>
      <c r="E13" s="12">
        <f>-C13*D13</f>
        <v>-1356603544.776</v>
      </c>
      <c r="F13" s="115" t="s">
        <v>169</v>
      </c>
    </row>
    <row r="14" spans="1:6" x14ac:dyDescent="0.25">
      <c r="A14" s="17">
        <v>8</v>
      </c>
      <c r="B14" s="18" t="s">
        <v>120</v>
      </c>
      <c r="C14" s="46">
        <v>15416</v>
      </c>
      <c r="D14" s="14">
        <v>35680.5</v>
      </c>
      <c r="E14" s="35">
        <f>C14*D14</f>
        <v>550050588</v>
      </c>
    </row>
    <row r="15" spans="1:6" x14ac:dyDescent="0.25">
      <c r="A15" s="17"/>
      <c r="B15" s="18"/>
      <c r="C15" s="14"/>
      <c r="D15" s="14"/>
      <c r="E15" s="12"/>
    </row>
    <row r="16" spans="1:6" x14ac:dyDescent="0.25">
      <c r="A16" s="17"/>
      <c r="B16" s="18"/>
      <c r="C16" s="14"/>
      <c r="D16" s="14"/>
      <c r="E16" s="12"/>
    </row>
    <row r="17" spans="1:18" x14ac:dyDescent="0.25">
      <c r="A17" s="17"/>
      <c r="B17" s="39" t="s">
        <v>13</v>
      </c>
      <c r="C17" s="14"/>
      <c r="D17" s="40">
        <f>SUM(D11:D15)</f>
        <v>165158.21100000001</v>
      </c>
      <c r="E17" s="35">
        <f>SUM(E7:E10)+E12+E14</f>
        <v>13817769324</v>
      </c>
    </row>
    <row r="18" spans="1:18" x14ac:dyDescent="0.25">
      <c r="E18" s="116"/>
    </row>
    <row r="19" spans="1:18" x14ac:dyDescent="0.25">
      <c r="E19" s="43"/>
      <c r="J19" s="34">
        <v>45291</v>
      </c>
      <c r="N19" s="112">
        <f>SUBTOTAL(9,N24:N59)</f>
        <v>13944221691.5</v>
      </c>
      <c r="O19" s="112">
        <f>SUBTOTAL(9,O24:O59)</f>
        <v>0</v>
      </c>
      <c r="P19" s="112">
        <f>SUBTOTAL(9,P24:P59)</f>
        <v>0</v>
      </c>
      <c r="Q19" s="112">
        <f>SUBTOTAL(9,Q24:Q59)</f>
        <v>0</v>
      </c>
      <c r="R19" s="112">
        <f>SUBTOTAL(9,R24:R59)</f>
        <v>-15153928</v>
      </c>
    </row>
    <row r="20" spans="1:18" ht="12" thickBot="1" x14ac:dyDescent="0.3">
      <c r="A20" s="23" t="s">
        <v>14</v>
      </c>
      <c r="L20" s="112"/>
      <c r="M20" s="112"/>
    </row>
    <row r="21" spans="1:18" ht="12" thickTop="1" x14ac:dyDescent="0.25">
      <c r="A21" s="100" t="s">
        <v>15</v>
      </c>
      <c r="B21" s="1" t="s">
        <v>3</v>
      </c>
      <c r="C21" s="2" t="s">
        <v>60</v>
      </c>
      <c r="D21" s="113" t="s">
        <v>59</v>
      </c>
      <c r="E21" s="2" t="s">
        <v>4</v>
      </c>
      <c r="F21" s="113" t="s">
        <v>60</v>
      </c>
      <c r="G21" s="2" t="s">
        <v>153</v>
      </c>
      <c r="H21" s="3" t="s">
        <v>18</v>
      </c>
      <c r="I21" s="102" t="s">
        <v>33</v>
      </c>
      <c r="J21" s="102"/>
      <c r="K21" s="102"/>
      <c r="L21" s="102"/>
      <c r="M21" s="103" t="s">
        <v>34</v>
      </c>
      <c r="N21" s="104"/>
      <c r="O21" s="104"/>
      <c r="P21" s="104"/>
      <c r="Q21" s="104"/>
      <c r="R21" s="105"/>
    </row>
    <row r="22" spans="1:18" x14ac:dyDescent="0.25">
      <c r="A22" s="106"/>
      <c r="B22" s="73" t="s">
        <v>7</v>
      </c>
      <c r="C22" s="74" t="s">
        <v>5</v>
      </c>
      <c r="D22" s="74" t="s">
        <v>5</v>
      </c>
      <c r="E22" s="74" t="s">
        <v>19</v>
      </c>
      <c r="F22" s="76" t="s">
        <v>20</v>
      </c>
      <c r="G22" s="76" t="s">
        <v>20</v>
      </c>
      <c r="H22" s="76" t="s">
        <v>20</v>
      </c>
      <c r="I22" s="50" t="s">
        <v>35</v>
      </c>
      <c r="J22" s="50" t="s">
        <v>36</v>
      </c>
      <c r="K22" s="50" t="s">
        <v>37</v>
      </c>
      <c r="L22" s="50" t="s">
        <v>38</v>
      </c>
      <c r="M22" s="77" t="s">
        <v>39</v>
      </c>
      <c r="N22" s="77" t="s">
        <v>40</v>
      </c>
      <c r="O22" s="77" t="s">
        <v>41</v>
      </c>
      <c r="P22" s="77" t="s">
        <v>42</v>
      </c>
      <c r="Q22" s="77" t="s">
        <v>43</v>
      </c>
      <c r="R22" s="77" t="s">
        <v>44</v>
      </c>
    </row>
    <row r="23" spans="1:18" x14ac:dyDescent="0.25">
      <c r="A23" s="52" t="s">
        <v>71</v>
      </c>
      <c r="B23" s="78"/>
      <c r="C23" s="78"/>
      <c r="D23" s="78"/>
      <c r="E23" s="78"/>
      <c r="F23" s="78"/>
      <c r="G23" s="78"/>
      <c r="H23" s="79">
        <f>E7</f>
        <v>8062429256</v>
      </c>
      <c r="I23" s="78"/>
      <c r="J23" s="78"/>
      <c r="K23" s="78"/>
      <c r="L23" s="78"/>
      <c r="M23" s="78"/>
      <c r="N23" s="78"/>
      <c r="O23" s="78"/>
      <c r="P23" s="78"/>
      <c r="Q23" s="78"/>
      <c r="R23" s="78"/>
    </row>
    <row r="24" spans="1:18" customFormat="1" ht="14.5" x14ac:dyDescent="0.35">
      <c r="A24" s="55"/>
      <c r="B24" s="25" t="s">
        <v>72</v>
      </c>
      <c r="C24" s="27">
        <v>109497</v>
      </c>
      <c r="D24" s="27"/>
      <c r="E24" s="25">
        <v>15533</v>
      </c>
      <c r="F24" s="29">
        <f>+C24*E24</f>
        <v>1700816901</v>
      </c>
      <c r="G24" s="29"/>
      <c r="H24" s="81"/>
      <c r="I24" s="26" t="s">
        <v>139</v>
      </c>
      <c r="J24" s="24">
        <v>45282</v>
      </c>
      <c r="K24" s="55">
        <v>60</v>
      </c>
      <c r="L24" s="56">
        <f>J24+K24</f>
        <v>45342</v>
      </c>
      <c r="M24" s="55">
        <f>$J$19-L24</f>
        <v>-51</v>
      </c>
      <c r="N24" s="57">
        <f>F24</f>
        <v>1700816901</v>
      </c>
      <c r="O24" s="55"/>
      <c r="P24" s="55"/>
      <c r="Q24" s="55"/>
      <c r="R24" s="55"/>
    </row>
    <row r="25" spans="1:18" customFormat="1" ht="14.5" x14ac:dyDescent="0.35">
      <c r="A25" s="55"/>
      <c r="B25" s="25" t="s">
        <v>72</v>
      </c>
      <c r="C25" s="27">
        <v>100677</v>
      </c>
      <c r="D25" s="27"/>
      <c r="E25" s="25">
        <v>15533</v>
      </c>
      <c r="F25" s="29">
        <f>+C25*E25</f>
        <v>1563815841</v>
      </c>
      <c r="G25" s="29"/>
      <c r="H25" s="81"/>
      <c r="I25" s="26" t="s">
        <v>140</v>
      </c>
      <c r="J25" s="24">
        <v>45282</v>
      </c>
      <c r="K25" s="55">
        <v>60</v>
      </c>
      <c r="L25" s="56">
        <f t="shared" ref="L25:L28" si="1">J25+K25</f>
        <v>45342</v>
      </c>
      <c r="M25" s="55">
        <f>$J$19-L25</f>
        <v>-51</v>
      </c>
      <c r="N25" s="57">
        <f>F25</f>
        <v>1563815841</v>
      </c>
      <c r="O25" s="55"/>
      <c r="P25" s="55"/>
      <c r="Q25" s="55"/>
      <c r="R25" s="55"/>
    </row>
    <row r="26" spans="1:18" customFormat="1" ht="14.5" x14ac:dyDescent="0.35">
      <c r="A26" s="55"/>
      <c r="B26" s="25" t="s">
        <v>72</v>
      </c>
      <c r="C26" s="27">
        <v>109497</v>
      </c>
      <c r="D26" s="27"/>
      <c r="E26" s="25">
        <v>15414</v>
      </c>
      <c r="F26" s="29">
        <f>+C26*E26</f>
        <v>1687786758</v>
      </c>
      <c r="G26" s="29"/>
      <c r="H26" s="25"/>
      <c r="I26" s="26" t="s">
        <v>29</v>
      </c>
      <c r="J26" s="24">
        <v>45288</v>
      </c>
      <c r="K26" s="55">
        <v>60</v>
      </c>
      <c r="L26" s="56">
        <f t="shared" si="1"/>
        <v>45348</v>
      </c>
      <c r="M26" s="55">
        <f>$J$19-L26</f>
        <v>-57</v>
      </c>
      <c r="N26" s="57">
        <f>F26</f>
        <v>1687786758</v>
      </c>
      <c r="O26" s="55"/>
      <c r="P26" s="55"/>
      <c r="Q26" s="55"/>
      <c r="R26" s="55"/>
    </row>
    <row r="27" spans="1:18" customFormat="1" ht="14.5" x14ac:dyDescent="0.35">
      <c r="A27" s="55"/>
      <c r="B27" s="25" t="s">
        <v>72</v>
      </c>
      <c r="C27" s="27">
        <v>107100</v>
      </c>
      <c r="D27" s="27"/>
      <c r="E27" s="25">
        <v>15628</v>
      </c>
      <c r="F27" s="29">
        <f>+C27*E27</f>
        <v>1673758800</v>
      </c>
      <c r="G27" s="29"/>
      <c r="H27" s="81"/>
      <c r="I27" s="26" t="s">
        <v>23</v>
      </c>
      <c r="J27" s="24">
        <v>45290</v>
      </c>
      <c r="K27" s="55">
        <v>60</v>
      </c>
      <c r="L27" s="56">
        <f t="shared" si="1"/>
        <v>45350</v>
      </c>
      <c r="M27" s="55">
        <f>$J$19-L27</f>
        <v>-59</v>
      </c>
      <c r="N27" s="57">
        <f>F27</f>
        <v>1673758800</v>
      </c>
      <c r="O27" s="55"/>
      <c r="P27" s="55"/>
      <c r="Q27" s="55"/>
      <c r="R27" s="55"/>
    </row>
    <row r="28" spans="1:18" x14ac:dyDescent="0.25">
      <c r="A28" s="55"/>
      <c r="B28" s="25" t="s">
        <v>72</v>
      </c>
      <c r="C28" s="27">
        <v>95200</v>
      </c>
      <c r="D28" s="27"/>
      <c r="E28" s="25">
        <v>15767</v>
      </c>
      <c r="F28" s="29">
        <f>+C28*E28</f>
        <v>1501018400</v>
      </c>
      <c r="G28" s="29"/>
      <c r="H28" s="81"/>
      <c r="I28" s="26" t="s">
        <v>24</v>
      </c>
      <c r="J28" s="24">
        <v>45290</v>
      </c>
      <c r="K28" s="55">
        <v>60</v>
      </c>
      <c r="L28" s="56">
        <f t="shared" si="1"/>
        <v>45350</v>
      </c>
      <c r="M28" s="55">
        <f>$J$19-L28</f>
        <v>-59</v>
      </c>
      <c r="N28" s="57">
        <f>F28</f>
        <v>1501018400</v>
      </c>
      <c r="O28" s="55"/>
      <c r="P28" s="55"/>
      <c r="Q28" s="55"/>
      <c r="R28" s="55"/>
    </row>
    <row r="29" spans="1:18" x14ac:dyDescent="0.25">
      <c r="A29" s="55"/>
      <c r="B29" s="59" t="s">
        <v>45</v>
      </c>
      <c r="C29" s="55"/>
      <c r="D29" s="55"/>
      <c r="E29" s="55"/>
      <c r="F29" s="55"/>
      <c r="G29" s="55"/>
      <c r="H29" s="60">
        <f>SUM(F24:F28)-H23</f>
        <v>64767444</v>
      </c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spans="1:18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18" x14ac:dyDescent="0.25">
      <c r="A31" s="61" t="s">
        <v>47</v>
      </c>
      <c r="B31" s="55"/>
      <c r="C31" s="55"/>
      <c r="D31" s="55"/>
      <c r="E31" s="55"/>
      <c r="F31" s="55"/>
      <c r="G31" s="55"/>
      <c r="H31" s="63">
        <f>E8</f>
        <v>1661844800</v>
      </c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spans="1:18" x14ac:dyDescent="0.25">
      <c r="A32" s="55"/>
      <c r="B32" s="25" t="s">
        <v>46</v>
      </c>
      <c r="C32" s="27">
        <v>107800</v>
      </c>
      <c r="D32" s="27"/>
      <c r="E32" s="28">
        <v>15558</v>
      </c>
      <c r="F32" s="29">
        <f>+C32*E32</f>
        <v>1677152400</v>
      </c>
      <c r="G32" s="29"/>
      <c r="H32" s="27"/>
      <c r="I32" s="26" t="s">
        <v>141</v>
      </c>
      <c r="J32" s="24">
        <v>45290</v>
      </c>
      <c r="K32" s="55">
        <v>60</v>
      </c>
      <c r="L32" s="56">
        <f t="shared" ref="L32" si="2">J32+K32</f>
        <v>45350</v>
      </c>
      <c r="M32" s="55">
        <f>$J$19-L32</f>
        <v>-59</v>
      </c>
      <c r="N32" s="57">
        <f>F32</f>
        <v>1677152400</v>
      </c>
      <c r="O32" s="55"/>
      <c r="P32" s="55"/>
      <c r="Q32" s="55"/>
      <c r="R32" s="55"/>
    </row>
    <row r="33" spans="1:18" x14ac:dyDescent="0.25">
      <c r="A33" s="55"/>
      <c r="B33" s="59" t="s">
        <v>45</v>
      </c>
      <c r="C33" s="55"/>
      <c r="D33" s="55"/>
      <c r="E33" s="55"/>
      <c r="F33" s="55"/>
      <c r="G33" s="55"/>
      <c r="H33" s="60">
        <f>F32-H31</f>
        <v>15307600</v>
      </c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spans="1:18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spans="1:18" x14ac:dyDescent="0.25">
      <c r="A35" s="58" t="s">
        <v>142</v>
      </c>
      <c r="B35" s="55"/>
      <c r="C35" s="55"/>
      <c r="D35" s="55"/>
      <c r="E35" s="55"/>
      <c r="F35" s="55"/>
      <c r="G35" s="55"/>
      <c r="H35" s="57">
        <f>E9</f>
        <v>890274000</v>
      </c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spans="1:18" x14ac:dyDescent="0.25">
      <c r="A36" s="55"/>
      <c r="B36" s="25" t="s">
        <v>143</v>
      </c>
      <c r="C36" s="27">
        <v>57750</v>
      </c>
      <c r="D36" s="27"/>
      <c r="E36" s="28">
        <v>15592</v>
      </c>
      <c r="F36" s="29">
        <f>+C36*E36</f>
        <v>900438000</v>
      </c>
      <c r="G36" s="29"/>
      <c r="H36" s="27"/>
      <c r="I36" s="26"/>
      <c r="J36" s="24">
        <v>45290</v>
      </c>
      <c r="K36" s="55">
        <v>60</v>
      </c>
      <c r="L36" s="56">
        <f t="shared" ref="L36" si="3">J36+K36</f>
        <v>45350</v>
      </c>
      <c r="M36" s="55">
        <f>$J$19-L36</f>
        <v>-59</v>
      </c>
      <c r="N36" s="57">
        <f>F36</f>
        <v>900438000</v>
      </c>
      <c r="O36" s="55"/>
      <c r="P36" s="55"/>
      <c r="Q36" s="55"/>
      <c r="R36" s="55"/>
    </row>
    <row r="37" spans="1:18" x14ac:dyDescent="0.25">
      <c r="A37" s="55"/>
      <c r="B37" s="59" t="s">
        <v>45</v>
      </c>
      <c r="C37" s="55"/>
      <c r="D37" s="55"/>
      <c r="E37" s="55"/>
      <c r="F37" s="55"/>
      <c r="G37" s="55"/>
      <c r="H37" s="60">
        <f>F36-H35</f>
        <v>10164000</v>
      </c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spans="1:18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spans="1:18" x14ac:dyDescent="0.25">
      <c r="A39" s="58" t="s">
        <v>61</v>
      </c>
      <c r="B39" s="55"/>
      <c r="C39" s="55"/>
      <c r="D39" s="55"/>
      <c r="E39" s="55"/>
      <c r="F39" s="55"/>
      <c r="G39" s="55"/>
      <c r="H39" s="63">
        <f>E10</f>
        <v>2028899760</v>
      </c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spans="1:18" x14ac:dyDescent="0.25">
      <c r="A40" s="55"/>
      <c r="B40" s="25" t="s">
        <v>62</v>
      </c>
      <c r="C40" s="27">
        <v>62160</v>
      </c>
      <c r="D40" s="27"/>
      <c r="E40" s="28">
        <v>15518</v>
      </c>
      <c r="F40" s="29">
        <f>+C40*E40</f>
        <v>964598880</v>
      </c>
      <c r="G40" s="29"/>
      <c r="H40" s="27"/>
      <c r="I40" s="26" t="s">
        <v>139</v>
      </c>
      <c r="J40" s="24">
        <v>45290</v>
      </c>
      <c r="K40" s="55">
        <v>60</v>
      </c>
      <c r="L40" s="56">
        <f t="shared" ref="L40:L41" si="4">J40+K40</f>
        <v>45350</v>
      </c>
      <c r="M40" s="55">
        <f>$J$19-L40</f>
        <v>-59</v>
      </c>
      <c r="N40" s="57">
        <f>F40</f>
        <v>964598880</v>
      </c>
      <c r="O40" s="55"/>
      <c r="P40" s="55"/>
      <c r="Q40" s="55"/>
      <c r="R40" s="55"/>
    </row>
    <row r="41" spans="1:18" x14ac:dyDescent="0.25">
      <c r="A41" s="55"/>
      <c r="B41" s="25" t="s">
        <v>62</v>
      </c>
      <c r="C41" s="27">
        <v>69450</v>
      </c>
      <c r="D41" s="27"/>
      <c r="E41" s="28">
        <v>15656</v>
      </c>
      <c r="F41" s="29">
        <f>+C41*E41</f>
        <v>1087309200</v>
      </c>
      <c r="G41" s="29"/>
      <c r="H41" s="27"/>
      <c r="I41" s="26" t="s">
        <v>140</v>
      </c>
      <c r="J41" s="24">
        <v>45290</v>
      </c>
      <c r="K41" s="55">
        <v>60</v>
      </c>
      <c r="L41" s="56">
        <f t="shared" si="4"/>
        <v>45350</v>
      </c>
      <c r="M41" s="55">
        <f>$J$19-L41</f>
        <v>-59</v>
      </c>
      <c r="N41" s="57">
        <f>F41</f>
        <v>1087309200</v>
      </c>
      <c r="O41" s="55"/>
      <c r="P41" s="55"/>
      <c r="Q41" s="55"/>
      <c r="R41" s="55"/>
    </row>
    <row r="42" spans="1:18" x14ac:dyDescent="0.25">
      <c r="A42" s="55"/>
      <c r="B42" s="59" t="s">
        <v>45</v>
      </c>
      <c r="C42" s="55"/>
      <c r="D42" s="55"/>
      <c r="E42" s="55"/>
      <c r="F42" s="55"/>
      <c r="G42" s="55"/>
      <c r="H42" s="68">
        <f>SUM(F40:F41)-H39</f>
        <v>23008320</v>
      </c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spans="1:18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spans="1:18" x14ac:dyDescent="0.25">
      <c r="A44" s="58" t="s">
        <v>65</v>
      </c>
      <c r="B44" s="55"/>
      <c r="C44" s="55"/>
      <c r="D44" s="55"/>
      <c r="E44" s="55"/>
      <c r="F44" s="55"/>
      <c r="G44" s="55"/>
      <c r="H44" s="63">
        <f>E11</f>
        <v>-15153928</v>
      </c>
      <c r="I44" s="55"/>
      <c r="J44" s="55"/>
      <c r="K44" s="55"/>
      <c r="L44" s="55"/>
      <c r="M44" s="55"/>
      <c r="N44" s="55"/>
      <c r="O44" s="55"/>
      <c r="P44" s="55"/>
      <c r="Q44" s="55"/>
      <c r="R44" s="57">
        <f>H44</f>
        <v>-15153928</v>
      </c>
    </row>
    <row r="45" spans="1:18" x14ac:dyDescent="0.25">
      <c r="A45" s="55"/>
      <c r="B45" s="59" t="s">
        <v>45</v>
      </c>
      <c r="C45" s="55"/>
      <c r="D45" s="55"/>
      <c r="E45" s="55"/>
      <c r="F45" s="55"/>
      <c r="G45" s="55"/>
      <c r="H45" s="60">
        <f>H44</f>
        <v>-15153928</v>
      </c>
      <c r="I45" s="55"/>
      <c r="J45" s="55"/>
      <c r="K45" s="55"/>
      <c r="L45" s="56"/>
      <c r="M45" s="55"/>
      <c r="N45" s="57"/>
      <c r="O45" s="55"/>
      <c r="P45" s="55"/>
      <c r="Q45" s="55"/>
      <c r="R45" s="57"/>
    </row>
    <row r="46" spans="1:18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spans="1:18" x14ac:dyDescent="0.25">
      <c r="A47" s="58" t="s">
        <v>144</v>
      </c>
      <c r="B47" s="55"/>
      <c r="C47" s="55"/>
      <c r="D47" s="55"/>
      <c r="E47" s="55"/>
      <c r="F47" s="55"/>
      <c r="G47" s="55"/>
      <c r="H47" s="63">
        <f>E12</f>
        <v>624270920</v>
      </c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spans="1:18" x14ac:dyDescent="0.25">
      <c r="A48" s="55"/>
      <c r="B48" s="25" t="s">
        <v>67</v>
      </c>
      <c r="C48" s="27">
        <v>40495</v>
      </c>
      <c r="D48" s="27"/>
      <c r="E48" s="28">
        <v>15639</v>
      </c>
      <c r="F48" s="29">
        <f>+C48*E48</f>
        <v>633301305</v>
      </c>
      <c r="G48" s="29"/>
      <c r="H48" s="25"/>
      <c r="I48" s="26" t="s">
        <v>145</v>
      </c>
      <c r="J48" s="24">
        <v>45290</v>
      </c>
      <c r="K48" s="55">
        <v>60</v>
      </c>
      <c r="L48" s="56">
        <f t="shared" ref="L48" si="5">J48+K48</f>
        <v>45350</v>
      </c>
      <c r="M48" s="55">
        <f>$J$19-L48</f>
        <v>-59</v>
      </c>
      <c r="N48" s="57">
        <f>F48</f>
        <v>633301305</v>
      </c>
      <c r="O48" s="55"/>
      <c r="P48" s="55"/>
      <c r="Q48" s="55"/>
      <c r="R48" s="55"/>
    </row>
    <row r="49" spans="1:18" x14ac:dyDescent="0.25">
      <c r="A49" s="55"/>
      <c r="B49" s="59" t="s">
        <v>45</v>
      </c>
      <c r="C49" s="55"/>
      <c r="D49" s="55"/>
      <c r="E49" s="55"/>
      <c r="F49" s="55"/>
      <c r="G49" s="55"/>
      <c r="H49" s="60">
        <f>F48-H47</f>
        <v>9030385</v>
      </c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1:18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spans="1:18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spans="1:18" x14ac:dyDescent="0.25">
      <c r="A52" s="58" t="s">
        <v>106</v>
      </c>
      <c r="B52" s="55"/>
      <c r="C52" s="55"/>
      <c r="D52" s="55"/>
      <c r="E52" s="55"/>
      <c r="F52" s="55"/>
      <c r="G52" s="55"/>
      <c r="H52" s="63">
        <f>E13</f>
        <v>-1356603544.776</v>
      </c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spans="1:18" x14ac:dyDescent="0.25">
      <c r="A53" s="114" t="s">
        <v>168</v>
      </c>
      <c r="B53" s="25" t="s">
        <v>167</v>
      </c>
      <c r="C53" s="27"/>
      <c r="D53" s="27">
        <v>87999.71</v>
      </c>
      <c r="E53" s="28">
        <v>15489</v>
      </c>
      <c r="F53" s="29"/>
      <c r="G53" s="29">
        <v>1363027508.1900001</v>
      </c>
      <c r="H53" s="27"/>
      <c r="I53" s="26" t="s">
        <v>164</v>
      </c>
      <c r="J53" s="24">
        <v>45287</v>
      </c>
      <c r="K53" s="55"/>
      <c r="L53" s="56"/>
      <c r="M53" s="55"/>
      <c r="N53" s="57"/>
      <c r="O53" s="55"/>
      <c r="P53" s="55"/>
      <c r="Q53" s="55"/>
      <c r="R53" s="55"/>
    </row>
    <row r="54" spans="1:18" x14ac:dyDescent="0.25">
      <c r="A54" s="55"/>
      <c r="B54" s="59" t="s">
        <v>45</v>
      </c>
      <c r="C54" s="55"/>
      <c r="D54" s="55"/>
      <c r="E54" s="55"/>
      <c r="F54" s="55"/>
      <c r="G54" s="55"/>
      <c r="H54" s="60">
        <f>H52-G53</f>
        <v>-2719631052.9660001</v>
      </c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spans="1:18" customFormat="1" ht="14.5" x14ac:dyDescent="0.3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spans="1:18" x14ac:dyDescent="0.25">
      <c r="A56" s="58" t="s">
        <v>125</v>
      </c>
      <c r="B56" s="55"/>
      <c r="C56" s="55"/>
      <c r="D56" s="55"/>
      <c r="E56" s="55"/>
      <c r="F56" s="55"/>
      <c r="G56" s="55"/>
      <c r="H56" s="63">
        <f>E14</f>
        <v>550050588</v>
      </c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spans="1:18" x14ac:dyDescent="0.25">
      <c r="A57" s="55"/>
      <c r="B57" s="87" t="s">
        <v>125</v>
      </c>
      <c r="C57" s="27">
        <v>35680.5</v>
      </c>
      <c r="D57" s="27"/>
      <c r="E57" s="25">
        <v>15533</v>
      </c>
      <c r="F57" s="25">
        <f>+C57*E57</f>
        <v>554225206.5</v>
      </c>
      <c r="G57" s="25"/>
      <c r="H57" s="25"/>
      <c r="I57" s="26" t="s">
        <v>22</v>
      </c>
      <c r="J57" s="89">
        <v>45286</v>
      </c>
      <c r="K57" s="55">
        <v>60</v>
      </c>
      <c r="L57" s="56">
        <f>J57+K57</f>
        <v>45346</v>
      </c>
      <c r="M57" s="55">
        <f>$J$19-L57</f>
        <v>-55</v>
      </c>
      <c r="N57" s="57">
        <f t="shared" ref="N57" si="6">F57</f>
        <v>554225206.5</v>
      </c>
      <c r="O57" s="55"/>
      <c r="P57" s="55"/>
      <c r="Q57" s="55"/>
      <c r="R57" s="55"/>
    </row>
    <row r="58" spans="1:18" x14ac:dyDescent="0.25">
      <c r="A58" s="55"/>
      <c r="B58" s="59" t="s">
        <v>45</v>
      </c>
      <c r="C58" s="55"/>
      <c r="D58" s="55"/>
      <c r="E58" s="55"/>
      <c r="F58" s="55"/>
      <c r="G58" s="55"/>
      <c r="H58" s="60">
        <f>F57-H56</f>
        <v>4174618.5</v>
      </c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spans="1:18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</sheetData>
  <mergeCells count="7">
    <mergeCell ref="I21:L21"/>
    <mergeCell ref="M21:R21"/>
    <mergeCell ref="A5:A6"/>
    <mergeCell ref="C5:C6"/>
    <mergeCell ref="D5:D6"/>
    <mergeCell ref="E5:E6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SQS Consulting</dc:creator>
  <cp:lastModifiedBy>SQS Consulting</cp:lastModifiedBy>
  <dcterms:created xsi:type="dcterms:W3CDTF">2025-03-11T06:25:47Z</dcterms:created>
  <dcterms:modified xsi:type="dcterms:W3CDTF">2025-03-14T04:07:52Z</dcterms:modified>
</cp:coreProperties>
</file>