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RIA\KONSOLIDASI IAS-ISP\04-1. AFTER IPO\3. Desember 2024\Aging Piutang Per Bulan\2024\"/>
    </mc:Choice>
  </mc:AlternateContent>
  <xr:revisionPtr revIDLastSave="0" documentId="13_ncr:1_{152767E6-B6B0-4421-A85B-7FE386A402AF}" xr6:coauthVersionLast="47" xr6:coauthVersionMax="47" xr10:uidLastSave="{00000000-0000-0000-0000-000000000000}"/>
  <bookViews>
    <workbookView xWindow="-110" yWindow="-110" windowWidth="19420" windowHeight="10420" firstSheet="2" activeTab="11" xr2:uid="{9CF11C7B-45A4-4C26-B500-F4FF1756D001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2" l="1"/>
  <c r="I14" i="12"/>
  <c r="I13" i="12"/>
  <c r="I12" i="12"/>
  <c r="I11" i="12"/>
  <c r="I10" i="12"/>
  <c r="I9" i="12"/>
  <c r="I8" i="12"/>
  <c r="H15" i="12"/>
  <c r="H14" i="12"/>
  <c r="H13" i="12"/>
  <c r="H12" i="12"/>
  <c r="H11" i="12"/>
  <c r="H10" i="12"/>
  <c r="H9" i="12"/>
  <c r="H8" i="12"/>
  <c r="M20" i="12"/>
  <c r="P20" i="12"/>
  <c r="O20" i="12"/>
  <c r="N20" i="12"/>
  <c r="L20" i="12"/>
  <c r="L70" i="12"/>
  <c r="J70" i="12"/>
  <c r="K70" i="12" s="1"/>
  <c r="L66" i="12"/>
  <c r="J66" i="12"/>
  <c r="K66" i="12" s="1"/>
  <c r="L65" i="12"/>
  <c r="J65" i="12"/>
  <c r="K65" i="12" s="1"/>
  <c r="L61" i="12"/>
  <c r="J61" i="12"/>
  <c r="K61" i="12" s="1"/>
  <c r="L57" i="12"/>
  <c r="J57" i="12"/>
  <c r="K57" i="12" s="1"/>
  <c r="L56" i="12"/>
  <c r="J56" i="12"/>
  <c r="K56" i="12" s="1"/>
  <c r="L52" i="12"/>
  <c r="J52" i="12"/>
  <c r="K52" i="12" s="1"/>
  <c r="L48" i="12"/>
  <c r="J48" i="12"/>
  <c r="K48" i="12" s="1"/>
  <c r="L47" i="12"/>
  <c r="J47" i="12"/>
  <c r="K47" i="12" s="1"/>
  <c r="L43" i="12"/>
  <c r="J43" i="12"/>
  <c r="K43" i="12" s="1"/>
  <c r="L42" i="12"/>
  <c r="J42" i="12"/>
  <c r="K42" i="12" s="1"/>
  <c r="L41" i="12"/>
  <c r="J41" i="12"/>
  <c r="K41" i="12" s="1"/>
  <c r="L40" i="12"/>
  <c r="J40" i="12"/>
  <c r="K40" i="12" s="1"/>
  <c r="L39" i="12"/>
  <c r="J39" i="12"/>
  <c r="K39" i="12" s="1"/>
  <c r="L35" i="12"/>
  <c r="J35" i="12"/>
  <c r="K35" i="12" s="1"/>
  <c r="L34" i="12"/>
  <c r="J34" i="12"/>
  <c r="K34" i="12" s="1"/>
  <c r="L33" i="12"/>
  <c r="J33" i="12"/>
  <c r="K33" i="12" s="1"/>
  <c r="L32" i="12"/>
  <c r="J32" i="12"/>
  <c r="K32" i="12" s="1"/>
  <c r="L31" i="12"/>
  <c r="J31" i="12"/>
  <c r="K31" i="12" s="1"/>
  <c r="L30" i="12"/>
  <c r="J30" i="12"/>
  <c r="K30" i="12" s="1"/>
  <c r="L29" i="12"/>
  <c r="J29" i="12"/>
  <c r="K29" i="12" s="1"/>
  <c r="L28" i="12"/>
  <c r="J28" i="12"/>
  <c r="K28" i="12" s="1"/>
  <c r="L27" i="12"/>
  <c r="J27" i="12"/>
  <c r="K27" i="12" s="1"/>
  <c r="L26" i="12"/>
  <c r="J26" i="12"/>
  <c r="K26" i="12" s="1"/>
  <c r="L25" i="12"/>
  <c r="K25" i="12"/>
  <c r="J25" i="12"/>
  <c r="E70" i="12"/>
  <c r="E66" i="12"/>
  <c r="E65" i="12"/>
  <c r="E61" i="12"/>
  <c r="E57" i="12"/>
  <c r="E56" i="12"/>
  <c r="E52" i="12"/>
  <c r="E48" i="12"/>
  <c r="E47" i="12"/>
  <c r="E43" i="12"/>
  <c r="E42" i="12"/>
  <c r="E41" i="12"/>
  <c r="E40" i="12"/>
  <c r="E39" i="12"/>
  <c r="E35" i="12"/>
  <c r="E34" i="12"/>
  <c r="E33" i="12"/>
  <c r="E32" i="12"/>
  <c r="E31" i="12"/>
  <c r="E30" i="12"/>
  <c r="E29" i="12"/>
  <c r="E28" i="12"/>
  <c r="E27" i="12"/>
  <c r="E26" i="12"/>
  <c r="F38" i="12"/>
  <c r="F46" i="12"/>
  <c r="F51" i="12"/>
  <c r="E25" i="12"/>
  <c r="F69" i="12"/>
  <c r="F64" i="12"/>
  <c r="F60" i="12"/>
  <c r="F55" i="12"/>
  <c r="F24" i="12"/>
  <c r="F71" i="12" l="1"/>
  <c r="F67" i="12"/>
  <c r="F62" i="12"/>
  <c r="F58" i="12"/>
  <c r="F53" i="12"/>
  <c r="F49" i="12"/>
  <c r="F44" i="12"/>
  <c r="F36" i="12"/>
  <c r="F17" i="12" l="1"/>
  <c r="E17" i="12"/>
  <c r="G15" i="12"/>
  <c r="G14" i="12"/>
  <c r="G13" i="12"/>
  <c r="G12" i="12"/>
  <c r="G11" i="12"/>
  <c r="G10" i="12"/>
  <c r="G9" i="12"/>
  <c r="G8" i="12"/>
  <c r="G17" i="12" s="1"/>
  <c r="F18" i="12" l="1"/>
  <c r="D17" i="12" l="1"/>
  <c r="P16" i="11"/>
  <c r="O16" i="11"/>
  <c r="N16" i="11"/>
  <c r="M16" i="11"/>
  <c r="L16" i="11"/>
  <c r="P15" i="10"/>
  <c r="O15" i="10"/>
  <c r="N15" i="10"/>
  <c r="M15" i="10"/>
  <c r="L15" i="10"/>
  <c r="P13" i="9"/>
  <c r="O13" i="9"/>
  <c r="N13" i="9"/>
  <c r="M13" i="9"/>
  <c r="L13" i="9"/>
  <c r="P13" i="8"/>
  <c r="O13" i="8"/>
  <c r="N13" i="8"/>
  <c r="M13" i="8"/>
  <c r="L13" i="8"/>
  <c r="P11" i="7"/>
  <c r="O11" i="7"/>
  <c r="N11" i="7"/>
  <c r="M11" i="7"/>
  <c r="L11" i="7"/>
  <c r="P11" i="6"/>
  <c r="O11" i="6"/>
  <c r="N11" i="6"/>
  <c r="M11" i="6"/>
  <c r="L11" i="6"/>
  <c r="P13" i="5"/>
  <c r="O13" i="5"/>
  <c r="N13" i="5"/>
  <c r="M13" i="5"/>
  <c r="L13" i="5"/>
  <c r="P13" i="4"/>
  <c r="O13" i="4"/>
  <c r="N13" i="4"/>
  <c r="M13" i="4"/>
  <c r="L13" i="4"/>
  <c r="P13" i="1"/>
  <c r="O13" i="1"/>
  <c r="N13" i="1"/>
  <c r="M13" i="1"/>
  <c r="L13" i="1"/>
  <c r="P12" i="2"/>
  <c r="O12" i="2"/>
  <c r="N12" i="2"/>
  <c r="M12" i="2"/>
  <c r="L12" i="2"/>
  <c r="P14" i="3"/>
  <c r="O14" i="3"/>
  <c r="N14" i="3"/>
  <c r="M14" i="3"/>
  <c r="L14" i="3"/>
  <c r="L35" i="3"/>
  <c r="L31" i="3"/>
  <c r="L27" i="3"/>
  <c r="L20" i="3"/>
  <c r="L19" i="3"/>
  <c r="P30" i="11"/>
  <c r="L42" i="11"/>
  <c r="J42" i="11"/>
  <c r="K42" i="11" s="1"/>
  <c r="L38" i="11"/>
  <c r="J38" i="11"/>
  <c r="K38" i="11" s="1"/>
  <c r="L34" i="11"/>
  <c r="J34" i="11"/>
  <c r="K34" i="11" s="1"/>
  <c r="L27" i="11"/>
  <c r="J27" i="11"/>
  <c r="K27" i="11" s="1"/>
  <c r="L23" i="11"/>
  <c r="J23" i="11"/>
  <c r="K23" i="11" s="1"/>
  <c r="L22" i="11"/>
  <c r="J22" i="11"/>
  <c r="K22" i="11" s="1"/>
  <c r="L21" i="11"/>
  <c r="K21" i="11"/>
  <c r="J21" i="11"/>
  <c r="E42" i="11"/>
  <c r="E38" i="11"/>
  <c r="E34" i="11"/>
  <c r="E27" i="11"/>
  <c r="E23" i="11"/>
  <c r="E22" i="11"/>
  <c r="E21" i="11"/>
  <c r="E11" i="11"/>
  <c r="F41" i="11" s="1"/>
  <c r="E10" i="11"/>
  <c r="F37" i="11" s="1"/>
  <c r="F39" i="11" s="1"/>
  <c r="E9" i="11"/>
  <c r="F33" i="11" s="1"/>
  <c r="E7" i="11"/>
  <c r="F26" i="11" s="1"/>
  <c r="E6" i="11"/>
  <c r="F20" i="11" s="1"/>
  <c r="L43" i="10"/>
  <c r="J43" i="10"/>
  <c r="K43" i="10" s="1"/>
  <c r="L39" i="10"/>
  <c r="J39" i="10"/>
  <c r="K39" i="10" s="1"/>
  <c r="L38" i="10"/>
  <c r="J38" i="10"/>
  <c r="K38" i="10" s="1"/>
  <c r="L34" i="10"/>
  <c r="J34" i="10"/>
  <c r="K34" i="10" s="1"/>
  <c r="L30" i="10"/>
  <c r="J30" i="10"/>
  <c r="K30" i="10" s="1"/>
  <c r="L29" i="10"/>
  <c r="J29" i="10"/>
  <c r="K29" i="10" s="1"/>
  <c r="L25" i="10"/>
  <c r="J25" i="10"/>
  <c r="K25" i="10" s="1"/>
  <c r="L21" i="10"/>
  <c r="J21" i="10"/>
  <c r="K21" i="10" s="1"/>
  <c r="L20" i="10"/>
  <c r="K20" i="10"/>
  <c r="J20" i="10"/>
  <c r="E43" i="10"/>
  <c r="E39" i="10"/>
  <c r="E38" i="10"/>
  <c r="E34" i="10"/>
  <c r="E30" i="10"/>
  <c r="E29" i="10"/>
  <c r="E25" i="10"/>
  <c r="E21" i="10"/>
  <c r="E20" i="10"/>
  <c r="D13" i="10"/>
  <c r="E11" i="10"/>
  <c r="F42" i="10" s="1"/>
  <c r="E10" i="10"/>
  <c r="F37" i="10" s="1"/>
  <c r="E9" i="10"/>
  <c r="F33" i="10" s="1"/>
  <c r="E8" i="10"/>
  <c r="F28" i="10" s="1"/>
  <c r="E7" i="10"/>
  <c r="F24" i="10" s="1"/>
  <c r="E6" i="10"/>
  <c r="L35" i="9"/>
  <c r="L31" i="9"/>
  <c r="L27" i="9"/>
  <c r="L23" i="9"/>
  <c r="L22" i="9"/>
  <c r="L21" i="9"/>
  <c r="L20" i="9"/>
  <c r="L19" i="9"/>
  <c r="L18" i="9"/>
  <c r="J35" i="9"/>
  <c r="K35" i="9" s="1"/>
  <c r="J31" i="9"/>
  <c r="K31" i="9" s="1"/>
  <c r="J27" i="9"/>
  <c r="K27" i="9" s="1"/>
  <c r="J23" i="9"/>
  <c r="K23" i="9" s="1"/>
  <c r="J22" i="9"/>
  <c r="K22" i="9" s="1"/>
  <c r="J21" i="9"/>
  <c r="K21" i="9" s="1"/>
  <c r="J20" i="9"/>
  <c r="K20" i="9" s="1"/>
  <c r="J19" i="9"/>
  <c r="K19" i="9" s="1"/>
  <c r="K18" i="9"/>
  <c r="J18" i="9"/>
  <c r="E35" i="9"/>
  <c r="E31" i="9"/>
  <c r="E27" i="9"/>
  <c r="E23" i="9"/>
  <c r="E22" i="9"/>
  <c r="E21" i="9"/>
  <c r="E20" i="9"/>
  <c r="E19" i="9"/>
  <c r="E18" i="9"/>
  <c r="D11" i="9"/>
  <c r="E9" i="9"/>
  <c r="F34" i="9" s="1"/>
  <c r="E8" i="9"/>
  <c r="F30" i="9" s="1"/>
  <c r="E7" i="9"/>
  <c r="F26" i="9" s="1"/>
  <c r="E6" i="9"/>
  <c r="L28" i="8"/>
  <c r="L24" i="8"/>
  <c r="L20" i="8"/>
  <c r="L19" i="8"/>
  <c r="L18" i="8"/>
  <c r="K28" i="8"/>
  <c r="K24" i="8"/>
  <c r="K20" i="8"/>
  <c r="K19" i="8"/>
  <c r="K18" i="8"/>
  <c r="F31" i="8"/>
  <c r="J28" i="8"/>
  <c r="E28" i="8"/>
  <c r="J24" i="8"/>
  <c r="J20" i="8"/>
  <c r="J19" i="8"/>
  <c r="J18" i="8"/>
  <c r="E24" i="8"/>
  <c r="F43" i="11" l="1"/>
  <c r="F35" i="11"/>
  <c r="F24" i="11"/>
  <c r="F28" i="11"/>
  <c r="D13" i="11"/>
  <c r="E8" i="11"/>
  <c r="E13" i="10"/>
  <c r="F19" i="10"/>
  <c r="F22" i="10"/>
  <c r="F26" i="10"/>
  <c r="F31" i="10"/>
  <c r="F35" i="10"/>
  <c r="F40" i="10"/>
  <c r="F44" i="10"/>
  <c r="E11" i="9"/>
  <c r="F17" i="9"/>
  <c r="F24" i="9"/>
  <c r="F28" i="9"/>
  <c r="F32" i="9"/>
  <c r="F36" i="9"/>
  <c r="F32" i="8"/>
  <c r="P31" i="8"/>
  <c r="E13" i="11" l="1"/>
  <c r="F30" i="11"/>
  <c r="F31" i="11" s="1"/>
  <c r="E20" i="8"/>
  <c r="E19" i="8"/>
  <c r="E18" i="8"/>
  <c r="E8" i="8"/>
  <c r="F27" i="8" s="1"/>
  <c r="F29" i="8" s="1"/>
  <c r="E7" i="8"/>
  <c r="F23" i="8" s="1"/>
  <c r="F25" i="8" s="1"/>
  <c r="E6" i="8"/>
  <c r="F17" i="8" s="1"/>
  <c r="M16" i="6"/>
  <c r="K16" i="6"/>
  <c r="J16" i="6"/>
  <c r="P19" i="6"/>
  <c r="F19" i="6"/>
  <c r="P25" i="5"/>
  <c r="F20" i="6"/>
  <c r="F15" i="6"/>
  <c r="E16" i="6"/>
  <c r="F17" i="6"/>
  <c r="E6" i="6"/>
  <c r="L29" i="5"/>
  <c r="K29" i="5"/>
  <c r="L18" i="5"/>
  <c r="K18" i="5"/>
  <c r="J29" i="5"/>
  <c r="J18" i="5"/>
  <c r="E29" i="5"/>
  <c r="J22" i="5"/>
  <c r="K22" i="5" s="1"/>
  <c r="E22" i="5"/>
  <c r="L22" i="5" s="1"/>
  <c r="E18" i="5"/>
  <c r="E9" i="5"/>
  <c r="F28" i="5" s="1"/>
  <c r="F30" i="5" s="1"/>
  <c r="E7" i="5"/>
  <c r="F21" i="5" s="1"/>
  <c r="F23" i="5" s="1"/>
  <c r="E6" i="5"/>
  <c r="F17" i="5" s="1"/>
  <c r="F19" i="5" s="1"/>
  <c r="J30" i="4"/>
  <c r="K30" i="4" s="1"/>
  <c r="J23" i="4"/>
  <c r="K23" i="4" s="1"/>
  <c r="J19" i="4"/>
  <c r="K19" i="4" s="1"/>
  <c r="J18" i="4"/>
  <c r="K18" i="4" s="1"/>
  <c r="E30" i="4"/>
  <c r="L30" i="4" s="1"/>
  <c r="E23" i="4"/>
  <c r="L23" i="4" s="1"/>
  <c r="E19" i="4"/>
  <c r="L19" i="4" s="1"/>
  <c r="E18" i="4"/>
  <c r="L18" i="4" s="1"/>
  <c r="E9" i="4"/>
  <c r="F29" i="4" s="1"/>
  <c r="F31" i="4" s="1"/>
  <c r="E7" i="4"/>
  <c r="F22" i="4" s="1"/>
  <c r="F24" i="4" s="1"/>
  <c r="E6" i="4"/>
  <c r="F17" i="4" s="1"/>
  <c r="F20" i="4" s="1"/>
  <c r="J35" i="3"/>
  <c r="K35" i="3" s="1"/>
  <c r="J31" i="3"/>
  <c r="K31" i="3" s="1"/>
  <c r="J27" i="3"/>
  <c r="K27" i="3" s="1"/>
  <c r="E35" i="3"/>
  <c r="E31" i="3"/>
  <c r="E27" i="3"/>
  <c r="J20" i="3"/>
  <c r="K20" i="3" s="1"/>
  <c r="J19" i="3"/>
  <c r="K19" i="3" s="1"/>
  <c r="E20" i="3"/>
  <c r="E19" i="3"/>
  <c r="E10" i="3"/>
  <c r="F34" i="3" s="1"/>
  <c r="F36" i="3" s="1"/>
  <c r="E9" i="3"/>
  <c r="F30" i="3" s="1"/>
  <c r="F32" i="3" s="1"/>
  <c r="E8" i="3"/>
  <c r="F26" i="3" s="1"/>
  <c r="F28" i="3" s="1"/>
  <c r="E6" i="3"/>
  <c r="F18" i="3" s="1"/>
  <c r="F21" i="3" s="1"/>
  <c r="J21" i="2"/>
  <c r="K21" i="2" s="1"/>
  <c r="E21" i="2"/>
  <c r="M21" i="2" s="1"/>
  <c r="J17" i="2"/>
  <c r="K17" i="2" s="1"/>
  <c r="E17" i="2"/>
  <c r="L17" i="2" s="1"/>
  <c r="E8" i="2"/>
  <c r="I24" i="2" s="1"/>
  <c r="P24" i="2" s="1"/>
  <c r="E6" i="2"/>
  <c r="F16" i="2" s="1"/>
  <c r="F18" i="2" s="1"/>
  <c r="E18" i="1"/>
  <c r="J29" i="1"/>
  <c r="K29" i="1" s="1"/>
  <c r="J22" i="1"/>
  <c r="K22" i="1" s="1"/>
  <c r="E29" i="1"/>
  <c r="L29" i="1" s="1"/>
  <c r="E22" i="1"/>
  <c r="J18" i="1"/>
  <c r="K18" i="1" s="1"/>
  <c r="L18" i="1"/>
  <c r="F21" i="8" l="1"/>
  <c r="D11" i="8"/>
  <c r="E9" i="8"/>
  <c r="E11" i="8" s="1"/>
  <c r="D8" i="7"/>
  <c r="E6" i="7"/>
  <c r="D9" i="6"/>
  <c r="E7" i="6"/>
  <c r="E9" i="6" s="1"/>
  <c r="D11" i="5"/>
  <c r="E8" i="5"/>
  <c r="D11" i="4"/>
  <c r="E8" i="4"/>
  <c r="D12" i="3"/>
  <c r="E7" i="3"/>
  <c r="R24" i="2"/>
  <c r="I25" i="2"/>
  <c r="D10" i="2"/>
  <c r="E7" i="2"/>
  <c r="L22" i="1"/>
  <c r="E8" i="7" l="1"/>
  <c r="F15" i="7"/>
  <c r="E11" i="5"/>
  <c r="F25" i="5"/>
  <c r="F26" i="5" s="1"/>
  <c r="E11" i="4"/>
  <c r="F26" i="4"/>
  <c r="E12" i="3"/>
  <c r="F23" i="3"/>
  <c r="E10" i="2"/>
  <c r="F20" i="2"/>
  <c r="F22" i="2" s="1"/>
  <c r="F16" i="7" l="1"/>
  <c r="P15" i="7"/>
  <c r="P26" i="4"/>
  <c r="F27" i="4"/>
  <c r="P23" i="3"/>
  <c r="F24" i="3"/>
  <c r="E9" i="1" l="1"/>
  <c r="F28" i="1" s="1"/>
  <c r="I30" i="1" s="1"/>
  <c r="E8" i="1"/>
  <c r="F25" i="1" s="1"/>
  <c r="E7" i="1"/>
  <c r="F21" i="1" s="1"/>
  <c r="F23" i="1" s="1"/>
  <c r="P25" i="1" l="1"/>
  <c r="F26" i="1"/>
  <c r="D11" i="1"/>
  <c r="E6" i="1"/>
  <c r="E11" i="1" l="1"/>
  <c r="F17" i="1"/>
  <c r="F19" i="1" s="1"/>
</calcChain>
</file>

<file path=xl/sharedStrings.xml><?xml version="1.0" encoding="utf-8"?>
<sst xmlns="http://schemas.openxmlformats.org/spreadsheetml/2006/main" count="684" uniqueCount="141">
  <si>
    <t xml:space="preserve">DAFTAR PIUTANG EXPORT </t>
  </si>
  <si>
    <t>PER JANUARI 2024</t>
  </si>
  <si>
    <t>NO</t>
  </si>
  <si>
    <t>ORDER/</t>
  </si>
  <si>
    <t>KURS</t>
  </si>
  <si>
    <t>U$D</t>
  </si>
  <si>
    <t>Rp</t>
  </si>
  <si>
    <t>NBR CTR</t>
  </si>
  <si>
    <t>HUTANG-PIUTANG CENSEA INC</t>
  </si>
  <si>
    <t>HUTANG-PIUTANG EASTERN FISH COMPANY LLC</t>
  </si>
  <si>
    <t>HUTANG-PIUTANG SLADE GORTON CO INC</t>
  </si>
  <si>
    <t>HUTANG-PIUTANG ALPHA TRADING CO., LTD</t>
  </si>
  <si>
    <t>TOTAL</t>
  </si>
  <si>
    <t>CENSEA INC</t>
  </si>
  <si>
    <t>113/IAS - EXP</t>
  </si>
  <si>
    <t>Rincian Piutang</t>
  </si>
  <si>
    <t>TANGGAL</t>
  </si>
  <si>
    <t>DEBET</t>
  </si>
  <si>
    <t>SALDO</t>
  </si>
  <si>
    <t>Invoice</t>
  </si>
  <si>
    <t>AGING</t>
  </si>
  <si>
    <t>(RP)</t>
  </si>
  <si>
    <t>IDR</t>
  </si>
  <si>
    <t xml:space="preserve">No </t>
  </si>
  <si>
    <t>Tanggal</t>
  </si>
  <si>
    <t xml:space="preserve">Jatuh Tempo </t>
  </si>
  <si>
    <t>Tanggal Jatuh Tempo</t>
  </si>
  <si>
    <t>Aging</t>
  </si>
  <si>
    <t>Lancar</t>
  </si>
  <si>
    <t xml:space="preserve">1-30 Hari </t>
  </si>
  <si>
    <t xml:space="preserve">31-60 Hari </t>
  </si>
  <si>
    <t xml:space="preserve">61-90 Hari </t>
  </si>
  <si>
    <t xml:space="preserve">&gt; 90 Hari </t>
  </si>
  <si>
    <t xml:space="preserve">Censea Inc., </t>
  </si>
  <si>
    <t>Selisih Kurs</t>
  </si>
  <si>
    <t>Eastern Fish Company Llc</t>
  </si>
  <si>
    <t>EASTERN FISH COMPANY LLC</t>
  </si>
  <si>
    <t>097/IAS-EXP</t>
  </si>
  <si>
    <t>Slade Gorton Co Inc</t>
  </si>
  <si>
    <t>Alpha Trading Co., Ltd</t>
  </si>
  <si>
    <t>ALPHA TRADING CO., LTD</t>
  </si>
  <si>
    <t>009/IAS - EXP</t>
  </si>
  <si>
    <t>PER FEBRUARI 2024</t>
  </si>
  <si>
    <t>Censea Inc</t>
  </si>
  <si>
    <t>013/IAS-EXP</t>
  </si>
  <si>
    <t>HUTANG-PIUTANG ALPHA TRADING</t>
  </si>
  <si>
    <t>HUTANG-PIUTANG MONRACH TRADING LLC</t>
  </si>
  <si>
    <t>HUTANG-PIUTANG SSC INC SUNNYVALE SEAFOOD</t>
  </si>
  <si>
    <t>PER MARET 2024</t>
  </si>
  <si>
    <t>018/IAS-EXP</t>
  </si>
  <si>
    <t>020/IAS-EXP</t>
  </si>
  <si>
    <t>Alpha Trading</t>
  </si>
  <si>
    <t>ALPHA TRADING CO.,LTD</t>
  </si>
  <si>
    <t>022/IAS-EXP</t>
  </si>
  <si>
    <t>Monrach Trading Llc</t>
  </si>
  <si>
    <t xml:space="preserve"> MONARCH TRADING,LLC</t>
  </si>
  <si>
    <t>021/IAS - EXP</t>
  </si>
  <si>
    <t>Ssc Inc Sunnyvale Seafood</t>
  </si>
  <si>
    <t>SSC INC SUNNYVALE SEAFOOD</t>
  </si>
  <si>
    <t>023/IAS-EXP</t>
  </si>
  <si>
    <t>PER APRIL 2024</t>
  </si>
  <si>
    <t xml:space="preserve"> CENSEA INC.,</t>
  </si>
  <si>
    <t>024/IAS-EXP</t>
  </si>
  <si>
    <t>025/IAS-EXP</t>
  </si>
  <si>
    <t>026/IAS-EXP</t>
  </si>
  <si>
    <t>PER MEI 2024</t>
  </si>
  <si>
    <t>030/IAS-EXP</t>
  </si>
  <si>
    <t>031/IAS-EXP</t>
  </si>
  <si>
    <t>PER JUNI 2024</t>
  </si>
  <si>
    <t>PER JULI 2024</t>
  </si>
  <si>
    <t>PER AGUSTUS 2024</t>
  </si>
  <si>
    <t>HUTANG-PIUTANG SAN SUGAR CO.,LTD</t>
  </si>
  <si>
    <t>HUTANG-PIUTANG SLADE GORTON</t>
  </si>
  <si>
    <t>CENSEA INC.,</t>
  </si>
  <si>
    <t>043/IAS-EXP</t>
  </si>
  <si>
    <t>044/IAS-EXP</t>
  </si>
  <si>
    <t>045/IAS-EXP</t>
  </si>
  <si>
    <t>039/IAS-EXP</t>
  </si>
  <si>
    <t>San Sugar Co.,Ltd</t>
  </si>
  <si>
    <t>SAN SUGAR CO., LTD</t>
  </si>
  <si>
    <t>042/IAS - EXP</t>
  </si>
  <si>
    <t>PER SEPTEMBER 2024</t>
  </si>
  <si>
    <t>HUTANG-PIUTANG H &amp; T SEAFOODS INC</t>
  </si>
  <si>
    <t xml:space="preserve">Rincian Piutang </t>
  </si>
  <si>
    <t>053/IAS-EXP</t>
  </si>
  <si>
    <t>054/IAS-EXP</t>
  </si>
  <si>
    <t>057/IAS - EXP</t>
  </si>
  <si>
    <t>058/IAS - EXP</t>
  </si>
  <si>
    <t>059/IAS - EXP</t>
  </si>
  <si>
    <t>060/IAS - EXP</t>
  </si>
  <si>
    <t>Slade Gorton</t>
  </si>
  <si>
    <t>SLADE GORTON CO.INC</t>
  </si>
  <si>
    <t>055/IAS-EXP</t>
  </si>
  <si>
    <t>H &amp; T Seafoods Inc</t>
  </si>
  <si>
    <t xml:space="preserve"> H &amp; T SEAFOODS INC</t>
  </si>
  <si>
    <t>056/IAS-EXP</t>
  </si>
  <si>
    <t>PER OKTOBER 2024</t>
  </si>
  <si>
    <t>HUTANG-PIUTANG CHOICE CANNING COMPANY</t>
  </si>
  <si>
    <t>HUTANG-PIUTANG STERLING SEAFOOD CORP</t>
  </si>
  <si>
    <t>064/IAS - EXP</t>
  </si>
  <si>
    <t>070/IAS - EXP</t>
  </si>
  <si>
    <t>069/IAS - EXP</t>
  </si>
  <si>
    <t>063/IAS-EXP</t>
  </si>
  <si>
    <t>Choice Canning Company</t>
  </si>
  <si>
    <t xml:space="preserve">CHOICE CANNING COMPANY </t>
  </si>
  <si>
    <t>067/IAS-EXP</t>
  </si>
  <si>
    <t>066/IAS-EXP</t>
  </si>
  <si>
    <t>Sterling Seafood Corp</t>
  </si>
  <si>
    <t>STERLING SEAFOOD CORP</t>
  </si>
  <si>
    <t>068/IAS-EXP</t>
  </si>
  <si>
    <t>PER NOVEMBER 2024</t>
  </si>
  <si>
    <t>074/IAS-EXP</t>
  </si>
  <si>
    <t>075/IAS - EXP</t>
  </si>
  <si>
    <t>078/IAS - EXP</t>
  </si>
  <si>
    <t>079/IAS - EXP</t>
  </si>
  <si>
    <t>073/IAS-EXP</t>
  </si>
  <si>
    <t>AEL SEAFOOD ENTERPRISES, LLC</t>
  </si>
  <si>
    <t>HOHSUI CORPORATION</t>
  </si>
  <si>
    <t>SEA LION INTERNATIONAL INC</t>
  </si>
  <si>
    <t>YACHIO CORPORATION</t>
  </si>
  <si>
    <t>PER DESEMBER 2024</t>
  </si>
  <si>
    <t>084/IAS-EXP</t>
  </si>
  <si>
    <t>085/IAS - EXP</t>
  </si>
  <si>
    <t>086/IAS - EXP</t>
  </si>
  <si>
    <t>089/IAS - EXP</t>
  </si>
  <si>
    <t>090/IAS - EXP</t>
  </si>
  <si>
    <t>Alpha Trading Co.,Ltd</t>
  </si>
  <si>
    <t>087/IAS-EXP</t>
  </si>
  <si>
    <t>Slade Gorton Co.Inc</t>
  </si>
  <si>
    <t>Ael Seafood Enterprises, Llc</t>
  </si>
  <si>
    <t>Hohsui Corporation</t>
  </si>
  <si>
    <t>Sea Lion International Inc</t>
  </si>
  <si>
    <t>016/IAS-EXP</t>
  </si>
  <si>
    <t>017/IAS-EXP</t>
  </si>
  <si>
    <t>Yachio Corporation</t>
  </si>
  <si>
    <t>YACHIYO CORPORATION</t>
  </si>
  <si>
    <t>088/IAS-EXP</t>
  </si>
  <si>
    <t>WBS</t>
  </si>
  <si>
    <t>Before</t>
  </si>
  <si>
    <t xml:space="preserve">WBS 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</si>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</sst>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name val="Century Gothic"/>
      <family val="2"/>
    </font>
    <font>
      <b/>
      <sz val="9"/>
      <color theme="1"/>
      <name val="Arial"/>
      <family val="2"/>
    </font>
    <font>
      <b/>
      <i/>
      <sz val="9"/>
      <color rgb="FFFF0000"/>
      <name val="Arial"/>
      <family val="2"/>
    </font>
    <font>
      <b/>
      <sz val="9"/>
      <color rgb="FFFF0000"/>
      <name val="Arial"/>
      <family val="2"/>
    </font>
    <font>
      <sz val="11"/>
      <color theme="1"/>
      <name val="Arial"/>
      <family val="2"/>
    </font>
    <font>
      <sz val="9"/>
      <color rgb="FFFF0000"/>
      <name val="Arial"/>
      <family val="2"/>
    </font>
    <font>
      <sz val="9"/>
      <name val="Century Gothic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27">
    <xf numFmtId="0" fontId="0" fillId="0" borderId="0" xfId="0"/>
    <xf numFmtId="0" fontId="1" fillId="0" borderId="0" xfId="0" applyFont="1"/>
    <xf numFmtId="15" fontId="5" fillId="0" borderId="0" xfId="1" applyNumberFormat="1" applyFont="1" applyFill="1" applyAlignment="1"/>
    <xf numFmtId="164" fontId="5" fillId="0" borderId="0" xfId="1" applyNumberFormat="1" applyFont="1" applyFill="1" applyAlignment="1">
      <alignment horizontal="centerContinuous"/>
    </xf>
    <xf numFmtId="164" fontId="5" fillId="0" borderId="0" xfId="1" applyNumberFormat="1" applyFont="1" applyFill="1" applyAlignment="1">
      <alignment horizontal="center"/>
    </xf>
    <xf numFmtId="43" fontId="5" fillId="0" borderId="0" xfId="1" applyFont="1" applyFill="1" applyAlignment="1">
      <alignment horizontal="centerContinuous"/>
    </xf>
    <xf numFmtId="0" fontId="4" fillId="0" borderId="0" xfId="0" applyFont="1"/>
    <xf numFmtId="43" fontId="4" fillId="0" borderId="0" xfId="1" applyFont="1" applyFill="1" applyBorder="1"/>
    <xf numFmtId="15" fontId="5" fillId="0" borderId="0" xfId="1" applyNumberFormat="1" applyFont="1" applyFill="1" applyBorder="1" applyAlignment="1"/>
    <xf numFmtId="164" fontId="4" fillId="0" borderId="0" xfId="1" applyNumberFormat="1" applyFont="1" applyFill="1" applyBorder="1"/>
    <xf numFmtId="164" fontId="4" fillId="0" borderId="0" xfId="1" applyNumberFormat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4" fillId="0" borderId="0" xfId="1" applyNumberFormat="1" applyFont="1" applyFill="1" applyBorder="1" applyAlignment="1">
      <alignment horizontal="center"/>
    </xf>
    <xf numFmtId="15" fontId="4" fillId="0" borderId="0" xfId="1" applyNumberFormat="1" applyFont="1" applyFill="1" applyBorder="1" applyAlignment="1">
      <alignment horizontal="left"/>
    </xf>
    <xf numFmtId="0" fontId="5" fillId="0" borderId="0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3" fontId="5" fillId="0" borderId="0" xfId="1" applyFont="1" applyBorder="1"/>
    <xf numFmtId="164" fontId="5" fillId="0" borderId="0" xfId="1" applyNumberFormat="1" applyFont="1" applyFill="1" applyBorder="1" applyAlignment="1"/>
    <xf numFmtId="164" fontId="5" fillId="0" borderId="1" xfId="1" applyNumberFormat="1" applyFont="1" applyFill="1" applyBorder="1" applyAlignment="1">
      <alignment horizontal="center"/>
    </xf>
    <xf numFmtId="164" fontId="5" fillId="0" borderId="0" xfId="1" applyNumberFormat="1" applyFont="1" applyFill="1" applyAlignment="1"/>
    <xf numFmtId="164" fontId="4" fillId="0" borderId="0" xfId="0" applyNumberFormat="1" applyFont="1"/>
    <xf numFmtId="164" fontId="1" fillId="0" borderId="0" xfId="0" applyNumberFormat="1" applyFont="1"/>
    <xf numFmtId="164" fontId="4" fillId="0" borderId="0" xfId="1" applyNumberFormat="1" applyFont="1" applyFill="1" applyBorder="1" applyAlignment="1">
      <alignment horizontal="left"/>
    </xf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1" applyNumberFormat="1" applyFont="1" applyBorder="1"/>
    <xf numFmtId="15" fontId="7" fillId="3" borderId="0" xfId="0" applyNumberFormat="1" applyFont="1" applyFill="1"/>
    <xf numFmtId="0" fontId="7" fillId="0" borderId="0" xfId="0" applyFont="1"/>
    <xf numFmtId="15" fontId="5" fillId="0" borderId="2" xfId="1" applyNumberFormat="1" applyFont="1" applyFill="1" applyBorder="1" applyAlignment="1">
      <alignment horizontal="center" vertical="center"/>
    </xf>
    <xf numFmtId="43" fontId="5" fillId="0" borderId="2" xfId="1" applyFont="1" applyFill="1" applyBorder="1" applyAlignment="1">
      <alignment horizontal="centerContinuous"/>
    </xf>
    <xf numFmtId="164" fontId="5" fillId="0" borderId="2" xfId="1" applyNumberFormat="1" applyFont="1" applyFill="1" applyBorder="1" applyAlignment="1">
      <alignment horizontal="centerContinuous"/>
    </xf>
    <xf numFmtId="15" fontId="5" fillId="0" borderId="7" xfId="1" applyNumberFormat="1" applyFont="1" applyFill="1" applyBorder="1" applyAlignment="1">
      <alignment horizontal="center" vertical="center"/>
    </xf>
    <xf numFmtId="43" fontId="5" fillId="0" borderId="7" xfId="1" applyFont="1" applyFill="1" applyBorder="1" applyAlignment="1">
      <alignment horizontal="center"/>
    </xf>
    <xf numFmtId="164" fontId="5" fillId="0" borderId="7" xfId="1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15" fontId="4" fillId="0" borderId="9" xfId="1" applyNumberFormat="1" applyFont="1" applyFill="1" applyBorder="1" applyAlignment="1">
      <alignment horizontal="center"/>
    </xf>
    <xf numFmtId="164" fontId="4" fillId="0" borderId="9" xfId="1" applyNumberFormat="1" applyFont="1" applyFill="1" applyBorder="1"/>
    <xf numFmtId="43" fontId="4" fillId="0" borderId="9" xfId="1" applyFont="1" applyFill="1" applyBorder="1" applyAlignment="1">
      <alignment horizontal="center"/>
    </xf>
    <xf numFmtId="43" fontId="4" fillId="0" borderId="9" xfId="1" applyFont="1" applyFill="1" applyBorder="1"/>
    <xf numFmtId="164" fontId="4" fillId="2" borderId="9" xfId="1" applyNumberFormat="1" applyFont="1" applyFill="1" applyBorder="1"/>
    <xf numFmtId="164" fontId="4" fillId="0" borderId="9" xfId="1" quotePrefix="1" applyNumberFormat="1" applyFont="1" applyFill="1" applyBorder="1" applyAlignment="1">
      <alignment horizontal="center"/>
    </xf>
    <xf numFmtId="15" fontId="1" fillId="0" borderId="0" xfId="0" applyNumberFormat="1" applyFont="1"/>
    <xf numFmtId="15" fontId="3" fillId="4" borderId="8" xfId="0" applyNumberFormat="1" applyFont="1" applyFill="1" applyBorder="1" applyAlignment="1">
      <alignment horizontal="center"/>
    </xf>
    <xf numFmtId="164" fontId="7" fillId="0" borderId="0" xfId="0" applyNumberFormat="1" applyFont="1"/>
    <xf numFmtId="164" fontId="7" fillId="0" borderId="0" xfId="0" applyNumberFormat="1" applyFont="1" applyAlignment="1">
      <alignment horizontal="left"/>
    </xf>
    <xf numFmtId="164" fontId="5" fillId="0" borderId="0" xfId="1" applyNumberFormat="1" applyFont="1" applyFill="1" applyBorder="1" applyAlignment="1">
      <alignment horizontal="left"/>
    </xf>
    <xf numFmtId="164" fontId="1" fillId="0" borderId="3" xfId="0" applyNumberFormat="1" applyFont="1" applyBorder="1"/>
    <xf numFmtId="164" fontId="7" fillId="0" borderId="3" xfId="0" applyNumberFormat="1" applyFont="1" applyBorder="1"/>
    <xf numFmtId="15" fontId="1" fillId="0" borderId="3" xfId="0" applyNumberFormat="1" applyFont="1" applyBorder="1"/>
    <xf numFmtId="164" fontId="1" fillId="0" borderId="9" xfId="0" applyNumberFormat="1" applyFont="1" applyBorder="1"/>
    <xf numFmtId="15" fontId="1" fillId="0" borderId="9" xfId="0" applyNumberFormat="1" applyFont="1" applyBorder="1"/>
    <xf numFmtId="164" fontId="8" fillId="0" borderId="9" xfId="0" applyNumberFormat="1" applyFont="1" applyBorder="1"/>
    <xf numFmtId="164" fontId="7" fillId="0" borderId="9" xfId="0" applyNumberFormat="1" applyFont="1" applyBorder="1"/>
    <xf numFmtId="164" fontId="5" fillId="0" borderId="0" xfId="1" applyNumberFormat="1" applyFont="1" applyFill="1" applyBorder="1" applyAlignment="1">
      <alignment horizontal="centerContinuous"/>
    </xf>
    <xf numFmtId="43" fontId="5" fillId="0" borderId="0" xfId="1" applyFont="1" applyFill="1" applyBorder="1" applyAlignment="1">
      <alignment horizontal="centerContinuous"/>
    </xf>
    <xf numFmtId="43" fontId="6" fillId="0" borderId="2" xfId="1" applyFont="1" applyFill="1" applyBorder="1" applyAlignment="1">
      <alignment horizontal="centerContinuous"/>
    </xf>
    <xf numFmtId="164" fontId="6" fillId="0" borderId="2" xfId="1" applyNumberFormat="1" applyFont="1" applyFill="1" applyBorder="1" applyAlignment="1">
      <alignment horizontal="centerContinuous"/>
    </xf>
    <xf numFmtId="164" fontId="6" fillId="0" borderId="10" xfId="1" applyNumberFormat="1" applyFont="1" applyFill="1" applyBorder="1" applyAlignment="1">
      <alignment horizontal="center"/>
    </xf>
    <xf numFmtId="43" fontId="6" fillId="0" borderId="7" xfId="1" applyFont="1" applyFill="1" applyBorder="1" applyAlignment="1">
      <alignment horizontal="center"/>
    </xf>
    <xf numFmtId="164" fontId="6" fillId="0" borderId="7" xfId="1" applyNumberFormat="1" applyFont="1" applyFill="1" applyBorder="1" applyAlignment="1">
      <alignment horizontal="center"/>
    </xf>
    <xf numFmtId="0" fontId="8" fillId="0" borderId="0" xfId="0" applyFont="1"/>
    <xf numFmtId="0" fontId="1" fillId="0" borderId="11" xfId="0" applyFont="1" applyBorder="1"/>
    <xf numFmtId="0" fontId="1" fillId="0" borderId="9" xfId="0" applyFont="1" applyBorder="1"/>
    <xf numFmtId="164" fontId="4" fillId="0" borderId="9" xfId="1" applyNumberFormat="1" applyFont="1" applyFill="1" applyBorder="1" applyAlignment="1">
      <alignment horizontal="centerContinuous"/>
    </xf>
    <xf numFmtId="0" fontId="7" fillId="0" borderId="3" xfId="0" applyFont="1" applyBorder="1"/>
    <xf numFmtId="0" fontId="1" fillId="0" borderId="3" xfId="0" applyFont="1" applyBorder="1"/>
    <xf numFmtId="0" fontId="8" fillId="0" borderId="9" xfId="0" applyFont="1" applyBorder="1"/>
    <xf numFmtId="15" fontId="5" fillId="0" borderId="9" xfId="1" applyNumberFormat="1" applyFont="1" applyFill="1" applyBorder="1" applyAlignment="1">
      <alignment horizontal="left"/>
    </xf>
    <xf numFmtId="0" fontId="11" fillId="0" borderId="0" xfId="0" applyFont="1"/>
    <xf numFmtId="0" fontId="7" fillId="0" borderId="9" xfId="0" applyFont="1" applyBorder="1"/>
    <xf numFmtId="0" fontId="9" fillId="0" borderId="9" xfId="0" applyFont="1" applyBorder="1"/>
    <xf numFmtId="164" fontId="9" fillId="0" borderId="9" xfId="0" applyNumberFormat="1" applyFont="1" applyBorder="1"/>
    <xf numFmtId="0" fontId="11" fillId="0" borderId="9" xfId="0" applyFont="1" applyBorder="1"/>
    <xf numFmtId="0" fontId="10" fillId="0" borderId="0" xfId="0" applyFont="1"/>
    <xf numFmtId="0" fontId="10" fillId="0" borderId="9" xfId="0" applyFont="1" applyBorder="1"/>
    <xf numFmtId="164" fontId="5" fillId="0" borderId="0" xfId="1" applyNumberFormat="1" applyFont="1" applyFill="1" applyBorder="1"/>
    <xf numFmtId="0" fontId="3" fillId="4" borderId="3" xfId="0" applyFont="1" applyFill="1" applyBorder="1" applyAlignment="1">
      <alignment horizontal="center"/>
    </xf>
    <xf numFmtId="15" fontId="5" fillId="0" borderId="0" xfId="1" applyNumberFormat="1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horizontal="center" vertical="center"/>
    </xf>
    <xf numFmtId="164" fontId="6" fillId="0" borderId="12" xfId="1" applyNumberFormat="1" applyFont="1" applyFill="1" applyBorder="1" applyAlignment="1">
      <alignment horizontal="center"/>
    </xf>
    <xf numFmtId="41" fontId="4" fillId="0" borderId="9" xfId="2" applyFont="1" applyFill="1" applyBorder="1"/>
    <xf numFmtId="41" fontId="8" fillId="0" borderId="9" xfId="0" applyNumberFormat="1" applyFont="1" applyBorder="1"/>
    <xf numFmtId="0" fontId="7" fillId="5" borderId="3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15" fontId="7" fillId="4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41" fontId="1" fillId="0" borderId="9" xfId="0" applyNumberFormat="1" applyFont="1" applyBorder="1"/>
    <xf numFmtId="164" fontId="5" fillId="0" borderId="10" xfId="1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5" fontId="7" fillId="4" borderId="3" xfId="0" applyNumberFormat="1" applyFont="1" applyFill="1" applyBorder="1" applyAlignment="1">
      <alignment horizontal="center"/>
    </xf>
    <xf numFmtId="43" fontId="8" fillId="0" borderId="9" xfId="0" applyNumberFormat="1" applyFont="1" applyBorder="1"/>
    <xf numFmtId="43" fontId="4" fillId="2" borderId="9" xfId="1" applyFont="1" applyFill="1" applyBorder="1"/>
    <xf numFmtId="43" fontId="6" fillId="0" borderId="9" xfId="1" applyFont="1" applyFill="1" applyBorder="1" applyAlignment="1">
      <alignment horizontal="center"/>
    </xf>
    <xf numFmtId="164" fontId="6" fillId="0" borderId="9" xfId="1" applyNumberFormat="1" applyFont="1" applyFill="1" applyBorder="1" applyAlignment="1">
      <alignment horizontal="center"/>
    </xf>
    <xf numFmtId="15" fontId="5" fillId="0" borderId="3" xfId="1" applyNumberFormat="1" applyFont="1" applyFill="1" applyBorder="1" applyAlignment="1">
      <alignment horizontal="left"/>
    </xf>
    <xf numFmtId="15" fontId="4" fillId="0" borderId="9" xfId="1" applyNumberFormat="1" applyFont="1" applyFill="1" applyBorder="1" applyAlignment="1">
      <alignment horizontal="left"/>
    </xf>
    <xf numFmtId="41" fontId="4" fillId="0" borderId="0" xfId="2" applyFont="1" applyBorder="1"/>
    <xf numFmtId="43" fontId="1" fillId="0" borderId="0" xfId="0" applyNumberFormat="1" applyFont="1"/>
    <xf numFmtId="3" fontId="1" fillId="0" borderId="0" xfId="0" applyNumberFormat="1" applyFont="1"/>
    <xf numFmtId="41" fontId="1" fillId="0" borderId="0" xfId="2" applyFont="1" applyBorder="1"/>
    <xf numFmtId="41" fontId="5" fillId="0" borderId="0" xfId="2" applyFont="1" applyBorder="1"/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1" fontId="1" fillId="0" borderId="0" xfId="0" applyNumberFormat="1" applyFont="1"/>
    <xf numFmtId="164" fontId="4" fillId="0" borderId="0" xfId="1" applyNumberFormat="1" applyFont="1" applyFill="1" applyBorder="1" applyAlignment="1"/>
    <xf numFmtId="164" fontId="12" fillId="0" borderId="0" xfId="1" applyNumberFormat="1" applyFont="1" applyFill="1"/>
    <xf numFmtId="15" fontId="4" fillId="0" borderId="9" xfId="1" applyNumberFormat="1" applyFont="1" applyFill="1" applyBorder="1" applyAlignment="1"/>
    <xf numFmtId="0" fontId="13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15" fontId="5" fillId="0" borderId="2" xfId="1" applyNumberFormat="1" applyFont="1" applyFill="1" applyBorder="1" applyAlignment="1">
      <alignment horizontal="center" vertical="center"/>
    </xf>
    <xf numFmtId="15" fontId="5" fillId="0" borderId="7" xfId="1" applyNumberFormat="1" applyFont="1" applyFill="1" applyBorder="1" applyAlignment="1">
      <alignment horizontal="center" vertical="center"/>
    </xf>
    <xf numFmtId="15" fontId="6" fillId="0" borderId="2" xfId="1" applyNumberFormat="1" applyFont="1" applyFill="1" applyBorder="1" applyAlignment="1">
      <alignment horizontal="center" vertical="center"/>
    </xf>
    <xf numFmtId="15" fontId="6" fillId="0" borderId="7" xfId="1" applyNumberFormat="1" applyFont="1" applyFill="1" applyBorder="1" applyAlignment="1">
      <alignment horizontal="center" vertical="center"/>
    </xf>
    <xf numFmtId="15" fontId="5" fillId="0" borderId="0" xfId="1" applyNumberFormat="1" applyFont="1" applyFill="1" applyBorder="1" applyAlignment="1">
      <alignment horizontal="center" vertical="center"/>
    </xf>
    <xf numFmtId="15" fontId="5" fillId="0" borderId="1" xfId="1" applyNumberFormat="1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15" fontId="6" fillId="0" borderId="9" xfId="1" applyNumberFormat="1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2B60-AC1C-47BD-9F44-5C26240374D7}">
  <dimension ref="A1:U31"/>
  <sheetViews>
    <sheetView showGridLines="0" zoomScale="102" workbookViewId="0">
      <selection activeCell="B8" sqref="B8"/>
    </sheetView>
  </sheetViews>
  <sheetFormatPr defaultRowHeight="11.5" x14ac:dyDescent="0.25"/>
  <cols>
    <col min="1" max="1" width="9.54296875" style="22" customWidth="1"/>
    <col min="2" max="2" width="41.6328125" style="22" bestFit="1" customWidth="1"/>
    <col min="3" max="3" width="10.08984375" style="22" bestFit="1" customWidth="1"/>
    <col min="4" max="4" width="7.81640625" style="22" bestFit="1" customWidth="1"/>
    <col min="5" max="6" width="12.36328125" style="22" bestFit="1" customWidth="1"/>
    <col min="7" max="7" width="12.1796875" style="22" bestFit="1" customWidth="1"/>
    <col min="8" max="8" width="8.453125" style="22" bestFit="1" customWidth="1"/>
    <col min="9" max="9" width="12.08984375" style="22" bestFit="1" customWidth="1"/>
    <col min="10" max="10" width="18.6328125" style="22" bestFit="1" customWidth="1"/>
    <col min="11" max="11" width="5.36328125" style="22" bestFit="1" customWidth="1"/>
    <col min="12" max="12" width="12.36328125" style="22" bestFit="1" customWidth="1"/>
    <col min="13" max="13" width="8.81640625" style="22" bestFit="1" customWidth="1"/>
    <col min="14" max="14" width="9.81640625" style="22" bestFit="1" customWidth="1"/>
    <col min="15" max="15" width="9.81640625" style="43" bestFit="1" customWidth="1"/>
    <col min="16" max="16" width="10.6328125" style="22" bestFit="1" customWidth="1"/>
    <col min="17" max="17" width="12.36328125" style="22" bestFit="1" customWidth="1"/>
    <col min="18" max="20" width="8.7265625" style="22"/>
    <col min="21" max="21" width="10.6328125" style="22" bestFit="1" customWidth="1"/>
    <col min="22" max="16384" width="8.7265625" style="22"/>
  </cols>
  <sheetData>
    <row r="1" spans="1:21" x14ac:dyDescent="0.25">
      <c r="A1" s="20" t="s">
        <v>0</v>
      </c>
      <c r="B1" s="3"/>
      <c r="C1" s="4"/>
      <c r="D1" s="3"/>
      <c r="E1" s="3"/>
      <c r="F1" s="21"/>
    </row>
    <row r="2" spans="1:21" x14ac:dyDescent="0.25">
      <c r="A2" s="20" t="s">
        <v>1</v>
      </c>
      <c r="B2" s="3"/>
      <c r="C2" s="4"/>
      <c r="D2" s="3"/>
      <c r="E2" s="3"/>
      <c r="F2" s="21"/>
    </row>
    <row r="3" spans="1:21" x14ac:dyDescent="0.25">
      <c r="A3" s="18"/>
      <c r="B3" s="9"/>
      <c r="C3" s="10"/>
      <c r="D3" s="9"/>
      <c r="E3" s="9"/>
      <c r="F3" s="21"/>
    </row>
    <row r="4" spans="1:21" x14ac:dyDescent="0.25">
      <c r="A4" s="114" t="s">
        <v>2</v>
      </c>
      <c r="B4" s="11" t="s">
        <v>3</v>
      </c>
      <c r="C4" s="114" t="s">
        <v>4</v>
      </c>
      <c r="D4" s="114" t="s">
        <v>5</v>
      </c>
      <c r="E4" s="114" t="s">
        <v>6</v>
      </c>
      <c r="F4" s="21"/>
    </row>
    <row r="5" spans="1:21" ht="12" thickBot="1" x14ac:dyDescent="0.3">
      <c r="A5" s="115"/>
      <c r="B5" s="19" t="s">
        <v>7</v>
      </c>
      <c r="C5" s="115"/>
      <c r="D5" s="115"/>
      <c r="E5" s="115"/>
      <c r="F5" s="21"/>
    </row>
    <row r="6" spans="1:21" x14ac:dyDescent="0.25">
      <c r="A6" s="106">
        <v>1</v>
      </c>
      <c r="B6" s="23" t="s">
        <v>8</v>
      </c>
      <c r="C6" s="9">
        <v>15796</v>
      </c>
      <c r="D6" s="9">
        <v>96220</v>
      </c>
      <c r="E6" s="9">
        <f>C6*D6</f>
        <v>1519891120</v>
      </c>
      <c r="F6" s="21"/>
    </row>
    <row r="7" spans="1:21" x14ac:dyDescent="0.25">
      <c r="A7" s="106">
        <v>2</v>
      </c>
      <c r="B7" s="23" t="s">
        <v>9</v>
      </c>
      <c r="C7" s="9">
        <v>15796</v>
      </c>
      <c r="D7" s="9">
        <v>107800</v>
      </c>
      <c r="E7" s="9">
        <f>D7*C7</f>
        <v>1702808800</v>
      </c>
      <c r="F7" s="21"/>
    </row>
    <row r="8" spans="1:21" x14ac:dyDescent="0.25">
      <c r="A8" s="106">
        <v>3</v>
      </c>
      <c r="B8" s="23" t="s">
        <v>10</v>
      </c>
      <c r="C8" s="9">
        <v>15796</v>
      </c>
      <c r="D8" s="9">
        <v>-983</v>
      </c>
      <c r="E8" s="9">
        <f>D8*C8</f>
        <v>-15527468</v>
      </c>
      <c r="F8" s="21"/>
    </row>
    <row r="9" spans="1:21" x14ac:dyDescent="0.25">
      <c r="A9" s="106">
        <v>4</v>
      </c>
      <c r="B9" s="23" t="s">
        <v>11</v>
      </c>
      <c r="C9" s="9">
        <v>15796</v>
      </c>
      <c r="D9" s="9">
        <v>79357.5</v>
      </c>
      <c r="E9" s="9">
        <f>D9*C9</f>
        <v>1253531070</v>
      </c>
      <c r="F9" s="21"/>
    </row>
    <row r="10" spans="1:21" x14ac:dyDescent="0.25">
      <c r="A10" s="10"/>
      <c r="B10" s="23"/>
      <c r="C10" s="9"/>
      <c r="D10" s="9"/>
      <c r="E10" s="9"/>
      <c r="F10" s="21"/>
    </row>
    <row r="11" spans="1:21" x14ac:dyDescent="0.25">
      <c r="A11" s="11"/>
      <c r="B11" s="24" t="s">
        <v>12</v>
      </c>
      <c r="C11" s="25"/>
      <c r="D11" s="26">
        <f>SUM(D6:D9)</f>
        <v>282394.5</v>
      </c>
      <c r="E11" s="26">
        <f>SUM(E6:E9)</f>
        <v>4460703522</v>
      </c>
      <c r="F11" s="21"/>
    </row>
    <row r="12" spans="1:21" x14ac:dyDescent="0.25">
      <c r="A12" s="21"/>
      <c r="B12" s="21"/>
      <c r="C12" s="25"/>
      <c r="D12" s="21"/>
      <c r="E12" s="21"/>
      <c r="F12" s="21"/>
    </row>
    <row r="13" spans="1:21" x14ac:dyDescent="0.25">
      <c r="A13" s="1"/>
      <c r="B13" s="1"/>
      <c r="C13" s="1"/>
      <c r="D13" s="1"/>
      <c r="E13" s="1"/>
      <c r="F13" s="1"/>
      <c r="G13" s="1"/>
      <c r="H13" s="27">
        <v>45322</v>
      </c>
      <c r="I13" s="1"/>
      <c r="J13" s="1"/>
      <c r="K13" s="1"/>
      <c r="L13" s="45">
        <f>SUBTOTAL(9,L17:L58)</f>
        <v>4431701870</v>
      </c>
      <c r="M13" s="45">
        <f>SUBTOTAL(9,M17:M58)</f>
        <v>0</v>
      </c>
      <c r="N13" s="45">
        <f>SUBTOTAL(9,N17:N58)</f>
        <v>0</v>
      </c>
      <c r="O13" s="45">
        <f>SUBTOTAL(9,O17:O58)</f>
        <v>0</v>
      </c>
      <c r="P13" s="45">
        <f>SUBTOTAL(9,P17:P58)</f>
        <v>-15527468</v>
      </c>
      <c r="Q13" s="1"/>
      <c r="R13" s="1"/>
      <c r="S13" s="1"/>
      <c r="T13" s="1"/>
      <c r="U13" s="1"/>
    </row>
    <row r="14" spans="1:21" ht="12" thickBot="1" x14ac:dyDescent="0.3">
      <c r="A14" s="28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P14" s="1"/>
      <c r="Q14" s="1"/>
      <c r="R14" s="1"/>
      <c r="S14" s="1"/>
      <c r="T14" s="1"/>
      <c r="U14" s="1"/>
    </row>
    <row r="15" spans="1:21" ht="15" thickTop="1" x14ac:dyDescent="0.35">
      <c r="A15" s="116" t="s">
        <v>16</v>
      </c>
      <c r="B15" s="29" t="s">
        <v>3</v>
      </c>
      <c r="C15" s="30" t="s">
        <v>17</v>
      </c>
      <c r="D15" s="30" t="s">
        <v>4</v>
      </c>
      <c r="E15" s="31" t="s">
        <v>17</v>
      </c>
      <c r="F15" s="31" t="s">
        <v>18</v>
      </c>
      <c r="G15" s="110" t="s">
        <v>19</v>
      </c>
      <c r="H15" s="110"/>
      <c r="I15" s="110"/>
      <c r="J15" s="110"/>
      <c r="K15" s="111" t="s">
        <v>20</v>
      </c>
      <c r="L15" s="112"/>
      <c r="M15" s="112"/>
      <c r="N15" s="112"/>
      <c r="O15" s="112"/>
      <c r="P15" s="113"/>
    </row>
    <row r="16" spans="1:21" ht="14.5" x14ac:dyDescent="0.35">
      <c r="A16" s="117"/>
      <c r="B16" s="32" t="s">
        <v>7</v>
      </c>
      <c r="C16" s="33" t="s">
        <v>5</v>
      </c>
      <c r="D16" s="33" t="s">
        <v>21</v>
      </c>
      <c r="E16" s="34" t="s">
        <v>22</v>
      </c>
      <c r="F16" s="34" t="s">
        <v>22</v>
      </c>
      <c r="G16" s="35" t="s">
        <v>23</v>
      </c>
      <c r="H16" s="35" t="s">
        <v>24</v>
      </c>
      <c r="I16" s="35" t="s">
        <v>25</v>
      </c>
      <c r="J16" s="44" t="s">
        <v>26</v>
      </c>
      <c r="K16" s="36" t="s">
        <v>27</v>
      </c>
      <c r="L16" s="36" t="s">
        <v>28</v>
      </c>
      <c r="M16" s="36" t="s">
        <v>29</v>
      </c>
      <c r="N16" s="36" t="s">
        <v>30</v>
      </c>
      <c r="O16" s="36" t="s">
        <v>31</v>
      </c>
      <c r="P16" s="36" t="s">
        <v>32</v>
      </c>
    </row>
    <row r="17" spans="1:16" x14ac:dyDescent="0.25">
      <c r="A17" s="28" t="s">
        <v>33</v>
      </c>
      <c r="B17" s="48"/>
      <c r="C17" s="48"/>
      <c r="D17" s="48"/>
      <c r="E17" s="48"/>
      <c r="F17" s="49">
        <f>E6</f>
        <v>1519891120</v>
      </c>
      <c r="G17" s="48"/>
      <c r="H17" s="48"/>
      <c r="I17" s="48"/>
      <c r="J17" s="50"/>
      <c r="K17" s="48"/>
      <c r="L17" s="48"/>
      <c r="M17" s="48"/>
      <c r="N17" s="48"/>
      <c r="O17" s="48"/>
      <c r="P17" s="48"/>
    </row>
    <row r="18" spans="1:16" x14ac:dyDescent="0.25">
      <c r="B18" s="38" t="s">
        <v>13</v>
      </c>
      <c r="C18" s="40">
        <v>95200</v>
      </c>
      <c r="D18" s="38">
        <v>15767</v>
      </c>
      <c r="E18" s="41">
        <f>+C18*D18</f>
        <v>1501018400</v>
      </c>
      <c r="F18" s="42"/>
      <c r="G18" s="39" t="s">
        <v>14</v>
      </c>
      <c r="H18" s="37">
        <v>45290</v>
      </c>
      <c r="I18" s="51">
        <v>60</v>
      </c>
      <c r="J18" s="52">
        <f>H18+I18</f>
        <v>45350</v>
      </c>
      <c r="K18" s="51">
        <f>$H$13-J18</f>
        <v>-28</v>
      </c>
      <c r="L18" s="51">
        <f>E18</f>
        <v>1501018400</v>
      </c>
      <c r="M18" s="51"/>
      <c r="N18" s="51"/>
      <c r="O18" s="51"/>
      <c r="P18" s="51"/>
    </row>
    <row r="19" spans="1:16" x14ac:dyDescent="0.25">
      <c r="B19" s="53" t="s">
        <v>34</v>
      </c>
      <c r="C19" s="51"/>
      <c r="D19" s="51"/>
      <c r="E19" s="51"/>
      <c r="F19" s="53">
        <f>F17-E18</f>
        <v>18872720</v>
      </c>
      <c r="G19" s="51"/>
      <c r="H19" s="51"/>
      <c r="I19" s="51"/>
      <c r="J19" s="52"/>
      <c r="K19" s="51"/>
      <c r="L19" s="51"/>
      <c r="M19" s="51"/>
      <c r="N19" s="51"/>
      <c r="O19" s="51"/>
      <c r="P19" s="51"/>
    </row>
    <row r="20" spans="1:16" x14ac:dyDescent="0.25">
      <c r="B20" s="51"/>
      <c r="C20" s="51"/>
      <c r="D20" s="51"/>
      <c r="E20" s="51"/>
      <c r="F20" s="51"/>
      <c r="G20" s="51"/>
      <c r="H20" s="51"/>
      <c r="I20" s="51"/>
      <c r="J20" s="52"/>
      <c r="K20" s="51"/>
      <c r="L20" s="51"/>
      <c r="M20" s="51"/>
      <c r="N20" s="51"/>
      <c r="O20" s="51"/>
      <c r="P20" s="51"/>
    </row>
    <row r="21" spans="1:16" x14ac:dyDescent="0.25">
      <c r="A21" s="45" t="s">
        <v>35</v>
      </c>
      <c r="B21" s="51"/>
      <c r="C21" s="51"/>
      <c r="D21" s="51"/>
      <c r="E21" s="51"/>
      <c r="F21" s="54">
        <f>E7</f>
        <v>1702808800</v>
      </c>
      <c r="G21" s="51"/>
      <c r="H21" s="51"/>
      <c r="I21" s="51"/>
      <c r="J21" s="52"/>
      <c r="K21" s="51"/>
      <c r="L21" s="51"/>
      <c r="M21" s="51"/>
      <c r="N21" s="51"/>
      <c r="O21" s="51"/>
      <c r="P21" s="51"/>
    </row>
    <row r="22" spans="1:16" x14ac:dyDescent="0.25">
      <c r="B22" s="38" t="s">
        <v>36</v>
      </c>
      <c r="C22" s="40">
        <v>107800</v>
      </c>
      <c r="D22" s="38">
        <v>15558</v>
      </c>
      <c r="E22" s="41">
        <f>+C22*D22</f>
        <v>1677152400</v>
      </c>
      <c r="F22" s="42"/>
      <c r="G22" s="39" t="s">
        <v>37</v>
      </c>
      <c r="H22" s="37">
        <v>45290</v>
      </c>
      <c r="I22" s="51">
        <v>60</v>
      </c>
      <c r="J22" s="52">
        <f>H22+I22</f>
        <v>45350</v>
      </c>
      <c r="K22" s="51">
        <f>$H$13-J22</f>
        <v>-28</v>
      </c>
      <c r="L22" s="51">
        <f>E22</f>
        <v>1677152400</v>
      </c>
      <c r="M22" s="51"/>
      <c r="N22" s="51"/>
      <c r="O22" s="51"/>
      <c r="P22" s="51"/>
    </row>
    <row r="23" spans="1:16" x14ac:dyDescent="0.25">
      <c r="B23" s="53" t="s">
        <v>34</v>
      </c>
      <c r="C23" s="51"/>
      <c r="D23" s="51"/>
      <c r="E23" s="51"/>
      <c r="F23" s="53">
        <f>F21-E22</f>
        <v>25656400</v>
      </c>
      <c r="G23" s="51"/>
      <c r="H23" s="51"/>
      <c r="I23" s="51"/>
      <c r="J23" s="52"/>
      <c r="K23" s="51"/>
      <c r="L23" s="51"/>
      <c r="M23" s="51"/>
      <c r="N23" s="51"/>
      <c r="O23" s="51"/>
      <c r="P23" s="51"/>
    </row>
    <row r="24" spans="1:16" x14ac:dyDescent="0.25">
      <c r="B24" s="51"/>
      <c r="C24" s="51"/>
      <c r="D24" s="51"/>
      <c r="E24" s="51"/>
      <c r="F24" s="51"/>
      <c r="G24" s="51"/>
      <c r="H24" s="51"/>
      <c r="I24" s="51"/>
      <c r="J24" s="52"/>
      <c r="K24" s="51"/>
      <c r="L24" s="51"/>
      <c r="M24" s="51"/>
      <c r="N24" s="51"/>
      <c r="O24" s="51"/>
      <c r="P24" s="51"/>
    </row>
    <row r="25" spans="1:16" x14ac:dyDescent="0.25">
      <c r="A25" s="46" t="s">
        <v>38</v>
      </c>
      <c r="B25" s="51"/>
      <c r="C25" s="51"/>
      <c r="D25" s="51"/>
      <c r="E25" s="51"/>
      <c r="F25" s="54">
        <f>E8</f>
        <v>-15527468</v>
      </c>
      <c r="G25" s="51"/>
      <c r="H25" s="51"/>
      <c r="I25" s="51"/>
      <c r="J25" s="52"/>
      <c r="K25" s="51"/>
      <c r="L25" s="51"/>
      <c r="M25" s="51"/>
      <c r="N25" s="51"/>
      <c r="O25" s="51"/>
      <c r="P25" s="51">
        <f>F25</f>
        <v>-15527468</v>
      </c>
    </row>
    <row r="26" spans="1:16" x14ac:dyDescent="0.25">
      <c r="B26" s="53" t="s">
        <v>34</v>
      </c>
      <c r="C26" s="51"/>
      <c r="D26" s="51"/>
      <c r="E26" s="51"/>
      <c r="F26" s="53">
        <f>F25</f>
        <v>-15527468</v>
      </c>
      <c r="G26" s="51"/>
      <c r="H26" s="51"/>
      <c r="I26" s="51"/>
      <c r="J26" s="52"/>
      <c r="K26" s="51"/>
      <c r="L26" s="51"/>
      <c r="M26" s="51"/>
      <c r="N26" s="51"/>
      <c r="O26" s="51"/>
      <c r="P26" s="51"/>
    </row>
    <row r="27" spans="1:16" x14ac:dyDescent="0.25">
      <c r="B27" s="51"/>
      <c r="C27" s="51"/>
      <c r="D27" s="51"/>
      <c r="E27" s="51"/>
      <c r="F27" s="51"/>
      <c r="G27" s="51"/>
      <c r="H27" s="51"/>
      <c r="I27" s="51"/>
      <c r="J27" s="52"/>
      <c r="K27" s="51"/>
      <c r="L27" s="51"/>
      <c r="M27" s="51"/>
      <c r="N27" s="51"/>
      <c r="O27" s="51"/>
      <c r="P27" s="51"/>
    </row>
    <row r="28" spans="1:16" x14ac:dyDescent="0.25">
      <c r="A28" s="47" t="s">
        <v>39</v>
      </c>
      <c r="B28" s="51"/>
      <c r="C28" s="51"/>
      <c r="D28" s="51"/>
      <c r="E28" s="51"/>
      <c r="F28" s="54">
        <f>E9</f>
        <v>1253531070</v>
      </c>
      <c r="G28" s="51"/>
      <c r="H28" s="51"/>
      <c r="I28" s="51"/>
      <c r="J28" s="52"/>
      <c r="K28" s="51"/>
      <c r="L28" s="51"/>
      <c r="M28" s="51"/>
      <c r="N28" s="51"/>
      <c r="O28" s="51"/>
      <c r="P28" s="51"/>
    </row>
    <row r="29" spans="1:16" x14ac:dyDescent="0.25">
      <c r="B29" s="38" t="s">
        <v>40</v>
      </c>
      <c r="C29" s="40">
        <v>79357.5</v>
      </c>
      <c r="D29" s="38">
        <v>15796</v>
      </c>
      <c r="E29" s="41">
        <f>C29*D29</f>
        <v>1253531070</v>
      </c>
      <c r="F29" s="42"/>
      <c r="G29" s="51" t="s">
        <v>41</v>
      </c>
      <c r="H29" s="52">
        <v>45322</v>
      </c>
      <c r="I29" s="51">
        <v>60</v>
      </c>
      <c r="J29" s="52">
        <f>H29+I29</f>
        <v>45382</v>
      </c>
      <c r="K29" s="51">
        <f>$H$13-J29</f>
        <v>-60</v>
      </c>
      <c r="L29" s="51">
        <f>E29</f>
        <v>1253531070</v>
      </c>
      <c r="M29" s="51"/>
      <c r="N29" s="51"/>
      <c r="O29" s="51"/>
      <c r="P29" s="51"/>
    </row>
    <row r="30" spans="1:16" x14ac:dyDescent="0.25">
      <c r="B30" s="53" t="s">
        <v>34</v>
      </c>
      <c r="C30" s="51"/>
      <c r="D30" s="51"/>
      <c r="E30" s="51"/>
      <c r="F30" s="51"/>
      <c r="G30" s="51"/>
      <c r="H30" s="51"/>
      <c r="I30" s="53">
        <f>F28-E29</f>
        <v>0</v>
      </c>
      <c r="J30" s="51"/>
      <c r="K30" s="51"/>
      <c r="L30" s="51"/>
      <c r="M30" s="52"/>
      <c r="N30" s="51"/>
      <c r="O30" s="51"/>
      <c r="P30" s="51"/>
    </row>
    <row r="31" spans="1:16" x14ac:dyDescent="0.25"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2"/>
      <c r="O31" s="51"/>
      <c r="P31" s="51"/>
    </row>
  </sheetData>
  <mergeCells count="7">
    <mergeCell ref="G15:J15"/>
    <mergeCell ref="K15:P15"/>
    <mergeCell ref="A4:A5"/>
    <mergeCell ref="C4:C5"/>
    <mergeCell ref="D4:D5"/>
    <mergeCell ref="E4:E5"/>
    <mergeCell ref="A15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4B2C-64AB-46DC-8626-4BE81D6936BC}">
  <dimension ref="A1:R27"/>
  <sheetViews>
    <sheetView showGridLines="0" workbookViewId="0">
      <selection activeCell="B12" sqref="B12"/>
    </sheetView>
  </sheetViews>
  <sheetFormatPr defaultColWidth="12.90625" defaultRowHeight="11.5" x14ac:dyDescent="0.25"/>
  <cols>
    <col min="1" max="1" width="6.08984375" style="1" customWidth="1"/>
    <col min="2" max="2" width="40.453125" style="1" bestFit="1" customWidth="1"/>
    <col min="3" max="4" width="10.08984375" style="1" bestFit="1" customWidth="1"/>
    <col min="5" max="5" width="14.7265625" style="1" bestFit="1" customWidth="1"/>
    <col min="6" max="6" width="12.36328125" style="1" bestFit="1" customWidth="1"/>
    <col min="7" max="7" width="11.26953125" style="1" bestFit="1" customWidth="1"/>
    <col min="8" max="8" width="8.54296875" style="1" bestFit="1" customWidth="1"/>
    <col min="9" max="9" width="12.08984375" style="1" bestFit="1" customWidth="1"/>
    <col min="10" max="10" width="18.6328125" style="1" bestFit="1" customWidth="1"/>
    <col min="11" max="11" width="5.36328125" style="1" bestFit="1" customWidth="1"/>
    <col min="12" max="13" width="12.36328125" style="1" bestFit="1" customWidth="1"/>
    <col min="14" max="15" width="9.81640625" style="1" bestFit="1" customWidth="1"/>
    <col min="16" max="16" width="10.6328125" style="1" bestFit="1" customWidth="1"/>
    <col min="17" max="17" width="12.90625" style="1"/>
    <col min="18" max="18" width="10.6328125" style="1" bestFit="1" customWidth="1"/>
    <col min="19" max="16384" width="12.90625" style="1"/>
  </cols>
  <sheetData>
    <row r="1" spans="1:17" x14ac:dyDescent="0.25">
      <c r="A1" s="8" t="s">
        <v>0</v>
      </c>
      <c r="B1" s="55"/>
      <c r="C1" s="11"/>
      <c r="D1" s="56"/>
      <c r="E1" s="56"/>
    </row>
    <row r="2" spans="1:17" x14ac:dyDescent="0.25">
      <c r="A2" s="8" t="s">
        <v>42</v>
      </c>
      <c r="B2" s="55"/>
      <c r="C2" s="11"/>
      <c r="D2" s="56"/>
      <c r="E2" s="56"/>
    </row>
    <row r="3" spans="1:17" x14ac:dyDescent="0.25">
      <c r="A3" s="8"/>
      <c r="B3" s="9"/>
      <c r="C3" s="10"/>
      <c r="D3" s="7"/>
      <c r="E3" s="7"/>
    </row>
    <row r="4" spans="1:17" x14ac:dyDescent="0.25">
      <c r="A4" s="120" t="s">
        <v>2</v>
      </c>
      <c r="B4" s="11" t="s">
        <v>3</v>
      </c>
      <c r="C4" s="122" t="s">
        <v>4</v>
      </c>
      <c r="D4" s="122" t="s">
        <v>5</v>
      </c>
      <c r="E4" s="122" t="s">
        <v>6</v>
      </c>
    </row>
    <row r="5" spans="1:17" ht="12" thickBot="1" x14ac:dyDescent="0.3">
      <c r="A5" s="121"/>
      <c r="B5" s="19" t="s">
        <v>7</v>
      </c>
      <c r="C5" s="123"/>
      <c r="D5" s="123"/>
      <c r="E5" s="123"/>
    </row>
    <row r="6" spans="1:17" x14ac:dyDescent="0.25">
      <c r="A6" s="12">
        <v>1</v>
      </c>
      <c r="B6" s="13" t="s">
        <v>8</v>
      </c>
      <c r="C6" s="7">
        <v>15673</v>
      </c>
      <c r="D6" s="7">
        <v>88700</v>
      </c>
      <c r="E6" s="9">
        <f>C6*D6</f>
        <v>1390195100</v>
      </c>
    </row>
    <row r="7" spans="1:17" x14ac:dyDescent="0.25">
      <c r="A7" s="12">
        <v>2</v>
      </c>
      <c r="B7" s="13" t="s">
        <v>9</v>
      </c>
      <c r="C7" s="7">
        <v>15673</v>
      </c>
      <c r="D7" s="7">
        <v>107800</v>
      </c>
      <c r="E7" s="9">
        <f>D7*C7</f>
        <v>1689549400</v>
      </c>
    </row>
    <row r="8" spans="1:17" x14ac:dyDescent="0.25">
      <c r="A8" s="12">
        <v>3</v>
      </c>
      <c r="B8" s="13" t="s">
        <v>10</v>
      </c>
      <c r="C8" s="7">
        <v>15673</v>
      </c>
      <c r="D8" s="9">
        <v>-983</v>
      </c>
      <c r="E8" s="9">
        <f>D8*C8</f>
        <v>-15406559</v>
      </c>
    </row>
    <row r="9" spans="1:17" x14ac:dyDescent="0.25">
      <c r="A9" s="12"/>
      <c r="B9" s="13"/>
      <c r="C9" s="7"/>
      <c r="D9" s="7"/>
      <c r="E9" s="9"/>
    </row>
    <row r="10" spans="1:17" x14ac:dyDescent="0.25">
      <c r="A10" s="14"/>
      <c r="B10" s="15" t="s">
        <v>12</v>
      </c>
      <c r="C10" s="16"/>
      <c r="D10" s="17">
        <f>SUM(D6:D8)</f>
        <v>195517</v>
      </c>
      <c r="E10" s="17">
        <f>SUM(E6:E8)</f>
        <v>3064337941</v>
      </c>
    </row>
    <row r="11" spans="1:17" x14ac:dyDescent="0.25">
      <c r="A11" s="6"/>
      <c r="B11" s="6"/>
      <c r="C11" s="16"/>
      <c r="D11" s="6"/>
      <c r="E11" s="6"/>
    </row>
    <row r="12" spans="1:17" x14ac:dyDescent="0.25">
      <c r="H12" s="27">
        <v>45351</v>
      </c>
      <c r="L12" s="45">
        <f>SUBTOTAL(9,L16:L57)</f>
        <v>1388864600</v>
      </c>
      <c r="M12" s="45">
        <f>SUBTOTAL(9,M16:M57)</f>
        <v>1677152400</v>
      </c>
      <c r="N12" s="45">
        <f>SUBTOTAL(9,N16:N57)</f>
        <v>0</v>
      </c>
      <c r="O12" s="45">
        <f>SUBTOTAL(9,O16:O57)</f>
        <v>0</v>
      </c>
      <c r="P12" s="45">
        <f>SUBTOTAL(9,P16:P57)</f>
        <v>-15406559</v>
      </c>
    </row>
    <row r="13" spans="1:17" s="22" customFormat="1" ht="12" thickBot="1" x14ac:dyDescent="0.3">
      <c r="A13" s="28" t="s">
        <v>15</v>
      </c>
      <c r="B13" s="1"/>
      <c r="C13" s="1"/>
      <c r="D13" s="1"/>
      <c r="E13" s="1"/>
      <c r="F13" s="1"/>
      <c r="G13" s="1"/>
      <c r="H13" s="1"/>
      <c r="I13" s="1"/>
      <c r="J13" s="1"/>
      <c r="K13" s="43"/>
      <c r="L13" s="1"/>
      <c r="M13" s="1"/>
      <c r="N13" s="1"/>
      <c r="O13" s="1"/>
      <c r="P13" s="1"/>
      <c r="Q13" s="1"/>
    </row>
    <row r="14" spans="1:17" ht="15" thickTop="1" x14ac:dyDescent="0.35">
      <c r="A14" s="118" t="s">
        <v>16</v>
      </c>
      <c r="B14" s="29" t="s">
        <v>3</v>
      </c>
      <c r="C14" s="57" t="s">
        <v>17</v>
      </c>
      <c r="D14" s="57" t="s">
        <v>4</v>
      </c>
      <c r="E14" s="58" t="s">
        <v>17</v>
      </c>
      <c r="F14" s="58" t="s">
        <v>18</v>
      </c>
      <c r="G14" s="110" t="s">
        <v>19</v>
      </c>
      <c r="H14" s="110"/>
      <c r="I14" s="110"/>
      <c r="J14" s="110"/>
      <c r="K14" s="111" t="s">
        <v>20</v>
      </c>
      <c r="L14" s="112"/>
      <c r="M14" s="112"/>
      <c r="N14" s="112"/>
      <c r="O14" s="112"/>
      <c r="P14" s="113"/>
    </row>
    <row r="15" spans="1:17" ht="14.5" x14ac:dyDescent="0.35">
      <c r="A15" s="119"/>
      <c r="B15" s="59" t="s">
        <v>7</v>
      </c>
      <c r="C15" s="60" t="s">
        <v>5</v>
      </c>
      <c r="D15" s="60" t="s">
        <v>21</v>
      </c>
      <c r="E15" s="61" t="s">
        <v>22</v>
      </c>
      <c r="F15" s="61" t="s">
        <v>22</v>
      </c>
      <c r="G15" s="35" t="s">
        <v>23</v>
      </c>
      <c r="H15" s="35" t="s">
        <v>24</v>
      </c>
      <c r="I15" s="35" t="s">
        <v>25</v>
      </c>
      <c r="J15" s="44" t="s">
        <v>26</v>
      </c>
      <c r="K15" s="36" t="s">
        <v>27</v>
      </c>
      <c r="L15" s="36" t="s">
        <v>28</v>
      </c>
      <c r="M15" s="36" t="s">
        <v>29</v>
      </c>
      <c r="N15" s="36" t="s">
        <v>30</v>
      </c>
      <c r="O15" s="36" t="s">
        <v>31</v>
      </c>
      <c r="P15" s="36" t="s">
        <v>32</v>
      </c>
    </row>
    <row r="16" spans="1:17" x14ac:dyDescent="0.25">
      <c r="A16" s="66" t="s">
        <v>33</v>
      </c>
      <c r="B16" s="67"/>
      <c r="C16" s="67"/>
      <c r="D16" s="67"/>
      <c r="E16" s="67"/>
      <c r="F16" s="49">
        <f>E6</f>
        <v>1390195100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</row>
    <row r="17" spans="1:18" x14ac:dyDescent="0.25">
      <c r="A17" s="64"/>
      <c r="B17" s="38" t="s">
        <v>13</v>
      </c>
      <c r="C17" s="40">
        <v>88700</v>
      </c>
      <c r="D17" s="38">
        <v>15658</v>
      </c>
      <c r="E17" s="41">
        <f>+C17*D17</f>
        <v>1388864600</v>
      </c>
      <c r="F17" s="42"/>
      <c r="G17" s="39" t="s">
        <v>44</v>
      </c>
      <c r="H17" s="37">
        <v>45344</v>
      </c>
      <c r="I17" s="64">
        <v>60</v>
      </c>
      <c r="J17" s="52">
        <f>H17+I17</f>
        <v>45404</v>
      </c>
      <c r="K17" s="64">
        <f>$H$12-J17</f>
        <v>-53</v>
      </c>
      <c r="L17" s="51">
        <f>E17</f>
        <v>1388864600</v>
      </c>
      <c r="M17" s="64"/>
      <c r="N17" s="64"/>
      <c r="O17" s="64"/>
      <c r="P17" s="64"/>
    </row>
    <row r="18" spans="1:18" s="62" customFormat="1" x14ac:dyDescent="0.25">
      <c r="A18" s="68"/>
      <c r="B18" s="68" t="s">
        <v>34</v>
      </c>
      <c r="C18" s="68"/>
      <c r="D18" s="68"/>
      <c r="E18" s="68"/>
      <c r="F18" s="53">
        <f>F16-E17</f>
        <v>1330500</v>
      </c>
      <c r="G18" s="68"/>
      <c r="H18" s="68"/>
      <c r="I18" s="68"/>
      <c r="J18" s="68"/>
      <c r="K18" s="68"/>
      <c r="L18" s="64"/>
      <c r="M18" s="64"/>
      <c r="N18" s="64"/>
      <c r="O18" s="64"/>
      <c r="P18" s="64"/>
    </row>
    <row r="19" spans="1:18" x14ac:dyDescent="0.2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</row>
    <row r="20" spans="1:18" x14ac:dyDescent="0.25">
      <c r="A20" s="69" t="s">
        <v>35</v>
      </c>
      <c r="B20" s="64"/>
      <c r="C20" s="64"/>
      <c r="D20" s="64"/>
      <c r="E20" s="64"/>
      <c r="F20" s="54">
        <f>E7</f>
        <v>1689549400</v>
      </c>
      <c r="G20" s="64"/>
      <c r="H20" s="64"/>
      <c r="I20" s="64"/>
      <c r="J20" s="64"/>
      <c r="K20" s="64"/>
      <c r="L20" s="64"/>
      <c r="M20" s="64"/>
      <c r="N20" s="64"/>
      <c r="O20" s="64"/>
      <c r="P20" s="64"/>
    </row>
    <row r="21" spans="1:18" s="64" customFormat="1" x14ac:dyDescent="0.25">
      <c r="B21" s="38" t="s">
        <v>36</v>
      </c>
      <c r="C21" s="40">
        <v>107800</v>
      </c>
      <c r="D21" s="65">
        <v>15558</v>
      </c>
      <c r="E21" s="41">
        <f>+C21*D21</f>
        <v>1677152400</v>
      </c>
      <c r="F21" s="40"/>
      <c r="G21" s="39" t="s">
        <v>37</v>
      </c>
      <c r="H21" s="37">
        <v>45290</v>
      </c>
      <c r="I21" s="64">
        <v>60</v>
      </c>
      <c r="J21" s="52">
        <f>H21+I21</f>
        <v>45350</v>
      </c>
      <c r="K21" s="64">
        <f>$H$12-J21</f>
        <v>1</v>
      </c>
      <c r="M21" s="51">
        <f>E21</f>
        <v>1677152400</v>
      </c>
      <c r="Q21" s="63"/>
    </row>
    <row r="22" spans="1:18" x14ac:dyDescent="0.25">
      <c r="A22" s="64"/>
      <c r="B22" s="68" t="s">
        <v>34</v>
      </c>
      <c r="C22" s="64"/>
      <c r="D22" s="64"/>
      <c r="E22" s="64"/>
      <c r="F22" s="53">
        <f>F20-E21</f>
        <v>12397000</v>
      </c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1:18" x14ac:dyDescent="0.2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</row>
    <row r="24" spans="1:18" x14ac:dyDescent="0.25">
      <c r="A24" s="69" t="s">
        <v>38</v>
      </c>
      <c r="B24" s="64"/>
      <c r="C24" s="64"/>
      <c r="D24" s="64"/>
      <c r="E24" s="64"/>
      <c r="F24" s="64"/>
      <c r="G24" s="64"/>
      <c r="H24" s="64"/>
      <c r="I24" s="54">
        <f>E8</f>
        <v>-15406559</v>
      </c>
      <c r="J24" s="64"/>
      <c r="K24" s="64"/>
      <c r="L24" s="64"/>
      <c r="M24" s="64"/>
      <c r="N24" s="64"/>
      <c r="O24" s="64"/>
      <c r="P24" s="51">
        <f>I24</f>
        <v>-15406559</v>
      </c>
      <c r="R24" s="22">
        <f>I24</f>
        <v>-15406559</v>
      </c>
    </row>
    <row r="25" spans="1:18" x14ac:dyDescent="0.25">
      <c r="A25" s="64"/>
      <c r="B25" s="68" t="s">
        <v>34</v>
      </c>
      <c r="C25" s="64"/>
      <c r="D25" s="64"/>
      <c r="E25" s="64"/>
      <c r="F25" s="64"/>
      <c r="G25" s="64"/>
      <c r="H25" s="64"/>
      <c r="I25" s="53">
        <f>I24</f>
        <v>-15406559</v>
      </c>
      <c r="J25" s="64"/>
      <c r="K25" s="64"/>
      <c r="L25" s="64"/>
      <c r="M25" s="64"/>
      <c r="N25" s="64"/>
      <c r="O25" s="64"/>
      <c r="P25" s="64"/>
    </row>
    <row r="26" spans="1:18" x14ac:dyDescent="0.2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spans="1:18" x14ac:dyDescent="0.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</row>
  </sheetData>
  <mergeCells count="7">
    <mergeCell ref="A14:A15"/>
    <mergeCell ref="G14:J14"/>
    <mergeCell ref="K14:P14"/>
    <mergeCell ref="A4:A5"/>
    <mergeCell ref="C4:C5"/>
    <mergeCell ref="D4:D5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A6CD-F4A9-4D73-8BCF-7E00423264BE}">
  <dimension ref="A1:XFD37"/>
  <sheetViews>
    <sheetView showGridLines="0" workbookViewId="0">
      <selection activeCell="B8" sqref="B8"/>
    </sheetView>
  </sheetViews>
  <sheetFormatPr defaultRowHeight="11.5" x14ac:dyDescent="0.25"/>
  <cols>
    <col min="1" max="1" width="8.54296875" style="1" customWidth="1"/>
    <col min="2" max="2" width="41.7265625" style="1" bestFit="1" customWidth="1"/>
    <col min="3" max="4" width="10.08984375" style="1" bestFit="1" customWidth="1"/>
    <col min="5" max="5" width="14.7265625" style="1" bestFit="1" customWidth="1"/>
    <col min="6" max="6" width="12.36328125" style="1" bestFit="1" customWidth="1"/>
    <col min="7" max="7" width="12.1796875" style="1" bestFit="1" customWidth="1"/>
    <col min="8" max="8" width="8.453125" style="1" bestFit="1" customWidth="1"/>
    <col min="9" max="9" width="12.08984375" style="1" bestFit="1" customWidth="1"/>
    <col min="10" max="10" width="18.6328125" style="1" bestFit="1" customWidth="1"/>
    <col min="11" max="11" width="5.36328125" style="1" bestFit="1" customWidth="1"/>
    <col min="12" max="12" width="12.36328125" style="1" bestFit="1" customWidth="1"/>
    <col min="13" max="13" width="8.81640625" style="1" bestFit="1" customWidth="1"/>
    <col min="14" max="15" width="9.81640625" style="1" bestFit="1" customWidth="1"/>
    <col min="16" max="16" width="10.6328125" style="1" bestFit="1" customWidth="1"/>
    <col min="17" max="20" width="8.7265625" style="1"/>
    <col min="21" max="21" width="10.6328125" style="1" bestFit="1" customWidth="1"/>
    <col min="22" max="16384" width="8.7265625" style="1"/>
  </cols>
  <sheetData>
    <row r="1" spans="1:22 16384:16384" x14ac:dyDescent="0.25">
      <c r="A1" s="8" t="s">
        <v>0</v>
      </c>
    </row>
    <row r="2" spans="1:22 16384:16384" x14ac:dyDescent="0.25">
      <c r="A2" s="8" t="s">
        <v>48</v>
      </c>
    </row>
    <row r="4" spans="1:22 16384:16384" x14ac:dyDescent="0.25">
      <c r="A4" s="120" t="s">
        <v>2</v>
      </c>
      <c r="B4" s="11" t="s">
        <v>3</v>
      </c>
      <c r="C4" s="122" t="s">
        <v>4</v>
      </c>
      <c r="D4" s="122" t="s">
        <v>5</v>
      </c>
      <c r="E4" s="122" t="s">
        <v>6</v>
      </c>
      <c r="F4" s="6"/>
    </row>
    <row r="5" spans="1:22 16384:16384" ht="12" thickBot="1" x14ac:dyDescent="0.3">
      <c r="A5" s="121"/>
      <c r="B5" s="19" t="s">
        <v>7</v>
      </c>
      <c r="C5" s="123"/>
      <c r="D5" s="123"/>
      <c r="E5" s="123"/>
      <c r="F5" s="6"/>
    </row>
    <row r="6" spans="1:22 16384:16384" x14ac:dyDescent="0.25">
      <c r="A6" s="12">
        <v>1</v>
      </c>
      <c r="B6" s="13" t="s">
        <v>8</v>
      </c>
      <c r="C6" s="7">
        <v>15853</v>
      </c>
      <c r="D6" s="7">
        <v>212335</v>
      </c>
      <c r="E6" s="9">
        <f>C6*D6</f>
        <v>3366146755</v>
      </c>
      <c r="F6" s="6"/>
    </row>
    <row r="7" spans="1:22 16384:16384" x14ac:dyDescent="0.25">
      <c r="A7" s="12">
        <v>3</v>
      </c>
      <c r="B7" s="13" t="s">
        <v>10</v>
      </c>
      <c r="C7" s="7">
        <v>15853</v>
      </c>
      <c r="D7" s="9">
        <v>-983</v>
      </c>
      <c r="E7" s="9">
        <f>D7*C7</f>
        <v>-15583499</v>
      </c>
      <c r="F7" s="6"/>
    </row>
    <row r="8" spans="1:22 16384:16384" x14ac:dyDescent="0.25">
      <c r="A8" s="12">
        <v>4</v>
      </c>
      <c r="B8" s="13" t="s">
        <v>45</v>
      </c>
      <c r="C8" s="7">
        <v>15853</v>
      </c>
      <c r="D8" s="7">
        <v>83531.5</v>
      </c>
      <c r="E8" s="9">
        <f>C8*D8</f>
        <v>1324224869.5</v>
      </c>
      <c r="F8" s="6"/>
    </row>
    <row r="9" spans="1:22 16384:16384" x14ac:dyDescent="0.25">
      <c r="A9" s="12">
        <v>5</v>
      </c>
      <c r="B9" s="13" t="s">
        <v>46</v>
      </c>
      <c r="C9" s="7">
        <v>15853</v>
      </c>
      <c r="D9" s="7">
        <v>93500</v>
      </c>
      <c r="E9" s="9">
        <f>C9*D9</f>
        <v>1482255500</v>
      </c>
      <c r="F9" s="6"/>
    </row>
    <row r="10" spans="1:22 16384:16384" x14ac:dyDescent="0.25">
      <c r="A10" s="12">
        <v>6</v>
      </c>
      <c r="B10" s="13" t="s">
        <v>47</v>
      </c>
      <c r="C10" s="7">
        <v>15853</v>
      </c>
      <c r="D10" s="7">
        <v>106800</v>
      </c>
      <c r="E10" s="9">
        <f>C10*D10</f>
        <v>1693100400</v>
      </c>
      <c r="F10" s="6"/>
    </row>
    <row r="11" spans="1:22 16384:16384" x14ac:dyDescent="0.25">
      <c r="A11" s="12"/>
      <c r="B11" s="13"/>
      <c r="C11" s="7"/>
      <c r="D11" s="7"/>
      <c r="E11" s="9"/>
      <c r="F11" s="6"/>
    </row>
    <row r="12" spans="1:22 16384:16384" x14ac:dyDescent="0.25">
      <c r="A12" s="14"/>
      <c r="B12" s="15" t="s">
        <v>12</v>
      </c>
      <c r="C12" s="16"/>
      <c r="D12" s="17">
        <f>SUM(D6:D10)</f>
        <v>495183.5</v>
      </c>
      <c r="E12" s="17">
        <f>SUM(E6:E10)</f>
        <v>7850144025.5</v>
      </c>
      <c r="F12" s="6"/>
    </row>
    <row r="14" spans="1:22 16384:16384" x14ac:dyDescent="0.25">
      <c r="H14" s="27">
        <v>45382</v>
      </c>
      <c r="L14" s="45">
        <f>SUBTOTAL(9,L18:L59)</f>
        <v>7808100775.5</v>
      </c>
      <c r="M14" s="45">
        <f>SUBTOTAL(9,M18:M59)</f>
        <v>0</v>
      </c>
      <c r="N14" s="45">
        <f>SUBTOTAL(9,N18:N59)</f>
        <v>0</v>
      </c>
      <c r="O14" s="45">
        <f>SUBTOTAL(9,O18:O59)</f>
        <v>0</v>
      </c>
      <c r="P14" s="45">
        <f>SUBTOTAL(9,P18:P59)</f>
        <v>-15583499</v>
      </c>
      <c r="XFD14" s="45"/>
    </row>
    <row r="15" spans="1:22 16384:16384" ht="12" thickBot="1" x14ac:dyDescent="0.3">
      <c r="A15" s="28" t="s">
        <v>15</v>
      </c>
      <c r="O15" s="43"/>
      <c r="V15" s="22"/>
    </row>
    <row r="16" spans="1:22 16384:16384" ht="15" thickTop="1" x14ac:dyDescent="0.35">
      <c r="A16" s="118" t="s">
        <v>16</v>
      </c>
      <c r="B16" s="29" t="s">
        <v>3</v>
      </c>
      <c r="C16" s="57" t="s">
        <v>17</v>
      </c>
      <c r="D16" s="57" t="s">
        <v>4</v>
      </c>
      <c r="E16" s="58" t="s">
        <v>17</v>
      </c>
      <c r="F16" s="58" t="s">
        <v>18</v>
      </c>
      <c r="G16" s="110" t="s">
        <v>19</v>
      </c>
      <c r="H16" s="110"/>
      <c r="I16" s="110"/>
      <c r="J16" s="110"/>
      <c r="K16" s="111" t="s">
        <v>20</v>
      </c>
      <c r="L16" s="112"/>
      <c r="M16" s="112"/>
      <c r="N16" s="112"/>
      <c r="O16" s="112"/>
      <c r="P16" s="113"/>
    </row>
    <row r="17" spans="1:17" ht="14.5" x14ac:dyDescent="0.35">
      <c r="A17" s="119"/>
      <c r="B17" s="59" t="s">
        <v>7</v>
      </c>
      <c r="C17" s="60" t="s">
        <v>5</v>
      </c>
      <c r="D17" s="60" t="s">
        <v>21</v>
      </c>
      <c r="E17" s="61" t="s">
        <v>22</v>
      </c>
      <c r="F17" s="61" t="s">
        <v>22</v>
      </c>
      <c r="G17" s="35" t="s">
        <v>23</v>
      </c>
      <c r="H17" s="35" t="s">
        <v>24</v>
      </c>
      <c r="I17" s="35" t="s">
        <v>25</v>
      </c>
      <c r="J17" s="44" t="s">
        <v>26</v>
      </c>
      <c r="K17" s="36" t="s">
        <v>27</v>
      </c>
      <c r="L17" s="36" t="s">
        <v>28</v>
      </c>
      <c r="M17" s="36" t="s">
        <v>29</v>
      </c>
      <c r="N17" s="36" t="s">
        <v>30</v>
      </c>
      <c r="O17" s="36" t="s">
        <v>31</v>
      </c>
      <c r="P17" s="36" t="s">
        <v>32</v>
      </c>
    </row>
    <row r="18" spans="1:17" x14ac:dyDescent="0.25">
      <c r="A18" s="71" t="s">
        <v>33</v>
      </c>
      <c r="B18" s="64"/>
      <c r="C18" s="64"/>
      <c r="D18" s="64"/>
      <c r="E18" s="64"/>
      <c r="F18" s="54">
        <f>E6</f>
        <v>3366146755</v>
      </c>
      <c r="G18" s="64"/>
      <c r="H18" s="64"/>
      <c r="I18" s="64"/>
      <c r="J18" s="64"/>
      <c r="K18" s="64"/>
      <c r="L18" s="64"/>
      <c r="M18" s="64"/>
      <c r="N18" s="64"/>
      <c r="O18" s="64"/>
      <c r="P18" s="64"/>
    </row>
    <row r="19" spans="1:17" x14ac:dyDescent="0.25">
      <c r="A19" s="64"/>
      <c r="B19" s="38" t="s">
        <v>13</v>
      </c>
      <c r="C19" s="40">
        <v>109310</v>
      </c>
      <c r="D19" s="38">
        <v>15712</v>
      </c>
      <c r="E19" s="41">
        <f>+C19*D19</f>
        <v>1717478720</v>
      </c>
      <c r="F19" s="42"/>
      <c r="G19" s="39" t="s">
        <v>49</v>
      </c>
      <c r="H19" s="37">
        <v>45371</v>
      </c>
      <c r="I19" s="64">
        <v>60</v>
      </c>
      <c r="J19" s="52">
        <f>H19+I19</f>
        <v>45431</v>
      </c>
      <c r="K19" s="64">
        <f>$H$14-J19</f>
        <v>-49</v>
      </c>
      <c r="L19" s="51">
        <f>E19</f>
        <v>1717478720</v>
      </c>
      <c r="M19" s="64"/>
      <c r="N19" s="64"/>
      <c r="O19" s="64"/>
      <c r="P19" s="64"/>
    </row>
    <row r="20" spans="1:17" x14ac:dyDescent="0.25">
      <c r="A20" s="64"/>
      <c r="B20" s="38" t="s">
        <v>13</v>
      </c>
      <c r="C20" s="40">
        <v>103025</v>
      </c>
      <c r="D20" s="38">
        <v>15662</v>
      </c>
      <c r="E20" s="41">
        <f>+C20*D20</f>
        <v>1613577550</v>
      </c>
      <c r="F20" s="42"/>
      <c r="G20" s="39" t="s">
        <v>50</v>
      </c>
      <c r="H20" s="37">
        <v>45373</v>
      </c>
      <c r="I20" s="64">
        <v>60</v>
      </c>
      <c r="J20" s="52">
        <f>H20+I20</f>
        <v>45433</v>
      </c>
      <c r="K20" s="64">
        <f>$H$14-J20</f>
        <v>-51</v>
      </c>
      <c r="L20" s="51">
        <f>E20</f>
        <v>1613577550</v>
      </c>
      <c r="M20" s="64"/>
      <c r="N20" s="64"/>
      <c r="O20" s="64"/>
      <c r="P20" s="64"/>
    </row>
    <row r="21" spans="1:17" x14ac:dyDescent="0.25">
      <c r="A21" s="64"/>
      <c r="B21" s="68" t="s">
        <v>34</v>
      </c>
      <c r="C21" s="64"/>
      <c r="D21" s="64"/>
      <c r="E21" s="64"/>
      <c r="F21" s="53">
        <f>F18-SUM(E19:E20)</f>
        <v>35090485</v>
      </c>
      <c r="G21" s="64"/>
      <c r="H21" s="64"/>
      <c r="I21" s="64"/>
      <c r="J21" s="64"/>
      <c r="K21" s="64"/>
      <c r="L21" s="64"/>
      <c r="M21" s="64"/>
      <c r="N21" s="64"/>
      <c r="O21" s="64"/>
      <c r="P21" s="64"/>
    </row>
    <row r="22" spans="1:17" x14ac:dyDescent="0.2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1:17" s="28" customFormat="1" x14ac:dyDescent="0.25">
      <c r="A23" s="71" t="s">
        <v>38</v>
      </c>
      <c r="B23" s="71"/>
      <c r="C23" s="71"/>
      <c r="D23" s="71"/>
      <c r="E23" s="71"/>
      <c r="F23" s="54">
        <f>E7</f>
        <v>-15583499</v>
      </c>
      <c r="G23" s="71"/>
      <c r="H23" s="71"/>
      <c r="I23" s="71"/>
      <c r="J23" s="71"/>
      <c r="K23" s="71"/>
      <c r="L23" s="71"/>
      <c r="M23" s="71"/>
      <c r="N23" s="71"/>
      <c r="O23" s="71"/>
      <c r="P23" s="51">
        <f>F23</f>
        <v>-15583499</v>
      </c>
      <c r="Q23" s="1"/>
    </row>
    <row r="24" spans="1:17" x14ac:dyDescent="0.25">
      <c r="A24" s="64"/>
      <c r="B24" s="68" t="s">
        <v>34</v>
      </c>
      <c r="C24" s="72"/>
      <c r="D24" s="72"/>
      <c r="E24" s="72"/>
      <c r="F24" s="73">
        <f>F23</f>
        <v>-15583499</v>
      </c>
      <c r="G24" s="64"/>
      <c r="H24" s="64"/>
      <c r="I24" s="64"/>
      <c r="J24" s="64"/>
      <c r="K24" s="64"/>
      <c r="L24" s="64"/>
      <c r="M24" s="64"/>
      <c r="N24" s="64"/>
      <c r="O24" s="64"/>
      <c r="P24" s="64"/>
    </row>
    <row r="25" spans="1:17" x14ac:dyDescent="0.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</row>
    <row r="26" spans="1:17" x14ac:dyDescent="0.25">
      <c r="A26" s="71" t="s">
        <v>51</v>
      </c>
      <c r="B26" s="64"/>
      <c r="C26" s="64"/>
      <c r="D26" s="64"/>
      <c r="E26" s="64"/>
      <c r="F26" s="54">
        <f>E8</f>
        <v>1324224869.5</v>
      </c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spans="1:17" x14ac:dyDescent="0.25">
      <c r="A27" s="64"/>
      <c r="B27" s="38" t="s">
        <v>52</v>
      </c>
      <c r="C27" s="40">
        <v>83531.5</v>
      </c>
      <c r="D27" s="65">
        <v>15797</v>
      </c>
      <c r="E27" s="41">
        <f>C27*D27</f>
        <v>1319547105.5</v>
      </c>
      <c r="F27" s="40"/>
      <c r="G27" s="39" t="s">
        <v>53</v>
      </c>
      <c r="H27" s="37">
        <v>45378</v>
      </c>
      <c r="I27" s="64">
        <v>60</v>
      </c>
      <c r="J27" s="52">
        <f>H27+I27</f>
        <v>45438</v>
      </c>
      <c r="K27" s="64">
        <f>$H$14-J27</f>
        <v>-56</v>
      </c>
      <c r="L27" s="51">
        <f>E27</f>
        <v>1319547105.5</v>
      </c>
      <c r="M27" s="64"/>
      <c r="N27" s="64"/>
      <c r="O27" s="64"/>
      <c r="P27" s="64"/>
    </row>
    <row r="28" spans="1:17" x14ac:dyDescent="0.25">
      <c r="A28" s="64"/>
      <c r="B28" s="68" t="s">
        <v>34</v>
      </c>
      <c r="C28" s="64"/>
      <c r="D28" s="64"/>
      <c r="E28" s="64"/>
      <c r="F28" s="73">
        <f>F26-E27</f>
        <v>4677764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</row>
    <row r="29" spans="1:17" x14ac:dyDescent="0.2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</row>
    <row r="30" spans="1:17" x14ac:dyDescent="0.25">
      <c r="A30" s="71" t="s">
        <v>54</v>
      </c>
      <c r="B30" s="64"/>
      <c r="C30" s="64"/>
      <c r="D30" s="64"/>
      <c r="E30" s="64"/>
      <c r="F30" s="54">
        <f>E9</f>
        <v>1482255500</v>
      </c>
      <c r="G30" s="64"/>
      <c r="H30" s="64"/>
      <c r="I30" s="64"/>
      <c r="J30" s="64"/>
      <c r="K30" s="64"/>
      <c r="L30" s="64"/>
      <c r="M30" s="64"/>
      <c r="N30" s="64"/>
      <c r="O30" s="64"/>
      <c r="P30" s="64"/>
    </row>
    <row r="31" spans="1:17" x14ac:dyDescent="0.25">
      <c r="A31" s="64"/>
      <c r="B31" s="38" t="s">
        <v>55</v>
      </c>
      <c r="C31" s="40">
        <v>93500</v>
      </c>
      <c r="D31" s="65">
        <v>15662</v>
      </c>
      <c r="E31" s="41">
        <f>+C31*D31</f>
        <v>1464397000</v>
      </c>
      <c r="F31" s="40"/>
      <c r="G31" s="39" t="s">
        <v>56</v>
      </c>
      <c r="H31" s="37">
        <v>45374</v>
      </c>
      <c r="I31" s="64">
        <v>60</v>
      </c>
      <c r="J31" s="52">
        <f>H31+I31</f>
        <v>45434</v>
      </c>
      <c r="K31" s="64">
        <f>$H$14-J31</f>
        <v>-52</v>
      </c>
      <c r="L31" s="51">
        <f>E31</f>
        <v>1464397000</v>
      </c>
      <c r="M31" s="64"/>
      <c r="N31" s="64"/>
      <c r="O31" s="64"/>
      <c r="P31" s="64"/>
    </row>
    <row r="32" spans="1:17" s="70" customFormat="1" x14ac:dyDescent="0.25">
      <c r="A32" s="74"/>
      <c r="B32" s="68" t="s">
        <v>34</v>
      </c>
      <c r="C32" s="74"/>
      <c r="D32" s="74"/>
      <c r="E32" s="74"/>
      <c r="F32" s="53">
        <f>F30-E31</f>
        <v>17858500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1"/>
    </row>
    <row r="33" spans="1:17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</row>
    <row r="34" spans="1:17" x14ac:dyDescent="0.25">
      <c r="A34" s="69" t="s">
        <v>57</v>
      </c>
      <c r="B34" s="64"/>
      <c r="C34" s="64"/>
      <c r="D34" s="64"/>
      <c r="E34" s="64"/>
      <c r="F34" s="54">
        <f>E10</f>
        <v>1693100400</v>
      </c>
      <c r="G34" s="64"/>
      <c r="H34" s="64"/>
      <c r="I34" s="64"/>
      <c r="J34" s="64"/>
      <c r="K34" s="64"/>
      <c r="L34" s="64"/>
      <c r="M34" s="64"/>
      <c r="N34" s="64"/>
      <c r="O34" s="64"/>
      <c r="P34" s="64"/>
    </row>
    <row r="35" spans="1:17" x14ac:dyDescent="0.25">
      <c r="A35" s="64"/>
      <c r="B35" s="38" t="s">
        <v>58</v>
      </c>
      <c r="C35" s="40">
        <v>106800</v>
      </c>
      <c r="D35" s="65">
        <v>15853</v>
      </c>
      <c r="E35" s="41">
        <f>+C35*D35</f>
        <v>1693100400</v>
      </c>
      <c r="F35" s="40"/>
      <c r="G35" s="39" t="s">
        <v>59</v>
      </c>
      <c r="H35" s="37">
        <v>45380</v>
      </c>
      <c r="I35" s="64">
        <v>60</v>
      </c>
      <c r="J35" s="52">
        <f>H35+I35</f>
        <v>45440</v>
      </c>
      <c r="K35" s="64">
        <f>$H$14-J35</f>
        <v>-58</v>
      </c>
      <c r="L35" s="51">
        <f>E35</f>
        <v>1693100400</v>
      </c>
      <c r="M35" s="64"/>
      <c r="N35" s="64"/>
      <c r="O35" s="64"/>
      <c r="P35" s="64"/>
    </row>
    <row r="36" spans="1:17" s="70" customFormat="1" x14ac:dyDescent="0.25">
      <c r="A36" s="74"/>
      <c r="B36" s="68" t="s">
        <v>34</v>
      </c>
      <c r="C36" s="74"/>
      <c r="D36" s="74"/>
      <c r="E36" s="74"/>
      <c r="F36" s="73">
        <f>F34-E35</f>
        <v>0</v>
      </c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1"/>
    </row>
    <row r="37" spans="1:17" x14ac:dyDescent="0.2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</row>
  </sheetData>
  <mergeCells count="7">
    <mergeCell ref="G16:J16"/>
    <mergeCell ref="K16:P16"/>
    <mergeCell ref="A4:A5"/>
    <mergeCell ref="C4:C5"/>
    <mergeCell ref="D4:D5"/>
    <mergeCell ref="E4:E5"/>
    <mergeCell ref="A16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7F98-69F9-4290-8266-1289B4FF8E98}">
  <dimension ref="A1:P32"/>
  <sheetViews>
    <sheetView showGridLines="0" workbookViewId="0">
      <selection activeCell="A9" sqref="A9"/>
    </sheetView>
  </sheetViews>
  <sheetFormatPr defaultRowHeight="11.5" x14ac:dyDescent="0.25"/>
  <cols>
    <col min="1" max="1" width="8.1796875" style="1" customWidth="1"/>
    <col min="2" max="2" width="41.7265625" style="1" bestFit="1" customWidth="1"/>
    <col min="3" max="4" width="10.08984375" style="1" bestFit="1" customWidth="1"/>
    <col min="5" max="5" width="14.7265625" style="1" bestFit="1" customWidth="1"/>
    <col min="6" max="6" width="12.36328125" style="1" bestFit="1" customWidth="1"/>
    <col min="7" max="7" width="11.26953125" style="1" bestFit="1" customWidth="1"/>
    <col min="8" max="8" width="8.36328125" style="1" bestFit="1" customWidth="1"/>
    <col min="9" max="9" width="12.08984375" style="1" bestFit="1" customWidth="1"/>
    <col min="10" max="10" width="18.6328125" style="1" bestFit="1" customWidth="1"/>
    <col min="11" max="11" width="5.36328125" style="1" bestFit="1" customWidth="1"/>
    <col min="12" max="12" width="12.36328125" style="1" bestFit="1" customWidth="1"/>
    <col min="13" max="13" width="8.81640625" style="1" bestFit="1" customWidth="1"/>
    <col min="14" max="15" width="9.81640625" style="1" bestFit="1" customWidth="1"/>
    <col min="16" max="16" width="10.6328125" style="1" bestFit="1" customWidth="1"/>
    <col min="17" max="17" width="8.36328125" style="1" bestFit="1" customWidth="1"/>
    <col min="18" max="18" width="8.81640625" style="1" bestFit="1" customWidth="1"/>
    <col min="19" max="20" width="9.81640625" style="1" bestFit="1" customWidth="1"/>
    <col min="21" max="21" width="10.6328125" style="1" bestFit="1" customWidth="1"/>
    <col min="22" max="16384" width="8.7265625" style="1"/>
  </cols>
  <sheetData>
    <row r="1" spans="1:16" x14ac:dyDescent="0.25">
      <c r="A1" s="2" t="s">
        <v>0</v>
      </c>
      <c r="B1" s="3"/>
      <c r="C1" s="4"/>
      <c r="D1" s="5"/>
      <c r="E1" s="5"/>
      <c r="F1" s="6"/>
    </row>
    <row r="2" spans="1:16" x14ac:dyDescent="0.25">
      <c r="A2" s="2" t="s">
        <v>60</v>
      </c>
      <c r="B2" s="3"/>
      <c r="C2" s="4"/>
      <c r="D2" s="5"/>
      <c r="E2" s="5"/>
      <c r="F2" s="6"/>
    </row>
    <row r="3" spans="1:16" x14ac:dyDescent="0.25">
      <c r="A3" s="8"/>
      <c r="B3" s="9"/>
      <c r="C3" s="10"/>
      <c r="D3" s="7"/>
      <c r="E3" s="7"/>
      <c r="F3" s="6"/>
    </row>
    <row r="4" spans="1:16" x14ac:dyDescent="0.25">
      <c r="A4" s="120" t="s">
        <v>2</v>
      </c>
      <c r="B4" s="11" t="s">
        <v>3</v>
      </c>
      <c r="C4" s="122" t="s">
        <v>4</v>
      </c>
      <c r="D4" s="122" t="s">
        <v>5</v>
      </c>
      <c r="E4" s="122" t="s">
        <v>6</v>
      </c>
      <c r="F4" s="6"/>
    </row>
    <row r="5" spans="1:16" ht="12" thickBot="1" x14ac:dyDescent="0.3">
      <c r="A5" s="121"/>
      <c r="B5" s="19" t="s">
        <v>7</v>
      </c>
      <c r="C5" s="123"/>
      <c r="D5" s="123"/>
      <c r="E5" s="123"/>
      <c r="F5" s="6"/>
    </row>
    <row r="6" spans="1:16" x14ac:dyDescent="0.25">
      <c r="A6" s="12">
        <v>1</v>
      </c>
      <c r="B6" s="13" t="s">
        <v>8</v>
      </c>
      <c r="C6" s="7">
        <v>16249</v>
      </c>
      <c r="D6" s="7">
        <v>208575</v>
      </c>
      <c r="E6" s="9">
        <f>C6*D6</f>
        <v>3389135175</v>
      </c>
      <c r="F6" s="6"/>
    </row>
    <row r="7" spans="1:16" x14ac:dyDescent="0.25">
      <c r="A7" s="12">
        <v>2</v>
      </c>
      <c r="B7" s="13" t="s">
        <v>9</v>
      </c>
      <c r="C7" s="7">
        <v>16249</v>
      </c>
      <c r="D7" s="7">
        <v>92253</v>
      </c>
      <c r="E7" s="9">
        <f>D7*C7</f>
        <v>1499018997</v>
      </c>
      <c r="F7" s="6"/>
    </row>
    <row r="8" spans="1:16" x14ac:dyDescent="0.25">
      <c r="A8" s="12">
        <v>3</v>
      </c>
      <c r="B8" s="13" t="s">
        <v>10</v>
      </c>
      <c r="C8" s="7">
        <v>16249</v>
      </c>
      <c r="D8" s="9">
        <v>-983</v>
      </c>
      <c r="E8" s="9">
        <f>C8*D8</f>
        <v>-15972767</v>
      </c>
      <c r="F8" s="6"/>
    </row>
    <row r="9" spans="1:16" x14ac:dyDescent="0.25">
      <c r="A9" s="12">
        <v>4</v>
      </c>
      <c r="B9" s="13" t="s">
        <v>47</v>
      </c>
      <c r="C9" s="7">
        <v>16249</v>
      </c>
      <c r="D9" s="7">
        <v>106800</v>
      </c>
      <c r="E9" s="9">
        <f>C9*D9</f>
        <v>1735393200</v>
      </c>
      <c r="F9" s="6"/>
    </row>
    <row r="10" spans="1:16" x14ac:dyDescent="0.25">
      <c r="A10" s="12"/>
      <c r="B10" s="13"/>
      <c r="C10" s="7"/>
      <c r="D10" s="7"/>
      <c r="E10" s="9"/>
      <c r="F10" s="6"/>
    </row>
    <row r="11" spans="1:16" x14ac:dyDescent="0.25">
      <c r="A11" s="14"/>
      <c r="B11" s="15" t="s">
        <v>12</v>
      </c>
      <c r="C11" s="16"/>
      <c r="D11" s="17">
        <f>SUM(D6:D10)</f>
        <v>406645</v>
      </c>
      <c r="E11" s="17">
        <f>SUM(E6:E10)</f>
        <v>6607574605</v>
      </c>
      <c r="F11" s="6"/>
    </row>
    <row r="12" spans="1:16" x14ac:dyDescent="0.25">
      <c r="A12" s="14"/>
      <c r="B12" s="15"/>
      <c r="C12" s="16"/>
      <c r="D12" s="17"/>
      <c r="E12" s="17"/>
      <c r="F12" s="6"/>
    </row>
    <row r="13" spans="1:16" x14ac:dyDescent="0.25">
      <c r="A13" s="6"/>
      <c r="B13" s="6"/>
      <c r="C13" s="16"/>
      <c r="D13" s="6"/>
      <c r="E13" s="6"/>
      <c r="F13" s="6"/>
      <c r="H13" s="27">
        <v>45412</v>
      </c>
      <c r="L13" s="45">
        <f>SUBTOTAL(9,L17:L58)</f>
        <v>6570273234</v>
      </c>
      <c r="M13" s="45">
        <f>SUBTOTAL(9,M17:M58)</f>
        <v>0</v>
      </c>
      <c r="N13" s="45">
        <f>SUBTOTAL(9,N17:N58)</f>
        <v>0</v>
      </c>
      <c r="O13" s="45">
        <f>SUBTOTAL(9,O17:O58)</f>
        <v>0</v>
      </c>
      <c r="P13" s="45">
        <f>SUBTOTAL(9,P17:P58)</f>
        <v>-15972767</v>
      </c>
    </row>
    <row r="14" spans="1:16" ht="12" thickBot="1" x14ac:dyDescent="0.3">
      <c r="A14" s="28" t="s">
        <v>15</v>
      </c>
      <c r="O14" s="43"/>
    </row>
    <row r="15" spans="1:16" ht="15" thickTop="1" x14ac:dyDescent="0.35">
      <c r="A15" s="118" t="s">
        <v>16</v>
      </c>
      <c r="B15" s="29" t="s">
        <v>3</v>
      </c>
      <c r="C15" s="57" t="s">
        <v>17</v>
      </c>
      <c r="D15" s="57" t="s">
        <v>4</v>
      </c>
      <c r="E15" s="58" t="s">
        <v>17</v>
      </c>
      <c r="F15" s="58" t="s">
        <v>18</v>
      </c>
      <c r="G15" s="110" t="s">
        <v>19</v>
      </c>
      <c r="H15" s="110"/>
      <c r="I15" s="110"/>
      <c r="J15" s="110"/>
      <c r="K15" s="111" t="s">
        <v>20</v>
      </c>
      <c r="L15" s="112"/>
      <c r="M15" s="112"/>
      <c r="N15" s="112"/>
      <c r="O15" s="112"/>
      <c r="P15" s="113"/>
    </row>
    <row r="16" spans="1:16" ht="14.5" x14ac:dyDescent="0.35">
      <c r="A16" s="119"/>
      <c r="B16" s="59" t="s">
        <v>7</v>
      </c>
      <c r="C16" s="60" t="s">
        <v>5</v>
      </c>
      <c r="D16" s="60" t="s">
        <v>21</v>
      </c>
      <c r="E16" s="61" t="s">
        <v>22</v>
      </c>
      <c r="F16" s="61" t="s">
        <v>22</v>
      </c>
      <c r="G16" s="35" t="s">
        <v>23</v>
      </c>
      <c r="H16" s="35" t="s">
        <v>24</v>
      </c>
      <c r="I16" s="35" t="s">
        <v>25</v>
      </c>
      <c r="J16" s="44" t="s">
        <v>26</v>
      </c>
      <c r="K16" s="36" t="s">
        <v>27</v>
      </c>
      <c r="L16" s="36" t="s">
        <v>28</v>
      </c>
      <c r="M16" s="36" t="s">
        <v>29</v>
      </c>
      <c r="N16" s="36" t="s">
        <v>30</v>
      </c>
      <c r="O16" s="36" t="s">
        <v>31</v>
      </c>
      <c r="P16" s="36" t="s">
        <v>32</v>
      </c>
    </row>
    <row r="17" spans="1:16" x14ac:dyDescent="0.25">
      <c r="A17" s="71" t="s">
        <v>43</v>
      </c>
      <c r="B17" s="64"/>
      <c r="C17" s="64"/>
      <c r="D17" s="64"/>
      <c r="E17" s="64"/>
      <c r="F17" s="54">
        <f>E6</f>
        <v>3389135175</v>
      </c>
      <c r="G17" s="64"/>
      <c r="H17" s="64"/>
      <c r="I17" s="64"/>
      <c r="J17" s="64"/>
      <c r="K17" s="64"/>
      <c r="L17" s="64"/>
      <c r="M17" s="64"/>
      <c r="N17" s="64"/>
      <c r="O17" s="64"/>
      <c r="P17" s="64"/>
    </row>
    <row r="18" spans="1:16" x14ac:dyDescent="0.25">
      <c r="A18" s="64"/>
      <c r="B18" s="38" t="s">
        <v>61</v>
      </c>
      <c r="C18" s="40">
        <v>111960</v>
      </c>
      <c r="D18" s="38">
        <v>16208</v>
      </c>
      <c r="E18" s="41">
        <f>C18*D18</f>
        <v>1814647680</v>
      </c>
      <c r="F18" s="42"/>
      <c r="G18" s="39" t="s">
        <v>62</v>
      </c>
      <c r="H18" s="37">
        <v>45408</v>
      </c>
      <c r="I18" s="64">
        <v>60</v>
      </c>
      <c r="J18" s="52">
        <f>H18+I18</f>
        <v>45468</v>
      </c>
      <c r="K18" s="64">
        <f>$H$13-J18</f>
        <v>-56</v>
      </c>
      <c r="L18" s="51">
        <f>E18</f>
        <v>1814647680</v>
      </c>
      <c r="M18" s="64"/>
      <c r="N18" s="64"/>
      <c r="O18" s="64"/>
      <c r="P18" s="64"/>
    </row>
    <row r="19" spans="1:16" x14ac:dyDescent="0.25">
      <c r="A19" s="64"/>
      <c r="B19" s="38" t="s">
        <v>61</v>
      </c>
      <c r="C19" s="40">
        <v>96615</v>
      </c>
      <c r="D19" s="38">
        <v>16222</v>
      </c>
      <c r="E19" s="41">
        <f>C19*D19</f>
        <v>1567288530</v>
      </c>
      <c r="F19" s="42"/>
      <c r="G19" s="39" t="s">
        <v>63</v>
      </c>
      <c r="H19" s="37">
        <v>45411</v>
      </c>
      <c r="I19" s="64">
        <v>60</v>
      </c>
      <c r="J19" s="52">
        <f>H19+I19</f>
        <v>45471</v>
      </c>
      <c r="K19" s="64">
        <f>$H$13-J19</f>
        <v>-59</v>
      </c>
      <c r="L19" s="51">
        <f>E19</f>
        <v>1567288530</v>
      </c>
      <c r="M19" s="64"/>
      <c r="N19" s="64"/>
      <c r="O19" s="64"/>
      <c r="P19" s="64"/>
    </row>
    <row r="20" spans="1:16" x14ac:dyDescent="0.25">
      <c r="A20" s="64"/>
      <c r="B20" s="68" t="s">
        <v>34</v>
      </c>
      <c r="C20" s="64"/>
      <c r="D20" s="64"/>
      <c r="E20" s="64"/>
      <c r="F20" s="53">
        <f>F17-SUM(E18:E19)</f>
        <v>7198965</v>
      </c>
      <c r="G20" s="64"/>
      <c r="H20" s="64"/>
      <c r="I20" s="64"/>
      <c r="J20" s="64"/>
      <c r="K20" s="64"/>
      <c r="L20" s="64"/>
      <c r="M20" s="64"/>
      <c r="N20" s="64"/>
      <c r="O20" s="64"/>
      <c r="P20" s="64"/>
    </row>
    <row r="21" spans="1:16" x14ac:dyDescent="0.2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</row>
    <row r="22" spans="1:16" x14ac:dyDescent="0.25">
      <c r="A22" s="71" t="s">
        <v>35</v>
      </c>
      <c r="B22" s="64"/>
      <c r="C22" s="64"/>
      <c r="D22" s="64"/>
      <c r="E22" s="64"/>
      <c r="F22" s="54">
        <f>E7</f>
        <v>1499018997</v>
      </c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1:16" x14ac:dyDescent="0.25">
      <c r="A23" s="64"/>
      <c r="B23" s="38" t="s">
        <v>36</v>
      </c>
      <c r="C23" s="40">
        <v>92253</v>
      </c>
      <c r="D23" s="65">
        <v>16208</v>
      </c>
      <c r="E23" s="41">
        <f>+C23*D23</f>
        <v>1495236624</v>
      </c>
      <c r="F23" s="40"/>
      <c r="G23" s="39" t="s">
        <v>64</v>
      </c>
      <c r="H23" s="37">
        <v>45409</v>
      </c>
      <c r="I23" s="64">
        <v>60</v>
      </c>
      <c r="J23" s="52">
        <f>H23+I23</f>
        <v>45469</v>
      </c>
      <c r="K23" s="64">
        <f>$H$13-J23</f>
        <v>-57</v>
      </c>
      <c r="L23" s="51">
        <f>E23</f>
        <v>1495236624</v>
      </c>
      <c r="M23" s="64"/>
      <c r="N23" s="64"/>
      <c r="O23" s="64"/>
      <c r="P23" s="64"/>
    </row>
    <row r="24" spans="1:16" x14ac:dyDescent="0.25">
      <c r="A24" s="64"/>
      <c r="B24" s="68" t="s">
        <v>34</v>
      </c>
      <c r="C24" s="64"/>
      <c r="D24" s="64"/>
      <c r="E24" s="64"/>
      <c r="F24" s="53">
        <f>F22-E23</f>
        <v>3782373</v>
      </c>
      <c r="G24" s="64"/>
      <c r="H24" s="64"/>
      <c r="I24" s="64"/>
      <c r="J24" s="64"/>
      <c r="K24" s="64"/>
      <c r="L24" s="64"/>
      <c r="M24" s="64"/>
      <c r="N24" s="64"/>
      <c r="O24" s="64"/>
      <c r="P24" s="64"/>
    </row>
    <row r="25" spans="1:16" x14ac:dyDescent="0.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</row>
    <row r="26" spans="1:16" x14ac:dyDescent="0.25">
      <c r="A26" s="69" t="s">
        <v>38</v>
      </c>
      <c r="B26" s="64"/>
      <c r="C26" s="64"/>
      <c r="D26" s="64"/>
      <c r="E26" s="64"/>
      <c r="F26" s="54">
        <f>E8</f>
        <v>-15972767</v>
      </c>
      <c r="G26" s="64"/>
      <c r="H26" s="64"/>
      <c r="I26" s="64"/>
      <c r="J26" s="64"/>
      <c r="K26" s="64"/>
      <c r="L26" s="64"/>
      <c r="M26" s="64"/>
      <c r="N26" s="64"/>
      <c r="O26" s="64"/>
      <c r="P26" s="51">
        <f>F26</f>
        <v>-15972767</v>
      </c>
    </row>
    <row r="27" spans="1:16" x14ac:dyDescent="0.25">
      <c r="A27" s="64"/>
      <c r="B27" s="68" t="s">
        <v>34</v>
      </c>
      <c r="C27" s="64"/>
      <c r="D27" s="64"/>
      <c r="E27" s="64"/>
      <c r="F27" s="53">
        <f>F26</f>
        <v>-15972767</v>
      </c>
      <c r="G27" s="64"/>
      <c r="H27" s="64"/>
      <c r="I27" s="64"/>
      <c r="J27" s="64"/>
      <c r="K27" s="64"/>
      <c r="L27" s="64"/>
      <c r="M27" s="64"/>
      <c r="N27" s="64"/>
      <c r="O27" s="64"/>
      <c r="P27" s="64"/>
    </row>
    <row r="28" spans="1:16" x14ac:dyDescent="0.2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</row>
    <row r="29" spans="1:16" x14ac:dyDescent="0.25">
      <c r="A29" s="71" t="s">
        <v>57</v>
      </c>
      <c r="B29" s="64"/>
      <c r="C29" s="64"/>
      <c r="D29" s="64"/>
      <c r="E29" s="64"/>
      <c r="F29" s="54">
        <f>E9</f>
        <v>1735393200</v>
      </c>
      <c r="G29" s="64"/>
      <c r="H29" s="64"/>
      <c r="I29" s="64"/>
      <c r="J29" s="64"/>
      <c r="K29" s="64"/>
      <c r="L29" s="64"/>
      <c r="M29" s="64"/>
      <c r="N29" s="64"/>
      <c r="O29" s="64"/>
      <c r="P29" s="64"/>
    </row>
    <row r="30" spans="1:16" x14ac:dyDescent="0.25">
      <c r="A30" s="64"/>
      <c r="B30" s="38" t="s">
        <v>58</v>
      </c>
      <c r="C30" s="40">
        <v>106800</v>
      </c>
      <c r="D30" s="65">
        <v>15853</v>
      </c>
      <c r="E30" s="41">
        <f>+C30*D30</f>
        <v>1693100400</v>
      </c>
      <c r="F30" s="64"/>
      <c r="G30" s="39" t="s">
        <v>59</v>
      </c>
      <c r="H30" s="37">
        <v>45380</v>
      </c>
      <c r="I30" s="64">
        <v>60</v>
      </c>
      <c r="J30" s="52">
        <f>H30+I30</f>
        <v>45440</v>
      </c>
      <c r="K30" s="64">
        <f>$H$13-J30</f>
        <v>-28</v>
      </c>
      <c r="L30" s="51">
        <f>E30</f>
        <v>1693100400</v>
      </c>
      <c r="M30" s="64"/>
      <c r="N30" s="64"/>
      <c r="O30" s="64"/>
      <c r="P30" s="64"/>
    </row>
    <row r="31" spans="1:16" x14ac:dyDescent="0.25">
      <c r="A31" s="64"/>
      <c r="B31" s="68" t="s">
        <v>34</v>
      </c>
      <c r="C31" s="64"/>
      <c r="D31" s="64"/>
      <c r="E31" s="64"/>
      <c r="F31" s="53">
        <f>F29-E30</f>
        <v>42292800</v>
      </c>
      <c r="G31" s="64"/>
      <c r="H31" s="64"/>
      <c r="I31" s="64"/>
      <c r="J31" s="64"/>
      <c r="K31" s="64"/>
      <c r="L31" s="64"/>
      <c r="M31" s="64"/>
      <c r="N31" s="64"/>
      <c r="O31" s="64"/>
      <c r="P31" s="64"/>
    </row>
    <row r="32" spans="1:16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</row>
  </sheetData>
  <mergeCells count="7">
    <mergeCell ref="G15:J15"/>
    <mergeCell ref="K15:P15"/>
    <mergeCell ref="A4:A5"/>
    <mergeCell ref="C4:C5"/>
    <mergeCell ref="D4:D5"/>
    <mergeCell ref="E4:E5"/>
    <mergeCell ref="A15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EF43-8F10-4ECF-BB58-E1B5A9251CCE}">
  <dimension ref="A1:P31"/>
  <sheetViews>
    <sheetView showGridLines="0" workbookViewId="0">
      <selection activeCell="B10" sqref="B10"/>
    </sheetView>
  </sheetViews>
  <sheetFormatPr defaultRowHeight="11.5" x14ac:dyDescent="0.25"/>
  <cols>
    <col min="1" max="1" width="8.1796875" style="1" customWidth="1"/>
    <col min="2" max="2" width="40.453125" style="1" bestFit="1" customWidth="1"/>
    <col min="3" max="4" width="10.08984375" style="1" bestFit="1" customWidth="1"/>
    <col min="5" max="5" width="14.7265625" style="1" bestFit="1" customWidth="1"/>
    <col min="6" max="6" width="12.36328125" style="1" bestFit="1" customWidth="1"/>
    <col min="7" max="7" width="11.26953125" style="1" bestFit="1" customWidth="1"/>
    <col min="8" max="8" width="8.81640625" style="1" bestFit="1" customWidth="1"/>
    <col min="9" max="9" width="12.08984375" style="1" bestFit="1" customWidth="1"/>
    <col min="10" max="10" width="18.6328125" style="1" bestFit="1" customWidth="1"/>
    <col min="11" max="11" width="5.36328125" style="1" bestFit="1" customWidth="1"/>
    <col min="12" max="12" width="12.36328125" style="1" bestFit="1" customWidth="1"/>
    <col min="13" max="13" width="8.81640625" style="1" bestFit="1" customWidth="1"/>
    <col min="14" max="15" width="9.81640625" style="1" bestFit="1" customWidth="1"/>
    <col min="16" max="16" width="10.6328125" style="1" bestFit="1" customWidth="1"/>
    <col min="17" max="17" width="12.36328125" style="1" bestFit="1" customWidth="1"/>
    <col min="18" max="16384" width="8.7265625" style="1"/>
  </cols>
  <sheetData>
    <row r="1" spans="1:16" x14ac:dyDescent="0.25">
      <c r="A1" s="8" t="s">
        <v>0</v>
      </c>
      <c r="B1" s="55"/>
      <c r="C1" s="11"/>
      <c r="D1" s="56"/>
      <c r="E1" s="56"/>
      <c r="F1" s="6"/>
    </row>
    <row r="2" spans="1:16" x14ac:dyDescent="0.25">
      <c r="A2" s="8" t="s">
        <v>65</v>
      </c>
      <c r="B2" s="55"/>
      <c r="C2" s="11"/>
      <c r="D2" s="56"/>
      <c r="E2" s="56"/>
      <c r="F2" s="6"/>
    </row>
    <row r="3" spans="1:16" x14ac:dyDescent="0.25">
      <c r="A3" s="8"/>
      <c r="B3" s="9"/>
      <c r="C3" s="10"/>
      <c r="D3" s="7"/>
      <c r="E3" s="7"/>
      <c r="F3" s="6"/>
    </row>
    <row r="4" spans="1:16" x14ac:dyDescent="0.25">
      <c r="A4" s="120" t="s">
        <v>2</v>
      </c>
      <c r="B4" s="11" t="s">
        <v>3</v>
      </c>
      <c r="C4" s="122" t="s">
        <v>4</v>
      </c>
      <c r="D4" s="122" t="s">
        <v>5</v>
      </c>
      <c r="E4" s="122" t="s">
        <v>6</v>
      </c>
      <c r="F4" s="6"/>
    </row>
    <row r="5" spans="1:16" ht="12" thickBot="1" x14ac:dyDescent="0.3">
      <c r="A5" s="121"/>
      <c r="B5" s="19" t="s">
        <v>7</v>
      </c>
      <c r="C5" s="123"/>
      <c r="D5" s="123"/>
      <c r="E5" s="123"/>
      <c r="F5" s="6"/>
    </row>
    <row r="6" spans="1:16" x14ac:dyDescent="0.25">
      <c r="A6" s="12">
        <v>1</v>
      </c>
      <c r="B6" s="13" t="s">
        <v>8</v>
      </c>
      <c r="C6" s="7">
        <v>16253</v>
      </c>
      <c r="D6" s="7">
        <v>107050</v>
      </c>
      <c r="E6" s="9">
        <f>C6*D6</f>
        <v>1739883650</v>
      </c>
      <c r="F6" s="6"/>
    </row>
    <row r="7" spans="1:16" x14ac:dyDescent="0.25">
      <c r="A7" s="12">
        <v>2</v>
      </c>
      <c r="B7" s="13" t="s">
        <v>9</v>
      </c>
      <c r="C7" s="7">
        <v>16253</v>
      </c>
      <c r="D7" s="7">
        <v>92253</v>
      </c>
      <c r="E7" s="9">
        <f>D7*C7</f>
        <v>1499388009</v>
      </c>
      <c r="F7" s="6"/>
    </row>
    <row r="8" spans="1:16" x14ac:dyDescent="0.25">
      <c r="A8" s="12">
        <v>3</v>
      </c>
      <c r="B8" s="13" t="s">
        <v>10</v>
      </c>
      <c r="C8" s="7">
        <v>16253</v>
      </c>
      <c r="D8" s="9">
        <v>-983</v>
      </c>
      <c r="E8" s="9">
        <f>C8*D8</f>
        <v>-15976699</v>
      </c>
      <c r="F8" s="6"/>
    </row>
    <row r="9" spans="1:16" x14ac:dyDescent="0.25">
      <c r="A9" s="12">
        <v>4</v>
      </c>
      <c r="B9" s="13" t="s">
        <v>45</v>
      </c>
      <c r="C9" s="7">
        <v>16253</v>
      </c>
      <c r="D9" s="7">
        <v>79705</v>
      </c>
      <c r="E9" s="9">
        <f>C9*D9</f>
        <v>1295445365</v>
      </c>
      <c r="F9" s="6"/>
    </row>
    <row r="10" spans="1:16" x14ac:dyDescent="0.25">
      <c r="A10" s="12"/>
      <c r="B10" s="13"/>
      <c r="C10" s="7"/>
      <c r="D10" s="7"/>
      <c r="E10" s="9"/>
      <c r="F10" s="6"/>
    </row>
    <row r="11" spans="1:16" x14ac:dyDescent="0.25">
      <c r="A11" s="14"/>
      <c r="B11" s="15" t="s">
        <v>12</v>
      </c>
      <c r="C11" s="16"/>
      <c r="D11" s="17">
        <f>SUM(D6:D10)</f>
        <v>278025</v>
      </c>
      <c r="E11" s="17">
        <f>SUM(E6:E10)</f>
        <v>4518740325</v>
      </c>
      <c r="F11" s="6"/>
    </row>
    <row r="12" spans="1:16" x14ac:dyDescent="0.25">
      <c r="A12" s="14"/>
      <c r="B12" s="15"/>
      <c r="C12" s="16"/>
      <c r="D12" s="17"/>
      <c r="E12" s="17"/>
      <c r="F12" s="6"/>
    </row>
    <row r="13" spans="1:16" x14ac:dyDescent="0.25">
      <c r="A13" s="6"/>
      <c r="B13" s="6"/>
      <c r="C13" s="16"/>
      <c r="H13" s="27">
        <v>45443</v>
      </c>
      <c r="L13" s="45">
        <f>SUBTOTAL(9,L17:L58)</f>
        <v>4510333189</v>
      </c>
      <c r="M13" s="45">
        <f>SUBTOTAL(9,M17:M58)</f>
        <v>0</v>
      </c>
      <c r="N13" s="45">
        <f>SUBTOTAL(9,N17:N58)</f>
        <v>0</v>
      </c>
      <c r="O13" s="45">
        <f>SUBTOTAL(9,O17:O58)</f>
        <v>0</v>
      </c>
      <c r="P13" s="45">
        <f>SUBTOTAL(9,P17:P58)</f>
        <v>-15976699</v>
      </c>
    </row>
    <row r="14" spans="1:16" ht="12" thickBot="1" x14ac:dyDescent="0.3">
      <c r="A14" s="28" t="s">
        <v>15</v>
      </c>
      <c r="O14" s="43"/>
    </row>
    <row r="15" spans="1:16" ht="15" thickTop="1" x14ac:dyDescent="0.35">
      <c r="A15" s="118" t="s">
        <v>16</v>
      </c>
      <c r="B15" s="29" t="s">
        <v>3</v>
      </c>
      <c r="C15" s="57" t="s">
        <v>17</v>
      </c>
      <c r="D15" s="57" t="s">
        <v>4</v>
      </c>
      <c r="E15" s="58" t="s">
        <v>17</v>
      </c>
      <c r="F15" s="58" t="s">
        <v>18</v>
      </c>
      <c r="G15" s="110" t="s">
        <v>19</v>
      </c>
      <c r="H15" s="110"/>
      <c r="I15" s="110"/>
      <c r="J15" s="110"/>
      <c r="K15" s="111" t="s">
        <v>20</v>
      </c>
      <c r="L15" s="112"/>
      <c r="M15" s="112"/>
      <c r="N15" s="112"/>
      <c r="O15" s="112"/>
      <c r="P15" s="113"/>
    </row>
    <row r="16" spans="1:16" ht="14.5" x14ac:dyDescent="0.35">
      <c r="A16" s="119"/>
      <c r="B16" s="59" t="s">
        <v>7</v>
      </c>
      <c r="C16" s="60" t="s">
        <v>5</v>
      </c>
      <c r="D16" s="60" t="s">
        <v>21</v>
      </c>
      <c r="E16" s="61" t="s">
        <v>22</v>
      </c>
      <c r="F16" s="61" t="s">
        <v>22</v>
      </c>
      <c r="G16" s="35" t="s">
        <v>23</v>
      </c>
      <c r="H16" s="35" t="s">
        <v>24</v>
      </c>
      <c r="I16" s="35" t="s">
        <v>25</v>
      </c>
      <c r="J16" s="44" t="s">
        <v>26</v>
      </c>
      <c r="K16" s="36" t="s">
        <v>27</v>
      </c>
      <c r="L16" s="36" t="s">
        <v>28</v>
      </c>
      <c r="M16" s="36" t="s">
        <v>29</v>
      </c>
      <c r="N16" s="36" t="s">
        <v>30</v>
      </c>
      <c r="O16" s="36" t="s">
        <v>31</v>
      </c>
      <c r="P16" s="36" t="s">
        <v>32</v>
      </c>
    </row>
    <row r="17" spans="1:16" x14ac:dyDescent="0.25">
      <c r="A17" s="66" t="s">
        <v>43</v>
      </c>
      <c r="B17" s="67"/>
      <c r="C17" s="67"/>
      <c r="D17" s="67"/>
      <c r="E17" s="67"/>
      <c r="F17" s="49">
        <f>E6</f>
        <v>1739883650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</row>
    <row r="18" spans="1:16" s="75" customFormat="1" ht="14" x14ac:dyDescent="0.3">
      <c r="A18" s="64"/>
      <c r="B18" s="38" t="s">
        <v>61</v>
      </c>
      <c r="C18" s="40">
        <v>107050</v>
      </c>
      <c r="D18" s="38">
        <v>16064</v>
      </c>
      <c r="E18" s="41">
        <f>D18*C18</f>
        <v>1719651200</v>
      </c>
      <c r="F18" s="42"/>
      <c r="G18" s="39" t="s">
        <v>66</v>
      </c>
      <c r="H18" s="37">
        <v>45440</v>
      </c>
      <c r="I18" s="64">
        <v>60</v>
      </c>
      <c r="J18" s="52">
        <f>H18+I18</f>
        <v>45500</v>
      </c>
      <c r="K18" s="64">
        <f>$H$13-J18</f>
        <v>-57</v>
      </c>
      <c r="L18" s="51">
        <f>E18</f>
        <v>1719651200</v>
      </c>
      <c r="M18" s="76"/>
      <c r="N18" s="76"/>
      <c r="O18" s="76"/>
      <c r="P18" s="76"/>
    </row>
    <row r="19" spans="1:16" x14ac:dyDescent="0.25">
      <c r="A19" s="64"/>
      <c r="B19" s="68" t="s">
        <v>34</v>
      </c>
      <c r="C19" s="64"/>
      <c r="D19" s="64"/>
      <c r="E19" s="64"/>
      <c r="F19" s="53">
        <f>F17-E18</f>
        <v>20232450</v>
      </c>
      <c r="G19" s="64"/>
      <c r="H19" s="64"/>
      <c r="I19" s="64"/>
      <c r="J19" s="64"/>
      <c r="K19" s="64"/>
      <c r="L19" s="64"/>
      <c r="M19" s="64"/>
      <c r="N19" s="64"/>
      <c r="O19" s="64"/>
      <c r="P19" s="64"/>
    </row>
    <row r="20" spans="1:16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</row>
    <row r="21" spans="1:16" x14ac:dyDescent="0.25">
      <c r="A21" s="69" t="s">
        <v>35</v>
      </c>
      <c r="B21" s="64"/>
      <c r="C21" s="64"/>
      <c r="D21" s="64"/>
      <c r="E21" s="64"/>
      <c r="F21" s="54">
        <f>E7</f>
        <v>1499388009</v>
      </c>
      <c r="G21" s="64"/>
      <c r="H21" s="64"/>
      <c r="I21" s="64"/>
      <c r="J21" s="64"/>
      <c r="K21" s="64"/>
      <c r="L21" s="64"/>
      <c r="M21" s="64"/>
      <c r="N21" s="64"/>
      <c r="O21" s="64"/>
      <c r="P21" s="64"/>
    </row>
    <row r="22" spans="1:16" x14ac:dyDescent="0.25">
      <c r="A22" s="64"/>
      <c r="B22" s="38" t="s">
        <v>36</v>
      </c>
      <c r="C22" s="40">
        <v>92253</v>
      </c>
      <c r="D22" s="65">
        <v>16208</v>
      </c>
      <c r="E22" s="41">
        <f>+C22*D22</f>
        <v>1495236624</v>
      </c>
      <c r="F22" s="64"/>
      <c r="G22" s="39" t="s">
        <v>64</v>
      </c>
      <c r="H22" s="37">
        <v>45409</v>
      </c>
      <c r="I22" s="64">
        <v>60</v>
      </c>
      <c r="J22" s="52">
        <f>H22+I22</f>
        <v>45469</v>
      </c>
      <c r="K22" s="64">
        <f>$H$13-J22</f>
        <v>-26</v>
      </c>
      <c r="L22" s="51">
        <f>E22</f>
        <v>1495236624</v>
      </c>
      <c r="M22" s="64"/>
      <c r="N22" s="64"/>
      <c r="O22" s="64"/>
      <c r="P22" s="64"/>
    </row>
    <row r="23" spans="1:16" x14ac:dyDescent="0.25">
      <c r="A23" s="64"/>
      <c r="B23" s="68" t="s">
        <v>34</v>
      </c>
      <c r="C23" s="64"/>
      <c r="D23" s="64"/>
      <c r="E23" s="64"/>
      <c r="F23" s="53">
        <f>F21-E22</f>
        <v>4151385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</row>
    <row r="24" spans="1:16" x14ac:dyDescent="0.2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</row>
    <row r="25" spans="1:16" x14ac:dyDescent="0.25">
      <c r="A25" s="71" t="s">
        <v>38</v>
      </c>
      <c r="B25" s="64"/>
      <c r="C25" s="64"/>
      <c r="D25" s="64"/>
      <c r="E25" s="64"/>
      <c r="F25" s="54">
        <f>E8</f>
        <v>-15976699</v>
      </c>
      <c r="G25" s="64"/>
      <c r="H25" s="64"/>
      <c r="I25" s="64"/>
      <c r="J25" s="64"/>
      <c r="K25" s="64"/>
      <c r="L25" s="64"/>
      <c r="M25" s="64"/>
      <c r="N25" s="64"/>
      <c r="O25" s="64"/>
      <c r="P25" s="51">
        <f>F25</f>
        <v>-15976699</v>
      </c>
    </row>
    <row r="26" spans="1:16" x14ac:dyDescent="0.25">
      <c r="A26" s="64"/>
      <c r="B26" s="68" t="s">
        <v>34</v>
      </c>
      <c r="C26" s="64"/>
      <c r="D26" s="64"/>
      <c r="E26" s="64"/>
      <c r="F26" s="53">
        <f>F25</f>
        <v>-15976699</v>
      </c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spans="1:16" x14ac:dyDescent="0.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</row>
    <row r="28" spans="1:16" x14ac:dyDescent="0.25">
      <c r="A28" s="71" t="s">
        <v>51</v>
      </c>
      <c r="B28" s="64"/>
      <c r="C28" s="64"/>
      <c r="D28" s="64"/>
      <c r="E28" s="64"/>
      <c r="F28" s="54">
        <f>E9</f>
        <v>1295445365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</row>
    <row r="29" spans="1:16" x14ac:dyDescent="0.25">
      <c r="A29" s="64"/>
      <c r="B29" s="38" t="s">
        <v>52</v>
      </c>
      <c r="C29" s="40">
        <v>79705</v>
      </c>
      <c r="D29" s="65">
        <v>16253</v>
      </c>
      <c r="E29" s="41">
        <f>D29*C29</f>
        <v>1295445365</v>
      </c>
      <c r="F29" s="40"/>
      <c r="G29" s="39" t="s">
        <v>67</v>
      </c>
      <c r="H29" s="37">
        <v>45443</v>
      </c>
      <c r="I29" s="64">
        <v>60</v>
      </c>
      <c r="J29" s="52">
        <f>H29+I29</f>
        <v>45503</v>
      </c>
      <c r="K29" s="64">
        <f>$H$13-J29</f>
        <v>-60</v>
      </c>
      <c r="L29" s="51">
        <f>E29</f>
        <v>1295445365</v>
      </c>
      <c r="M29" s="64"/>
      <c r="N29" s="64"/>
      <c r="O29" s="64"/>
      <c r="P29" s="64"/>
    </row>
    <row r="30" spans="1:16" x14ac:dyDescent="0.25">
      <c r="A30" s="64"/>
      <c r="B30" s="68" t="s">
        <v>34</v>
      </c>
      <c r="C30" s="64"/>
      <c r="D30" s="64"/>
      <c r="E30" s="64"/>
      <c r="F30" s="53">
        <f>F28-E29</f>
        <v>0</v>
      </c>
      <c r="G30" s="64"/>
      <c r="H30" s="64"/>
      <c r="I30" s="64"/>
      <c r="J30" s="64"/>
      <c r="K30" s="64"/>
      <c r="L30" s="64"/>
      <c r="M30" s="64"/>
      <c r="N30" s="64"/>
      <c r="O30" s="64"/>
      <c r="P30" s="64"/>
    </row>
    <row r="31" spans="1:16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</row>
  </sheetData>
  <mergeCells count="7">
    <mergeCell ref="G15:J15"/>
    <mergeCell ref="K15:P15"/>
    <mergeCell ref="A4:A5"/>
    <mergeCell ref="C4:C5"/>
    <mergeCell ref="D4:D5"/>
    <mergeCell ref="E4:E5"/>
    <mergeCell ref="A15:A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8B5F-1799-4263-8D11-C0B23EBF46E9}">
  <dimension ref="A1:P21"/>
  <sheetViews>
    <sheetView showGridLines="0" workbookViewId="0">
      <selection activeCell="D15" sqref="D15"/>
    </sheetView>
  </sheetViews>
  <sheetFormatPr defaultRowHeight="11.5" x14ac:dyDescent="0.25"/>
  <cols>
    <col min="1" max="1" width="6.1796875" style="1" customWidth="1"/>
    <col min="2" max="2" width="40.453125" style="1" bestFit="1" customWidth="1"/>
    <col min="3" max="4" width="9.1796875" style="1" bestFit="1" customWidth="1"/>
    <col min="5" max="5" width="14.7265625" style="1" bestFit="1" customWidth="1"/>
    <col min="6" max="6" width="12.36328125" style="1" bestFit="1" customWidth="1"/>
    <col min="7" max="7" width="11.26953125" style="1" bestFit="1" customWidth="1"/>
    <col min="8" max="8" width="8.453125" style="1" bestFit="1" customWidth="1"/>
    <col min="9" max="9" width="12.08984375" style="1" bestFit="1" customWidth="1"/>
    <col min="10" max="10" width="18.6328125" style="1" bestFit="1" customWidth="1"/>
    <col min="11" max="11" width="5.36328125" style="1" bestFit="1" customWidth="1"/>
    <col min="12" max="12" width="6.26953125" style="1" bestFit="1" customWidth="1"/>
    <col min="13" max="13" width="12.36328125" style="1" bestFit="1" customWidth="1"/>
    <col min="14" max="15" width="9.81640625" style="1" bestFit="1" customWidth="1"/>
    <col min="16" max="16" width="10.6328125" style="1" bestFit="1" customWidth="1"/>
    <col min="17" max="16384" width="8.7265625" style="1"/>
  </cols>
  <sheetData>
    <row r="1" spans="1:16" x14ac:dyDescent="0.25">
      <c r="A1" s="2" t="s">
        <v>0</v>
      </c>
      <c r="B1" s="3"/>
      <c r="C1" s="4"/>
      <c r="D1" s="5"/>
      <c r="E1" s="5"/>
    </row>
    <row r="2" spans="1:16" x14ac:dyDescent="0.25">
      <c r="A2" s="2" t="s">
        <v>68</v>
      </c>
      <c r="B2" s="3"/>
      <c r="C2" s="4"/>
      <c r="D2" s="5"/>
      <c r="E2" s="5"/>
    </row>
    <row r="3" spans="1:16" x14ac:dyDescent="0.25">
      <c r="A3" s="8"/>
      <c r="B3" s="9"/>
      <c r="C3" s="10"/>
      <c r="D3" s="7"/>
      <c r="E3" s="7"/>
    </row>
    <row r="4" spans="1:16" x14ac:dyDescent="0.25">
      <c r="A4" s="120" t="s">
        <v>2</v>
      </c>
      <c r="B4" s="11" t="s">
        <v>3</v>
      </c>
      <c r="C4" s="122" t="s">
        <v>4</v>
      </c>
      <c r="D4" s="122" t="s">
        <v>5</v>
      </c>
      <c r="E4" s="122" t="s">
        <v>6</v>
      </c>
    </row>
    <row r="5" spans="1:16" ht="12" thickBot="1" x14ac:dyDescent="0.3">
      <c r="A5" s="121"/>
      <c r="B5" s="19" t="s">
        <v>7</v>
      </c>
      <c r="C5" s="123"/>
      <c r="D5" s="123"/>
      <c r="E5" s="123"/>
    </row>
    <row r="6" spans="1:16" x14ac:dyDescent="0.25">
      <c r="A6" s="12">
        <v>1</v>
      </c>
      <c r="B6" s="13" t="s">
        <v>9</v>
      </c>
      <c r="C6" s="7">
        <v>16421</v>
      </c>
      <c r="D6" s="7">
        <v>92253</v>
      </c>
      <c r="E6" s="9">
        <f>D6*C6</f>
        <v>1514886513</v>
      </c>
    </row>
    <row r="7" spans="1:16" x14ac:dyDescent="0.25">
      <c r="A7" s="12">
        <v>2</v>
      </c>
      <c r="B7" s="13" t="s">
        <v>10</v>
      </c>
      <c r="C7" s="7">
        <v>16421</v>
      </c>
      <c r="D7" s="9">
        <v>-983</v>
      </c>
      <c r="E7" s="9">
        <f>C7*D7</f>
        <v>-16141843</v>
      </c>
    </row>
    <row r="8" spans="1:16" x14ac:dyDescent="0.25">
      <c r="A8" s="12"/>
      <c r="B8" s="13"/>
      <c r="C8" s="7"/>
      <c r="D8" s="7"/>
      <c r="E8" s="9"/>
    </row>
    <row r="9" spans="1:16" x14ac:dyDescent="0.25">
      <c r="A9" s="14"/>
      <c r="B9" s="15" t="s">
        <v>12</v>
      </c>
      <c r="C9" s="16"/>
      <c r="D9" s="17">
        <f>SUM(D6:D8)</f>
        <v>91270</v>
      </c>
      <c r="E9" s="17">
        <f>SUM(E6:E8)</f>
        <v>1498744670</v>
      </c>
    </row>
    <row r="11" spans="1:16" x14ac:dyDescent="0.25">
      <c r="H11" s="27">
        <v>45473</v>
      </c>
      <c r="L11" s="45">
        <f>SUBTOTAL(9,L15:L56)</f>
        <v>0</v>
      </c>
      <c r="M11" s="45">
        <f>SUBTOTAL(9,M15:M56)</f>
        <v>1495236624</v>
      </c>
      <c r="N11" s="45">
        <f>SUBTOTAL(9,N15:N56)</f>
        <v>0</v>
      </c>
      <c r="O11" s="45">
        <f>SUBTOTAL(9,O15:O56)</f>
        <v>0</v>
      </c>
      <c r="P11" s="45">
        <f>SUBTOTAL(9,P15:P56)</f>
        <v>-16141843</v>
      </c>
    </row>
    <row r="12" spans="1:16" ht="12" thickBot="1" x14ac:dyDescent="0.3">
      <c r="A12" s="28" t="s">
        <v>15</v>
      </c>
      <c r="M12" s="45"/>
    </row>
    <row r="13" spans="1:16" ht="15" thickTop="1" x14ac:dyDescent="0.35">
      <c r="A13" s="118" t="s">
        <v>16</v>
      </c>
      <c r="B13" s="29" t="s">
        <v>3</v>
      </c>
      <c r="C13" s="57" t="s">
        <v>17</v>
      </c>
      <c r="D13" s="57" t="s">
        <v>4</v>
      </c>
      <c r="E13" s="58" t="s">
        <v>17</v>
      </c>
      <c r="F13" s="58" t="s">
        <v>18</v>
      </c>
      <c r="G13" s="110" t="s">
        <v>19</v>
      </c>
      <c r="H13" s="110"/>
      <c r="I13" s="110"/>
      <c r="J13" s="110"/>
      <c r="K13" s="111" t="s">
        <v>20</v>
      </c>
      <c r="L13" s="112"/>
      <c r="M13" s="112"/>
      <c r="N13" s="112"/>
      <c r="O13" s="112"/>
      <c r="P13" s="113"/>
    </row>
    <row r="14" spans="1:16" ht="14.5" x14ac:dyDescent="0.35">
      <c r="A14" s="119"/>
      <c r="B14" s="59" t="s">
        <v>7</v>
      </c>
      <c r="C14" s="60" t="s">
        <v>5</v>
      </c>
      <c r="D14" s="60" t="s">
        <v>21</v>
      </c>
      <c r="E14" s="61" t="s">
        <v>22</v>
      </c>
      <c r="F14" s="61" t="s">
        <v>22</v>
      </c>
      <c r="G14" s="35" t="s">
        <v>23</v>
      </c>
      <c r="H14" s="35" t="s">
        <v>24</v>
      </c>
      <c r="I14" s="35" t="s">
        <v>25</v>
      </c>
      <c r="J14" s="44" t="s">
        <v>26</v>
      </c>
      <c r="K14" s="36" t="s">
        <v>27</v>
      </c>
      <c r="L14" s="36" t="s">
        <v>28</v>
      </c>
      <c r="M14" s="36" t="s">
        <v>29</v>
      </c>
      <c r="N14" s="36" t="s">
        <v>30</v>
      </c>
      <c r="O14" s="36" t="s">
        <v>31</v>
      </c>
      <c r="P14" s="36" t="s">
        <v>32</v>
      </c>
    </row>
    <row r="15" spans="1:16" x14ac:dyDescent="0.25">
      <c r="A15" s="69" t="s">
        <v>35</v>
      </c>
      <c r="B15" s="64"/>
      <c r="C15" s="64"/>
      <c r="D15" s="64"/>
      <c r="E15" s="64"/>
      <c r="F15" s="54">
        <f>E6</f>
        <v>1514886513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</row>
    <row r="16" spans="1:16" x14ac:dyDescent="0.25">
      <c r="A16" s="64"/>
      <c r="B16" s="38" t="s">
        <v>36</v>
      </c>
      <c r="C16" s="40">
        <v>92253</v>
      </c>
      <c r="D16" s="65">
        <v>16208</v>
      </c>
      <c r="E16" s="41">
        <f>+C16*D16</f>
        <v>1495236624</v>
      </c>
      <c r="F16" s="64"/>
      <c r="G16" s="39" t="s">
        <v>64</v>
      </c>
      <c r="H16" s="37">
        <v>45409</v>
      </c>
      <c r="I16" s="64">
        <v>60</v>
      </c>
      <c r="J16" s="52">
        <f>H16+I16</f>
        <v>45469</v>
      </c>
      <c r="K16" s="64">
        <f>$H$11-J16</f>
        <v>4</v>
      </c>
      <c r="L16" s="51"/>
      <c r="M16" s="51">
        <f>E16</f>
        <v>1495236624</v>
      </c>
      <c r="N16" s="64"/>
      <c r="O16" s="64"/>
      <c r="P16" s="64"/>
    </row>
    <row r="17" spans="1:16" x14ac:dyDescent="0.25">
      <c r="A17" s="64"/>
      <c r="B17" s="68" t="s">
        <v>34</v>
      </c>
      <c r="C17" s="64"/>
      <c r="D17" s="64"/>
      <c r="E17" s="64"/>
      <c r="F17" s="53">
        <f>F15-E16</f>
        <v>19649889</v>
      </c>
      <c r="G17" s="64"/>
      <c r="H17" s="64"/>
      <c r="I17" s="64"/>
      <c r="J17" s="64"/>
      <c r="K17" s="64"/>
      <c r="L17" s="64"/>
      <c r="M17" s="64"/>
      <c r="N17" s="64"/>
      <c r="O17" s="64"/>
      <c r="P17" s="64"/>
    </row>
    <row r="18" spans="1:16" x14ac:dyDescent="0.2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</row>
    <row r="19" spans="1:16" x14ac:dyDescent="0.25">
      <c r="A19" s="71" t="s">
        <v>38</v>
      </c>
      <c r="B19" s="64"/>
      <c r="C19" s="64"/>
      <c r="D19" s="64"/>
      <c r="E19" s="64"/>
      <c r="F19" s="54">
        <f>E7</f>
        <v>-16141843</v>
      </c>
      <c r="G19" s="64"/>
      <c r="H19" s="64"/>
      <c r="I19" s="64"/>
      <c r="J19" s="64"/>
      <c r="K19" s="64"/>
      <c r="L19" s="64"/>
      <c r="M19" s="64"/>
      <c r="N19" s="64"/>
      <c r="O19" s="64"/>
      <c r="P19" s="51">
        <f>F19</f>
        <v>-16141843</v>
      </c>
    </row>
    <row r="20" spans="1:16" x14ac:dyDescent="0.25">
      <c r="A20" s="64"/>
      <c r="B20" s="68" t="s">
        <v>34</v>
      </c>
      <c r="C20" s="64"/>
      <c r="D20" s="64"/>
      <c r="E20" s="64"/>
      <c r="F20" s="53">
        <f>F19</f>
        <v>-16141843</v>
      </c>
      <c r="G20" s="64"/>
      <c r="H20" s="64"/>
      <c r="I20" s="64"/>
      <c r="J20" s="64"/>
      <c r="K20" s="64"/>
      <c r="L20" s="64"/>
      <c r="M20" s="64"/>
      <c r="N20" s="64"/>
      <c r="O20" s="64"/>
      <c r="P20" s="64"/>
    </row>
    <row r="21" spans="1:16" x14ac:dyDescent="0.2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</row>
  </sheetData>
  <mergeCells count="7">
    <mergeCell ref="K13:P13"/>
    <mergeCell ref="A4:A5"/>
    <mergeCell ref="C4:C5"/>
    <mergeCell ref="D4:D5"/>
    <mergeCell ref="E4:E5"/>
    <mergeCell ref="A13:A14"/>
    <mergeCell ref="G13:J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52CB-5FDF-4538-AF64-D1E14B1E03E5}">
  <dimension ref="A1:P17"/>
  <sheetViews>
    <sheetView showGridLines="0" workbookViewId="0">
      <selection activeCell="F15" sqref="F15"/>
    </sheetView>
  </sheetViews>
  <sheetFormatPr defaultRowHeight="11.5" x14ac:dyDescent="0.25"/>
  <cols>
    <col min="1" max="1" width="6.6328125" style="1" customWidth="1"/>
    <col min="2" max="2" width="35.54296875" style="1" bestFit="1" customWidth="1"/>
    <col min="3" max="3" width="9.1796875" style="1" bestFit="1" customWidth="1"/>
    <col min="4" max="4" width="6.08984375" style="1" bestFit="1" customWidth="1"/>
    <col min="5" max="5" width="10.6328125" style="1" bestFit="1" customWidth="1"/>
    <col min="6" max="6" width="11.26953125" style="1" bestFit="1" customWidth="1"/>
    <col min="7" max="7" width="3.6328125" style="1" bestFit="1" customWidth="1"/>
    <col min="8" max="8" width="7.90625" style="1" bestFit="1" customWidth="1"/>
    <col min="9" max="9" width="12.08984375" style="1" bestFit="1" customWidth="1"/>
    <col min="10" max="10" width="18.6328125" style="1" bestFit="1" customWidth="1"/>
    <col min="11" max="11" width="5.36328125" style="1" bestFit="1" customWidth="1"/>
    <col min="12" max="12" width="6.26953125" style="1" bestFit="1" customWidth="1"/>
    <col min="13" max="13" width="8.81640625" style="1" bestFit="1" customWidth="1"/>
    <col min="14" max="15" width="9.81640625" style="1" bestFit="1" customWidth="1"/>
    <col min="16" max="16" width="10.6328125" style="1" bestFit="1" customWidth="1"/>
    <col min="17" max="16384" width="8.7265625" style="1"/>
  </cols>
  <sheetData>
    <row r="1" spans="1:16" x14ac:dyDescent="0.25">
      <c r="A1" s="8" t="s">
        <v>0</v>
      </c>
      <c r="B1" s="55"/>
      <c r="C1" s="11"/>
      <c r="D1" s="56"/>
      <c r="E1" s="56"/>
      <c r="F1" s="6"/>
    </row>
    <row r="2" spans="1:16" x14ac:dyDescent="0.25">
      <c r="A2" s="8" t="s">
        <v>69</v>
      </c>
      <c r="B2" s="55"/>
      <c r="C2" s="11"/>
      <c r="D2" s="56"/>
      <c r="E2" s="56"/>
      <c r="F2" s="6"/>
    </row>
    <row r="3" spans="1:16" x14ac:dyDescent="0.25">
      <c r="A3" s="8"/>
      <c r="B3" s="9"/>
      <c r="C3" s="10"/>
      <c r="D3" s="7"/>
      <c r="E3" s="7"/>
      <c r="F3" s="6"/>
    </row>
    <row r="4" spans="1:16" x14ac:dyDescent="0.25">
      <c r="A4" s="120" t="s">
        <v>2</v>
      </c>
      <c r="B4" s="11" t="s">
        <v>3</v>
      </c>
      <c r="C4" s="122" t="s">
        <v>4</v>
      </c>
      <c r="D4" s="122" t="s">
        <v>5</v>
      </c>
      <c r="E4" s="122" t="s">
        <v>6</v>
      </c>
      <c r="F4" s="6"/>
    </row>
    <row r="5" spans="1:16" ht="12" thickBot="1" x14ac:dyDescent="0.3">
      <c r="A5" s="121"/>
      <c r="B5" s="19" t="s">
        <v>7</v>
      </c>
      <c r="C5" s="123"/>
      <c r="D5" s="123"/>
      <c r="E5" s="123"/>
      <c r="F5" s="6"/>
    </row>
    <row r="6" spans="1:16" x14ac:dyDescent="0.25">
      <c r="A6" s="12">
        <v>1</v>
      </c>
      <c r="B6" s="13" t="s">
        <v>10</v>
      </c>
      <c r="C6" s="7">
        <v>16320</v>
      </c>
      <c r="D6" s="9">
        <v>-983</v>
      </c>
      <c r="E6" s="9">
        <f>D6*C6</f>
        <v>-16042560</v>
      </c>
      <c r="F6" s="6"/>
    </row>
    <row r="7" spans="1:16" x14ac:dyDescent="0.25">
      <c r="A7" s="12"/>
      <c r="B7" s="13"/>
      <c r="C7" s="7"/>
      <c r="D7" s="7"/>
      <c r="E7" s="9"/>
      <c r="F7" s="6"/>
    </row>
    <row r="8" spans="1:16" x14ac:dyDescent="0.25">
      <c r="A8" s="14"/>
      <c r="B8" s="15" t="s">
        <v>12</v>
      </c>
      <c r="C8" s="16"/>
      <c r="D8" s="77">
        <f>SUM(D6:D7)</f>
        <v>-983</v>
      </c>
      <c r="E8" s="77">
        <f>SUM(E6:E7)</f>
        <v>-16042560</v>
      </c>
      <c r="F8" s="6"/>
    </row>
    <row r="9" spans="1:16" x14ac:dyDescent="0.25">
      <c r="A9" s="6"/>
      <c r="B9" s="6"/>
      <c r="C9" s="16"/>
      <c r="D9" s="6"/>
      <c r="E9" s="6"/>
      <c r="F9" s="6"/>
    </row>
    <row r="11" spans="1:16" x14ac:dyDescent="0.25">
      <c r="H11" s="27">
        <v>45504</v>
      </c>
      <c r="L11" s="45">
        <f>SUBTOTAL(9,L15:L56)</f>
        <v>0</v>
      </c>
      <c r="M11" s="45">
        <f>SUBTOTAL(9,M15:M56)</f>
        <v>0</v>
      </c>
      <c r="N11" s="45">
        <f>SUBTOTAL(9,N15:N56)</f>
        <v>0</v>
      </c>
      <c r="O11" s="45">
        <f>SUBTOTAL(9,O15:O56)</f>
        <v>0</v>
      </c>
      <c r="P11" s="45">
        <f>SUBTOTAL(9,P15:P56)</f>
        <v>-16042560</v>
      </c>
    </row>
    <row r="12" spans="1:16" ht="12" thickBot="1" x14ac:dyDescent="0.3">
      <c r="A12" s="28" t="s">
        <v>15</v>
      </c>
    </row>
    <row r="13" spans="1:16" ht="15" thickTop="1" x14ac:dyDescent="0.35">
      <c r="A13" s="118" t="s">
        <v>16</v>
      </c>
      <c r="B13" s="29" t="s">
        <v>3</v>
      </c>
      <c r="C13" s="57" t="s">
        <v>17</v>
      </c>
      <c r="D13" s="57" t="s">
        <v>4</v>
      </c>
      <c r="E13" s="58" t="s">
        <v>17</v>
      </c>
      <c r="F13" s="58" t="s">
        <v>18</v>
      </c>
      <c r="G13" s="110" t="s">
        <v>19</v>
      </c>
      <c r="H13" s="110"/>
      <c r="I13" s="110"/>
      <c r="J13" s="110"/>
      <c r="K13" s="111" t="s">
        <v>20</v>
      </c>
      <c r="L13" s="112"/>
      <c r="M13" s="112"/>
      <c r="N13" s="112"/>
      <c r="O13" s="112"/>
      <c r="P13" s="113"/>
    </row>
    <row r="14" spans="1:16" ht="14.5" x14ac:dyDescent="0.35">
      <c r="A14" s="119"/>
      <c r="B14" s="59" t="s">
        <v>7</v>
      </c>
      <c r="C14" s="60" t="s">
        <v>5</v>
      </c>
      <c r="D14" s="60" t="s">
        <v>21</v>
      </c>
      <c r="E14" s="61" t="s">
        <v>22</v>
      </c>
      <c r="F14" s="61" t="s">
        <v>22</v>
      </c>
      <c r="G14" s="35" t="s">
        <v>23</v>
      </c>
      <c r="H14" s="35" t="s">
        <v>24</v>
      </c>
      <c r="I14" s="35" t="s">
        <v>25</v>
      </c>
      <c r="J14" s="44" t="s">
        <v>26</v>
      </c>
      <c r="K14" s="36" t="s">
        <v>27</v>
      </c>
      <c r="L14" s="36" t="s">
        <v>28</v>
      </c>
      <c r="M14" s="36" t="s">
        <v>29</v>
      </c>
      <c r="N14" s="36" t="s">
        <v>30</v>
      </c>
      <c r="O14" s="36" t="s">
        <v>31</v>
      </c>
      <c r="P14" s="36" t="s">
        <v>32</v>
      </c>
    </row>
    <row r="15" spans="1:16" x14ac:dyDescent="0.25">
      <c r="A15" s="71" t="s">
        <v>38</v>
      </c>
      <c r="B15" s="64"/>
      <c r="C15" s="64"/>
      <c r="D15" s="64"/>
      <c r="E15" s="64"/>
      <c r="F15" s="54">
        <f>E6</f>
        <v>-16042560</v>
      </c>
      <c r="G15" s="64"/>
      <c r="H15" s="64"/>
      <c r="I15" s="64"/>
      <c r="J15" s="64"/>
      <c r="K15" s="64"/>
      <c r="L15" s="64"/>
      <c r="M15" s="64"/>
      <c r="N15" s="64"/>
      <c r="O15" s="64"/>
      <c r="P15" s="51">
        <f>F15</f>
        <v>-16042560</v>
      </c>
    </row>
    <row r="16" spans="1:16" x14ac:dyDescent="0.25">
      <c r="A16" s="64"/>
      <c r="B16" s="68" t="s">
        <v>34</v>
      </c>
      <c r="C16" s="64"/>
      <c r="D16" s="64"/>
      <c r="E16" s="64"/>
      <c r="F16" s="53">
        <f>F15</f>
        <v>-16042560</v>
      </c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 x14ac:dyDescent="0.2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7">
    <mergeCell ref="K13:P13"/>
    <mergeCell ref="A4:A5"/>
    <mergeCell ref="C4:C5"/>
    <mergeCell ref="D4:D5"/>
    <mergeCell ref="E4:E5"/>
    <mergeCell ref="A13:A14"/>
    <mergeCell ref="G13:J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3FE1-6172-4A82-A419-AD78CBF4EC26}">
  <dimension ref="A1:P33"/>
  <sheetViews>
    <sheetView showGridLines="0" workbookViewId="0">
      <selection activeCell="B15" sqref="B15"/>
    </sheetView>
  </sheetViews>
  <sheetFormatPr defaultRowHeight="11.5" x14ac:dyDescent="0.25"/>
  <cols>
    <col min="1" max="1" width="9" style="1" customWidth="1"/>
    <col min="2" max="2" width="40.453125" style="1" bestFit="1" customWidth="1"/>
    <col min="3" max="4" width="10.08984375" style="1" bestFit="1" customWidth="1"/>
    <col min="5" max="5" width="14.7265625" style="1" bestFit="1" customWidth="1"/>
    <col min="6" max="6" width="12.36328125" style="1" bestFit="1" customWidth="1"/>
    <col min="7" max="7" width="12.1796875" style="1" bestFit="1" customWidth="1"/>
    <col min="8" max="8" width="8.36328125" style="1" bestFit="1" customWidth="1"/>
    <col min="9" max="9" width="12.08984375" style="1" bestFit="1" customWidth="1"/>
    <col min="10" max="10" width="18.6328125" style="1" bestFit="1" customWidth="1"/>
    <col min="11" max="11" width="5.36328125" style="1" bestFit="1" customWidth="1"/>
    <col min="12" max="12" width="12.36328125" style="1" bestFit="1" customWidth="1"/>
    <col min="13" max="13" width="8.81640625" style="1" bestFit="1" customWidth="1"/>
    <col min="14" max="15" width="9.81640625" style="1" bestFit="1" customWidth="1"/>
    <col min="16" max="16" width="10.6328125" style="1" bestFit="1" customWidth="1"/>
    <col min="17" max="16384" width="8.7265625" style="1"/>
  </cols>
  <sheetData>
    <row r="1" spans="1:16" x14ac:dyDescent="0.25">
      <c r="A1" s="8" t="s">
        <v>0</v>
      </c>
      <c r="B1" s="55"/>
      <c r="C1" s="11"/>
      <c r="D1" s="56"/>
      <c r="E1" s="56"/>
      <c r="F1" s="6"/>
    </row>
    <row r="2" spans="1:16" x14ac:dyDescent="0.25">
      <c r="A2" s="8" t="s">
        <v>70</v>
      </c>
      <c r="B2" s="55"/>
      <c r="C2" s="11"/>
      <c r="D2" s="56"/>
      <c r="E2" s="56"/>
      <c r="F2" s="6"/>
    </row>
    <row r="3" spans="1:16" x14ac:dyDescent="0.25">
      <c r="A3" s="8"/>
      <c r="B3" s="9"/>
      <c r="C3" s="10"/>
      <c r="D3" s="7"/>
      <c r="E3" s="7"/>
      <c r="F3" s="6"/>
    </row>
    <row r="4" spans="1:16" x14ac:dyDescent="0.25">
      <c r="A4" s="120" t="s">
        <v>2</v>
      </c>
      <c r="B4" s="11" t="s">
        <v>3</v>
      </c>
      <c r="C4" s="122" t="s">
        <v>4</v>
      </c>
      <c r="D4" s="122" t="s">
        <v>5</v>
      </c>
      <c r="E4" s="122" t="s">
        <v>6</v>
      </c>
      <c r="F4" s="6"/>
    </row>
    <row r="5" spans="1:16" ht="12" thickBot="1" x14ac:dyDescent="0.3">
      <c r="A5" s="121"/>
      <c r="B5" s="19" t="s">
        <v>7</v>
      </c>
      <c r="C5" s="123"/>
      <c r="D5" s="123"/>
      <c r="E5" s="123"/>
      <c r="F5" s="6"/>
    </row>
    <row r="6" spans="1:16" x14ac:dyDescent="0.25">
      <c r="A6" s="12">
        <v>1</v>
      </c>
      <c r="B6" s="13" t="s">
        <v>8</v>
      </c>
      <c r="C6" s="7">
        <v>15409</v>
      </c>
      <c r="D6" s="7">
        <v>353097</v>
      </c>
      <c r="E6" s="9">
        <f>D6*C6</f>
        <v>5440871673</v>
      </c>
      <c r="F6" s="6"/>
    </row>
    <row r="7" spans="1:16" x14ac:dyDescent="0.25">
      <c r="A7" s="12">
        <v>2</v>
      </c>
      <c r="B7" s="13" t="s">
        <v>9</v>
      </c>
      <c r="C7" s="7">
        <v>15409</v>
      </c>
      <c r="D7" s="7">
        <v>89420</v>
      </c>
      <c r="E7" s="9">
        <f>D7*C7</f>
        <v>1377872780</v>
      </c>
      <c r="F7" s="6"/>
    </row>
    <row r="8" spans="1:16" x14ac:dyDescent="0.25">
      <c r="A8" s="12">
        <v>3</v>
      </c>
      <c r="B8" s="13" t="s">
        <v>71</v>
      </c>
      <c r="C8" s="7">
        <v>15409</v>
      </c>
      <c r="D8" s="7">
        <v>66150</v>
      </c>
      <c r="E8" s="9">
        <f>D8*C8</f>
        <v>1019305350</v>
      </c>
      <c r="F8" s="6"/>
    </row>
    <row r="9" spans="1:16" x14ac:dyDescent="0.25">
      <c r="A9" s="12">
        <v>4</v>
      </c>
      <c r="B9" s="13" t="s">
        <v>72</v>
      </c>
      <c r="C9" s="7">
        <v>15409</v>
      </c>
      <c r="D9" s="9">
        <v>-983</v>
      </c>
      <c r="E9" s="9">
        <f>D9*C9</f>
        <v>-15147047</v>
      </c>
      <c r="F9" s="6"/>
    </row>
    <row r="10" spans="1:16" x14ac:dyDescent="0.25">
      <c r="A10" s="12"/>
      <c r="B10" s="13"/>
      <c r="C10" s="7"/>
      <c r="D10" s="7"/>
      <c r="E10" s="9"/>
      <c r="F10" s="6"/>
    </row>
    <row r="11" spans="1:16" x14ac:dyDescent="0.25">
      <c r="A11" s="14"/>
      <c r="B11" s="15" t="s">
        <v>12</v>
      </c>
      <c r="C11" s="16"/>
      <c r="D11" s="17">
        <f>SUM(D6:D9)</f>
        <v>507684</v>
      </c>
      <c r="E11" s="17">
        <f>SUM(E6:E9)</f>
        <v>7822902756</v>
      </c>
      <c r="F11" s="6"/>
    </row>
    <row r="12" spans="1:16" x14ac:dyDescent="0.25">
      <c r="A12" s="6"/>
      <c r="B12" s="6"/>
      <c r="C12" s="16"/>
      <c r="D12" s="6"/>
      <c r="E12" s="6"/>
      <c r="F12" s="6"/>
    </row>
    <row r="13" spans="1:16" x14ac:dyDescent="0.25">
      <c r="I13" s="27">
        <v>45535</v>
      </c>
      <c r="L13" s="45">
        <f>SUBTOTAL(9,L17:L58)</f>
        <v>7880473263</v>
      </c>
      <c r="M13" s="45">
        <f>SUBTOTAL(9,M17:M58)</f>
        <v>0</v>
      </c>
      <c r="N13" s="45">
        <f>SUBTOTAL(9,N17:N58)</f>
        <v>0</v>
      </c>
      <c r="O13" s="45">
        <f>SUBTOTAL(9,O17:O58)</f>
        <v>0</v>
      </c>
      <c r="P13" s="45">
        <f>SUBTOTAL(9,P17:P58)</f>
        <v>-15147047</v>
      </c>
    </row>
    <row r="14" spans="1:16" ht="12" thickBot="1" x14ac:dyDescent="0.3">
      <c r="A14" s="28" t="s">
        <v>15</v>
      </c>
    </row>
    <row r="15" spans="1:16" ht="15" thickTop="1" x14ac:dyDescent="0.35">
      <c r="A15" s="118" t="s">
        <v>16</v>
      </c>
      <c r="B15" s="29" t="s">
        <v>3</v>
      </c>
      <c r="C15" s="57" t="s">
        <v>17</v>
      </c>
      <c r="D15" s="57" t="s">
        <v>4</v>
      </c>
      <c r="E15" s="58" t="s">
        <v>17</v>
      </c>
      <c r="F15" s="58" t="s">
        <v>18</v>
      </c>
      <c r="G15" s="110" t="s">
        <v>19</v>
      </c>
      <c r="H15" s="110"/>
      <c r="I15" s="110"/>
      <c r="J15" s="110"/>
      <c r="K15" s="124" t="s">
        <v>20</v>
      </c>
      <c r="L15" s="124"/>
      <c r="M15" s="124"/>
      <c r="N15" s="124"/>
      <c r="O15" s="124"/>
      <c r="P15" s="124"/>
    </row>
    <row r="16" spans="1:16" ht="14.5" x14ac:dyDescent="0.35">
      <c r="A16" s="119"/>
      <c r="B16" s="61" t="s">
        <v>7</v>
      </c>
      <c r="C16" s="60" t="s">
        <v>5</v>
      </c>
      <c r="D16" s="60" t="s">
        <v>21</v>
      </c>
      <c r="E16" s="61" t="s">
        <v>22</v>
      </c>
      <c r="F16" s="61" t="s">
        <v>22</v>
      </c>
      <c r="G16" s="35" t="s">
        <v>23</v>
      </c>
      <c r="H16" s="35" t="s">
        <v>24</v>
      </c>
      <c r="I16" s="35" t="s">
        <v>25</v>
      </c>
      <c r="J16" s="44" t="s">
        <v>26</v>
      </c>
      <c r="K16" s="36" t="s">
        <v>27</v>
      </c>
      <c r="L16" s="36" t="s">
        <v>28</v>
      </c>
      <c r="M16" s="36" t="s">
        <v>29</v>
      </c>
      <c r="N16" s="36" t="s">
        <v>30</v>
      </c>
      <c r="O16" s="36" t="s">
        <v>31</v>
      </c>
      <c r="P16" s="36" t="s">
        <v>32</v>
      </c>
    </row>
    <row r="17" spans="1:16" x14ac:dyDescent="0.25">
      <c r="A17" s="71" t="s">
        <v>43</v>
      </c>
      <c r="B17" s="64"/>
      <c r="C17" s="64"/>
      <c r="D17" s="64"/>
      <c r="E17" s="64"/>
      <c r="F17" s="54">
        <f>E6</f>
        <v>5440871673</v>
      </c>
      <c r="G17" s="64"/>
      <c r="H17" s="64"/>
      <c r="I17" s="64"/>
      <c r="J17" s="64"/>
      <c r="K17" s="64"/>
      <c r="L17" s="64"/>
      <c r="M17" s="64"/>
      <c r="N17" s="64"/>
      <c r="O17" s="64"/>
      <c r="P17" s="64"/>
    </row>
    <row r="18" spans="1:16" x14ac:dyDescent="0.25">
      <c r="A18" s="64"/>
      <c r="B18" s="38" t="s">
        <v>73</v>
      </c>
      <c r="C18" s="40">
        <v>109497</v>
      </c>
      <c r="D18" s="38">
        <v>15509</v>
      </c>
      <c r="E18" s="41">
        <f>D18*C18</f>
        <v>1698188973</v>
      </c>
      <c r="F18" s="42"/>
      <c r="G18" s="39" t="s">
        <v>74</v>
      </c>
      <c r="H18" s="37">
        <v>45532</v>
      </c>
      <c r="I18" s="64">
        <v>60</v>
      </c>
      <c r="J18" s="52">
        <f>H18+I18</f>
        <v>45592</v>
      </c>
      <c r="K18" s="64">
        <f>$I$13-J18</f>
        <v>-57</v>
      </c>
      <c r="L18" s="51">
        <f>E18</f>
        <v>1698188973</v>
      </c>
      <c r="M18" s="64"/>
      <c r="N18" s="64"/>
      <c r="O18" s="64"/>
      <c r="P18" s="64"/>
    </row>
    <row r="19" spans="1:16" x14ac:dyDescent="0.25">
      <c r="A19" s="64"/>
      <c r="B19" s="38" t="s">
        <v>73</v>
      </c>
      <c r="C19" s="40">
        <v>133100</v>
      </c>
      <c r="D19" s="38">
        <v>15409</v>
      </c>
      <c r="E19" s="41">
        <f>D19*C19</f>
        <v>2050937900</v>
      </c>
      <c r="F19" s="42"/>
      <c r="G19" s="39" t="s">
        <v>75</v>
      </c>
      <c r="H19" s="37">
        <v>45535</v>
      </c>
      <c r="I19" s="64">
        <v>60</v>
      </c>
      <c r="J19" s="52">
        <f t="shared" ref="J19:J20" si="0">H19+I19</f>
        <v>45595</v>
      </c>
      <c r="K19" s="64">
        <f>$I$13-J19</f>
        <v>-60</v>
      </c>
      <c r="L19" s="51">
        <f t="shared" ref="L19:L20" si="1">E19</f>
        <v>2050937900</v>
      </c>
      <c r="M19" s="64"/>
      <c r="N19" s="64"/>
      <c r="O19" s="64"/>
      <c r="P19" s="64"/>
    </row>
    <row r="20" spans="1:16" x14ac:dyDescent="0.25">
      <c r="A20" s="64"/>
      <c r="B20" s="38" t="s">
        <v>73</v>
      </c>
      <c r="C20" s="40">
        <v>110500</v>
      </c>
      <c r="D20" s="38">
        <v>15409</v>
      </c>
      <c r="E20" s="41">
        <f>D20*C20</f>
        <v>1702694500</v>
      </c>
      <c r="F20" s="42"/>
      <c r="G20" s="39" t="s">
        <v>76</v>
      </c>
      <c r="H20" s="37">
        <v>45534</v>
      </c>
      <c r="I20" s="64">
        <v>60</v>
      </c>
      <c r="J20" s="52">
        <f t="shared" si="0"/>
        <v>45594</v>
      </c>
      <c r="K20" s="64">
        <f>$I$13-J20</f>
        <v>-59</v>
      </c>
      <c r="L20" s="51">
        <f t="shared" si="1"/>
        <v>1702694500</v>
      </c>
      <c r="M20" s="64"/>
      <c r="N20" s="64"/>
      <c r="O20" s="64"/>
      <c r="P20" s="64"/>
    </row>
    <row r="21" spans="1:16" x14ac:dyDescent="0.25">
      <c r="A21" s="64"/>
      <c r="B21" s="68" t="s">
        <v>34</v>
      </c>
      <c r="C21" s="64"/>
      <c r="D21" s="64"/>
      <c r="E21" s="64"/>
      <c r="F21" s="53">
        <f>SUM(E18:E20)-F17</f>
        <v>10949700</v>
      </c>
      <c r="G21" s="64"/>
      <c r="H21" s="64"/>
      <c r="I21" s="64"/>
      <c r="J21" s="64"/>
      <c r="K21" s="64"/>
      <c r="L21" s="64"/>
      <c r="M21" s="64"/>
      <c r="N21" s="64"/>
      <c r="O21" s="64"/>
      <c r="P21" s="64"/>
    </row>
    <row r="22" spans="1:16" x14ac:dyDescent="0.2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1:16" x14ac:dyDescent="0.25">
      <c r="A23" s="69" t="s">
        <v>35</v>
      </c>
      <c r="B23" s="64"/>
      <c r="C23" s="64"/>
      <c r="D23" s="64"/>
      <c r="E23" s="64"/>
      <c r="F23" s="54">
        <f>E7</f>
        <v>1377872780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</row>
    <row r="24" spans="1:16" x14ac:dyDescent="0.25">
      <c r="A24" s="64"/>
      <c r="B24" s="38" t="s">
        <v>36</v>
      </c>
      <c r="C24" s="40">
        <v>89420</v>
      </c>
      <c r="D24" s="65">
        <v>15687</v>
      </c>
      <c r="E24" s="41">
        <f>D24*C24</f>
        <v>1402731540</v>
      </c>
      <c r="F24" s="40"/>
      <c r="G24" s="39" t="s">
        <v>77</v>
      </c>
      <c r="H24" s="37">
        <v>45524</v>
      </c>
      <c r="I24" s="64">
        <v>60</v>
      </c>
      <c r="J24" s="52">
        <f>H24+I24</f>
        <v>45584</v>
      </c>
      <c r="K24" s="64">
        <f>$I$13-J24</f>
        <v>-49</v>
      </c>
      <c r="L24" s="51">
        <f>E24</f>
        <v>1402731540</v>
      </c>
      <c r="M24" s="64"/>
      <c r="N24" s="64"/>
      <c r="O24" s="64"/>
      <c r="P24" s="64"/>
    </row>
    <row r="25" spans="1:16" x14ac:dyDescent="0.25">
      <c r="A25" s="64"/>
      <c r="B25" s="68" t="s">
        <v>34</v>
      </c>
      <c r="C25" s="64"/>
      <c r="D25" s="64"/>
      <c r="E25" s="64"/>
      <c r="F25" s="53">
        <f>F23-E24</f>
        <v>-24858760</v>
      </c>
      <c r="G25" s="64"/>
      <c r="H25" s="64"/>
      <c r="I25" s="64"/>
      <c r="J25" s="64"/>
      <c r="K25" s="64"/>
      <c r="L25" s="64"/>
      <c r="M25" s="64"/>
      <c r="N25" s="64"/>
      <c r="O25" s="64"/>
      <c r="P25" s="64"/>
    </row>
    <row r="26" spans="1:16" x14ac:dyDescent="0.2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spans="1:16" x14ac:dyDescent="0.25">
      <c r="A27" s="71" t="s">
        <v>78</v>
      </c>
      <c r="B27" s="64"/>
      <c r="C27" s="64"/>
      <c r="D27" s="64"/>
      <c r="E27" s="64"/>
      <c r="F27" s="54">
        <f>E8</f>
        <v>1019305350</v>
      </c>
      <c r="G27" s="64"/>
      <c r="H27" s="64"/>
      <c r="I27" s="64"/>
      <c r="J27" s="64"/>
      <c r="K27" s="64"/>
      <c r="L27" s="64"/>
      <c r="M27" s="64"/>
      <c r="N27" s="64"/>
      <c r="O27" s="64"/>
      <c r="P27" s="64"/>
    </row>
    <row r="28" spans="1:16" x14ac:dyDescent="0.25">
      <c r="A28" s="64"/>
      <c r="B28" s="38" t="s">
        <v>79</v>
      </c>
      <c r="C28" s="40">
        <v>66150</v>
      </c>
      <c r="D28" s="65">
        <v>15509</v>
      </c>
      <c r="E28" s="41">
        <f>D28*C28</f>
        <v>1025920350</v>
      </c>
      <c r="F28" s="40"/>
      <c r="G28" s="39" t="s">
        <v>80</v>
      </c>
      <c r="H28" s="37">
        <v>45532</v>
      </c>
      <c r="I28" s="64">
        <v>60</v>
      </c>
      <c r="J28" s="52">
        <f>H28+I28</f>
        <v>45592</v>
      </c>
      <c r="K28" s="64">
        <f>$I$13-J28</f>
        <v>-57</v>
      </c>
      <c r="L28" s="51">
        <f>E28</f>
        <v>1025920350</v>
      </c>
      <c r="M28" s="64"/>
      <c r="N28" s="64"/>
      <c r="O28" s="64"/>
      <c r="P28" s="64"/>
    </row>
    <row r="29" spans="1:16" x14ac:dyDescent="0.25">
      <c r="A29" s="64"/>
      <c r="B29" s="68" t="s">
        <v>34</v>
      </c>
      <c r="C29" s="64"/>
      <c r="D29" s="64"/>
      <c r="E29" s="64"/>
      <c r="F29" s="53">
        <f>F27-E28</f>
        <v>-6615000</v>
      </c>
      <c r="G29" s="64"/>
      <c r="H29" s="64"/>
      <c r="I29" s="64"/>
      <c r="J29" s="64"/>
      <c r="K29" s="64"/>
      <c r="L29" s="64"/>
      <c r="M29" s="64"/>
      <c r="N29" s="64"/>
      <c r="O29" s="64"/>
      <c r="P29" s="64"/>
    </row>
    <row r="30" spans="1:16" x14ac:dyDescent="0.2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</row>
    <row r="31" spans="1:16" x14ac:dyDescent="0.25">
      <c r="A31" s="71" t="s">
        <v>38</v>
      </c>
      <c r="B31" s="64"/>
      <c r="C31" s="64"/>
      <c r="D31" s="64"/>
      <c r="E31" s="64"/>
      <c r="F31" s="54">
        <f>E9</f>
        <v>-15147047</v>
      </c>
      <c r="G31" s="64"/>
      <c r="H31" s="64"/>
      <c r="I31" s="64"/>
      <c r="J31" s="64"/>
      <c r="K31" s="64"/>
      <c r="L31" s="64"/>
      <c r="M31" s="64"/>
      <c r="N31" s="64"/>
      <c r="O31" s="64"/>
      <c r="P31" s="51">
        <f>F31</f>
        <v>-15147047</v>
      </c>
    </row>
    <row r="32" spans="1:16" x14ac:dyDescent="0.25">
      <c r="A32" s="64"/>
      <c r="B32" s="68" t="s">
        <v>34</v>
      </c>
      <c r="C32" s="64"/>
      <c r="D32" s="64"/>
      <c r="E32" s="64"/>
      <c r="F32" s="53">
        <f>F31</f>
        <v>-15147047</v>
      </c>
      <c r="G32" s="64"/>
      <c r="H32" s="64"/>
      <c r="I32" s="64"/>
      <c r="J32" s="64"/>
      <c r="K32" s="64"/>
      <c r="L32" s="64"/>
      <c r="M32" s="64"/>
      <c r="N32" s="64"/>
      <c r="O32" s="64"/>
      <c r="P32" s="64"/>
    </row>
    <row r="33" spans="1:16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</row>
  </sheetData>
  <mergeCells count="7">
    <mergeCell ref="G15:J15"/>
    <mergeCell ref="K15:P15"/>
    <mergeCell ref="A4:A5"/>
    <mergeCell ref="C4:C5"/>
    <mergeCell ref="D4:D5"/>
    <mergeCell ref="E4:E5"/>
    <mergeCell ref="A15:A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5098-A865-4AE5-8484-6AFF52942E09}">
  <dimension ref="A1:P37"/>
  <sheetViews>
    <sheetView showGridLines="0" topLeftCell="A2" workbookViewId="0">
      <selection activeCell="B15" sqref="B15"/>
    </sheetView>
  </sheetViews>
  <sheetFormatPr defaultRowHeight="11.5" x14ac:dyDescent="0.25"/>
  <cols>
    <col min="1" max="1" width="9" style="1" customWidth="1"/>
    <col min="2" max="2" width="40.453125" style="1" bestFit="1" customWidth="1"/>
    <col min="3" max="3" width="10.08984375" style="1" bestFit="1" customWidth="1"/>
    <col min="4" max="4" width="11.453125" style="1" bestFit="1" customWidth="1"/>
    <col min="5" max="5" width="15.6328125" style="1" bestFit="1" customWidth="1"/>
    <col min="6" max="6" width="13.36328125" style="1" bestFit="1" customWidth="1"/>
    <col min="7" max="7" width="12.1796875" style="1" bestFit="1" customWidth="1"/>
    <col min="8" max="8" width="8.6328125" style="1" bestFit="1" customWidth="1"/>
    <col min="9" max="9" width="11.6328125" style="1" bestFit="1" customWidth="1"/>
    <col min="10" max="10" width="18.08984375" style="1" bestFit="1" customWidth="1"/>
    <col min="11" max="11" width="5.453125" style="1" bestFit="1" customWidth="1"/>
    <col min="12" max="12" width="13.36328125" style="1" bestFit="1" customWidth="1"/>
    <col min="13" max="13" width="8.1796875" style="1" bestFit="1" customWidth="1"/>
    <col min="14" max="15" width="9.08984375" style="1" bestFit="1" customWidth="1"/>
    <col min="16" max="16" width="8.1796875" style="1" bestFit="1" customWidth="1"/>
    <col min="17" max="16384" width="8.7265625" style="1"/>
  </cols>
  <sheetData>
    <row r="1" spans="1:16" x14ac:dyDescent="0.25">
      <c r="A1" s="2" t="s">
        <v>0</v>
      </c>
      <c r="B1" s="3"/>
      <c r="C1" s="4"/>
      <c r="D1" s="5"/>
      <c r="E1" s="5"/>
      <c r="F1" s="6"/>
    </row>
    <row r="2" spans="1:16" x14ac:dyDescent="0.25">
      <c r="A2" s="2" t="s">
        <v>81</v>
      </c>
      <c r="B2" s="3"/>
      <c r="C2" s="4"/>
      <c r="D2" s="5"/>
      <c r="E2" s="5"/>
      <c r="F2" s="6"/>
    </row>
    <row r="3" spans="1:16" x14ac:dyDescent="0.25">
      <c r="A3" s="8"/>
      <c r="B3" s="9"/>
      <c r="C3" s="10"/>
      <c r="D3" s="7"/>
      <c r="E3" s="7"/>
      <c r="F3" s="6"/>
    </row>
    <row r="4" spans="1:16" x14ac:dyDescent="0.25">
      <c r="A4" s="120" t="s">
        <v>2</v>
      </c>
      <c r="B4" s="11" t="s">
        <v>3</v>
      </c>
      <c r="C4" s="122" t="s">
        <v>4</v>
      </c>
      <c r="D4" s="122" t="s">
        <v>5</v>
      </c>
      <c r="E4" s="122" t="s">
        <v>6</v>
      </c>
      <c r="F4" s="6"/>
    </row>
    <row r="5" spans="1:16" ht="12" thickBot="1" x14ac:dyDescent="0.3">
      <c r="A5" s="121"/>
      <c r="B5" s="19" t="s">
        <v>7</v>
      </c>
      <c r="C5" s="123"/>
      <c r="D5" s="123"/>
      <c r="E5" s="123"/>
      <c r="F5" s="6"/>
    </row>
    <row r="6" spans="1:16" x14ac:dyDescent="0.25">
      <c r="A6" s="12">
        <v>1</v>
      </c>
      <c r="B6" s="13" t="s">
        <v>8</v>
      </c>
      <c r="C6" s="7">
        <v>15138</v>
      </c>
      <c r="D6" s="7">
        <v>689590</v>
      </c>
      <c r="E6" s="9">
        <f>D6*C6</f>
        <v>10439013420</v>
      </c>
      <c r="F6" s="6"/>
    </row>
    <row r="7" spans="1:16" x14ac:dyDescent="0.25">
      <c r="A7" s="12">
        <v>2</v>
      </c>
      <c r="B7" s="13" t="s">
        <v>9</v>
      </c>
      <c r="C7" s="7">
        <v>15138</v>
      </c>
      <c r="D7" s="7">
        <v>89420</v>
      </c>
      <c r="E7" s="9">
        <f>D7*C7</f>
        <v>1353639960</v>
      </c>
      <c r="F7" s="6"/>
    </row>
    <row r="8" spans="1:16" x14ac:dyDescent="0.25">
      <c r="A8" s="12">
        <v>3</v>
      </c>
      <c r="B8" s="13" t="s">
        <v>72</v>
      </c>
      <c r="C8" s="7">
        <v>15138</v>
      </c>
      <c r="D8" s="7">
        <v>113937</v>
      </c>
      <c r="E8" s="9">
        <f>D8*C8</f>
        <v>1724778306</v>
      </c>
      <c r="F8" s="6"/>
    </row>
    <row r="9" spans="1:16" x14ac:dyDescent="0.25">
      <c r="A9" s="12">
        <v>4</v>
      </c>
      <c r="B9" s="13" t="s">
        <v>82</v>
      </c>
      <c r="C9" s="7">
        <v>15138</v>
      </c>
      <c r="D9" s="7">
        <v>130900</v>
      </c>
      <c r="E9" s="9">
        <f>D9*C9</f>
        <v>1981564200</v>
      </c>
      <c r="F9" s="6"/>
    </row>
    <row r="10" spans="1:16" x14ac:dyDescent="0.25">
      <c r="A10" s="12"/>
      <c r="B10" s="13"/>
      <c r="C10" s="7"/>
      <c r="D10" s="7"/>
      <c r="E10" s="9"/>
      <c r="F10" s="6"/>
    </row>
    <row r="11" spans="1:16" x14ac:dyDescent="0.25">
      <c r="A11" s="14"/>
      <c r="B11" s="15" t="s">
        <v>12</v>
      </c>
      <c r="C11" s="16"/>
      <c r="D11" s="17">
        <f>SUM(D6:D9)</f>
        <v>1023847</v>
      </c>
      <c r="E11" s="17">
        <f>SUM(E6:E9)</f>
        <v>15498995886</v>
      </c>
      <c r="F11" s="6"/>
    </row>
    <row r="12" spans="1:16" x14ac:dyDescent="0.25">
      <c r="A12" s="6"/>
      <c r="B12" s="6"/>
      <c r="C12" s="16"/>
      <c r="D12" s="6"/>
      <c r="E12" s="6"/>
      <c r="F12" s="6"/>
    </row>
    <row r="13" spans="1:16" x14ac:dyDescent="0.25">
      <c r="H13" s="27">
        <v>45565</v>
      </c>
      <c r="L13" s="45">
        <f>SUBTOTAL(9,L17:L58)</f>
        <v>15600444055</v>
      </c>
      <c r="M13" s="45">
        <f>SUBTOTAL(9,M17:M58)</f>
        <v>0</v>
      </c>
      <c r="N13" s="45">
        <f>SUBTOTAL(9,N17:N58)</f>
        <v>0</v>
      </c>
      <c r="O13" s="45">
        <f>SUBTOTAL(9,O17:O58)</f>
        <v>0</v>
      </c>
      <c r="P13" s="45">
        <f>SUBTOTAL(9,P17:P58)</f>
        <v>0</v>
      </c>
    </row>
    <row r="14" spans="1:16" ht="12" thickBot="1" x14ac:dyDescent="0.3">
      <c r="A14" s="28" t="s">
        <v>83</v>
      </c>
    </row>
    <row r="15" spans="1:16" ht="15" thickTop="1" x14ac:dyDescent="0.35">
      <c r="A15" s="118" t="s">
        <v>16</v>
      </c>
      <c r="B15" s="29" t="s">
        <v>3</v>
      </c>
      <c r="C15" s="57" t="s">
        <v>17</v>
      </c>
      <c r="D15" s="57" t="s">
        <v>4</v>
      </c>
      <c r="E15" s="58" t="s">
        <v>17</v>
      </c>
      <c r="F15" s="58" t="s">
        <v>18</v>
      </c>
      <c r="G15" s="110" t="s">
        <v>19</v>
      </c>
      <c r="H15" s="110"/>
      <c r="I15" s="110"/>
      <c r="J15" s="110"/>
      <c r="K15" s="125" t="s">
        <v>20</v>
      </c>
      <c r="L15" s="125"/>
      <c r="M15" s="125"/>
      <c r="N15" s="125"/>
      <c r="O15" s="125"/>
      <c r="P15" s="125"/>
    </row>
    <row r="16" spans="1:16" ht="14.5" x14ac:dyDescent="0.35">
      <c r="A16" s="119"/>
      <c r="B16" s="59" t="s">
        <v>7</v>
      </c>
      <c r="C16" s="60" t="s">
        <v>5</v>
      </c>
      <c r="D16" s="60" t="s">
        <v>21</v>
      </c>
      <c r="E16" s="61" t="s">
        <v>22</v>
      </c>
      <c r="F16" s="61" t="s">
        <v>22</v>
      </c>
      <c r="G16" s="35" t="s">
        <v>23</v>
      </c>
      <c r="H16" s="35" t="s">
        <v>24</v>
      </c>
      <c r="I16" s="85" t="s">
        <v>25</v>
      </c>
      <c r="J16" s="86" t="s">
        <v>26</v>
      </c>
      <c r="K16" s="87" t="s">
        <v>27</v>
      </c>
      <c r="L16" s="87" t="s">
        <v>28</v>
      </c>
      <c r="M16" s="87" t="s">
        <v>29</v>
      </c>
      <c r="N16" s="87" t="s">
        <v>30</v>
      </c>
      <c r="O16" s="87" t="s">
        <v>31</v>
      </c>
      <c r="P16" s="87" t="s">
        <v>32</v>
      </c>
    </row>
    <row r="17" spans="1:16" x14ac:dyDescent="0.25">
      <c r="A17" s="71" t="s">
        <v>43</v>
      </c>
      <c r="B17" s="64"/>
      <c r="C17" s="64"/>
      <c r="D17" s="64"/>
      <c r="E17" s="64"/>
      <c r="F17" s="54">
        <f>E6</f>
        <v>10439013420</v>
      </c>
      <c r="G17" s="64"/>
      <c r="H17" s="64"/>
      <c r="I17" s="64"/>
      <c r="J17" s="64"/>
      <c r="K17" s="64"/>
      <c r="L17" s="64"/>
      <c r="M17" s="64"/>
      <c r="N17" s="64"/>
      <c r="O17" s="64"/>
      <c r="P17" s="64"/>
    </row>
    <row r="18" spans="1:16" s="75" customFormat="1" ht="14" x14ac:dyDescent="0.3">
      <c r="A18" s="64"/>
      <c r="B18" s="38" t="s">
        <v>73</v>
      </c>
      <c r="C18" s="40">
        <v>127500</v>
      </c>
      <c r="D18" s="38">
        <v>15287</v>
      </c>
      <c r="E18" s="82">
        <f t="shared" ref="E18:E23" si="0">D18*C18</f>
        <v>1949092500</v>
      </c>
      <c r="F18" s="42"/>
      <c r="G18" s="39" t="s">
        <v>84</v>
      </c>
      <c r="H18" s="37">
        <v>45555</v>
      </c>
      <c r="I18" s="64">
        <v>60</v>
      </c>
      <c r="J18" s="52">
        <f>H18+I18</f>
        <v>45615</v>
      </c>
      <c r="K18" s="64">
        <f>$H$13-J18</f>
        <v>-50</v>
      </c>
      <c r="L18" s="88">
        <f>E18</f>
        <v>1949092500</v>
      </c>
      <c r="M18" s="64"/>
      <c r="N18" s="64"/>
      <c r="O18" s="64"/>
      <c r="P18" s="64"/>
    </row>
    <row r="19" spans="1:16" s="75" customFormat="1" ht="14" x14ac:dyDescent="0.3">
      <c r="A19" s="64"/>
      <c r="B19" s="38" t="s">
        <v>73</v>
      </c>
      <c r="C19" s="40">
        <v>103395</v>
      </c>
      <c r="D19" s="38">
        <v>15287</v>
      </c>
      <c r="E19" s="82">
        <f t="shared" si="0"/>
        <v>1580599365</v>
      </c>
      <c r="F19" s="42"/>
      <c r="G19" s="39" t="s">
        <v>85</v>
      </c>
      <c r="H19" s="37">
        <v>45556</v>
      </c>
      <c r="I19" s="64">
        <v>60</v>
      </c>
      <c r="J19" s="52">
        <f t="shared" ref="J19:J23" si="1">H19+I19</f>
        <v>45616</v>
      </c>
      <c r="K19" s="64">
        <f t="shared" ref="K19:K23" si="2">$H$13-J19</f>
        <v>-51</v>
      </c>
      <c r="L19" s="88">
        <f t="shared" ref="L19:L23" si="3">E19</f>
        <v>1580599365</v>
      </c>
      <c r="M19" s="64"/>
      <c r="N19" s="64"/>
      <c r="O19" s="64"/>
      <c r="P19" s="64"/>
    </row>
    <row r="20" spans="1:16" s="75" customFormat="1" ht="14" x14ac:dyDescent="0.3">
      <c r="A20" s="64"/>
      <c r="B20" s="38" t="s">
        <v>73</v>
      </c>
      <c r="C20" s="40">
        <v>122400</v>
      </c>
      <c r="D20" s="38">
        <v>15171</v>
      </c>
      <c r="E20" s="82">
        <f t="shared" si="0"/>
        <v>1856930400</v>
      </c>
      <c r="F20" s="42"/>
      <c r="G20" s="39" t="s">
        <v>86</v>
      </c>
      <c r="H20" s="37">
        <v>45563</v>
      </c>
      <c r="I20" s="64">
        <v>60</v>
      </c>
      <c r="J20" s="52">
        <f t="shared" si="1"/>
        <v>45623</v>
      </c>
      <c r="K20" s="64">
        <f t="shared" si="2"/>
        <v>-58</v>
      </c>
      <c r="L20" s="88">
        <f t="shared" si="3"/>
        <v>1856930400</v>
      </c>
      <c r="M20" s="64"/>
      <c r="N20" s="64"/>
      <c r="O20" s="64"/>
      <c r="P20" s="64"/>
    </row>
    <row r="21" spans="1:16" s="75" customFormat="1" ht="14" x14ac:dyDescent="0.3">
      <c r="A21" s="64"/>
      <c r="B21" s="38" t="s">
        <v>73</v>
      </c>
      <c r="C21" s="40">
        <v>108800</v>
      </c>
      <c r="D21" s="38">
        <v>15138</v>
      </c>
      <c r="E21" s="82">
        <f t="shared" si="0"/>
        <v>1647014400</v>
      </c>
      <c r="F21" s="42"/>
      <c r="G21" s="39" t="s">
        <v>87</v>
      </c>
      <c r="H21" s="37">
        <v>45565</v>
      </c>
      <c r="I21" s="64">
        <v>60</v>
      </c>
      <c r="J21" s="52">
        <f t="shared" si="1"/>
        <v>45625</v>
      </c>
      <c r="K21" s="64">
        <f t="shared" si="2"/>
        <v>-60</v>
      </c>
      <c r="L21" s="88">
        <f t="shared" si="3"/>
        <v>1647014400</v>
      </c>
      <c r="M21" s="64"/>
      <c r="N21" s="64"/>
      <c r="O21" s="64"/>
      <c r="P21" s="64"/>
    </row>
    <row r="22" spans="1:16" s="75" customFormat="1" ht="14" x14ac:dyDescent="0.3">
      <c r="A22" s="64"/>
      <c r="B22" s="38" t="s">
        <v>73</v>
      </c>
      <c r="C22" s="40">
        <v>103395</v>
      </c>
      <c r="D22" s="38">
        <v>15138</v>
      </c>
      <c r="E22" s="82">
        <f t="shared" si="0"/>
        <v>1565193510</v>
      </c>
      <c r="F22" s="42"/>
      <c r="G22" s="39" t="s">
        <v>88</v>
      </c>
      <c r="H22" s="37">
        <v>45565</v>
      </c>
      <c r="I22" s="64">
        <v>60</v>
      </c>
      <c r="J22" s="52">
        <f t="shared" si="1"/>
        <v>45625</v>
      </c>
      <c r="K22" s="64">
        <f t="shared" si="2"/>
        <v>-60</v>
      </c>
      <c r="L22" s="88">
        <f t="shared" si="3"/>
        <v>1565193510</v>
      </c>
      <c r="M22" s="64"/>
      <c r="N22" s="64"/>
      <c r="O22" s="64"/>
      <c r="P22" s="64"/>
    </row>
    <row r="23" spans="1:16" s="75" customFormat="1" ht="14" x14ac:dyDescent="0.3">
      <c r="A23" s="64"/>
      <c r="B23" s="38" t="s">
        <v>73</v>
      </c>
      <c r="C23" s="40">
        <v>124100</v>
      </c>
      <c r="D23" s="38">
        <v>15138</v>
      </c>
      <c r="E23" s="82">
        <f t="shared" si="0"/>
        <v>1878625800</v>
      </c>
      <c r="F23" s="42"/>
      <c r="G23" s="39" t="s">
        <v>89</v>
      </c>
      <c r="H23" s="37">
        <v>45565</v>
      </c>
      <c r="I23" s="64">
        <v>60</v>
      </c>
      <c r="J23" s="52">
        <f t="shared" si="1"/>
        <v>45625</v>
      </c>
      <c r="K23" s="64">
        <f t="shared" si="2"/>
        <v>-60</v>
      </c>
      <c r="L23" s="88">
        <f t="shared" si="3"/>
        <v>1878625800</v>
      </c>
      <c r="M23" s="64"/>
      <c r="N23" s="64"/>
      <c r="O23" s="64"/>
      <c r="P23" s="64"/>
    </row>
    <row r="24" spans="1:16" x14ac:dyDescent="0.25">
      <c r="A24" s="64"/>
      <c r="B24" s="68" t="s">
        <v>34</v>
      </c>
      <c r="C24" s="64"/>
      <c r="D24" s="64"/>
      <c r="E24" s="64"/>
      <c r="F24" s="83">
        <f>SUM(E18:E23)-F17</f>
        <v>38442555</v>
      </c>
      <c r="G24" s="64"/>
      <c r="H24" s="64"/>
      <c r="I24" s="64"/>
      <c r="J24" s="64"/>
      <c r="K24" s="64"/>
      <c r="L24" s="64"/>
      <c r="M24" s="64"/>
      <c r="N24" s="64"/>
      <c r="O24" s="64"/>
      <c r="P24" s="64"/>
    </row>
    <row r="25" spans="1:16" x14ac:dyDescent="0.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</row>
    <row r="26" spans="1:16" x14ac:dyDescent="0.25">
      <c r="A26" s="69" t="s">
        <v>35</v>
      </c>
      <c r="B26" s="64"/>
      <c r="C26" s="64"/>
      <c r="D26" s="64"/>
      <c r="E26" s="64"/>
      <c r="F26" s="54">
        <f>E7</f>
        <v>1353639960</v>
      </c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spans="1:16" x14ac:dyDescent="0.25">
      <c r="A27" s="64"/>
      <c r="B27" s="38" t="s">
        <v>36</v>
      </c>
      <c r="C27" s="40">
        <v>89420</v>
      </c>
      <c r="D27" s="65">
        <v>15687</v>
      </c>
      <c r="E27" s="41">
        <f>D27*C27</f>
        <v>1402731540</v>
      </c>
      <c r="F27" s="40"/>
      <c r="G27" s="39" t="s">
        <v>77</v>
      </c>
      <c r="H27" s="37">
        <v>45524</v>
      </c>
      <c r="I27" s="64">
        <v>60</v>
      </c>
      <c r="J27" s="52">
        <f>H27+I27</f>
        <v>45584</v>
      </c>
      <c r="K27" s="64">
        <f>$H$13-J27</f>
        <v>-19</v>
      </c>
      <c r="L27" s="88">
        <f>E27</f>
        <v>1402731540</v>
      </c>
      <c r="M27" s="64"/>
      <c r="N27" s="64"/>
      <c r="O27" s="64"/>
      <c r="P27" s="64"/>
    </row>
    <row r="28" spans="1:16" x14ac:dyDescent="0.25">
      <c r="A28" s="64"/>
      <c r="B28" s="68" t="s">
        <v>34</v>
      </c>
      <c r="C28" s="64"/>
      <c r="D28" s="64"/>
      <c r="E28" s="64"/>
      <c r="F28" s="53">
        <f>E27-F26</f>
        <v>49091580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</row>
    <row r="29" spans="1:16" x14ac:dyDescent="0.2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</row>
    <row r="30" spans="1:16" x14ac:dyDescent="0.25">
      <c r="A30" s="69" t="s">
        <v>90</v>
      </c>
      <c r="B30" s="64"/>
      <c r="C30" s="64"/>
      <c r="D30" s="64"/>
      <c r="E30" s="64"/>
      <c r="F30" s="54">
        <f>E8</f>
        <v>1724778306</v>
      </c>
      <c r="G30" s="64"/>
      <c r="H30" s="64"/>
      <c r="I30" s="64"/>
      <c r="J30" s="64"/>
      <c r="K30" s="64"/>
      <c r="L30" s="88"/>
      <c r="M30" s="64"/>
      <c r="N30" s="64"/>
      <c r="O30" s="64"/>
      <c r="P30" s="64"/>
    </row>
    <row r="31" spans="1:16" x14ac:dyDescent="0.25">
      <c r="A31" s="64"/>
      <c r="B31" s="38" t="s">
        <v>91</v>
      </c>
      <c r="C31" s="40">
        <v>114920</v>
      </c>
      <c r="D31" s="65">
        <v>15092</v>
      </c>
      <c r="E31" s="41">
        <f>+C31*D31</f>
        <v>1734372640</v>
      </c>
      <c r="F31" s="38"/>
      <c r="G31" s="39" t="s">
        <v>92</v>
      </c>
      <c r="H31" s="37">
        <v>45561</v>
      </c>
      <c r="I31" s="64">
        <v>60</v>
      </c>
      <c r="J31" s="52">
        <f>H31+I31</f>
        <v>45621</v>
      </c>
      <c r="K31" s="64">
        <f>$H$13-J31</f>
        <v>-56</v>
      </c>
      <c r="L31" s="88">
        <f>E31</f>
        <v>1734372640</v>
      </c>
      <c r="M31" s="64"/>
      <c r="N31" s="64"/>
      <c r="O31" s="64"/>
      <c r="P31" s="64"/>
    </row>
    <row r="32" spans="1:16" x14ac:dyDescent="0.25">
      <c r="A32" s="64"/>
      <c r="B32" s="68" t="s">
        <v>34</v>
      </c>
      <c r="C32" s="64"/>
      <c r="D32" s="64"/>
      <c r="E32" s="64"/>
      <c r="F32" s="53">
        <f>E31-F30</f>
        <v>9594334</v>
      </c>
      <c r="G32" s="64"/>
      <c r="H32" s="64"/>
      <c r="I32" s="64"/>
      <c r="J32" s="64"/>
      <c r="K32" s="64"/>
      <c r="L32" s="64"/>
      <c r="M32" s="64"/>
      <c r="N32" s="64"/>
      <c r="O32" s="64"/>
      <c r="P32" s="64"/>
    </row>
    <row r="33" spans="1:16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</row>
    <row r="34" spans="1:16" x14ac:dyDescent="0.25">
      <c r="A34" s="69" t="s">
        <v>93</v>
      </c>
      <c r="B34" s="64"/>
      <c r="C34" s="64"/>
      <c r="D34" s="64"/>
      <c r="E34" s="64"/>
      <c r="F34" s="54">
        <f>E9</f>
        <v>1981564200</v>
      </c>
      <c r="G34" s="64"/>
      <c r="H34" s="64"/>
      <c r="I34" s="64"/>
      <c r="J34" s="64"/>
      <c r="K34" s="64"/>
      <c r="L34" s="64"/>
      <c r="M34" s="64"/>
      <c r="N34" s="64"/>
      <c r="O34" s="64"/>
      <c r="P34" s="64"/>
    </row>
    <row r="35" spans="1:16" s="75" customFormat="1" ht="14" x14ac:dyDescent="0.3">
      <c r="A35" s="64"/>
      <c r="B35" s="38" t="s">
        <v>94</v>
      </c>
      <c r="C35" s="40">
        <v>130900</v>
      </c>
      <c r="D35" s="65">
        <v>15171</v>
      </c>
      <c r="E35" s="41">
        <f>+C35*D35</f>
        <v>1985883900</v>
      </c>
      <c r="F35" s="38"/>
      <c r="G35" s="39" t="s">
        <v>95</v>
      </c>
      <c r="H35" s="37">
        <v>45562</v>
      </c>
      <c r="I35" s="64">
        <v>60</v>
      </c>
      <c r="J35" s="52">
        <f>H35+I35</f>
        <v>45622</v>
      </c>
      <c r="K35" s="64">
        <f>$H$13-J35</f>
        <v>-57</v>
      </c>
      <c r="L35" s="88">
        <f>E35</f>
        <v>1985883900</v>
      </c>
      <c r="M35" s="64"/>
      <c r="N35" s="64"/>
      <c r="O35" s="64"/>
      <c r="P35" s="64"/>
    </row>
    <row r="36" spans="1:16" x14ac:dyDescent="0.25">
      <c r="A36" s="64"/>
      <c r="B36" s="68" t="s">
        <v>34</v>
      </c>
      <c r="C36" s="64"/>
      <c r="D36" s="64"/>
      <c r="E36" s="64"/>
      <c r="F36" s="53">
        <f>E35-F34</f>
        <v>4319700</v>
      </c>
      <c r="G36" s="64"/>
      <c r="H36" s="64"/>
      <c r="I36" s="64"/>
      <c r="J36" s="64"/>
      <c r="K36" s="64"/>
      <c r="L36" s="64"/>
      <c r="M36" s="64"/>
      <c r="N36" s="64"/>
      <c r="O36" s="64"/>
      <c r="P36" s="64"/>
    </row>
    <row r="37" spans="1:16" x14ac:dyDescent="0.2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</row>
  </sheetData>
  <mergeCells count="7">
    <mergeCell ref="G15:J15"/>
    <mergeCell ref="K15:P15"/>
    <mergeCell ref="A4:A5"/>
    <mergeCell ref="C4:C5"/>
    <mergeCell ref="D4:D5"/>
    <mergeCell ref="E4:E5"/>
    <mergeCell ref="A15:A16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5E2C-241A-4D0F-89FD-CC4A0F6D229D}">
  <dimension ref="A1:P45"/>
  <sheetViews>
    <sheetView showGridLines="0" topLeftCell="A9" workbookViewId="0">
      <selection activeCell="B13" sqref="B13"/>
    </sheetView>
  </sheetViews>
  <sheetFormatPr defaultRowHeight="11.5" x14ac:dyDescent="0.25"/>
  <cols>
    <col min="1" max="1" width="9.453125" style="1" customWidth="1"/>
    <col min="2" max="2" width="39.26953125" style="1" bestFit="1" customWidth="1"/>
    <col min="3" max="3" width="10.08984375" style="1" bestFit="1" customWidth="1"/>
    <col min="4" max="4" width="11.453125" style="1" bestFit="1" customWidth="1"/>
    <col min="5" max="5" width="15.6328125" style="1" bestFit="1" customWidth="1"/>
    <col min="6" max="6" width="12.36328125" style="1" bestFit="1" customWidth="1"/>
    <col min="7" max="7" width="12.1796875" style="1" bestFit="1" customWidth="1"/>
    <col min="8" max="8" width="8.453125" style="1" bestFit="1" customWidth="1"/>
    <col min="9" max="9" width="11.6328125" style="1" bestFit="1" customWidth="1"/>
    <col min="10" max="10" width="18.08984375" style="1" bestFit="1" customWidth="1"/>
    <col min="11" max="11" width="5.453125" style="1" bestFit="1" customWidth="1"/>
    <col min="12" max="12" width="13.36328125" style="1" bestFit="1" customWidth="1"/>
    <col min="13" max="13" width="8.1796875" style="1" bestFit="1" customWidth="1"/>
    <col min="14" max="15" width="9.08984375" style="1" bestFit="1" customWidth="1"/>
    <col min="16" max="16" width="8.1796875" style="1" bestFit="1" customWidth="1"/>
    <col min="17" max="16384" width="8.7265625" style="1"/>
  </cols>
  <sheetData>
    <row r="1" spans="1:16" x14ac:dyDescent="0.25">
      <c r="A1" s="8" t="s">
        <v>0</v>
      </c>
      <c r="B1" s="55"/>
      <c r="C1" s="11"/>
      <c r="D1" s="56"/>
      <c r="E1" s="56"/>
      <c r="F1" s="6"/>
    </row>
    <row r="2" spans="1:16" x14ac:dyDescent="0.25">
      <c r="A2" s="8" t="s">
        <v>96</v>
      </c>
      <c r="B2" s="55"/>
      <c r="C2" s="11"/>
      <c r="D2" s="56"/>
      <c r="E2" s="56"/>
      <c r="F2" s="6"/>
    </row>
    <row r="3" spans="1:16" x14ac:dyDescent="0.25">
      <c r="A3" s="8"/>
      <c r="B3" s="9"/>
      <c r="C3" s="10"/>
      <c r="D3" s="7"/>
      <c r="E3" s="7"/>
      <c r="F3" s="6"/>
    </row>
    <row r="4" spans="1:16" x14ac:dyDescent="0.25">
      <c r="A4" s="120" t="s">
        <v>2</v>
      </c>
      <c r="B4" s="11" t="s">
        <v>3</v>
      </c>
      <c r="C4" s="122" t="s">
        <v>4</v>
      </c>
      <c r="D4" s="122" t="s">
        <v>5</v>
      </c>
      <c r="E4" s="122" t="s">
        <v>6</v>
      </c>
      <c r="F4" s="6"/>
    </row>
    <row r="5" spans="1:16" ht="12" thickBot="1" x14ac:dyDescent="0.3">
      <c r="A5" s="121"/>
      <c r="B5" s="19" t="s">
        <v>7</v>
      </c>
      <c r="C5" s="123"/>
      <c r="D5" s="123"/>
      <c r="E5" s="123"/>
      <c r="F5" s="6"/>
    </row>
    <row r="6" spans="1:16" x14ac:dyDescent="0.25">
      <c r="A6" s="12">
        <v>1</v>
      </c>
      <c r="B6" s="13" t="s">
        <v>8</v>
      </c>
      <c r="C6" s="7">
        <v>15732</v>
      </c>
      <c r="D6" s="7">
        <v>248200</v>
      </c>
      <c r="E6" s="9">
        <f t="shared" ref="E6:E11" si="0">D6*C6</f>
        <v>3904682400</v>
      </c>
      <c r="F6" s="6"/>
    </row>
    <row r="7" spans="1:16" x14ac:dyDescent="0.25">
      <c r="A7" s="12">
        <v>2</v>
      </c>
      <c r="B7" s="13" t="s">
        <v>71</v>
      </c>
      <c r="C7" s="7">
        <v>15732</v>
      </c>
      <c r="D7" s="7">
        <v>71362.8</v>
      </c>
      <c r="E7" s="9">
        <f t="shared" si="0"/>
        <v>1122679569.6000001</v>
      </c>
      <c r="F7" s="6"/>
    </row>
    <row r="8" spans="1:16" x14ac:dyDescent="0.25">
      <c r="A8" s="12">
        <v>3</v>
      </c>
      <c r="B8" s="13" t="s">
        <v>72</v>
      </c>
      <c r="C8" s="7">
        <v>15732</v>
      </c>
      <c r="D8" s="7">
        <v>228857</v>
      </c>
      <c r="E8" s="9">
        <f t="shared" si="0"/>
        <v>3600378324</v>
      </c>
      <c r="F8" s="6"/>
    </row>
    <row r="9" spans="1:16" x14ac:dyDescent="0.25">
      <c r="A9" s="12">
        <v>4</v>
      </c>
      <c r="B9" s="13" t="s">
        <v>97</v>
      </c>
      <c r="C9" s="7">
        <v>15732</v>
      </c>
      <c r="D9" s="7">
        <v>101500</v>
      </c>
      <c r="E9" s="9">
        <f t="shared" si="0"/>
        <v>1596798000</v>
      </c>
      <c r="F9" s="6"/>
    </row>
    <row r="10" spans="1:16" x14ac:dyDescent="0.25">
      <c r="A10" s="12">
        <v>5</v>
      </c>
      <c r="B10" s="13" t="s">
        <v>82</v>
      </c>
      <c r="C10" s="7">
        <v>15732</v>
      </c>
      <c r="D10" s="7">
        <v>261800</v>
      </c>
      <c r="E10" s="9">
        <f t="shared" si="0"/>
        <v>4118637600</v>
      </c>
      <c r="F10" s="6"/>
    </row>
    <row r="11" spans="1:16" x14ac:dyDescent="0.25">
      <c r="A11" s="12">
        <v>6</v>
      </c>
      <c r="B11" s="13" t="s">
        <v>98</v>
      </c>
      <c r="C11" s="7">
        <v>15732</v>
      </c>
      <c r="D11" s="7">
        <v>116325</v>
      </c>
      <c r="E11" s="9">
        <f t="shared" si="0"/>
        <v>1830024900</v>
      </c>
      <c r="F11" s="6"/>
    </row>
    <row r="12" spans="1:16" x14ac:dyDescent="0.25">
      <c r="A12" s="12"/>
      <c r="B12" s="13"/>
      <c r="C12" s="7"/>
      <c r="D12" s="7"/>
      <c r="E12" s="9"/>
      <c r="F12" s="6"/>
    </row>
    <row r="13" spans="1:16" x14ac:dyDescent="0.25">
      <c r="A13" s="14"/>
      <c r="B13" s="15" t="s">
        <v>12</v>
      </c>
      <c r="C13" s="16"/>
      <c r="D13" s="17">
        <f>SUM(D6:D12)</f>
        <v>1028044.8</v>
      </c>
      <c r="E13" s="17">
        <f>SUM(E6:E12)</f>
        <v>16173200793.6</v>
      </c>
      <c r="F13" s="6"/>
    </row>
    <row r="14" spans="1:16" x14ac:dyDescent="0.25">
      <c r="A14" s="6"/>
      <c r="B14" s="6"/>
      <c r="C14" s="16"/>
      <c r="D14" s="6"/>
      <c r="E14" s="6"/>
      <c r="F14" s="6"/>
    </row>
    <row r="15" spans="1:16" x14ac:dyDescent="0.25">
      <c r="H15" s="27">
        <v>45596</v>
      </c>
      <c r="L15" s="45">
        <f>SUBTOTAL(9,L19:L60)</f>
        <v>15965208288</v>
      </c>
      <c r="M15" s="45">
        <f>SUBTOTAL(9,M19:M60)</f>
        <v>0</v>
      </c>
      <c r="N15" s="45">
        <f>SUBTOTAL(9,N19:N60)</f>
        <v>0</v>
      </c>
      <c r="O15" s="45">
        <f>SUBTOTAL(9,O19:O60)</f>
        <v>0</v>
      </c>
      <c r="P15" s="45">
        <f>SUBTOTAL(9,P19:P60)</f>
        <v>0</v>
      </c>
    </row>
    <row r="16" spans="1:16" ht="12" thickBot="1" x14ac:dyDescent="0.3">
      <c r="A16" s="28" t="s">
        <v>83</v>
      </c>
    </row>
    <row r="17" spans="1:16" ht="15" thickTop="1" x14ac:dyDescent="0.35">
      <c r="A17" s="116" t="s">
        <v>16</v>
      </c>
      <c r="B17" s="29" t="s">
        <v>3</v>
      </c>
      <c r="C17" s="30" t="s">
        <v>17</v>
      </c>
      <c r="D17" s="30" t="s">
        <v>4</v>
      </c>
      <c r="E17" s="31" t="s">
        <v>17</v>
      </c>
      <c r="F17" s="31" t="s">
        <v>18</v>
      </c>
      <c r="G17" s="110" t="s">
        <v>19</v>
      </c>
      <c r="H17" s="110"/>
      <c r="I17" s="110"/>
      <c r="J17" s="110"/>
      <c r="K17" s="125" t="s">
        <v>20</v>
      </c>
      <c r="L17" s="125"/>
      <c r="M17" s="125"/>
      <c r="N17" s="125"/>
      <c r="O17" s="125"/>
      <c r="P17" s="125"/>
    </row>
    <row r="18" spans="1:16" ht="14.5" x14ac:dyDescent="0.35">
      <c r="A18" s="117"/>
      <c r="B18" s="89" t="s">
        <v>7</v>
      </c>
      <c r="C18" s="33" t="s">
        <v>5</v>
      </c>
      <c r="D18" s="33" t="s">
        <v>21</v>
      </c>
      <c r="E18" s="34" t="s">
        <v>22</v>
      </c>
      <c r="F18" s="34" t="s">
        <v>22</v>
      </c>
      <c r="G18" s="35" t="s">
        <v>23</v>
      </c>
      <c r="H18" s="35" t="s">
        <v>24</v>
      </c>
      <c r="I18" s="85" t="s">
        <v>25</v>
      </c>
      <c r="J18" s="86" t="s">
        <v>26</v>
      </c>
      <c r="K18" s="87" t="s">
        <v>27</v>
      </c>
      <c r="L18" s="87" t="s">
        <v>28</v>
      </c>
      <c r="M18" s="87" t="s">
        <v>29</v>
      </c>
      <c r="N18" s="87" t="s">
        <v>30</v>
      </c>
      <c r="O18" s="87" t="s">
        <v>31</v>
      </c>
      <c r="P18" s="87" t="s">
        <v>32</v>
      </c>
    </row>
    <row r="19" spans="1:16" x14ac:dyDescent="0.25">
      <c r="A19" s="69" t="s">
        <v>43</v>
      </c>
      <c r="B19" s="64"/>
      <c r="C19" s="64"/>
      <c r="D19" s="64"/>
      <c r="E19" s="64"/>
      <c r="F19" s="54">
        <f>E6</f>
        <v>3904682400</v>
      </c>
      <c r="G19" s="64"/>
      <c r="H19" s="64"/>
      <c r="I19" s="64"/>
      <c r="J19" s="64"/>
      <c r="K19" s="64"/>
      <c r="L19" s="64"/>
      <c r="M19" s="64"/>
      <c r="N19" s="64"/>
      <c r="O19" s="64"/>
      <c r="P19" s="64"/>
    </row>
    <row r="20" spans="1:16" customFormat="1" ht="14.5" x14ac:dyDescent="0.35">
      <c r="A20" s="64"/>
      <c r="B20" s="38" t="s">
        <v>73</v>
      </c>
      <c r="C20" s="40">
        <v>124100</v>
      </c>
      <c r="D20" s="38">
        <v>15560</v>
      </c>
      <c r="E20" s="41">
        <f>D20*C20</f>
        <v>1930996000</v>
      </c>
      <c r="F20" s="42"/>
      <c r="G20" s="39" t="s">
        <v>99</v>
      </c>
      <c r="H20" s="37">
        <v>45588</v>
      </c>
      <c r="I20" s="64">
        <v>60</v>
      </c>
      <c r="J20" s="52">
        <f>H20+I20</f>
        <v>45648</v>
      </c>
      <c r="K20" s="64">
        <f>$H$15-J20</f>
        <v>-52</v>
      </c>
      <c r="L20" s="51">
        <f>E20</f>
        <v>1930996000</v>
      </c>
      <c r="M20" s="64"/>
      <c r="N20" s="64"/>
      <c r="O20" s="64"/>
      <c r="P20" s="64"/>
    </row>
    <row r="21" spans="1:16" customFormat="1" ht="14.5" x14ac:dyDescent="0.35">
      <c r="A21" s="64"/>
      <c r="B21" s="38" t="s">
        <v>73</v>
      </c>
      <c r="C21" s="40">
        <v>124100</v>
      </c>
      <c r="D21" s="38">
        <v>15732</v>
      </c>
      <c r="E21" s="41">
        <f>D21*C21</f>
        <v>1952341200</v>
      </c>
      <c r="F21" s="42"/>
      <c r="G21" s="39" t="s">
        <v>100</v>
      </c>
      <c r="H21" s="37">
        <v>45596</v>
      </c>
      <c r="I21" s="64">
        <v>60</v>
      </c>
      <c r="J21" s="52">
        <f>H21+I21</f>
        <v>45656</v>
      </c>
      <c r="K21" s="64">
        <f>$H$15-J21</f>
        <v>-60</v>
      </c>
      <c r="L21" s="51">
        <f>E21</f>
        <v>1952341200</v>
      </c>
      <c r="M21" s="64"/>
      <c r="N21" s="64"/>
      <c r="O21" s="64"/>
      <c r="P21" s="64"/>
    </row>
    <row r="22" spans="1:16" x14ac:dyDescent="0.25">
      <c r="A22" s="64"/>
      <c r="B22" s="68" t="s">
        <v>34</v>
      </c>
      <c r="C22" s="64"/>
      <c r="D22" s="64"/>
      <c r="E22" s="64"/>
      <c r="F22" s="53">
        <f>SUM(E20:E21)-F19</f>
        <v>-21345200</v>
      </c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1:16" x14ac:dyDescent="0.2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</row>
    <row r="24" spans="1:16" x14ac:dyDescent="0.25">
      <c r="A24" s="71" t="s">
        <v>78</v>
      </c>
      <c r="B24" s="64"/>
      <c r="C24" s="64"/>
      <c r="D24" s="64"/>
      <c r="E24" s="64"/>
      <c r="F24" s="54">
        <f>E7</f>
        <v>1122679569.6000001</v>
      </c>
      <c r="G24" s="64"/>
      <c r="H24" s="64"/>
      <c r="I24" s="64"/>
      <c r="J24" s="64"/>
      <c r="K24" s="64"/>
      <c r="L24" s="64"/>
      <c r="M24" s="64"/>
      <c r="N24" s="64"/>
      <c r="O24" s="64"/>
      <c r="P24" s="64"/>
    </row>
    <row r="25" spans="1:16" x14ac:dyDescent="0.25">
      <c r="A25" s="64"/>
      <c r="B25" s="38" t="s">
        <v>79</v>
      </c>
      <c r="C25" s="40">
        <v>71362.8</v>
      </c>
      <c r="D25" s="65">
        <v>15760</v>
      </c>
      <c r="E25" s="41">
        <f>D25*C25</f>
        <v>1124677728</v>
      </c>
      <c r="F25" s="38"/>
      <c r="G25" s="39" t="s">
        <v>101</v>
      </c>
      <c r="H25" s="37">
        <v>45595</v>
      </c>
      <c r="I25" s="64">
        <v>60</v>
      </c>
      <c r="J25" s="52">
        <f>H25+I25</f>
        <v>45655</v>
      </c>
      <c r="K25" s="64">
        <f>$H$15-J25</f>
        <v>-59</v>
      </c>
      <c r="L25" s="51">
        <f>E25</f>
        <v>1124677728</v>
      </c>
      <c r="M25" s="64"/>
      <c r="N25" s="64"/>
      <c r="O25" s="64"/>
      <c r="P25" s="64"/>
    </row>
    <row r="26" spans="1:16" x14ac:dyDescent="0.25">
      <c r="A26" s="64"/>
      <c r="B26" s="68" t="s">
        <v>34</v>
      </c>
      <c r="C26" s="64"/>
      <c r="D26" s="64"/>
      <c r="E26" s="64"/>
      <c r="F26" s="53">
        <f>E25-F24</f>
        <v>1998158.3999998569</v>
      </c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spans="1:16" x14ac:dyDescent="0.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</row>
    <row r="28" spans="1:16" x14ac:dyDescent="0.25">
      <c r="A28" s="71" t="s">
        <v>90</v>
      </c>
      <c r="B28" s="64"/>
      <c r="C28" s="64"/>
      <c r="D28" s="64"/>
      <c r="E28" s="64"/>
      <c r="F28" s="54">
        <f>E8</f>
        <v>3600378324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</row>
    <row r="29" spans="1:16" customFormat="1" ht="14.5" x14ac:dyDescent="0.35">
      <c r="A29" s="64"/>
      <c r="B29" s="38" t="s">
        <v>91</v>
      </c>
      <c r="C29" s="40">
        <v>114920</v>
      </c>
      <c r="D29" s="65">
        <v>15092</v>
      </c>
      <c r="E29" s="41">
        <f>+C29*D29</f>
        <v>1734372640</v>
      </c>
      <c r="F29" s="38"/>
      <c r="G29" s="39" t="s">
        <v>92</v>
      </c>
      <c r="H29" s="37">
        <v>45561</v>
      </c>
      <c r="I29" s="64">
        <v>60</v>
      </c>
      <c r="J29" s="52">
        <f t="shared" ref="J29:J30" si="1">H29+I29</f>
        <v>45621</v>
      </c>
      <c r="K29" s="64">
        <f t="shared" ref="K29:K30" si="2">$H$15-J29</f>
        <v>-25</v>
      </c>
      <c r="L29" s="51">
        <f t="shared" ref="L29:L30" si="3">E29</f>
        <v>1734372640</v>
      </c>
      <c r="M29" s="64"/>
      <c r="N29" s="64"/>
      <c r="O29" s="64"/>
      <c r="P29" s="64"/>
    </row>
    <row r="30" spans="1:16" customFormat="1" ht="14.5" x14ac:dyDescent="0.35">
      <c r="A30" s="64"/>
      <c r="B30" s="38" t="s">
        <v>91</v>
      </c>
      <c r="C30" s="40">
        <v>114920</v>
      </c>
      <c r="D30" s="65">
        <v>15516</v>
      </c>
      <c r="E30" s="41">
        <f>+C30*D30</f>
        <v>1783098720</v>
      </c>
      <c r="F30" s="38"/>
      <c r="G30" s="39" t="s">
        <v>102</v>
      </c>
      <c r="H30" s="37">
        <v>45584</v>
      </c>
      <c r="I30" s="64">
        <v>60</v>
      </c>
      <c r="J30" s="52">
        <f t="shared" si="1"/>
        <v>45644</v>
      </c>
      <c r="K30" s="64">
        <f t="shared" si="2"/>
        <v>-48</v>
      </c>
      <c r="L30" s="51">
        <f t="shared" si="3"/>
        <v>1783098720</v>
      </c>
      <c r="M30" s="64"/>
      <c r="N30" s="64"/>
      <c r="O30" s="64"/>
      <c r="P30" s="64"/>
    </row>
    <row r="31" spans="1:16" x14ac:dyDescent="0.25">
      <c r="A31" s="64"/>
      <c r="B31" s="68" t="s">
        <v>34</v>
      </c>
      <c r="C31" s="64"/>
      <c r="D31" s="64"/>
      <c r="E31" s="64"/>
      <c r="F31" s="53">
        <f>SUM(E29:E30)-F28</f>
        <v>-82906964</v>
      </c>
      <c r="G31" s="64"/>
      <c r="H31" s="64"/>
      <c r="I31" s="64"/>
      <c r="J31" s="64"/>
      <c r="K31" s="64"/>
      <c r="L31" s="64"/>
      <c r="M31" s="64"/>
      <c r="N31" s="64"/>
      <c r="O31" s="64"/>
      <c r="P31" s="64"/>
    </row>
    <row r="32" spans="1:16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</row>
    <row r="33" spans="1:16" x14ac:dyDescent="0.25">
      <c r="A33" s="69" t="s">
        <v>103</v>
      </c>
      <c r="B33" s="64"/>
      <c r="C33" s="64"/>
      <c r="D33" s="64"/>
      <c r="E33" s="64"/>
      <c r="F33" s="54">
        <f>E9</f>
        <v>1596798000</v>
      </c>
      <c r="G33" s="64"/>
      <c r="H33" s="64"/>
      <c r="I33" s="64"/>
      <c r="J33" s="64"/>
      <c r="K33" s="64"/>
      <c r="L33" s="64"/>
      <c r="M33" s="64"/>
      <c r="N33" s="64"/>
      <c r="O33" s="64"/>
      <c r="P33" s="64"/>
    </row>
    <row r="34" spans="1:16" x14ac:dyDescent="0.25">
      <c r="A34" s="64"/>
      <c r="B34" s="38" t="s">
        <v>104</v>
      </c>
      <c r="C34" s="40">
        <v>101500</v>
      </c>
      <c r="D34" s="65">
        <v>15593</v>
      </c>
      <c r="E34" s="41">
        <f>+C34*D34</f>
        <v>1582689500</v>
      </c>
      <c r="F34" s="38"/>
      <c r="G34" s="39" t="s">
        <v>105</v>
      </c>
      <c r="H34" s="37">
        <v>45590</v>
      </c>
      <c r="I34" s="64">
        <v>60</v>
      </c>
      <c r="J34" s="52">
        <f>H34+I34</f>
        <v>45650</v>
      </c>
      <c r="K34" s="64">
        <f>$H$15-J34</f>
        <v>-54</v>
      </c>
      <c r="L34" s="51">
        <f>E34</f>
        <v>1582689500</v>
      </c>
      <c r="M34" s="64"/>
      <c r="N34" s="64"/>
      <c r="O34" s="64"/>
      <c r="P34" s="64"/>
    </row>
    <row r="35" spans="1:16" x14ac:dyDescent="0.25">
      <c r="A35" s="64"/>
      <c r="B35" s="68" t="s">
        <v>34</v>
      </c>
      <c r="C35" s="64"/>
      <c r="D35" s="64"/>
      <c r="E35" s="64"/>
      <c r="F35" s="53">
        <f>E34-F33</f>
        <v>-14108500</v>
      </c>
      <c r="G35" s="64"/>
      <c r="H35" s="64"/>
      <c r="I35" s="64"/>
      <c r="J35" s="64"/>
      <c r="K35" s="64"/>
      <c r="L35" s="64"/>
      <c r="M35" s="64"/>
      <c r="N35" s="64"/>
      <c r="O35" s="64"/>
      <c r="P35" s="64"/>
    </row>
    <row r="36" spans="1:16" x14ac:dyDescent="0.2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</row>
    <row r="37" spans="1:16" x14ac:dyDescent="0.25">
      <c r="A37" s="69" t="s">
        <v>93</v>
      </c>
      <c r="B37" s="64"/>
      <c r="C37" s="64"/>
      <c r="D37" s="64"/>
      <c r="E37" s="64"/>
      <c r="F37" s="54">
        <f>E10</f>
        <v>4118637600</v>
      </c>
      <c r="G37" s="64"/>
      <c r="H37" s="64"/>
      <c r="I37" s="64"/>
      <c r="J37" s="64"/>
      <c r="K37" s="64"/>
      <c r="L37" s="64"/>
      <c r="M37" s="64"/>
      <c r="N37" s="64"/>
      <c r="O37" s="64"/>
      <c r="P37" s="64"/>
    </row>
    <row r="38" spans="1:16" x14ac:dyDescent="0.25">
      <c r="A38" s="64"/>
      <c r="B38" s="38" t="s">
        <v>94</v>
      </c>
      <c r="C38" s="40">
        <v>130900</v>
      </c>
      <c r="D38" s="65">
        <v>15171</v>
      </c>
      <c r="E38" s="41">
        <f>+C38*D38</f>
        <v>1985883900</v>
      </c>
      <c r="F38" s="38"/>
      <c r="G38" s="39" t="s">
        <v>95</v>
      </c>
      <c r="H38" s="37">
        <v>45562</v>
      </c>
      <c r="I38" s="64">
        <v>60</v>
      </c>
      <c r="J38" s="52">
        <f t="shared" ref="J38:J39" si="4">H38+I38</f>
        <v>45622</v>
      </c>
      <c r="K38" s="64">
        <f t="shared" ref="K38:K39" si="5">$H$15-J38</f>
        <v>-26</v>
      </c>
      <c r="L38" s="51">
        <f t="shared" ref="L38:L39" si="6">E38</f>
        <v>1985883900</v>
      </c>
      <c r="M38" s="64"/>
      <c r="N38" s="64"/>
      <c r="O38" s="64"/>
      <c r="P38" s="64"/>
    </row>
    <row r="39" spans="1:16" x14ac:dyDescent="0.25">
      <c r="A39" s="64"/>
      <c r="B39" s="38" t="s">
        <v>94</v>
      </c>
      <c r="C39" s="40">
        <v>130900</v>
      </c>
      <c r="D39" s="65">
        <v>15593</v>
      </c>
      <c r="E39" s="93">
        <f>+C39*D39</f>
        <v>2041123700</v>
      </c>
      <c r="F39" s="40"/>
      <c r="G39" s="39" t="s">
        <v>106</v>
      </c>
      <c r="H39" s="37">
        <v>45590</v>
      </c>
      <c r="I39" s="64">
        <v>60</v>
      </c>
      <c r="J39" s="52">
        <f t="shared" si="4"/>
        <v>45650</v>
      </c>
      <c r="K39" s="64">
        <f t="shared" si="5"/>
        <v>-54</v>
      </c>
      <c r="L39" s="51">
        <f t="shared" si="6"/>
        <v>2041123700</v>
      </c>
      <c r="M39" s="64"/>
      <c r="N39" s="64"/>
      <c r="O39" s="64"/>
      <c r="P39" s="64"/>
    </row>
    <row r="40" spans="1:16" x14ac:dyDescent="0.25">
      <c r="A40" s="64"/>
      <c r="B40" s="68" t="s">
        <v>34</v>
      </c>
      <c r="C40" s="64"/>
      <c r="D40" s="64"/>
      <c r="E40" s="64"/>
      <c r="F40" s="53">
        <f>SUM(E38:E39)-F37</f>
        <v>-91630000</v>
      </c>
      <c r="G40" s="64"/>
      <c r="H40" s="64"/>
      <c r="I40" s="64"/>
      <c r="J40" s="64"/>
      <c r="K40" s="64"/>
      <c r="L40" s="64"/>
      <c r="M40" s="64"/>
      <c r="N40" s="64"/>
      <c r="O40" s="64"/>
      <c r="P40" s="64"/>
    </row>
    <row r="41" spans="1:16" x14ac:dyDescent="0.2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</row>
    <row r="42" spans="1:16" x14ac:dyDescent="0.25">
      <c r="A42" s="69" t="s">
        <v>107</v>
      </c>
      <c r="B42" s="64"/>
      <c r="C42" s="64"/>
      <c r="D42" s="64"/>
      <c r="E42" s="64"/>
      <c r="F42" s="54">
        <f>E11</f>
        <v>1830024900</v>
      </c>
      <c r="G42" s="64"/>
      <c r="H42" s="64"/>
      <c r="I42" s="64"/>
      <c r="J42" s="64"/>
      <c r="K42" s="64"/>
      <c r="L42" s="64"/>
      <c r="M42" s="64"/>
      <c r="N42" s="64"/>
      <c r="O42" s="64"/>
      <c r="P42" s="64"/>
    </row>
    <row r="43" spans="1:16" x14ac:dyDescent="0.25">
      <c r="A43" s="64"/>
      <c r="B43" s="38" t="s">
        <v>108</v>
      </c>
      <c r="C43" s="40">
        <v>116325</v>
      </c>
      <c r="D43" s="65">
        <v>15732</v>
      </c>
      <c r="E43" s="93">
        <f>+C43*D43</f>
        <v>1830024900</v>
      </c>
      <c r="F43" s="40"/>
      <c r="G43" s="39" t="s">
        <v>109</v>
      </c>
      <c r="H43" s="37">
        <v>45596</v>
      </c>
      <c r="I43" s="64">
        <v>60</v>
      </c>
      <c r="J43" s="52">
        <f>H43+I43</f>
        <v>45656</v>
      </c>
      <c r="K43" s="64">
        <f>$H$15-J43</f>
        <v>-60</v>
      </c>
      <c r="L43" s="51">
        <f>E43</f>
        <v>1830024900</v>
      </c>
      <c r="M43" s="64"/>
      <c r="N43" s="64"/>
      <c r="O43" s="64"/>
      <c r="P43" s="64"/>
    </row>
    <row r="44" spans="1:16" x14ac:dyDescent="0.25">
      <c r="A44" s="64"/>
      <c r="B44" s="68" t="s">
        <v>34</v>
      </c>
      <c r="C44" s="64"/>
      <c r="D44" s="64"/>
      <c r="E44" s="64"/>
      <c r="F44" s="92">
        <f>E43-F42</f>
        <v>0</v>
      </c>
      <c r="G44" s="64"/>
      <c r="H44" s="64"/>
      <c r="I44" s="64"/>
      <c r="J44" s="64"/>
      <c r="K44" s="64"/>
      <c r="L44" s="64"/>
      <c r="M44" s="64"/>
      <c r="N44" s="64"/>
      <c r="O44" s="64"/>
      <c r="P44" s="64"/>
    </row>
    <row r="45" spans="1:16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</row>
  </sheetData>
  <mergeCells count="7">
    <mergeCell ref="G17:J17"/>
    <mergeCell ref="K17:P17"/>
    <mergeCell ref="A4:A5"/>
    <mergeCell ref="C4:C5"/>
    <mergeCell ref="D4:D5"/>
    <mergeCell ref="E4:E5"/>
    <mergeCell ref="A17:A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0750-B05D-4284-8297-D2EF7A457FE5}">
  <dimension ref="A1:P43"/>
  <sheetViews>
    <sheetView showGridLines="0" topLeftCell="C7" workbookViewId="0">
      <selection activeCell="L16" sqref="L16:P16"/>
    </sheetView>
  </sheetViews>
  <sheetFormatPr defaultRowHeight="11.5" x14ac:dyDescent="0.25"/>
  <cols>
    <col min="1" max="1" width="8.7265625" style="1" customWidth="1"/>
    <col min="2" max="2" width="39.26953125" style="1" bestFit="1" customWidth="1"/>
    <col min="3" max="4" width="10.08984375" style="1" bestFit="1" customWidth="1"/>
    <col min="5" max="5" width="15.6328125" style="1" bestFit="1" customWidth="1"/>
    <col min="6" max="6" width="12.36328125" style="1" bestFit="1" customWidth="1"/>
    <col min="7" max="7" width="12.1796875" style="1" bestFit="1" customWidth="1"/>
    <col min="8" max="8" width="8.81640625" style="1" bestFit="1" customWidth="1"/>
    <col min="9" max="9" width="11.6328125" style="1" bestFit="1" customWidth="1"/>
    <col min="10" max="10" width="18.08984375" style="1" bestFit="1" customWidth="1"/>
    <col min="11" max="11" width="5.453125" style="1" bestFit="1" customWidth="1"/>
    <col min="12" max="12" width="13.36328125" style="1" bestFit="1" customWidth="1"/>
    <col min="13" max="13" width="8.81640625" style="1" bestFit="1" customWidth="1"/>
    <col min="14" max="15" width="8.7265625" style="1"/>
    <col min="16" max="16" width="10.6328125" style="1" bestFit="1" customWidth="1"/>
    <col min="17" max="16384" width="8.7265625" style="1"/>
  </cols>
  <sheetData>
    <row r="1" spans="1:16" x14ac:dyDescent="0.25">
      <c r="A1" s="2" t="s">
        <v>0</v>
      </c>
      <c r="B1" s="3"/>
      <c r="C1" s="4"/>
      <c r="D1" s="5"/>
      <c r="E1" s="5"/>
      <c r="F1" s="6"/>
    </row>
    <row r="2" spans="1:16" x14ac:dyDescent="0.25">
      <c r="A2" s="2" t="s">
        <v>110</v>
      </c>
      <c r="B2" s="3"/>
      <c r="C2" s="4"/>
      <c r="D2" s="5"/>
      <c r="E2" s="5"/>
      <c r="F2" s="6"/>
    </row>
    <row r="3" spans="1:16" x14ac:dyDescent="0.25">
      <c r="A3" s="8"/>
      <c r="B3" s="9"/>
      <c r="C3" s="10"/>
      <c r="D3" s="7"/>
      <c r="E3" s="7"/>
      <c r="F3" s="6"/>
    </row>
    <row r="4" spans="1:16" x14ac:dyDescent="0.25">
      <c r="A4" s="120" t="s">
        <v>2</v>
      </c>
      <c r="B4" s="11" t="s">
        <v>3</v>
      </c>
      <c r="C4" s="122" t="s">
        <v>4</v>
      </c>
      <c r="D4" s="122" t="s">
        <v>5</v>
      </c>
      <c r="E4" s="122" t="s">
        <v>6</v>
      </c>
      <c r="F4" s="6"/>
    </row>
    <row r="5" spans="1:16" ht="12" thickBot="1" x14ac:dyDescent="0.3">
      <c r="A5" s="121"/>
      <c r="B5" s="19" t="s">
        <v>7</v>
      </c>
      <c r="C5" s="123"/>
      <c r="D5" s="123"/>
      <c r="E5" s="123"/>
      <c r="F5" s="6"/>
    </row>
    <row r="6" spans="1:16" x14ac:dyDescent="0.25">
      <c r="A6" s="12">
        <v>1</v>
      </c>
      <c r="B6" s="13" t="s">
        <v>8</v>
      </c>
      <c r="C6" s="7">
        <v>15864</v>
      </c>
      <c r="D6" s="7">
        <v>380800</v>
      </c>
      <c r="E6" s="9">
        <f t="shared" ref="E6:E11" si="0">D6*C6</f>
        <v>6041011200</v>
      </c>
      <c r="F6" s="6"/>
    </row>
    <row r="7" spans="1:16" x14ac:dyDescent="0.25">
      <c r="A7" s="12">
        <v>2</v>
      </c>
      <c r="B7" s="13" t="s">
        <v>71</v>
      </c>
      <c r="C7" s="7">
        <v>15864</v>
      </c>
      <c r="D7" s="7">
        <v>70350</v>
      </c>
      <c r="E7" s="9">
        <f t="shared" si="0"/>
        <v>1116032400</v>
      </c>
      <c r="F7" s="6"/>
    </row>
    <row r="8" spans="1:16" x14ac:dyDescent="0.25">
      <c r="A8" s="12">
        <v>3</v>
      </c>
      <c r="B8" s="13" t="s">
        <v>72</v>
      </c>
      <c r="C8" s="7">
        <v>15864</v>
      </c>
      <c r="D8" s="9">
        <v>-983</v>
      </c>
      <c r="E8" s="9">
        <f t="shared" si="0"/>
        <v>-15594312</v>
      </c>
      <c r="F8" s="6"/>
    </row>
    <row r="9" spans="1:16" x14ac:dyDescent="0.25">
      <c r="A9" s="12">
        <v>4</v>
      </c>
      <c r="B9" s="13" t="s">
        <v>97</v>
      </c>
      <c r="C9" s="7">
        <v>15864</v>
      </c>
      <c r="D9" s="7">
        <v>101500</v>
      </c>
      <c r="E9" s="9">
        <f t="shared" si="0"/>
        <v>1610196000</v>
      </c>
      <c r="F9" s="6"/>
    </row>
    <row r="10" spans="1:16" x14ac:dyDescent="0.25">
      <c r="A10" s="12">
        <v>5</v>
      </c>
      <c r="B10" s="13" t="s">
        <v>82</v>
      </c>
      <c r="C10" s="7">
        <v>15864</v>
      </c>
      <c r="D10" s="7">
        <v>130900</v>
      </c>
      <c r="E10" s="9">
        <f t="shared" si="0"/>
        <v>2076597600</v>
      </c>
      <c r="F10" s="6"/>
    </row>
    <row r="11" spans="1:16" x14ac:dyDescent="0.25">
      <c r="A11" s="12">
        <v>6</v>
      </c>
      <c r="B11" s="13" t="s">
        <v>98</v>
      </c>
      <c r="C11" s="7">
        <v>15864</v>
      </c>
      <c r="D11" s="7">
        <v>116325</v>
      </c>
      <c r="E11" s="9">
        <f t="shared" si="0"/>
        <v>1845379800</v>
      </c>
      <c r="F11" s="6"/>
    </row>
    <row r="12" spans="1:16" x14ac:dyDescent="0.25">
      <c r="A12" s="12"/>
      <c r="B12" s="13"/>
      <c r="C12" s="7"/>
      <c r="D12" s="7"/>
      <c r="E12" s="9"/>
      <c r="F12" s="6"/>
    </row>
    <row r="13" spans="1:16" x14ac:dyDescent="0.25">
      <c r="A13" s="14"/>
      <c r="B13" s="15" t="s">
        <v>12</v>
      </c>
      <c r="C13" s="16"/>
      <c r="D13" s="17">
        <f>SUM(D6:D12)</f>
        <v>798892</v>
      </c>
      <c r="E13" s="17">
        <f>SUM(E6:E12)</f>
        <v>12673622688</v>
      </c>
      <c r="F13" s="6"/>
    </row>
    <row r="14" spans="1:16" x14ac:dyDescent="0.25">
      <c r="A14" s="6"/>
      <c r="B14" s="6"/>
      <c r="C14" s="16"/>
      <c r="D14" s="6"/>
      <c r="E14" s="6"/>
      <c r="F14" s="6"/>
    </row>
    <row r="16" spans="1:16" x14ac:dyDescent="0.25">
      <c r="H16" s="27">
        <v>45626</v>
      </c>
      <c r="L16" s="45">
        <f>SUBTOTAL(9,L20:L61)</f>
        <v>12635706175</v>
      </c>
      <c r="M16" s="45">
        <f>SUBTOTAL(9,M20:M61)</f>
        <v>0</v>
      </c>
      <c r="N16" s="45">
        <f>SUBTOTAL(9,N20:N61)</f>
        <v>0</v>
      </c>
      <c r="O16" s="45">
        <f>SUBTOTAL(9,O20:O61)</f>
        <v>0</v>
      </c>
      <c r="P16" s="45">
        <f>SUBTOTAL(9,P20:P61)</f>
        <v>-15594312</v>
      </c>
    </row>
    <row r="17" spans="1:16" ht="12" thickBot="1" x14ac:dyDescent="0.3">
      <c r="A17" s="28" t="s">
        <v>83</v>
      </c>
    </row>
    <row r="18" spans="1:16" ht="15" thickTop="1" x14ac:dyDescent="0.35">
      <c r="A18" s="118" t="s">
        <v>16</v>
      </c>
      <c r="B18" s="29" t="s">
        <v>3</v>
      </c>
      <c r="C18" s="57" t="s">
        <v>17</v>
      </c>
      <c r="D18" s="57" t="s">
        <v>4</v>
      </c>
      <c r="E18" s="58" t="s">
        <v>17</v>
      </c>
      <c r="F18" s="58" t="s">
        <v>18</v>
      </c>
      <c r="G18" s="110" t="s">
        <v>19</v>
      </c>
      <c r="H18" s="110"/>
      <c r="I18" s="110"/>
      <c r="J18" s="110"/>
      <c r="K18" s="125" t="s">
        <v>20</v>
      </c>
      <c r="L18" s="125"/>
      <c r="M18" s="125"/>
      <c r="N18" s="125"/>
      <c r="O18" s="125"/>
      <c r="P18" s="125"/>
    </row>
    <row r="19" spans="1:16" ht="14.5" x14ac:dyDescent="0.35">
      <c r="A19" s="126"/>
      <c r="B19" s="81" t="s">
        <v>7</v>
      </c>
      <c r="C19" s="94" t="s">
        <v>5</v>
      </c>
      <c r="D19" s="94" t="s">
        <v>21</v>
      </c>
      <c r="E19" s="95" t="s">
        <v>22</v>
      </c>
      <c r="F19" s="95" t="s">
        <v>22</v>
      </c>
      <c r="G19" s="78" t="s">
        <v>23</v>
      </c>
      <c r="H19" s="78" t="s">
        <v>24</v>
      </c>
      <c r="I19" s="90" t="s">
        <v>25</v>
      </c>
      <c r="J19" s="91" t="s">
        <v>26</v>
      </c>
      <c r="K19" s="84" t="s">
        <v>27</v>
      </c>
      <c r="L19" s="84" t="s">
        <v>28</v>
      </c>
      <c r="M19" s="84" t="s">
        <v>29</v>
      </c>
      <c r="N19" s="84" t="s">
        <v>30</v>
      </c>
      <c r="O19" s="84" t="s">
        <v>31</v>
      </c>
      <c r="P19" s="84" t="s">
        <v>32</v>
      </c>
    </row>
    <row r="20" spans="1:16" x14ac:dyDescent="0.25">
      <c r="A20" s="96" t="s">
        <v>43</v>
      </c>
      <c r="B20" s="67"/>
      <c r="C20" s="67"/>
      <c r="D20" s="67"/>
      <c r="E20" s="67"/>
      <c r="F20" s="49">
        <f>E6</f>
        <v>6041011200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</row>
    <row r="21" spans="1:16" customFormat="1" ht="14.5" x14ac:dyDescent="0.35">
      <c r="A21" s="64"/>
      <c r="B21" s="38" t="s">
        <v>73</v>
      </c>
      <c r="C21" s="40">
        <v>136000</v>
      </c>
      <c r="D21" s="38">
        <v>15942</v>
      </c>
      <c r="E21" s="41">
        <f>D21*C21</f>
        <v>2168112000</v>
      </c>
      <c r="F21" s="42"/>
      <c r="G21" s="39" t="s">
        <v>111</v>
      </c>
      <c r="H21" s="37">
        <v>45618</v>
      </c>
      <c r="I21" s="64">
        <v>60</v>
      </c>
      <c r="J21" s="52">
        <f>H21+I21</f>
        <v>45678</v>
      </c>
      <c r="K21" s="64">
        <f>$H$16-J21</f>
        <v>-52</v>
      </c>
      <c r="L21" s="51">
        <f>E21</f>
        <v>2168112000</v>
      </c>
      <c r="M21" s="64"/>
      <c r="N21" s="64"/>
      <c r="O21" s="64"/>
      <c r="P21" s="64"/>
    </row>
    <row r="22" spans="1:16" customFormat="1" ht="14.5" x14ac:dyDescent="0.35">
      <c r="A22" s="64"/>
      <c r="B22" s="38" t="s">
        <v>73</v>
      </c>
      <c r="C22" s="40">
        <v>124100</v>
      </c>
      <c r="D22" s="38">
        <v>15942</v>
      </c>
      <c r="E22" s="41">
        <f>D22*C22</f>
        <v>1978402200</v>
      </c>
      <c r="F22" s="42"/>
      <c r="G22" s="39" t="s">
        <v>112</v>
      </c>
      <c r="H22" s="37">
        <v>45618</v>
      </c>
      <c r="I22" s="64">
        <v>60</v>
      </c>
      <c r="J22" s="52">
        <f t="shared" ref="J22:J23" si="1">H22+I22</f>
        <v>45678</v>
      </c>
      <c r="K22" s="64">
        <f t="shared" ref="K22:K23" si="2">$H$16-J22</f>
        <v>-52</v>
      </c>
      <c r="L22" s="51">
        <f t="shared" ref="L22:L23" si="3">E22</f>
        <v>1978402200</v>
      </c>
      <c r="M22" s="64"/>
      <c r="N22" s="64"/>
      <c r="O22" s="64"/>
      <c r="P22" s="64"/>
    </row>
    <row r="23" spans="1:16" customFormat="1" ht="14.5" x14ac:dyDescent="0.35">
      <c r="A23" s="64"/>
      <c r="B23" s="38" t="s">
        <v>73</v>
      </c>
      <c r="C23" s="40">
        <v>120700</v>
      </c>
      <c r="D23" s="38">
        <v>15864</v>
      </c>
      <c r="E23" s="41">
        <f>D23*C23</f>
        <v>1914784800</v>
      </c>
      <c r="F23" s="42"/>
      <c r="G23" s="39" t="s">
        <v>113</v>
      </c>
      <c r="H23" s="37">
        <v>45625</v>
      </c>
      <c r="I23" s="64">
        <v>60</v>
      </c>
      <c r="J23" s="52">
        <f t="shared" si="1"/>
        <v>45685</v>
      </c>
      <c r="K23" s="64">
        <f t="shared" si="2"/>
        <v>-59</v>
      </c>
      <c r="L23" s="51">
        <f t="shared" si="3"/>
        <v>1914784800</v>
      </c>
      <c r="M23" s="64"/>
      <c r="N23" s="64"/>
      <c r="O23" s="64"/>
      <c r="P23" s="64"/>
    </row>
    <row r="24" spans="1:16" x14ac:dyDescent="0.25">
      <c r="A24" s="64"/>
      <c r="B24" s="68" t="s">
        <v>34</v>
      </c>
      <c r="C24" s="64"/>
      <c r="D24" s="64"/>
      <c r="E24" s="64"/>
      <c r="F24" s="53">
        <f>SUM(E21:E23)-F20</f>
        <v>20287800</v>
      </c>
      <c r="G24" s="64"/>
      <c r="H24" s="64"/>
      <c r="I24" s="64"/>
      <c r="J24" s="64"/>
      <c r="K24" s="64"/>
      <c r="L24" s="64"/>
      <c r="M24" s="64"/>
      <c r="N24" s="64"/>
      <c r="O24" s="64"/>
      <c r="P24" s="64"/>
    </row>
    <row r="25" spans="1:16" x14ac:dyDescent="0.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</row>
    <row r="26" spans="1:16" x14ac:dyDescent="0.25">
      <c r="A26" s="69" t="s">
        <v>78</v>
      </c>
      <c r="B26" s="64"/>
      <c r="C26" s="64"/>
      <c r="D26" s="64"/>
      <c r="E26" s="64"/>
      <c r="F26" s="54">
        <f>E7</f>
        <v>1116032400</v>
      </c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spans="1:16" x14ac:dyDescent="0.25">
      <c r="A27" s="64"/>
      <c r="B27" s="38" t="s">
        <v>79</v>
      </c>
      <c r="C27" s="40">
        <v>70350</v>
      </c>
      <c r="D27" s="65">
        <v>15864</v>
      </c>
      <c r="E27" s="41">
        <f>D27*C27</f>
        <v>1116032400</v>
      </c>
      <c r="F27" s="38"/>
      <c r="G27" s="39" t="s">
        <v>114</v>
      </c>
      <c r="H27" s="37">
        <v>45626</v>
      </c>
      <c r="I27" s="64">
        <v>60</v>
      </c>
      <c r="J27" s="52">
        <f>H27+I27</f>
        <v>45686</v>
      </c>
      <c r="K27" s="64">
        <f>$H$16-J27</f>
        <v>-60</v>
      </c>
      <c r="L27" s="51">
        <f>E27</f>
        <v>1116032400</v>
      </c>
      <c r="M27" s="64"/>
      <c r="N27" s="64"/>
      <c r="O27" s="64"/>
      <c r="P27" s="64"/>
    </row>
    <row r="28" spans="1:16" x14ac:dyDescent="0.25">
      <c r="A28" s="64"/>
      <c r="B28" s="68" t="s">
        <v>34</v>
      </c>
      <c r="C28" s="64"/>
      <c r="D28" s="64"/>
      <c r="E28" s="64"/>
      <c r="F28" s="51">
        <f>E27-F26</f>
        <v>0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</row>
    <row r="29" spans="1:16" x14ac:dyDescent="0.2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</row>
    <row r="30" spans="1:16" x14ac:dyDescent="0.25">
      <c r="A30" s="69" t="s">
        <v>90</v>
      </c>
      <c r="B30" s="64"/>
      <c r="C30" s="64"/>
      <c r="D30" s="64"/>
      <c r="E30" s="64"/>
      <c r="F30" s="54">
        <f>E8</f>
        <v>-15594312</v>
      </c>
      <c r="G30" s="64"/>
      <c r="H30" s="64"/>
      <c r="I30" s="64"/>
      <c r="J30" s="64"/>
      <c r="K30" s="64"/>
      <c r="L30" s="64"/>
      <c r="M30" s="64"/>
      <c r="N30" s="64"/>
      <c r="O30" s="64"/>
      <c r="P30" s="51">
        <f>F30</f>
        <v>-15594312</v>
      </c>
    </row>
    <row r="31" spans="1:16" x14ac:dyDescent="0.25">
      <c r="A31" s="64"/>
      <c r="B31" s="68" t="s">
        <v>34</v>
      </c>
      <c r="C31" s="64"/>
      <c r="D31" s="64"/>
      <c r="E31" s="64"/>
      <c r="F31" s="53">
        <f>F30</f>
        <v>-15594312</v>
      </c>
      <c r="G31" s="64"/>
      <c r="H31" s="64"/>
      <c r="I31" s="64"/>
      <c r="J31" s="64"/>
      <c r="K31" s="64"/>
      <c r="L31" s="64"/>
      <c r="M31" s="64"/>
      <c r="N31" s="64"/>
      <c r="O31" s="64"/>
      <c r="P31" s="64"/>
    </row>
    <row r="32" spans="1:16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</row>
    <row r="33" spans="1:16" x14ac:dyDescent="0.25">
      <c r="A33" s="69" t="s">
        <v>103</v>
      </c>
      <c r="B33" s="64"/>
      <c r="C33" s="64"/>
      <c r="D33" s="64"/>
      <c r="E33" s="64"/>
      <c r="F33" s="54">
        <f>E9</f>
        <v>1610196000</v>
      </c>
      <c r="G33" s="64"/>
      <c r="H33" s="64"/>
      <c r="I33" s="64"/>
      <c r="J33" s="64"/>
      <c r="K33" s="64"/>
      <c r="L33" s="64"/>
      <c r="M33" s="64"/>
      <c r="N33" s="64"/>
      <c r="O33" s="64"/>
      <c r="P33" s="64"/>
    </row>
    <row r="34" spans="1:16" x14ac:dyDescent="0.25">
      <c r="A34" s="64"/>
      <c r="B34" s="38" t="s">
        <v>104</v>
      </c>
      <c r="C34" s="40">
        <v>101500</v>
      </c>
      <c r="D34" s="65">
        <v>15593</v>
      </c>
      <c r="E34" s="41">
        <f>+C34*D34</f>
        <v>1582689500</v>
      </c>
      <c r="F34" s="38"/>
      <c r="G34" s="39" t="s">
        <v>105</v>
      </c>
      <c r="H34" s="37">
        <v>45590</v>
      </c>
      <c r="I34" s="64">
        <v>60</v>
      </c>
      <c r="J34" s="52">
        <f>H34+I34</f>
        <v>45650</v>
      </c>
      <c r="K34" s="64">
        <f>$H$16-J34</f>
        <v>-24</v>
      </c>
      <c r="L34" s="51">
        <f>E34</f>
        <v>1582689500</v>
      </c>
      <c r="M34" s="64"/>
      <c r="N34" s="64"/>
      <c r="O34" s="64"/>
      <c r="P34" s="64"/>
    </row>
    <row r="35" spans="1:16" x14ac:dyDescent="0.25">
      <c r="A35" s="97"/>
      <c r="B35" s="68" t="s">
        <v>34</v>
      </c>
      <c r="C35" s="64"/>
      <c r="D35" s="64"/>
      <c r="E35" s="64"/>
      <c r="F35" s="53">
        <f>E34-F33</f>
        <v>-27506500</v>
      </c>
      <c r="G35" s="64"/>
      <c r="H35" s="64"/>
      <c r="I35" s="64"/>
      <c r="J35" s="64"/>
      <c r="K35" s="64"/>
      <c r="L35" s="64"/>
      <c r="M35" s="64"/>
      <c r="N35" s="64"/>
      <c r="O35" s="64"/>
      <c r="P35" s="64"/>
    </row>
    <row r="36" spans="1:16" x14ac:dyDescent="0.25">
      <c r="A36" s="97"/>
      <c r="B36" s="64"/>
      <c r="C36" s="64"/>
      <c r="D36" s="64"/>
      <c r="E36" s="64"/>
      <c r="F36" s="54"/>
      <c r="G36" s="64"/>
      <c r="H36" s="64"/>
      <c r="I36" s="64"/>
      <c r="J36" s="64"/>
      <c r="K36" s="64"/>
      <c r="L36" s="64"/>
      <c r="M36" s="64"/>
      <c r="N36" s="64"/>
      <c r="O36" s="64"/>
      <c r="P36" s="64"/>
    </row>
    <row r="37" spans="1:16" x14ac:dyDescent="0.25">
      <c r="A37" s="69" t="s">
        <v>93</v>
      </c>
      <c r="B37" s="64"/>
      <c r="C37" s="64"/>
      <c r="D37" s="64"/>
      <c r="E37" s="64"/>
      <c r="F37" s="54">
        <f>E10</f>
        <v>2076597600</v>
      </c>
      <c r="G37" s="64"/>
      <c r="H37" s="64"/>
      <c r="I37" s="64"/>
      <c r="J37" s="64"/>
      <c r="K37" s="64"/>
      <c r="L37" s="64"/>
      <c r="M37" s="64"/>
      <c r="N37" s="64"/>
      <c r="O37" s="64"/>
      <c r="P37" s="64"/>
    </row>
    <row r="38" spans="1:16" x14ac:dyDescent="0.25">
      <c r="A38" s="64"/>
      <c r="B38" s="38" t="s">
        <v>94</v>
      </c>
      <c r="C38" s="40">
        <v>130900</v>
      </c>
      <c r="D38" s="65">
        <v>15593</v>
      </c>
      <c r="E38" s="93">
        <f>+C38*D38</f>
        <v>2041123700</v>
      </c>
      <c r="F38" s="40"/>
      <c r="G38" s="39" t="s">
        <v>106</v>
      </c>
      <c r="H38" s="37">
        <v>45590</v>
      </c>
      <c r="I38" s="64">
        <v>60</v>
      </c>
      <c r="J38" s="52">
        <f>H38+I38</f>
        <v>45650</v>
      </c>
      <c r="K38" s="64">
        <f>$H$16-J38</f>
        <v>-24</v>
      </c>
      <c r="L38" s="51">
        <f>E38</f>
        <v>2041123700</v>
      </c>
      <c r="M38" s="64"/>
      <c r="N38" s="64"/>
      <c r="O38" s="64"/>
      <c r="P38" s="64"/>
    </row>
    <row r="39" spans="1:16" x14ac:dyDescent="0.25">
      <c r="A39" s="97"/>
      <c r="B39" s="68" t="s">
        <v>34</v>
      </c>
      <c r="C39" s="64"/>
      <c r="D39" s="64"/>
      <c r="E39" s="64"/>
      <c r="F39" s="53">
        <f>E38-F37</f>
        <v>-35473900</v>
      </c>
      <c r="G39" s="64"/>
      <c r="H39" s="64"/>
      <c r="I39" s="64"/>
      <c r="J39" s="64"/>
      <c r="K39" s="64"/>
      <c r="L39" s="64"/>
      <c r="M39" s="64"/>
      <c r="N39" s="64"/>
      <c r="O39" s="64"/>
      <c r="P39" s="64"/>
    </row>
    <row r="40" spans="1:16" x14ac:dyDescent="0.25">
      <c r="A40" s="97"/>
      <c r="B40" s="64"/>
      <c r="C40" s="64"/>
      <c r="D40" s="64"/>
      <c r="E40" s="64"/>
      <c r="F40" s="54"/>
      <c r="G40" s="64"/>
      <c r="H40" s="64"/>
      <c r="I40" s="64"/>
      <c r="J40" s="64"/>
      <c r="K40" s="64"/>
      <c r="L40" s="64"/>
      <c r="M40" s="64"/>
      <c r="N40" s="64"/>
      <c r="O40" s="64"/>
      <c r="P40" s="64"/>
    </row>
    <row r="41" spans="1:16" x14ac:dyDescent="0.25">
      <c r="A41" s="69" t="s">
        <v>107</v>
      </c>
      <c r="B41" s="64"/>
      <c r="C41" s="64"/>
      <c r="D41" s="64"/>
      <c r="E41" s="64"/>
      <c r="F41" s="54">
        <f>E11</f>
        <v>1845379800</v>
      </c>
      <c r="G41" s="64"/>
      <c r="H41" s="64"/>
      <c r="I41" s="64"/>
      <c r="J41" s="64"/>
      <c r="K41" s="64"/>
      <c r="L41" s="64"/>
      <c r="M41" s="64"/>
      <c r="N41" s="64"/>
      <c r="O41" s="64"/>
      <c r="P41" s="64"/>
    </row>
    <row r="42" spans="1:16" x14ac:dyDescent="0.25">
      <c r="A42" s="64"/>
      <c r="B42" s="38" t="s">
        <v>108</v>
      </c>
      <c r="C42" s="40">
        <v>116325</v>
      </c>
      <c r="D42" s="65">
        <v>15771</v>
      </c>
      <c r="E42" s="93">
        <f>+C42*D42</f>
        <v>1834561575</v>
      </c>
      <c r="F42" s="40"/>
      <c r="G42" s="39" t="s">
        <v>115</v>
      </c>
      <c r="H42" s="37">
        <v>45609</v>
      </c>
      <c r="I42" s="64">
        <v>60</v>
      </c>
      <c r="J42" s="52">
        <f>H42+I42</f>
        <v>45669</v>
      </c>
      <c r="K42" s="64">
        <f>$H$16-J42</f>
        <v>-43</v>
      </c>
      <c r="L42" s="51">
        <f>E42</f>
        <v>1834561575</v>
      </c>
      <c r="M42" s="64"/>
      <c r="N42" s="64"/>
      <c r="O42" s="64"/>
      <c r="P42" s="64"/>
    </row>
    <row r="43" spans="1:16" x14ac:dyDescent="0.25">
      <c r="A43" s="64"/>
      <c r="B43" s="68" t="s">
        <v>34</v>
      </c>
      <c r="C43" s="64"/>
      <c r="D43" s="64"/>
      <c r="E43" s="64"/>
      <c r="F43" s="53">
        <f>E42-F41</f>
        <v>-10818225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</row>
  </sheetData>
  <mergeCells count="7">
    <mergeCell ref="G18:J18"/>
    <mergeCell ref="K18:P18"/>
    <mergeCell ref="A4:A5"/>
    <mergeCell ref="C4:C5"/>
    <mergeCell ref="D4:D5"/>
    <mergeCell ref="E4:E5"/>
    <mergeCell ref="A18:A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67C2-BE49-4575-A143-0878EFBD5A56}">
  <dimension ref="A1:P72"/>
  <sheetViews>
    <sheetView showGridLines="0" tabSelected="1" workbookViewId="0">
      <selection activeCell="G13" sqref="G13"/>
    </sheetView>
  </sheetViews>
  <sheetFormatPr defaultRowHeight="11.5" x14ac:dyDescent="0.25"/>
  <cols>
    <col min="1" max="1" width="12.453125" style="1" customWidth="1"/>
    <col min="2" max="2" width="28.453125" style="1" bestFit="1" customWidth="1"/>
    <col min="3" max="3" width="10.08984375" style="1" bestFit="1" customWidth="1"/>
    <col min="4" max="4" width="11.453125" style="1" bestFit="1" customWidth="1"/>
    <col min="5" max="5" width="15.6328125" style="1" bestFit="1" customWidth="1"/>
    <col min="6" max="8" width="13.36328125" style="1" bestFit="1" customWidth="1"/>
    <col min="9" max="9" width="14.7265625" style="1" bestFit="1" customWidth="1"/>
    <col min="10" max="10" width="18.08984375" style="1" bestFit="1" customWidth="1"/>
    <col min="11" max="12" width="13.36328125" style="1" bestFit="1" customWidth="1"/>
    <col min="13" max="16384" width="8.7265625" style="1"/>
  </cols>
  <sheetData>
    <row r="1" spans="1:11" x14ac:dyDescent="0.25">
      <c r="A1" s="8" t="s">
        <v>0</v>
      </c>
    </row>
    <row r="2" spans="1:11" x14ac:dyDescent="0.25">
      <c r="A2" s="8" t="s">
        <v>120</v>
      </c>
    </row>
    <row r="5" spans="1:11" x14ac:dyDescent="0.25">
      <c r="A5" s="120" t="s">
        <v>2</v>
      </c>
      <c r="B5" s="11" t="s">
        <v>3</v>
      </c>
      <c r="C5" s="122" t="s">
        <v>4</v>
      </c>
      <c r="D5" s="122" t="s">
        <v>5</v>
      </c>
      <c r="E5" s="122" t="s">
        <v>6</v>
      </c>
      <c r="F5" s="103" t="s">
        <v>137</v>
      </c>
      <c r="H5" s="103" t="s">
        <v>139</v>
      </c>
    </row>
    <row r="6" spans="1:11" ht="12.5" thickBot="1" x14ac:dyDescent="0.35">
      <c r="A6" s="121"/>
      <c r="B6" s="19" t="s">
        <v>7</v>
      </c>
      <c r="C6" s="123"/>
      <c r="D6" s="123"/>
      <c r="E6" s="123"/>
      <c r="F6" s="109" t="s">
        <v>138</v>
      </c>
      <c r="G6" s="104" t="s">
        <v>34</v>
      </c>
      <c r="H6" s="109" t="s">
        <v>140</v>
      </c>
    </row>
    <row r="7" spans="1:11" x14ac:dyDescent="0.25">
      <c r="A7" s="79"/>
      <c r="B7" s="11"/>
      <c r="C7" s="80"/>
      <c r="D7" s="80"/>
      <c r="E7" s="80"/>
    </row>
    <row r="8" spans="1:11" x14ac:dyDescent="0.25">
      <c r="A8" s="12">
        <v>1</v>
      </c>
      <c r="B8" s="13" t="s">
        <v>8</v>
      </c>
      <c r="C8" s="7">
        <v>16162</v>
      </c>
      <c r="D8" s="7">
        <v>1467097</v>
      </c>
      <c r="E8" s="9">
        <v>23711221714</v>
      </c>
      <c r="F8" s="101">
        <v>23867057868</v>
      </c>
      <c r="G8" s="22">
        <f t="shared" ref="G8:G15" si="0">E8-F8</f>
        <v>-155836154</v>
      </c>
      <c r="H8" s="105">
        <f>F8+G8</f>
        <v>23711221714</v>
      </c>
      <c r="I8" s="101">
        <f>E8-H8</f>
        <v>0</v>
      </c>
      <c r="J8" s="105"/>
      <c r="K8" s="22"/>
    </row>
    <row r="9" spans="1:11" x14ac:dyDescent="0.25">
      <c r="A9" s="12">
        <v>2</v>
      </c>
      <c r="B9" s="13" t="s">
        <v>58</v>
      </c>
      <c r="C9" s="7">
        <v>16162</v>
      </c>
      <c r="D9" s="7">
        <v>639980</v>
      </c>
      <c r="E9" s="9">
        <v>10343356760</v>
      </c>
      <c r="F9" s="100">
        <v>10423294020</v>
      </c>
      <c r="G9" s="22">
        <f t="shared" si="0"/>
        <v>-79937260</v>
      </c>
      <c r="H9" s="105">
        <f t="shared" ref="H9:H15" si="1">F9+G9</f>
        <v>10343356760</v>
      </c>
      <c r="I9" s="101">
        <f t="shared" ref="I9:I15" si="2">E9-H9</f>
        <v>0</v>
      </c>
      <c r="J9" s="22"/>
      <c r="K9" s="22"/>
    </row>
    <row r="10" spans="1:11" x14ac:dyDescent="0.25">
      <c r="A10" s="12">
        <v>2</v>
      </c>
      <c r="B10" s="13" t="s">
        <v>52</v>
      </c>
      <c r="C10" s="7">
        <v>16162</v>
      </c>
      <c r="D10" s="7">
        <v>196697.9</v>
      </c>
      <c r="E10" s="9">
        <v>3179031459.7999997</v>
      </c>
      <c r="F10" s="100">
        <v>3186838941</v>
      </c>
      <c r="G10" s="22">
        <f t="shared" si="0"/>
        <v>-7807481.2000002861</v>
      </c>
      <c r="H10" s="105">
        <f t="shared" si="1"/>
        <v>3179031459.7999997</v>
      </c>
      <c r="I10" s="101">
        <f t="shared" si="2"/>
        <v>0</v>
      </c>
      <c r="J10" s="22"/>
    </row>
    <row r="11" spans="1:11" x14ac:dyDescent="0.25">
      <c r="A11" s="12">
        <v>3</v>
      </c>
      <c r="B11" s="13" t="s">
        <v>91</v>
      </c>
      <c r="C11" s="7">
        <v>16162</v>
      </c>
      <c r="D11" s="7">
        <v>125817</v>
      </c>
      <c r="E11" s="9">
        <v>2033454354</v>
      </c>
      <c r="F11" s="101">
        <v>2083450800</v>
      </c>
      <c r="G11" s="22">
        <f t="shared" si="0"/>
        <v>-49996446</v>
      </c>
      <c r="H11" s="105">
        <f t="shared" si="1"/>
        <v>2033454354</v>
      </c>
      <c r="I11" s="101">
        <f t="shared" si="2"/>
        <v>0</v>
      </c>
    </row>
    <row r="12" spans="1:11" x14ac:dyDescent="0.25">
      <c r="A12" s="12">
        <v>4</v>
      </c>
      <c r="B12" s="13" t="s">
        <v>116</v>
      </c>
      <c r="C12" s="7">
        <v>16162</v>
      </c>
      <c r="D12" s="7">
        <v>234600</v>
      </c>
      <c r="E12" s="9">
        <v>3791605200</v>
      </c>
      <c r="F12" s="100">
        <v>3834537000</v>
      </c>
      <c r="G12" s="22">
        <f t="shared" si="0"/>
        <v>-42931800</v>
      </c>
      <c r="H12" s="105">
        <f t="shared" si="1"/>
        <v>3791605200</v>
      </c>
      <c r="I12" s="101">
        <f t="shared" si="2"/>
        <v>0</v>
      </c>
      <c r="J12" s="22"/>
    </row>
    <row r="13" spans="1:11" x14ac:dyDescent="0.25">
      <c r="A13" s="12">
        <v>5</v>
      </c>
      <c r="B13" s="13" t="s">
        <v>117</v>
      </c>
      <c r="C13" s="7">
        <v>16162</v>
      </c>
      <c r="D13" s="7">
        <v>83758</v>
      </c>
      <c r="E13" s="9">
        <v>1353696796</v>
      </c>
      <c r="F13" s="101">
        <v>1363162287.5799999</v>
      </c>
      <c r="G13" s="22">
        <f t="shared" si="0"/>
        <v>-9465491.5799999237</v>
      </c>
      <c r="H13" s="105">
        <f t="shared" si="1"/>
        <v>1353696796</v>
      </c>
      <c r="I13" s="101">
        <f t="shared" si="2"/>
        <v>0</v>
      </c>
    </row>
    <row r="14" spans="1:11" x14ac:dyDescent="0.25">
      <c r="A14" s="12">
        <v>6</v>
      </c>
      <c r="B14" s="13" t="s">
        <v>118</v>
      </c>
      <c r="C14" s="7">
        <v>16162</v>
      </c>
      <c r="D14" s="7">
        <v>283275</v>
      </c>
      <c r="E14" s="9">
        <v>4654491525</v>
      </c>
      <c r="F14" s="100">
        <v>4654491525</v>
      </c>
      <c r="G14" s="22">
        <f t="shared" si="0"/>
        <v>0</v>
      </c>
      <c r="H14" s="105">
        <f t="shared" si="1"/>
        <v>4654491525</v>
      </c>
      <c r="I14" s="101">
        <f t="shared" si="2"/>
        <v>0</v>
      </c>
    </row>
    <row r="15" spans="1:11" x14ac:dyDescent="0.25">
      <c r="A15" s="12">
        <v>7</v>
      </c>
      <c r="B15" s="13" t="s">
        <v>119</v>
      </c>
      <c r="C15" s="7">
        <v>16162</v>
      </c>
      <c r="D15" s="7">
        <v>46539</v>
      </c>
      <c r="E15" s="9">
        <v>752163318</v>
      </c>
      <c r="F15" s="101">
        <v>752163318</v>
      </c>
      <c r="G15" s="22">
        <f t="shared" si="0"/>
        <v>0</v>
      </c>
      <c r="H15" s="105">
        <f t="shared" si="1"/>
        <v>752163318</v>
      </c>
      <c r="I15" s="101">
        <f t="shared" si="2"/>
        <v>0</v>
      </c>
    </row>
    <row r="16" spans="1:11" x14ac:dyDescent="0.25">
      <c r="A16" s="12"/>
      <c r="B16" s="13"/>
      <c r="C16" s="7"/>
      <c r="D16" s="7"/>
      <c r="E16" s="9"/>
    </row>
    <row r="17" spans="1:16" x14ac:dyDescent="0.25">
      <c r="A17" s="14"/>
      <c r="B17" s="15" t="s">
        <v>12</v>
      </c>
      <c r="C17" s="16"/>
      <c r="D17" s="17">
        <f>SUM(D8:D16)</f>
        <v>3077763.9</v>
      </c>
      <c r="E17" s="17">
        <f>SUM(E8:E16)</f>
        <v>49819021126.800003</v>
      </c>
      <c r="F17" s="102">
        <f>SUM(F8:F16)</f>
        <v>50164995759.580002</v>
      </c>
      <c r="G17" s="102">
        <f>SUM(G8:G16)</f>
        <v>-345974632.78000021</v>
      </c>
    </row>
    <row r="18" spans="1:16" x14ac:dyDescent="0.25">
      <c r="A18" s="6"/>
      <c r="B18" s="6"/>
      <c r="C18" s="16"/>
      <c r="D18" s="6"/>
      <c r="E18" s="98"/>
      <c r="F18" s="99">
        <f>F17-E17</f>
        <v>345974632.77999878</v>
      </c>
    </row>
    <row r="19" spans="1:16" x14ac:dyDescent="0.25">
      <c r="E19" s="99"/>
    </row>
    <row r="20" spans="1:16" x14ac:dyDescent="0.25">
      <c r="H20" s="27">
        <v>45657</v>
      </c>
      <c r="L20" s="45">
        <f>SUBTOTAL(9,L24:L75)</f>
        <v>50193643960.280006</v>
      </c>
      <c r="M20" s="45">
        <f>SUBTOTAL(9,M24:M75)</f>
        <v>0</v>
      </c>
      <c r="N20" s="45">
        <f t="shared" ref="N20:P20" si="3">SUBTOTAL(9,N24:N75)</f>
        <v>0</v>
      </c>
      <c r="O20" s="45">
        <f t="shared" si="3"/>
        <v>0</v>
      </c>
      <c r="P20" s="45">
        <f t="shared" si="3"/>
        <v>0</v>
      </c>
    </row>
    <row r="21" spans="1:16" ht="12" thickBot="1" x14ac:dyDescent="0.3">
      <c r="A21" s="28" t="s">
        <v>83</v>
      </c>
    </row>
    <row r="22" spans="1:16" ht="15" thickTop="1" x14ac:dyDescent="0.35">
      <c r="A22" s="118" t="s">
        <v>16</v>
      </c>
      <c r="B22" s="29" t="s">
        <v>3</v>
      </c>
      <c r="C22" s="57" t="s">
        <v>17</v>
      </c>
      <c r="D22" s="57" t="s">
        <v>4</v>
      </c>
      <c r="E22" s="58" t="s">
        <v>17</v>
      </c>
      <c r="F22" s="58" t="s">
        <v>18</v>
      </c>
      <c r="G22" s="110" t="s">
        <v>19</v>
      </c>
      <c r="H22" s="110"/>
      <c r="I22" s="110"/>
      <c r="J22" s="110"/>
      <c r="K22" s="125" t="s">
        <v>20</v>
      </c>
      <c r="L22" s="125"/>
      <c r="M22" s="125"/>
      <c r="N22" s="125"/>
      <c r="O22" s="125"/>
      <c r="P22" s="125"/>
    </row>
    <row r="23" spans="1:16" ht="14.5" x14ac:dyDescent="0.35">
      <c r="A23" s="119"/>
      <c r="B23" s="59" t="s">
        <v>7</v>
      </c>
      <c r="C23" s="60" t="s">
        <v>5</v>
      </c>
      <c r="D23" s="60" t="s">
        <v>21</v>
      </c>
      <c r="E23" s="61" t="s">
        <v>22</v>
      </c>
      <c r="F23" s="61" t="s">
        <v>22</v>
      </c>
      <c r="G23" s="35" t="s">
        <v>23</v>
      </c>
      <c r="H23" s="35" t="s">
        <v>24</v>
      </c>
      <c r="I23" s="85" t="s">
        <v>25</v>
      </c>
      <c r="J23" s="86" t="s">
        <v>26</v>
      </c>
      <c r="K23" s="87" t="s">
        <v>27</v>
      </c>
      <c r="L23" s="87" t="s">
        <v>28</v>
      </c>
      <c r="M23" s="87" t="s">
        <v>29</v>
      </c>
      <c r="N23" s="87" t="s">
        <v>30</v>
      </c>
      <c r="O23" s="87" t="s">
        <v>31</v>
      </c>
      <c r="P23" s="87" t="s">
        <v>32</v>
      </c>
    </row>
    <row r="24" spans="1:16" x14ac:dyDescent="0.25">
      <c r="A24" s="71" t="s">
        <v>43</v>
      </c>
      <c r="B24" s="64"/>
      <c r="C24" s="64"/>
      <c r="D24" s="64"/>
      <c r="E24" s="64"/>
      <c r="F24" s="54">
        <f>E8</f>
        <v>23711221714</v>
      </c>
      <c r="G24" s="64"/>
      <c r="H24" s="64"/>
      <c r="I24" s="64"/>
      <c r="J24" s="64"/>
      <c r="K24" s="64"/>
      <c r="L24" s="64"/>
      <c r="M24" s="64"/>
      <c r="N24" s="64"/>
      <c r="O24" s="64"/>
      <c r="P24" s="64"/>
    </row>
    <row r="25" spans="1:16" customFormat="1" ht="14.5" x14ac:dyDescent="0.35">
      <c r="A25" s="64"/>
      <c r="B25" s="38" t="s">
        <v>73</v>
      </c>
      <c r="C25" s="40">
        <v>147500</v>
      </c>
      <c r="D25" s="38">
        <v>16277</v>
      </c>
      <c r="E25" s="41">
        <f t="shared" ref="E25:E35" si="4">D25*C25</f>
        <v>2400857500</v>
      </c>
      <c r="F25" s="42"/>
      <c r="G25" s="39" t="s">
        <v>121</v>
      </c>
      <c r="H25" s="37">
        <v>45646</v>
      </c>
      <c r="I25" s="64">
        <v>60</v>
      </c>
      <c r="J25" s="52">
        <f>H25+I25</f>
        <v>45706</v>
      </c>
      <c r="K25" s="64">
        <f>$H$20-J25</f>
        <v>-49</v>
      </c>
      <c r="L25" s="51">
        <f>E25</f>
        <v>2400857500</v>
      </c>
      <c r="M25" s="64"/>
      <c r="N25" s="64"/>
      <c r="O25" s="64"/>
      <c r="P25" s="64"/>
    </row>
    <row r="26" spans="1:16" customFormat="1" ht="14.5" x14ac:dyDescent="0.35">
      <c r="A26" s="64"/>
      <c r="B26" s="38" t="s">
        <v>73</v>
      </c>
      <c r="C26" s="40">
        <v>131300</v>
      </c>
      <c r="D26" s="38">
        <v>16251</v>
      </c>
      <c r="E26" s="41">
        <f t="shared" si="4"/>
        <v>2133756300</v>
      </c>
      <c r="F26" s="42"/>
      <c r="G26" s="39" t="s">
        <v>122</v>
      </c>
      <c r="H26" s="37">
        <v>45656</v>
      </c>
      <c r="I26" s="64">
        <v>60</v>
      </c>
      <c r="J26" s="52">
        <f t="shared" ref="J26:J35" si="5">H26+I26</f>
        <v>45716</v>
      </c>
      <c r="K26" s="64">
        <f t="shared" ref="K26:K35" si="6">$H$20-J26</f>
        <v>-59</v>
      </c>
      <c r="L26" s="51">
        <f t="shared" ref="L26:L35" si="7">E26</f>
        <v>2133756300</v>
      </c>
      <c r="M26" s="64"/>
      <c r="N26" s="64"/>
      <c r="O26" s="64"/>
      <c r="P26" s="64"/>
    </row>
    <row r="27" spans="1:16" customFormat="1" ht="14.5" x14ac:dyDescent="0.35">
      <c r="A27" s="64"/>
      <c r="B27" s="38" t="s">
        <v>73</v>
      </c>
      <c r="C27" s="40">
        <v>119000</v>
      </c>
      <c r="D27" s="38">
        <v>16162</v>
      </c>
      <c r="E27" s="41">
        <f t="shared" si="4"/>
        <v>1923278000</v>
      </c>
      <c r="F27" s="42"/>
      <c r="G27" s="39" t="s">
        <v>123</v>
      </c>
      <c r="H27" s="37">
        <v>45657</v>
      </c>
      <c r="I27" s="64">
        <v>60</v>
      </c>
      <c r="J27" s="52">
        <f t="shared" si="5"/>
        <v>45717</v>
      </c>
      <c r="K27" s="64">
        <f t="shared" si="6"/>
        <v>-60</v>
      </c>
      <c r="L27" s="51">
        <f t="shared" si="7"/>
        <v>1923278000</v>
      </c>
      <c r="M27" s="64"/>
      <c r="N27" s="64"/>
      <c r="O27" s="64"/>
      <c r="P27" s="64"/>
    </row>
    <row r="28" spans="1:16" customFormat="1" ht="14.5" x14ac:dyDescent="0.35">
      <c r="A28" s="64"/>
      <c r="B28" s="38" t="s">
        <v>73</v>
      </c>
      <c r="C28" s="40">
        <v>147500</v>
      </c>
      <c r="D28" s="38">
        <v>16162</v>
      </c>
      <c r="E28" s="41">
        <f t="shared" si="4"/>
        <v>2383895000</v>
      </c>
      <c r="F28" s="42"/>
      <c r="G28" s="39" t="s">
        <v>124</v>
      </c>
      <c r="H28" s="37">
        <v>45657</v>
      </c>
      <c r="I28" s="64">
        <v>60</v>
      </c>
      <c r="J28" s="52">
        <f t="shared" si="5"/>
        <v>45717</v>
      </c>
      <c r="K28" s="64">
        <f t="shared" si="6"/>
        <v>-60</v>
      </c>
      <c r="L28" s="51">
        <f t="shared" si="7"/>
        <v>2383895000</v>
      </c>
      <c r="M28" s="64"/>
      <c r="N28" s="64"/>
      <c r="O28" s="64"/>
      <c r="P28" s="64"/>
    </row>
    <row r="29" spans="1:16" customFormat="1" ht="14.5" x14ac:dyDescent="0.35">
      <c r="A29" s="64"/>
      <c r="B29" s="38" t="s">
        <v>73</v>
      </c>
      <c r="C29" s="40">
        <v>127100</v>
      </c>
      <c r="D29" s="38">
        <v>16162</v>
      </c>
      <c r="E29" s="41">
        <f t="shared" si="4"/>
        <v>2054190200</v>
      </c>
      <c r="F29" s="42"/>
      <c r="G29" s="39" t="s">
        <v>125</v>
      </c>
      <c r="H29" s="37">
        <v>45657</v>
      </c>
      <c r="I29" s="64">
        <v>60</v>
      </c>
      <c r="J29" s="52">
        <f t="shared" si="5"/>
        <v>45717</v>
      </c>
      <c r="K29" s="64">
        <f t="shared" si="6"/>
        <v>-60</v>
      </c>
      <c r="L29" s="51">
        <f t="shared" si="7"/>
        <v>2054190200</v>
      </c>
      <c r="M29" s="64"/>
      <c r="N29" s="64"/>
      <c r="O29" s="64"/>
      <c r="P29" s="64"/>
    </row>
    <row r="30" spans="1:16" customFormat="1" ht="14.5" x14ac:dyDescent="0.35">
      <c r="A30" s="64"/>
      <c r="B30" s="38" t="s">
        <v>73</v>
      </c>
      <c r="C30" s="40">
        <v>122400</v>
      </c>
      <c r="D30" s="38">
        <v>16327</v>
      </c>
      <c r="E30" s="41">
        <f t="shared" si="4"/>
        <v>1998424800</v>
      </c>
      <c r="F30" s="42"/>
      <c r="G30" s="39"/>
      <c r="H30" s="37">
        <v>45657</v>
      </c>
      <c r="I30" s="64">
        <v>60</v>
      </c>
      <c r="J30" s="52">
        <f t="shared" si="5"/>
        <v>45717</v>
      </c>
      <c r="K30" s="64">
        <f t="shared" si="6"/>
        <v>-60</v>
      </c>
      <c r="L30" s="51">
        <f t="shared" si="7"/>
        <v>1998424800</v>
      </c>
      <c r="M30" s="64"/>
      <c r="N30" s="64"/>
      <c r="O30" s="64"/>
      <c r="P30" s="64"/>
    </row>
    <row r="31" spans="1:16" customFormat="1" ht="14.5" x14ac:dyDescent="0.35">
      <c r="A31" s="64"/>
      <c r="B31" s="38" t="s">
        <v>73</v>
      </c>
      <c r="C31" s="40">
        <v>127100</v>
      </c>
      <c r="D31" s="38">
        <v>16327</v>
      </c>
      <c r="E31" s="41">
        <f t="shared" si="4"/>
        <v>2075161700</v>
      </c>
      <c r="F31" s="42"/>
      <c r="G31" s="39"/>
      <c r="H31" s="37">
        <v>45657</v>
      </c>
      <c r="I31" s="64">
        <v>60</v>
      </c>
      <c r="J31" s="52">
        <f t="shared" si="5"/>
        <v>45717</v>
      </c>
      <c r="K31" s="64">
        <f t="shared" si="6"/>
        <v>-60</v>
      </c>
      <c r="L31" s="51">
        <f t="shared" si="7"/>
        <v>2075161700</v>
      </c>
      <c r="M31" s="64"/>
      <c r="N31" s="64"/>
      <c r="O31" s="64"/>
      <c r="P31" s="64"/>
    </row>
    <row r="32" spans="1:16" customFormat="1" ht="14.5" x14ac:dyDescent="0.35">
      <c r="A32" s="64"/>
      <c r="B32" s="38" t="s">
        <v>73</v>
      </c>
      <c r="C32" s="40">
        <v>149600</v>
      </c>
      <c r="D32" s="38">
        <v>16380</v>
      </c>
      <c r="E32" s="41">
        <f t="shared" si="4"/>
        <v>2450448000</v>
      </c>
      <c r="F32" s="42"/>
      <c r="G32" s="39"/>
      <c r="H32" s="37">
        <v>45657</v>
      </c>
      <c r="I32" s="64">
        <v>60</v>
      </c>
      <c r="J32" s="52">
        <f t="shared" si="5"/>
        <v>45717</v>
      </c>
      <c r="K32" s="64">
        <f t="shared" si="6"/>
        <v>-60</v>
      </c>
      <c r="L32" s="51">
        <f t="shared" si="7"/>
        <v>2450448000</v>
      </c>
      <c r="M32" s="64"/>
      <c r="N32" s="64"/>
      <c r="O32" s="64"/>
      <c r="P32" s="64"/>
    </row>
    <row r="33" spans="1:16" customFormat="1" ht="14.5" x14ac:dyDescent="0.35">
      <c r="A33" s="64"/>
      <c r="B33" s="38" t="s">
        <v>73</v>
      </c>
      <c r="C33" s="40">
        <v>126200</v>
      </c>
      <c r="D33" s="38">
        <v>16344</v>
      </c>
      <c r="E33" s="41">
        <f t="shared" si="4"/>
        <v>2062612800</v>
      </c>
      <c r="F33" s="42"/>
      <c r="G33" s="39"/>
      <c r="H33" s="37">
        <v>45657</v>
      </c>
      <c r="I33" s="64">
        <v>60</v>
      </c>
      <c r="J33" s="52">
        <f t="shared" si="5"/>
        <v>45717</v>
      </c>
      <c r="K33" s="64">
        <f t="shared" si="6"/>
        <v>-60</v>
      </c>
      <c r="L33" s="51">
        <f t="shared" si="7"/>
        <v>2062612800</v>
      </c>
      <c r="M33" s="64"/>
      <c r="N33" s="64"/>
      <c r="O33" s="64"/>
      <c r="P33" s="64"/>
    </row>
    <row r="34" spans="1:16" customFormat="1" ht="14.5" x14ac:dyDescent="0.35">
      <c r="A34" s="64"/>
      <c r="B34" s="38" t="s">
        <v>73</v>
      </c>
      <c r="C34" s="40">
        <v>153797</v>
      </c>
      <c r="D34" s="38">
        <v>16344</v>
      </c>
      <c r="E34" s="41">
        <f t="shared" si="4"/>
        <v>2513658168</v>
      </c>
      <c r="F34" s="42"/>
      <c r="G34" s="39"/>
      <c r="H34" s="37">
        <v>45657</v>
      </c>
      <c r="I34" s="64">
        <v>60</v>
      </c>
      <c r="J34" s="52">
        <f t="shared" si="5"/>
        <v>45717</v>
      </c>
      <c r="K34" s="64">
        <f t="shared" si="6"/>
        <v>-60</v>
      </c>
      <c r="L34" s="51">
        <f t="shared" si="7"/>
        <v>2513658168</v>
      </c>
      <c r="M34" s="64"/>
      <c r="N34" s="64"/>
      <c r="O34" s="64"/>
      <c r="P34" s="64"/>
    </row>
    <row r="35" spans="1:16" customFormat="1" ht="14.5" x14ac:dyDescent="0.35">
      <c r="A35" s="64"/>
      <c r="B35" s="38" t="s">
        <v>73</v>
      </c>
      <c r="C35" s="40">
        <v>115600</v>
      </c>
      <c r="D35" s="38">
        <v>16431</v>
      </c>
      <c r="E35" s="41">
        <f t="shared" si="4"/>
        <v>1899423600</v>
      </c>
      <c r="F35" s="42"/>
      <c r="G35" s="39"/>
      <c r="H35" s="37">
        <v>45657</v>
      </c>
      <c r="I35" s="64">
        <v>60</v>
      </c>
      <c r="J35" s="52">
        <f t="shared" si="5"/>
        <v>45717</v>
      </c>
      <c r="K35" s="64">
        <f t="shared" si="6"/>
        <v>-60</v>
      </c>
      <c r="L35" s="51">
        <f t="shared" si="7"/>
        <v>1899423600</v>
      </c>
      <c r="M35" s="64"/>
      <c r="N35" s="64"/>
      <c r="O35" s="64"/>
      <c r="P35" s="64"/>
    </row>
    <row r="36" spans="1:16" x14ac:dyDescent="0.25">
      <c r="A36" s="71"/>
      <c r="B36" s="68" t="s">
        <v>34</v>
      </c>
      <c r="C36" s="64"/>
      <c r="D36" s="64"/>
      <c r="E36" s="64"/>
      <c r="F36" s="53">
        <f>SUM(E25:E35)-F24</f>
        <v>184484354</v>
      </c>
      <c r="G36" s="64"/>
      <c r="H36" s="64"/>
      <c r="I36" s="64"/>
      <c r="J36" s="64"/>
      <c r="K36" s="64"/>
      <c r="L36" s="64"/>
      <c r="M36" s="64"/>
      <c r="N36" s="64"/>
      <c r="O36" s="64"/>
      <c r="P36" s="64"/>
    </row>
    <row r="37" spans="1:16" x14ac:dyDescent="0.25">
      <c r="A37" s="71"/>
      <c r="B37" s="64"/>
      <c r="C37" s="64"/>
      <c r="D37" s="64"/>
      <c r="E37" s="64"/>
      <c r="F37" s="54"/>
      <c r="G37" s="64"/>
      <c r="H37" s="64"/>
      <c r="I37" s="64"/>
      <c r="J37" s="64"/>
      <c r="K37" s="64"/>
      <c r="L37" s="64"/>
      <c r="M37" s="64"/>
      <c r="N37" s="64"/>
      <c r="O37" s="64"/>
      <c r="P37" s="64"/>
    </row>
    <row r="38" spans="1:16" x14ac:dyDescent="0.25">
      <c r="A38" s="69" t="s">
        <v>57</v>
      </c>
      <c r="B38" s="64"/>
      <c r="C38" s="64"/>
      <c r="D38" s="64"/>
      <c r="E38" s="64"/>
      <c r="F38" s="54">
        <f>E9</f>
        <v>10343356760</v>
      </c>
      <c r="G38" s="64"/>
      <c r="H38" s="64"/>
      <c r="I38" s="64"/>
      <c r="J38" s="64"/>
      <c r="K38" s="64"/>
      <c r="L38" s="64"/>
      <c r="M38" s="64"/>
      <c r="N38" s="64"/>
      <c r="O38" s="64"/>
      <c r="P38" s="64"/>
    </row>
    <row r="39" spans="1:16" customFormat="1" ht="14.5" x14ac:dyDescent="0.35">
      <c r="A39" s="64"/>
      <c r="B39" s="38" t="s">
        <v>58</v>
      </c>
      <c r="C39" s="40">
        <v>114240</v>
      </c>
      <c r="D39" s="65">
        <v>16276</v>
      </c>
      <c r="E39" s="41">
        <f>C39*D39</f>
        <v>1859370240</v>
      </c>
      <c r="F39" s="40"/>
      <c r="G39" s="64"/>
      <c r="H39" s="37">
        <v>45657</v>
      </c>
      <c r="I39" s="64">
        <v>60</v>
      </c>
      <c r="J39" s="52">
        <f t="shared" ref="J39:J43" si="8">H39+I39</f>
        <v>45717</v>
      </c>
      <c r="K39" s="64">
        <f t="shared" ref="K39:K43" si="9">$H$20-J39</f>
        <v>-60</v>
      </c>
      <c r="L39" s="51">
        <f t="shared" ref="L39:L43" si="10">E39</f>
        <v>1859370240</v>
      </c>
      <c r="M39" s="64"/>
      <c r="N39" s="64"/>
      <c r="O39" s="64"/>
      <c r="P39" s="64"/>
    </row>
    <row r="40" spans="1:16" customFormat="1" ht="14.5" x14ac:dyDescent="0.35">
      <c r="A40" s="64"/>
      <c r="B40" s="38" t="s">
        <v>58</v>
      </c>
      <c r="C40" s="40">
        <v>112300</v>
      </c>
      <c r="D40" s="65">
        <v>16276</v>
      </c>
      <c r="E40" s="41">
        <f>C40*D40</f>
        <v>1827794800</v>
      </c>
      <c r="F40" s="40"/>
      <c r="G40" s="64"/>
      <c r="H40" s="37">
        <v>45657</v>
      </c>
      <c r="I40" s="64">
        <v>60</v>
      </c>
      <c r="J40" s="52">
        <f t="shared" si="8"/>
        <v>45717</v>
      </c>
      <c r="K40" s="64">
        <f t="shared" si="9"/>
        <v>-60</v>
      </c>
      <c r="L40" s="51">
        <f t="shared" si="10"/>
        <v>1827794800</v>
      </c>
      <c r="M40" s="64"/>
      <c r="N40" s="64"/>
      <c r="O40" s="64"/>
      <c r="P40" s="64"/>
    </row>
    <row r="41" spans="1:16" customFormat="1" ht="14.5" x14ac:dyDescent="0.35">
      <c r="A41" s="64"/>
      <c r="B41" s="38" t="s">
        <v>58</v>
      </c>
      <c r="C41" s="40">
        <v>125800</v>
      </c>
      <c r="D41" s="65">
        <v>16285</v>
      </c>
      <c r="E41" s="41">
        <f>C41*D41</f>
        <v>2048653000</v>
      </c>
      <c r="F41" s="40"/>
      <c r="G41" s="64"/>
      <c r="H41" s="37">
        <v>45657</v>
      </c>
      <c r="I41" s="64">
        <v>60</v>
      </c>
      <c r="J41" s="52">
        <f t="shared" si="8"/>
        <v>45717</v>
      </c>
      <c r="K41" s="64">
        <f t="shared" si="9"/>
        <v>-60</v>
      </c>
      <c r="L41" s="51">
        <f t="shared" si="10"/>
        <v>2048653000</v>
      </c>
      <c r="M41" s="64"/>
      <c r="N41" s="64"/>
      <c r="O41" s="64"/>
      <c r="P41" s="64"/>
    </row>
    <row r="42" spans="1:16" customFormat="1" ht="14.5" x14ac:dyDescent="0.35">
      <c r="A42" s="64"/>
      <c r="B42" s="38" t="s">
        <v>58</v>
      </c>
      <c r="C42" s="40">
        <v>138040</v>
      </c>
      <c r="D42" s="65">
        <v>16275.01</v>
      </c>
      <c r="E42" s="41">
        <f>C42*D42</f>
        <v>2246602380.4000001</v>
      </c>
      <c r="F42" s="40"/>
      <c r="G42" s="64"/>
      <c r="H42" s="37">
        <v>45657</v>
      </c>
      <c r="I42" s="64">
        <v>60</v>
      </c>
      <c r="J42" s="52">
        <f t="shared" si="8"/>
        <v>45717</v>
      </c>
      <c r="K42" s="64">
        <f t="shared" si="9"/>
        <v>-60</v>
      </c>
      <c r="L42" s="51">
        <f t="shared" si="10"/>
        <v>2246602380.4000001</v>
      </c>
      <c r="M42" s="64"/>
      <c r="N42" s="64"/>
      <c r="O42" s="64"/>
      <c r="P42" s="64"/>
    </row>
    <row r="43" spans="1:16" customFormat="1" ht="14.5" x14ac:dyDescent="0.35">
      <c r="A43" s="64"/>
      <c r="B43" s="38" t="s">
        <v>58</v>
      </c>
      <c r="C43" s="40">
        <v>149600</v>
      </c>
      <c r="D43" s="65">
        <v>16316</v>
      </c>
      <c r="E43" s="41">
        <f>C43*D43</f>
        <v>2440873600</v>
      </c>
      <c r="F43" s="40"/>
      <c r="G43" s="64"/>
      <c r="H43" s="37">
        <v>45657</v>
      </c>
      <c r="I43" s="64">
        <v>60</v>
      </c>
      <c r="J43" s="52">
        <f t="shared" si="8"/>
        <v>45717</v>
      </c>
      <c r="K43" s="64">
        <f t="shared" si="9"/>
        <v>-60</v>
      </c>
      <c r="L43" s="51">
        <f t="shared" si="10"/>
        <v>2440873600</v>
      </c>
      <c r="M43" s="64"/>
      <c r="N43" s="64"/>
      <c r="O43" s="64"/>
      <c r="P43" s="64"/>
    </row>
    <row r="44" spans="1:16" x14ac:dyDescent="0.25">
      <c r="A44" s="69"/>
      <c r="B44" s="68" t="s">
        <v>34</v>
      </c>
      <c r="C44" s="64"/>
      <c r="D44" s="64"/>
      <c r="E44" s="64"/>
      <c r="F44" s="53">
        <f>SUM(E39:E43)-F38</f>
        <v>79937260.399999619</v>
      </c>
      <c r="G44" s="64"/>
      <c r="H44" s="64"/>
      <c r="I44" s="64"/>
      <c r="J44" s="64"/>
      <c r="K44" s="64"/>
      <c r="L44" s="64"/>
      <c r="M44" s="64"/>
      <c r="N44" s="64"/>
      <c r="O44" s="64"/>
      <c r="P44" s="64"/>
    </row>
    <row r="45" spans="1:16" x14ac:dyDescent="0.25">
      <c r="A45" s="97"/>
      <c r="B45" s="64"/>
      <c r="C45" s="64"/>
      <c r="D45" s="64"/>
      <c r="E45" s="64"/>
      <c r="F45" s="54"/>
      <c r="G45" s="64"/>
      <c r="H45" s="64"/>
      <c r="I45" s="64"/>
      <c r="J45" s="64"/>
      <c r="K45" s="64"/>
      <c r="L45" s="64"/>
      <c r="M45" s="64"/>
      <c r="N45" s="64"/>
      <c r="O45" s="64"/>
      <c r="P45" s="64"/>
    </row>
    <row r="46" spans="1:16" s="28" customFormat="1" x14ac:dyDescent="0.25">
      <c r="A46" s="69" t="s">
        <v>126</v>
      </c>
      <c r="B46" s="71"/>
      <c r="C46" s="71"/>
      <c r="D46" s="71"/>
      <c r="E46" s="71"/>
      <c r="F46" s="54">
        <f>E10</f>
        <v>3179031459.7999997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</row>
    <row r="47" spans="1:16" s="107" customFormat="1" ht="14.25" customHeight="1" x14ac:dyDescent="0.25">
      <c r="A47" s="38"/>
      <c r="B47" s="38" t="s">
        <v>52</v>
      </c>
      <c r="C47" s="40">
        <v>116208.4</v>
      </c>
      <c r="D47" s="65">
        <v>16162</v>
      </c>
      <c r="E47" s="41">
        <f>D47*C47</f>
        <v>1878160160.8</v>
      </c>
      <c r="F47" s="40"/>
      <c r="G47" s="39" t="s">
        <v>127</v>
      </c>
      <c r="H47" s="37">
        <v>45657</v>
      </c>
      <c r="I47" s="64">
        <v>60</v>
      </c>
      <c r="J47" s="52">
        <f t="shared" ref="J47:J48" si="11">H47+I47</f>
        <v>45717</v>
      </c>
      <c r="K47" s="64">
        <f t="shared" ref="K47:K48" si="12">$H$20-J47</f>
        <v>-60</v>
      </c>
      <c r="L47" s="51">
        <f t="shared" ref="L47:L48" si="13">E47</f>
        <v>1878160160.8</v>
      </c>
      <c r="M47" s="38"/>
      <c r="N47" s="38"/>
      <c r="O47" s="38"/>
      <c r="P47" s="38"/>
    </row>
    <row r="48" spans="1:16" s="107" customFormat="1" ht="14.25" customHeight="1" x14ac:dyDescent="0.25">
      <c r="A48" s="38"/>
      <c r="B48" s="38" t="s">
        <v>52</v>
      </c>
      <c r="C48" s="40">
        <v>80489.5</v>
      </c>
      <c r="D48" s="65">
        <v>16259</v>
      </c>
      <c r="E48" s="41">
        <f>D48*C48</f>
        <v>1308678780.5</v>
      </c>
      <c r="F48" s="40"/>
      <c r="G48" s="39"/>
      <c r="H48" s="37">
        <v>45657</v>
      </c>
      <c r="I48" s="64">
        <v>60</v>
      </c>
      <c r="J48" s="52">
        <f t="shared" si="11"/>
        <v>45717</v>
      </c>
      <c r="K48" s="64">
        <f t="shared" si="12"/>
        <v>-60</v>
      </c>
      <c r="L48" s="51">
        <f t="shared" si="13"/>
        <v>1308678780.5</v>
      </c>
      <c r="M48" s="38"/>
      <c r="N48" s="38"/>
      <c r="O48" s="38"/>
      <c r="P48" s="38"/>
    </row>
    <row r="49" spans="1:16" x14ac:dyDescent="0.25">
      <c r="A49" s="97"/>
      <c r="B49" s="68" t="s">
        <v>34</v>
      </c>
      <c r="C49" s="64"/>
      <c r="D49" s="64"/>
      <c r="E49" s="64"/>
      <c r="F49" s="53">
        <f>SUM(E47:E48)-F46</f>
        <v>7807481.5000004768</v>
      </c>
      <c r="G49" s="64"/>
      <c r="H49" s="64"/>
      <c r="I49" s="64"/>
      <c r="J49" s="64"/>
      <c r="K49" s="64"/>
      <c r="L49" s="64"/>
      <c r="M49" s="64"/>
      <c r="N49" s="64"/>
      <c r="O49" s="64"/>
      <c r="P49" s="64"/>
    </row>
    <row r="50" spans="1:16" x14ac:dyDescent="0.25">
      <c r="A50" s="97"/>
      <c r="B50" s="64"/>
      <c r="C50" s="64"/>
      <c r="D50" s="64"/>
      <c r="E50" s="64"/>
      <c r="F50" s="54"/>
      <c r="G50" s="64"/>
      <c r="H50" s="64"/>
      <c r="I50" s="64"/>
      <c r="J50" s="64"/>
      <c r="K50" s="64"/>
      <c r="L50" s="64"/>
      <c r="M50" s="64"/>
      <c r="N50" s="64"/>
      <c r="O50" s="64"/>
      <c r="P50" s="64"/>
    </row>
    <row r="51" spans="1:16" x14ac:dyDescent="0.25">
      <c r="A51" s="69" t="s">
        <v>128</v>
      </c>
      <c r="B51" s="64"/>
      <c r="C51" s="64"/>
      <c r="D51" s="64"/>
      <c r="E51" s="64"/>
      <c r="F51" s="54">
        <f>E11</f>
        <v>2033454354</v>
      </c>
      <c r="G51" s="64"/>
      <c r="H51" s="64"/>
      <c r="I51" s="64"/>
      <c r="J51" s="64"/>
      <c r="K51" s="64"/>
      <c r="L51" s="64"/>
      <c r="M51" s="64"/>
      <c r="N51" s="64"/>
      <c r="O51" s="64"/>
      <c r="P51" s="64"/>
    </row>
    <row r="52" spans="1:16" customFormat="1" ht="14.5" x14ac:dyDescent="0.35">
      <c r="A52" s="64"/>
      <c r="B52" s="38" t="s">
        <v>91</v>
      </c>
      <c r="C52" s="40">
        <v>126800</v>
      </c>
      <c r="D52" s="65">
        <v>16431</v>
      </c>
      <c r="E52" s="41">
        <f>C52*D52</f>
        <v>2083450800</v>
      </c>
      <c r="F52" s="38"/>
      <c r="G52" s="64"/>
      <c r="H52" s="37">
        <v>45657</v>
      </c>
      <c r="I52" s="64">
        <v>60</v>
      </c>
      <c r="J52" s="52">
        <f>H52+I52</f>
        <v>45717</v>
      </c>
      <c r="K52" s="64">
        <f>$H$20-J52</f>
        <v>-60</v>
      </c>
      <c r="L52" s="51">
        <f>E52</f>
        <v>2083450800</v>
      </c>
      <c r="M52" s="64"/>
      <c r="N52" s="64"/>
      <c r="O52" s="64"/>
      <c r="P52" s="64"/>
    </row>
    <row r="53" spans="1:16" x14ac:dyDescent="0.25">
      <c r="A53" s="97"/>
      <c r="B53" s="68" t="s">
        <v>34</v>
      </c>
      <c r="C53" s="64"/>
      <c r="D53" s="64"/>
      <c r="E53" s="64"/>
      <c r="F53" s="53">
        <f>E52-F51</f>
        <v>49996446</v>
      </c>
      <c r="G53" s="64"/>
      <c r="H53" s="64"/>
      <c r="I53" s="64"/>
      <c r="J53" s="64"/>
      <c r="K53" s="64"/>
      <c r="L53" s="64"/>
      <c r="M53" s="64"/>
      <c r="N53" s="64"/>
      <c r="O53" s="64"/>
      <c r="P53" s="64"/>
    </row>
    <row r="54" spans="1:16" x14ac:dyDescent="0.25">
      <c r="A54" s="97"/>
      <c r="B54" s="64"/>
      <c r="C54" s="64"/>
      <c r="D54" s="64"/>
      <c r="E54" s="64"/>
      <c r="F54" s="54"/>
      <c r="G54" s="64"/>
      <c r="H54" s="64"/>
      <c r="I54" s="64"/>
      <c r="J54" s="64"/>
      <c r="K54" s="64"/>
      <c r="L54" s="64"/>
      <c r="M54" s="64"/>
      <c r="N54" s="64"/>
      <c r="O54" s="64"/>
      <c r="P54" s="64"/>
    </row>
    <row r="55" spans="1:16" x14ac:dyDescent="0.25">
      <c r="A55" s="69" t="s">
        <v>129</v>
      </c>
      <c r="B55" s="64"/>
      <c r="C55" s="64"/>
      <c r="D55" s="64"/>
      <c r="E55" s="64"/>
      <c r="F55" s="54">
        <f>E12</f>
        <v>3791605200</v>
      </c>
      <c r="G55" s="64"/>
      <c r="H55" s="64"/>
      <c r="I55" s="64"/>
      <c r="J55" s="64"/>
      <c r="K55" s="64"/>
      <c r="L55" s="64"/>
      <c r="M55" s="64"/>
      <c r="N55" s="64"/>
      <c r="O55" s="64"/>
      <c r="P55" s="64"/>
    </row>
    <row r="56" spans="1:16" customFormat="1" ht="14.5" x14ac:dyDescent="0.35">
      <c r="A56" s="64"/>
      <c r="B56" s="38" t="s">
        <v>116</v>
      </c>
      <c r="C56" s="40">
        <v>117300</v>
      </c>
      <c r="D56" s="65">
        <v>16259</v>
      </c>
      <c r="E56" s="41">
        <f>+C56*D56</f>
        <v>1907180700</v>
      </c>
      <c r="F56" s="40"/>
      <c r="G56" s="64"/>
      <c r="H56" s="37">
        <v>45657</v>
      </c>
      <c r="I56" s="64">
        <v>60</v>
      </c>
      <c r="J56" s="52">
        <f>H56+I56</f>
        <v>45717</v>
      </c>
      <c r="K56" s="64">
        <f>$H$20-J56</f>
        <v>-60</v>
      </c>
      <c r="L56" s="51">
        <f>E56</f>
        <v>1907180700</v>
      </c>
      <c r="M56" s="64"/>
      <c r="N56" s="64"/>
      <c r="O56" s="64"/>
      <c r="P56" s="64"/>
    </row>
    <row r="57" spans="1:16" customFormat="1" ht="14.5" x14ac:dyDescent="0.35">
      <c r="A57" s="64"/>
      <c r="B57" s="38" t="s">
        <v>116</v>
      </c>
      <c r="C57" s="40">
        <v>117300</v>
      </c>
      <c r="D57" s="65">
        <v>16431</v>
      </c>
      <c r="E57" s="41">
        <f>+C57*D57</f>
        <v>1927356300</v>
      </c>
      <c r="F57" s="40"/>
      <c r="G57" s="64"/>
      <c r="H57" s="37">
        <v>45657</v>
      </c>
      <c r="I57" s="64">
        <v>60</v>
      </c>
      <c r="J57" s="52">
        <f>H57+I57</f>
        <v>45717</v>
      </c>
      <c r="K57" s="64">
        <f>$H$20-J57</f>
        <v>-60</v>
      </c>
      <c r="L57" s="51">
        <f>E57</f>
        <v>1927356300</v>
      </c>
      <c r="M57" s="64"/>
      <c r="N57" s="64"/>
      <c r="O57" s="64"/>
      <c r="P57" s="64"/>
    </row>
    <row r="58" spans="1:16" x14ac:dyDescent="0.25">
      <c r="A58" s="97"/>
      <c r="B58" s="68" t="s">
        <v>34</v>
      </c>
      <c r="C58" s="64"/>
      <c r="D58" s="64"/>
      <c r="E58" s="64"/>
      <c r="F58" s="53">
        <f>SUM(E56:E57)-F55</f>
        <v>42931800</v>
      </c>
      <c r="G58" s="64"/>
      <c r="H58" s="64"/>
      <c r="I58" s="64"/>
      <c r="J58" s="64"/>
      <c r="K58" s="64"/>
      <c r="L58" s="64"/>
      <c r="M58" s="64"/>
      <c r="N58" s="64"/>
      <c r="O58" s="64"/>
      <c r="P58" s="64"/>
    </row>
    <row r="59" spans="1:16" x14ac:dyDescent="0.25">
      <c r="A59" s="97"/>
      <c r="B59" s="64"/>
      <c r="C59" s="64"/>
      <c r="D59" s="64"/>
      <c r="E59" s="64"/>
      <c r="F59" s="54"/>
      <c r="G59" s="64"/>
      <c r="H59" s="64"/>
      <c r="I59" s="64"/>
      <c r="J59" s="64"/>
      <c r="K59" s="64"/>
      <c r="L59" s="64"/>
      <c r="M59" s="64"/>
      <c r="N59" s="64"/>
      <c r="O59" s="64"/>
      <c r="P59" s="64"/>
    </row>
    <row r="60" spans="1:16" x14ac:dyDescent="0.25">
      <c r="A60" s="69" t="s">
        <v>130</v>
      </c>
      <c r="B60" s="64"/>
      <c r="C60" s="64"/>
      <c r="D60" s="64"/>
      <c r="E60" s="64"/>
      <c r="F60" s="54">
        <f>E13</f>
        <v>1353696796</v>
      </c>
      <c r="G60" s="64"/>
      <c r="H60" s="64"/>
      <c r="I60" s="64"/>
      <c r="J60" s="64"/>
      <c r="K60" s="64"/>
      <c r="L60" s="64"/>
      <c r="M60" s="64"/>
      <c r="N60" s="64"/>
      <c r="O60" s="64"/>
      <c r="P60" s="64"/>
    </row>
    <row r="61" spans="1:16" s="107" customFormat="1" ht="14.25" customHeight="1" x14ac:dyDescent="0.25">
      <c r="A61" s="38"/>
      <c r="B61" s="38" t="s">
        <v>117</v>
      </c>
      <c r="C61" s="40">
        <v>83758</v>
      </c>
      <c r="D61" s="65">
        <v>16275.01</v>
      </c>
      <c r="E61" s="41">
        <f>D61*C61</f>
        <v>1363162287.5799999</v>
      </c>
      <c r="F61" s="40"/>
      <c r="G61" s="38"/>
      <c r="H61" s="37">
        <v>45657</v>
      </c>
      <c r="I61" s="64">
        <v>60</v>
      </c>
      <c r="J61" s="52">
        <f>H61+I61</f>
        <v>45717</v>
      </c>
      <c r="K61" s="64">
        <f>$H$20-J61</f>
        <v>-60</v>
      </c>
      <c r="L61" s="51">
        <f>E61</f>
        <v>1363162287.5799999</v>
      </c>
      <c r="M61" s="38"/>
      <c r="N61" s="38"/>
      <c r="O61" s="38"/>
      <c r="P61" s="38"/>
    </row>
    <row r="62" spans="1:16" x14ac:dyDescent="0.25">
      <c r="A62" s="97"/>
      <c r="B62" s="68" t="s">
        <v>34</v>
      </c>
      <c r="C62" s="64"/>
      <c r="D62" s="64"/>
      <c r="E62" s="64"/>
      <c r="F62" s="53">
        <f>E61-F60</f>
        <v>9465491.5799999237</v>
      </c>
      <c r="G62" s="64"/>
      <c r="H62" s="64"/>
      <c r="I62" s="64"/>
      <c r="J62" s="64"/>
      <c r="K62" s="64"/>
      <c r="L62" s="64"/>
      <c r="M62" s="64"/>
      <c r="N62" s="64"/>
      <c r="O62" s="64"/>
      <c r="P62" s="64"/>
    </row>
    <row r="63" spans="1:16" x14ac:dyDescent="0.25">
      <c r="A63" s="97"/>
      <c r="B63" s="64"/>
      <c r="C63" s="64"/>
      <c r="D63" s="64"/>
      <c r="E63" s="64"/>
      <c r="F63" s="54"/>
      <c r="G63" s="64"/>
      <c r="H63" s="64"/>
      <c r="I63" s="64"/>
      <c r="J63" s="64"/>
      <c r="K63" s="64"/>
      <c r="L63" s="64"/>
      <c r="M63" s="64"/>
      <c r="N63" s="64"/>
      <c r="O63" s="64"/>
      <c r="P63" s="64"/>
    </row>
    <row r="64" spans="1:16" x14ac:dyDescent="0.25">
      <c r="A64" s="69" t="s">
        <v>131</v>
      </c>
      <c r="B64" s="64"/>
      <c r="C64" s="64"/>
      <c r="D64" s="64"/>
      <c r="E64" s="64"/>
      <c r="F64" s="54">
        <f>E14</f>
        <v>4654491525</v>
      </c>
      <c r="G64" s="64"/>
      <c r="H64" s="64"/>
      <c r="I64" s="64"/>
      <c r="J64" s="64"/>
      <c r="K64" s="64"/>
      <c r="L64" s="64"/>
      <c r="M64" s="64"/>
      <c r="N64" s="64"/>
      <c r="O64" s="64"/>
      <c r="P64" s="64"/>
    </row>
    <row r="65" spans="1:16" customFormat="1" ht="14.5" x14ac:dyDescent="0.35">
      <c r="A65" s="64"/>
      <c r="B65" s="108" t="s">
        <v>118</v>
      </c>
      <c r="C65" s="40">
        <v>141750</v>
      </c>
      <c r="D65" s="65">
        <v>16431</v>
      </c>
      <c r="E65" s="93">
        <f>+C65*D65</f>
        <v>2329094250</v>
      </c>
      <c r="F65" s="40"/>
      <c r="G65" s="39" t="s">
        <v>132</v>
      </c>
      <c r="H65" s="37">
        <v>45657</v>
      </c>
      <c r="I65" s="64">
        <v>60</v>
      </c>
      <c r="J65" s="52">
        <f t="shared" ref="J65:J66" si="14">H65+I65</f>
        <v>45717</v>
      </c>
      <c r="K65" s="64">
        <f t="shared" ref="K65:K66" si="15">$H$20-J65</f>
        <v>-60</v>
      </c>
      <c r="L65" s="51">
        <f t="shared" ref="L65:L66" si="16">E65</f>
        <v>2329094250</v>
      </c>
      <c r="M65" s="64"/>
      <c r="N65" s="64"/>
      <c r="O65" s="64"/>
      <c r="P65" s="64"/>
    </row>
    <row r="66" spans="1:16" customFormat="1" ht="14.5" x14ac:dyDescent="0.35">
      <c r="A66" s="64"/>
      <c r="B66" s="108" t="s">
        <v>118</v>
      </c>
      <c r="C66" s="40">
        <v>141525</v>
      </c>
      <c r="D66" s="65">
        <v>16431</v>
      </c>
      <c r="E66" s="93">
        <f>+C66*D66</f>
        <v>2325397275</v>
      </c>
      <c r="F66" s="40"/>
      <c r="G66" s="39" t="s">
        <v>133</v>
      </c>
      <c r="H66" s="37">
        <v>45657</v>
      </c>
      <c r="I66" s="64">
        <v>60</v>
      </c>
      <c r="J66" s="52">
        <f t="shared" si="14"/>
        <v>45717</v>
      </c>
      <c r="K66" s="64">
        <f t="shared" si="15"/>
        <v>-60</v>
      </c>
      <c r="L66" s="51">
        <f t="shared" si="16"/>
        <v>2325397275</v>
      </c>
      <c r="M66" s="64"/>
      <c r="N66" s="64"/>
      <c r="O66" s="64"/>
      <c r="P66" s="64"/>
    </row>
    <row r="67" spans="1:16" x14ac:dyDescent="0.25">
      <c r="A67" s="97"/>
      <c r="B67" s="68" t="s">
        <v>34</v>
      </c>
      <c r="C67" s="64"/>
      <c r="D67" s="64"/>
      <c r="E67" s="64"/>
      <c r="F67" s="73">
        <f>SUM(E65:E66)-F64</f>
        <v>0</v>
      </c>
      <c r="G67" s="64"/>
      <c r="H67" s="64"/>
      <c r="I67" s="64"/>
      <c r="J67" s="64"/>
      <c r="K67" s="64"/>
      <c r="L67" s="64"/>
      <c r="M67" s="64"/>
      <c r="N67" s="64"/>
      <c r="O67" s="64"/>
      <c r="P67" s="64"/>
    </row>
    <row r="68" spans="1:16" x14ac:dyDescent="0.25">
      <c r="A68" s="97"/>
      <c r="B68" s="64"/>
      <c r="C68" s="64"/>
      <c r="D68" s="64"/>
      <c r="E68" s="64"/>
      <c r="F68" s="54"/>
      <c r="G68" s="64"/>
      <c r="H68" s="64"/>
      <c r="I68" s="64"/>
      <c r="J68" s="64"/>
      <c r="K68" s="64"/>
      <c r="L68" s="64"/>
      <c r="M68" s="64"/>
      <c r="N68" s="64"/>
      <c r="O68" s="64"/>
      <c r="P68" s="64"/>
    </row>
    <row r="69" spans="1:16" x14ac:dyDescent="0.25">
      <c r="A69" s="69" t="s">
        <v>134</v>
      </c>
      <c r="B69" s="64"/>
      <c r="C69" s="64"/>
      <c r="D69" s="64"/>
      <c r="E69" s="64"/>
      <c r="F69" s="54">
        <f>E15</f>
        <v>752163318</v>
      </c>
      <c r="G69" s="64"/>
      <c r="H69" s="64"/>
      <c r="I69" s="64"/>
      <c r="J69" s="64"/>
      <c r="K69" s="64"/>
      <c r="L69" s="64"/>
      <c r="M69" s="64"/>
      <c r="N69" s="64"/>
      <c r="O69" s="64"/>
      <c r="P69" s="64"/>
    </row>
    <row r="70" spans="1:16" customFormat="1" ht="14.5" x14ac:dyDescent="0.35">
      <c r="A70" s="64"/>
      <c r="B70" s="38" t="s">
        <v>135</v>
      </c>
      <c r="C70" s="40">
        <v>46539</v>
      </c>
      <c r="D70" s="65">
        <v>16162</v>
      </c>
      <c r="E70" s="41">
        <f>D70*C70</f>
        <v>752163318</v>
      </c>
      <c r="F70" s="40"/>
      <c r="G70" s="39" t="s">
        <v>136</v>
      </c>
      <c r="H70" s="37">
        <v>45657</v>
      </c>
      <c r="I70" s="64">
        <v>60</v>
      </c>
      <c r="J70" s="52">
        <f>H70+I70</f>
        <v>45717</v>
      </c>
      <c r="K70" s="64">
        <f>$H$20-J70</f>
        <v>-60</v>
      </c>
      <c r="L70" s="51">
        <f>E70</f>
        <v>752163318</v>
      </c>
      <c r="M70" s="64"/>
      <c r="N70" s="64"/>
      <c r="O70" s="64"/>
      <c r="P70" s="64"/>
    </row>
    <row r="71" spans="1:16" x14ac:dyDescent="0.25">
      <c r="A71" s="64"/>
      <c r="B71" s="68" t="s">
        <v>34</v>
      </c>
      <c r="C71" s="64"/>
      <c r="D71" s="64"/>
      <c r="E71" s="64"/>
      <c r="F71" s="53">
        <f>E70-F69</f>
        <v>0</v>
      </c>
      <c r="G71" s="64"/>
      <c r="H71" s="64"/>
      <c r="I71" s="64"/>
      <c r="J71" s="64"/>
      <c r="K71" s="64"/>
      <c r="L71" s="64"/>
      <c r="M71" s="64"/>
      <c r="N71" s="64"/>
      <c r="O71" s="64"/>
      <c r="P71" s="64"/>
    </row>
    <row r="72" spans="1:16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</row>
  </sheetData>
  <mergeCells count="7">
    <mergeCell ref="G22:J22"/>
    <mergeCell ref="K22:P22"/>
    <mergeCell ref="A5:A6"/>
    <mergeCell ref="C5:C6"/>
    <mergeCell ref="D5:D6"/>
    <mergeCell ref="E5:E6"/>
    <mergeCell ref="A22:A2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SQS Consulting</dc:creator>
  <cp:lastModifiedBy>SQS Consulting</cp:lastModifiedBy>
  <dcterms:created xsi:type="dcterms:W3CDTF">2025-03-11T06:25:47Z</dcterms:created>
  <dcterms:modified xsi:type="dcterms:W3CDTF">2025-03-14T03:01:20Z</dcterms:modified>
</cp:coreProperties>
</file>