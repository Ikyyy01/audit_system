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RIA\KONSOLIDASI IAS-ISP\04-1. AFTER IPO\3. Desember 2024\IAS\"/>
    </mc:Choice>
  </mc:AlternateContent>
  <xr:revisionPtr revIDLastSave="0" documentId="13_ncr:1_{E82CA16E-FB02-4D6F-B8C5-36DE68F97061}" xr6:coauthVersionLast="47" xr6:coauthVersionMax="47" xr10:uidLastSave="{00000000-0000-0000-0000-000000000000}"/>
  <bookViews>
    <workbookView xWindow="-110" yWindow="-110" windowWidth="19420" windowHeight="10420" firstSheet="3" activeTab="5" xr2:uid="{3382A2E4-06DB-45C8-A1D6-702EF8E37020}"/>
  </bookViews>
  <sheets>
    <sheet name="AJE CAJE Juni 23" sheetId="7" state="hidden" r:id="rId1"/>
    <sheet name="AJE CAJE Juni 24" sheetId="5" state="hidden" r:id="rId2"/>
    <sheet name="AJE CAJE Sept 23" sheetId="32" state="hidden" r:id="rId3"/>
    <sheet name="AJE CAJE Sept 24" sheetId="33" r:id="rId4"/>
    <sheet name="AJE CAJE Des 24" sheetId="37" r:id="rId5"/>
    <sheet name="WS" sheetId="1" r:id="rId6"/>
    <sheet name="BS" sheetId="3" r:id="rId7"/>
    <sheet name="PL" sheetId="4" r:id="rId8"/>
    <sheet name="LPE" sheetId="31" r:id="rId9"/>
    <sheet name="CF" sheetId="34" r:id="rId10"/>
    <sheet name="CF 2024" sheetId="36" r:id="rId11"/>
    <sheet name="CF 2023" sheetId="35" r:id="rId12"/>
    <sheet name="COGS" sheetId="30" r:id="rId13"/>
    <sheet name="Korfis IAS Des 24" sheetId="6" r:id="rId14"/>
    <sheet name="SPT Badan" sheetId="8" r:id="rId15"/>
    <sheet name="Kas dan Bank" sheetId="9" r:id="rId16"/>
    <sheet name="Piutang Usaha" sheetId="11" r:id="rId17"/>
    <sheet name="Piutang Lain-lain" sheetId="12" r:id="rId18"/>
    <sheet name="Persediaan" sheetId="13" r:id="rId19"/>
    <sheet name="Investasi Pada Entitas Asosiasi" sheetId="14" r:id="rId20"/>
    <sheet name="Utang Usaha" sheetId="26" r:id="rId21"/>
    <sheet name="Utang Lain-lain" sheetId="17" r:id="rId22"/>
    <sheet name="Beban Akrual" sheetId="21" r:id="rId23"/>
    <sheet name="Pajak" sheetId="18" r:id="rId24"/>
    <sheet name="Utang Bank" sheetId="19" r:id="rId25"/>
    <sheet name="Pajak Tangguhan" sheetId="27" r:id="rId26"/>
    <sheet name="Beban Umum &amp; Administrasi" sheetId="23" r:id="rId27"/>
    <sheet name="Beban Bunga dan Keuangan" sheetId="25" r:id="rId28"/>
    <sheet name="Pendapatan" sheetId="24" r:id="rId29"/>
    <sheet name="Liabilitas Imbalan PascaKerja" sheetId="29" r:id="rId30"/>
    <sheet name="Penghasilan Komprehensif Lain" sheetId="28" r:id="rId31"/>
  </sheets>
  <externalReferences>
    <externalReference r:id="rId32"/>
    <externalReference r:id="rId33"/>
    <externalReference r:id="rId3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6" i="36" l="1"/>
  <c r="AM8" i="36"/>
  <c r="U8" i="36"/>
  <c r="O8" i="36"/>
  <c r="M8" i="36"/>
  <c r="G121" i="37" l="1"/>
  <c r="I64" i="1"/>
  <c r="G235" i="1"/>
  <c r="F235" i="1"/>
  <c r="H64" i="1"/>
  <c r="A121" i="37"/>
  <c r="F335" i="1" l="1"/>
  <c r="G335" i="1"/>
  <c r="I117" i="37"/>
  <c r="I473" i="1" s="1"/>
  <c r="A117" i="37"/>
  <c r="H473" i="1" s="1"/>
  <c r="I90" i="37" l="1"/>
  <c r="N33" i="8"/>
  <c r="N35" i="8"/>
  <c r="N37" i="8" s="1"/>
  <c r="N30" i="8"/>
  <c r="F489" i="1"/>
  <c r="H102" i="1"/>
  <c r="H101" i="1"/>
  <c r="G112" i="37"/>
  <c r="I102" i="1" s="1"/>
  <c r="G111" i="37"/>
  <c r="E87" i="6"/>
  <c r="E86" i="6"/>
  <c r="D58" i="6"/>
  <c r="I101" i="1" l="1"/>
  <c r="F77" i="1" l="1"/>
  <c r="G77" i="1"/>
  <c r="A107" i="37"/>
  <c r="H483" i="1" s="1"/>
  <c r="I107" i="37"/>
  <c r="I483" i="1" s="1"/>
  <c r="H93" i="37" l="1"/>
  <c r="I25" i="1"/>
  <c r="C255" i="1" l="1"/>
  <c r="E255" i="1"/>
  <c r="J255" i="1"/>
  <c r="N255" i="1"/>
  <c r="P255" i="1"/>
  <c r="U255" i="1"/>
  <c r="AA255" i="1"/>
  <c r="AC255" i="1"/>
  <c r="AH255" i="1"/>
  <c r="I434" i="1"/>
  <c r="F250" i="1"/>
  <c r="G250" i="1"/>
  <c r="F104" i="1"/>
  <c r="G104" i="1"/>
  <c r="J104" i="1"/>
  <c r="M104" i="1" s="1"/>
  <c r="I41" i="1"/>
  <c r="G40" i="1"/>
  <c r="I39" i="1"/>
  <c r="G38" i="1"/>
  <c r="G37" i="1"/>
  <c r="G35" i="1"/>
  <c r="I31" i="1"/>
  <c r="I30" i="1"/>
  <c r="I29" i="1"/>
  <c r="L41" i="1" l="1"/>
  <c r="L40" i="1"/>
  <c r="L39" i="1"/>
  <c r="L38" i="1"/>
  <c r="L37" i="1"/>
  <c r="L35" i="1"/>
  <c r="I192" i="1" l="1"/>
  <c r="G47" i="37" l="1"/>
  <c r="F45" i="37" s="1"/>
  <c r="I219" i="1"/>
  <c r="E94" i="1"/>
  <c r="D235" i="1"/>
  <c r="E68" i="1"/>
  <c r="J68" i="1"/>
  <c r="F77" i="37"/>
  <c r="F76" i="37"/>
  <c r="F75" i="37"/>
  <c r="F74" i="37"/>
  <c r="F73" i="37"/>
  <c r="F72" i="37"/>
  <c r="F71" i="37"/>
  <c r="F70" i="37"/>
  <c r="F54" i="37"/>
  <c r="F53" i="37"/>
  <c r="F52" i="37"/>
  <c r="I42" i="37"/>
  <c r="F37" i="37"/>
  <c r="F36" i="37"/>
  <c r="F35" i="37"/>
  <c r="F34" i="37"/>
  <c r="F33" i="37"/>
  <c r="G253" i="1" l="1"/>
  <c r="F85" i="37"/>
  <c r="G59" i="37"/>
  <c r="F58" i="37" l="1"/>
  <c r="G102" i="1" s="1"/>
  <c r="I252" i="1"/>
  <c r="F253" i="1"/>
  <c r="A42" i="37" l="1"/>
  <c r="F473" i="1"/>
  <c r="H190" i="1"/>
  <c r="H81" i="37"/>
  <c r="G473" i="1" s="1"/>
  <c r="I190" i="1"/>
  <c r="I38" i="37"/>
  <c r="J67" i="37" l="1"/>
  <c r="I67" i="37"/>
  <c r="I396" i="1" s="1"/>
  <c r="N101" i="1"/>
  <c r="P101" i="1"/>
  <c r="Q101" i="1"/>
  <c r="H332" i="1"/>
  <c r="F58" i="1"/>
  <c r="G58" i="1"/>
  <c r="F54" i="1"/>
  <c r="G54" i="1"/>
  <c r="F55" i="1"/>
  <c r="G55" i="1"/>
  <c r="I78" i="37"/>
  <c r="I332" i="1" s="1"/>
  <c r="F272" i="1"/>
  <c r="G272" i="1"/>
  <c r="A67" i="37"/>
  <c r="H396" i="1" s="1"/>
  <c r="F101" i="1"/>
  <c r="I254" i="1"/>
  <c r="A63" i="37"/>
  <c r="H254" i="1" s="1"/>
  <c r="F62" i="37"/>
  <c r="G101" i="1" s="1"/>
  <c r="F102" i="1"/>
  <c r="A59" i="37"/>
  <c r="F196" i="1" l="1"/>
  <c r="G196" i="1"/>
  <c r="H342" i="1"/>
  <c r="G55" i="37"/>
  <c r="I342" i="1"/>
  <c r="I231" i="1"/>
  <c r="F225" i="1"/>
  <c r="G225" i="1"/>
  <c r="F227" i="1"/>
  <c r="G227" i="1"/>
  <c r="F110" i="1"/>
  <c r="J46" i="37"/>
  <c r="J47" i="37" s="1"/>
  <c r="J48" i="37" s="1"/>
  <c r="J49" i="37" s="1"/>
  <c r="A46" i="37"/>
  <c r="A47" i="37" s="1"/>
  <c r="H229" i="1"/>
  <c r="H231" i="1" l="1"/>
  <c r="A48" i="37"/>
  <c r="A49" i="37" s="1"/>
  <c r="H192" i="1" s="1"/>
  <c r="H219" i="1"/>
  <c r="F41" i="37"/>
  <c r="G268" i="1" s="1"/>
  <c r="I415" i="1"/>
  <c r="H403" i="1" l="1"/>
  <c r="I403" i="1"/>
  <c r="W465" i="1" l="1"/>
  <c r="F313" i="1"/>
  <c r="H109" i="1"/>
  <c r="I109" i="1"/>
  <c r="A30" i="37"/>
  <c r="F29" i="37"/>
  <c r="G313" i="1" s="1"/>
  <c r="F390" i="1" l="1"/>
  <c r="I457" i="1"/>
  <c r="A23" i="37"/>
  <c r="H22" i="37"/>
  <c r="G390" i="1" s="1"/>
  <c r="H457" i="1" l="1"/>
  <c r="A24" i="37"/>
  <c r="A25" i="37" l="1"/>
  <c r="A26" i="37" s="1"/>
  <c r="A27" i="37" s="1"/>
  <c r="H461" i="1"/>
  <c r="I16" i="37" l="1"/>
  <c r="I463" i="1" s="1"/>
  <c r="I15" i="37"/>
  <c r="I462" i="1" s="1"/>
  <c r="I12" i="37"/>
  <c r="I460" i="1" s="1"/>
  <c r="I14" i="37"/>
  <c r="I461" i="1" s="1"/>
  <c r="H11" i="37"/>
  <c r="G19" i="37"/>
  <c r="H129" i="1"/>
  <c r="I129" i="1"/>
  <c r="F18" i="37"/>
  <c r="H126" i="1"/>
  <c r="A6" i="37"/>
  <c r="G10" i="37"/>
  <c r="I126" i="1" s="1"/>
  <c r="F9" i="37"/>
  <c r="F7" i="37"/>
  <c r="G127" i="1" s="1"/>
  <c r="F8" i="37"/>
  <c r="G130" i="1" s="1"/>
  <c r="F6" i="37"/>
  <c r="G131" i="1" s="1"/>
  <c r="F5" i="37"/>
  <c r="G132" i="1" s="1"/>
  <c r="A12" i="37"/>
  <c r="A13" i="37" s="1"/>
  <c r="A14" i="37" s="1"/>
  <c r="A15" i="37" s="1"/>
  <c r="A16" i="37" s="1"/>
  <c r="I456" i="1"/>
  <c r="G457" i="1"/>
  <c r="G128" i="1" l="1"/>
  <c r="A7" i="37"/>
  <c r="A8" i="37" s="1"/>
  <c r="A9" i="37" s="1"/>
  <c r="A10" i="37" s="1"/>
  <c r="F127" i="1"/>
  <c r="E234" i="1" l="1"/>
  <c r="J234" i="1" s="1"/>
  <c r="C235" i="1"/>
  <c r="E233" i="1"/>
  <c r="J233" i="1" s="1"/>
  <c r="E232" i="1"/>
  <c r="J232" i="1" s="1"/>
  <c r="E231" i="1"/>
  <c r="J231" i="1" s="1"/>
  <c r="E111" i="1"/>
  <c r="J111" i="1" s="1"/>
  <c r="E88" i="1"/>
  <c r="J88" i="1" s="1"/>
  <c r="K41" i="31" l="1"/>
  <c r="C2" i="35" l="1"/>
  <c r="C1" i="35"/>
  <c r="B42" i="36"/>
  <c r="B41" i="36"/>
  <c r="B38" i="36"/>
  <c r="B32" i="36"/>
  <c r="B31" i="36"/>
  <c r="B30" i="36"/>
  <c r="B29" i="36"/>
  <c r="B17" i="36"/>
  <c r="B16" i="36"/>
  <c r="B15" i="36"/>
  <c r="B13" i="36"/>
  <c r="F14" i="34" s="1"/>
  <c r="O36" i="36"/>
  <c r="AL470" i="1"/>
  <c r="AL464" i="1"/>
  <c r="AL460" i="1"/>
  <c r="AK458" i="1"/>
  <c r="AL456" i="1"/>
  <c r="AL454" i="1"/>
  <c r="AL453" i="1"/>
  <c r="AL452" i="1"/>
  <c r="AL451" i="1"/>
  <c r="AL450" i="1"/>
  <c r="AL446" i="1"/>
  <c r="AL445" i="1"/>
  <c r="AL444" i="1"/>
  <c r="AL443" i="1"/>
  <c r="AL442" i="1"/>
  <c r="AL441" i="1"/>
  <c r="AL440" i="1"/>
  <c r="AL439" i="1"/>
  <c r="AL438" i="1"/>
  <c r="AL437" i="1"/>
  <c r="AL435" i="1"/>
  <c r="AL434" i="1"/>
  <c r="AL433" i="1"/>
  <c r="AL432" i="1"/>
  <c r="AL430" i="1"/>
  <c r="AL429" i="1"/>
  <c r="AL428" i="1"/>
  <c r="AL427" i="1"/>
  <c r="AL426" i="1"/>
  <c r="AL425" i="1"/>
  <c r="AL423" i="1"/>
  <c r="AL422" i="1"/>
  <c r="AL421" i="1"/>
  <c r="AL420" i="1"/>
  <c r="AL419" i="1"/>
  <c r="AL414" i="1"/>
  <c r="AL413" i="1"/>
  <c r="AL412" i="1"/>
  <c r="AL411" i="1"/>
  <c r="AL410" i="1"/>
  <c r="AL409" i="1"/>
  <c r="AL408" i="1"/>
  <c r="AL407" i="1"/>
  <c r="AL406" i="1"/>
  <c r="AL405" i="1"/>
  <c r="AL404" i="1"/>
  <c r="AL403" i="1"/>
  <c r="AL396" i="1"/>
  <c r="AL395" i="1"/>
  <c r="AL394" i="1"/>
  <c r="AL393" i="1"/>
  <c r="AL392" i="1"/>
  <c r="AL391" i="1"/>
  <c r="AL390" i="1"/>
  <c r="AL389" i="1"/>
  <c r="AL387" i="1"/>
  <c r="AL386" i="1"/>
  <c r="AL384" i="1"/>
  <c r="AL383" i="1"/>
  <c r="AL382" i="1"/>
  <c r="AL381" i="1"/>
  <c r="AL380" i="1"/>
  <c r="AL379" i="1"/>
  <c r="AL373" i="1"/>
  <c r="AL372" i="1"/>
  <c r="AL371" i="1"/>
  <c r="AL368" i="1"/>
  <c r="AL367" i="1"/>
  <c r="AL360" i="1"/>
  <c r="AL356" i="1"/>
  <c r="AL355" i="1"/>
  <c r="AL354" i="1"/>
  <c r="AL353" i="1"/>
  <c r="AL352" i="1"/>
  <c r="AL348" i="1"/>
  <c r="AL346" i="1"/>
  <c r="AL344" i="1"/>
  <c r="AL342" i="1"/>
  <c r="AL341" i="1"/>
  <c r="AL338" i="1"/>
  <c r="AL335" i="1"/>
  <c r="AL332" i="1"/>
  <c r="AL325" i="1"/>
  <c r="AL311" i="1"/>
  <c r="AL309" i="1"/>
  <c r="AL254" i="1"/>
  <c r="AL253" i="1"/>
  <c r="AL252" i="1"/>
  <c r="AL250" i="1"/>
  <c r="AL247" i="1"/>
  <c r="AL246" i="1"/>
  <c r="AL243" i="1"/>
  <c r="AL239" i="1"/>
  <c r="AL235" i="1"/>
  <c r="AL211" i="1"/>
  <c r="AL210" i="1"/>
  <c r="AL207" i="1"/>
  <c r="AL204" i="1"/>
  <c r="AL203" i="1"/>
  <c r="AL202" i="1"/>
  <c r="AL201" i="1"/>
  <c r="AL199" i="1"/>
  <c r="AL196" i="1"/>
  <c r="AL195" i="1"/>
  <c r="AL194" i="1"/>
  <c r="AL193" i="1"/>
  <c r="AL189" i="1"/>
  <c r="AL188" i="1"/>
  <c r="AL187" i="1"/>
  <c r="AL183" i="1"/>
  <c r="AL181" i="1"/>
  <c r="AL180" i="1"/>
  <c r="AL179" i="1"/>
  <c r="AL177" i="1"/>
  <c r="AL166" i="1"/>
  <c r="AL165" i="1"/>
  <c r="AL164" i="1"/>
  <c r="AL148" i="1"/>
  <c r="AK149" i="1"/>
  <c r="AJ149" i="1"/>
  <c r="AL146" i="1"/>
  <c r="AL145" i="1"/>
  <c r="AL133" i="1"/>
  <c r="AL132" i="1"/>
  <c r="AL131" i="1"/>
  <c r="AL130" i="1"/>
  <c r="AL129" i="1"/>
  <c r="AL128" i="1"/>
  <c r="AL127" i="1"/>
  <c r="AL126" i="1"/>
  <c r="AL123" i="1"/>
  <c r="AL122" i="1"/>
  <c r="AL121" i="1"/>
  <c r="AL120" i="1"/>
  <c r="AL119" i="1"/>
  <c r="AL118" i="1"/>
  <c r="AL117" i="1"/>
  <c r="AL116" i="1"/>
  <c r="AL115" i="1"/>
  <c r="AL106" i="1"/>
  <c r="AL100" i="1"/>
  <c r="AL99" i="1"/>
  <c r="AL95" i="1"/>
  <c r="AL94" i="1"/>
  <c r="AL93" i="1"/>
  <c r="AL92" i="1"/>
  <c r="AL85" i="1"/>
  <c r="AL84" i="1"/>
  <c r="AL83" i="1"/>
  <c r="AL77" i="1"/>
  <c r="AL73" i="1"/>
  <c r="AL72" i="1"/>
  <c r="AL64" i="1"/>
  <c r="AL63" i="1"/>
  <c r="AL61" i="1"/>
  <c r="AL60" i="1"/>
  <c r="AL59" i="1"/>
  <c r="AL55" i="1"/>
  <c r="AL54" i="1"/>
  <c r="AL49" i="1"/>
  <c r="AL48" i="1"/>
  <c r="AL47" i="1"/>
  <c r="AL46" i="1"/>
  <c r="AL20" i="1"/>
  <c r="AL18" i="1"/>
  <c r="Y500" i="1"/>
  <c r="Y497" i="1"/>
  <c r="Y492" i="1"/>
  <c r="Y489" i="1"/>
  <c r="Y482" i="1"/>
  <c r="Y481" i="1"/>
  <c r="Y476" i="1"/>
  <c r="Y477" i="1"/>
  <c r="Y473" i="1"/>
  <c r="Y472" i="1"/>
  <c r="Y471" i="1"/>
  <c r="Y470" i="1"/>
  <c r="Y460" i="1"/>
  <c r="Y456" i="1"/>
  <c r="Y454" i="1"/>
  <c r="Y453" i="1"/>
  <c r="Y452" i="1"/>
  <c r="Y451" i="1"/>
  <c r="Y450" i="1"/>
  <c r="Y449" i="1"/>
  <c r="Y446" i="1"/>
  <c r="Y445" i="1"/>
  <c r="Y444" i="1"/>
  <c r="Y443" i="1"/>
  <c r="Y442" i="1"/>
  <c r="Y441" i="1"/>
  <c r="Y440" i="1"/>
  <c r="Y439" i="1"/>
  <c r="Y438" i="1"/>
  <c r="Y435" i="1"/>
  <c r="Y434" i="1"/>
  <c r="Y433" i="1"/>
  <c r="Y432" i="1"/>
  <c r="Y430" i="1"/>
  <c r="Y429" i="1"/>
  <c r="Y428" i="1"/>
  <c r="Y427" i="1"/>
  <c r="Y426" i="1"/>
  <c r="Y425" i="1"/>
  <c r="Y422" i="1"/>
  <c r="Y421" i="1"/>
  <c r="Y420" i="1"/>
  <c r="Y419" i="1"/>
  <c r="Y414" i="1"/>
  <c r="Y413" i="1"/>
  <c r="Y412" i="1"/>
  <c r="Y411" i="1"/>
  <c r="Y410" i="1"/>
  <c r="Y409" i="1"/>
  <c r="Y408" i="1"/>
  <c r="Y407" i="1"/>
  <c r="Y406" i="1"/>
  <c r="Y404" i="1"/>
  <c r="Y403" i="1"/>
  <c r="Y396" i="1"/>
  <c r="Y395" i="1"/>
  <c r="Y394" i="1"/>
  <c r="Y393" i="1"/>
  <c r="Y392" i="1"/>
  <c r="Y391" i="1"/>
  <c r="Y390" i="1"/>
  <c r="Y389" i="1"/>
  <c r="Y387" i="1"/>
  <c r="Y386" i="1"/>
  <c r="Y385" i="1"/>
  <c r="Y384" i="1"/>
  <c r="Y383" i="1"/>
  <c r="Y382" i="1"/>
  <c r="Y381" i="1"/>
  <c r="Y380" i="1"/>
  <c r="Y379" i="1"/>
  <c r="Y372" i="1"/>
  <c r="Y371" i="1"/>
  <c r="Y368" i="1"/>
  <c r="Y367" i="1"/>
  <c r="Y361" i="1"/>
  <c r="Y360" i="1"/>
  <c r="Y355" i="1"/>
  <c r="Y353" i="1"/>
  <c r="Y352" i="1"/>
  <c r="Y348" i="1"/>
  <c r="Y346" i="1"/>
  <c r="Y344" i="1"/>
  <c r="Y342" i="1"/>
  <c r="Y341" i="1"/>
  <c r="Y335" i="1"/>
  <c r="Y332" i="1"/>
  <c r="Y325" i="1"/>
  <c r="Y324" i="1"/>
  <c r="Y322" i="1"/>
  <c r="Y311" i="1"/>
  <c r="Y309" i="1"/>
  <c r="Y291" i="1"/>
  <c r="Y277" i="1"/>
  <c r="Y275" i="1"/>
  <c r="Y274" i="1"/>
  <c r="Y272" i="1"/>
  <c r="M12" i="36" l="1"/>
  <c r="M58" i="36" s="1"/>
  <c r="U37" i="36"/>
  <c r="AM12" i="36"/>
  <c r="AM58" i="36" s="1"/>
  <c r="Y271" i="1"/>
  <c r="Y270" i="1"/>
  <c r="Y269" i="1"/>
  <c r="Y268" i="1"/>
  <c r="Y264" i="1"/>
  <c r="Y263" i="1"/>
  <c r="Y254" i="1"/>
  <c r="Y253" i="1"/>
  <c r="Y252" i="1"/>
  <c r="Y250" i="1"/>
  <c r="Y244" i="1"/>
  <c r="Y243" i="1"/>
  <c r="Y239" i="1"/>
  <c r="Y235" i="1"/>
  <c r="Y216" i="1"/>
  <c r="Y215" i="1"/>
  <c r="Y214" i="1"/>
  <c r="Y213" i="1"/>
  <c r="Y212" i="1"/>
  <c r="Y207" i="1"/>
  <c r="Y203" i="1"/>
  <c r="Y202" i="1"/>
  <c r="Y201" i="1"/>
  <c r="Y200" i="1"/>
  <c r="Y198" i="1"/>
  <c r="Y196" i="1"/>
  <c r="Y190" i="1"/>
  <c r="Y183" i="1"/>
  <c r="Y181" i="1"/>
  <c r="Y178" i="1"/>
  <c r="Y174" i="1"/>
  <c r="Y173" i="1"/>
  <c r="Y172" i="1"/>
  <c r="Y171" i="1"/>
  <c r="Y170" i="1"/>
  <c r="Y169" i="1"/>
  <c r="Y148" i="1"/>
  <c r="Y146" i="1"/>
  <c r="Y145" i="1"/>
  <c r="Y141" i="1"/>
  <c r="Y137" i="1"/>
  <c r="Y136" i="1"/>
  <c r="Y133" i="1"/>
  <c r="Y132" i="1"/>
  <c r="Y131" i="1"/>
  <c r="Y130" i="1"/>
  <c r="Y129" i="1"/>
  <c r="Y128" i="1"/>
  <c r="Y127" i="1"/>
  <c r="Y126" i="1"/>
  <c r="Y123" i="1"/>
  <c r="Y122" i="1"/>
  <c r="Y121" i="1"/>
  <c r="Y120" i="1"/>
  <c r="Y119" i="1"/>
  <c r="Y118" i="1"/>
  <c r="Y117" i="1"/>
  <c r="Y116" i="1"/>
  <c r="Y115" i="1"/>
  <c r="Y109" i="1"/>
  <c r="Y100" i="1"/>
  <c r="Y99" i="1"/>
  <c r="Y95" i="1"/>
  <c r="Y94" i="1"/>
  <c r="Y93" i="1"/>
  <c r="Y92" i="1"/>
  <c r="Y85" i="1"/>
  <c r="Y86" i="1"/>
  <c r="Y83" i="1"/>
  <c r="Y77" i="1"/>
  <c r="Y73" i="1"/>
  <c r="Y66" i="1"/>
  <c r="Y64" i="1"/>
  <c r="Y63" i="1"/>
  <c r="Y60" i="1"/>
  <c r="Y59" i="1"/>
  <c r="Y55" i="1"/>
  <c r="Y50" i="1"/>
  <c r="Y46" i="1"/>
  <c r="Y25" i="1"/>
  <c r="Y20" i="1"/>
  <c r="Y18" i="1"/>
  <c r="B37" i="36" l="1"/>
  <c r="F50" i="34" s="1"/>
  <c r="U58" i="36"/>
  <c r="H14" i="34"/>
  <c r="AA6" i="35" l="1"/>
  <c r="B41" i="35"/>
  <c r="B40" i="35"/>
  <c r="B38" i="35"/>
  <c r="B32" i="35"/>
  <c r="B31" i="35"/>
  <c r="B30" i="35"/>
  <c r="B29" i="35"/>
  <c r="B17" i="35"/>
  <c r="B16" i="35"/>
  <c r="B15" i="35"/>
  <c r="B13" i="35"/>
  <c r="AJ8" i="35"/>
  <c r="AA8" i="35"/>
  <c r="U8" i="35"/>
  <c r="O8" i="35"/>
  <c r="O36" i="35" s="1"/>
  <c r="M8" i="35"/>
  <c r="C3" i="35"/>
  <c r="A2" i="35" s="1"/>
  <c r="M12" i="35" l="1"/>
  <c r="M53" i="35" s="1"/>
  <c r="U37" i="35"/>
  <c r="AA27" i="35"/>
  <c r="B50" i="35"/>
  <c r="AK7" i="35"/>
  <c r="AL7" i="35" s="1"/>
  <c r="AJ12" i="35"/>
  <c r="AJ53" i="35" s="1"/>
  <c r="B27" i="35" l="1"/>
  <c r="H38" i="34" s="1"/>
  <c r="AA53" i="35"/>
  <c r="B37" i="35"/>
  <c r="U53" i="35"/>
  <c r="E16" i="24" l="1"/>
  <c r="E22" i="25"/>
  <c r="E44" i="23"/>
  <c r="E15" i="23"/>
  <c r="E17" i="27"/>
  <c r="E22" i="19"/>
  <c r="E53" i="18"/>
  <c r="E7" i="14"/>
  <c r="E9" i="14" s="1"/>
  <c r="B46" i="8"/>
  <c r="F152" i="6"/>
  <c r="F151" i="6"/>
  <c r="F150" i="6"/>
  <c r="D107" i="6"/>
  <c r="F101" i="6"/>
  <c r="F38" i="6"/>
  <c r="F61" i="31"/>
  <c r="P61" i="31"/>
  <c r="R69" i="31"/>
  <c r="P67" i="31"/>
  <c r="T67" i="31" s="1"/>
  <c r="T63" i="31"/>
  <c r="T61" i="31"/>
  <c r="H60" i="3"/>
  <c r="E371" i="1"/>
  <c r="E368" i="1"/>
  <c r="E367" i="1"/>
  <c r="E352" i="1"/>
  <c r="E341" i="1"/>
  <c r="E500" i="1"/>
  <c r="E501" i="1" s="1"/>
  <c r="E497" i="1"/>
  <c r="E498" i="1" s="1"/>
  <c r="E492" i="1"/>
  <c r="J492" i="1" s="1"/>
  <c r="E491" i="1"/>
  <c r="J491" i="1" s="1"/>
  <c r="E489" i="1"/>
  <c r="E484" i="1"/>
  <c r="E483" i="1"/>
  <c r="E482" i="1"/>
  <c r="J482" i="1" s="1"/>
  <c r="E481" i="1"/>
  <c r="J481" i="1" s="1"/>
  <c r="E480" i="1"/>
  <c r="E479" i="1"/>
  <c r="E478" i="1"/>
  <c r="E477" i="1"/>
  <c r="E476" i="1"/>
  <c r="E473" i="1"/>
  <c r="E472" i="1"/>
  <c r="E471" i="1"/>
  <c r="E470" i="1"/>
  <c r="E464" i="1"/>
  <c r="J464" i="1" s="1"/>
  <c r="E463" i="1"/>
  <c r="E462" i="1"/>
  <c r="E461" i="1"/>
  <c r="E460" i="1"/>
  <c r="J460" i="1" s="1"/>
  <c r="E459" i="1"/>
  <c r="E458" i="1"/>
  <c r="E457" i="1"/>
  <c r="E456" i="1"/>
  <c r="J456" i="1" s="1"/>
  <c r="E455" i="1"/>
  <c r="E454" i="1"/>
  <c r="E453" i="1"/>
  <c r="E452" i="1"/>
  <c r="J452" i="1" s="1"/>
  <c r="E451" i="1"/>
  <c r="E450" i="1"/>
  <c r="E449" i="1"/>
  <c r="E448" i="1"/>
  <c r="J448" i="1" s="1"/>
  <c r="E447" i="1"/>
  <c r="E446" i="1"/>
  <c r="E445" i="1"/>
  <c r="E444" i="1"/>
  <c r="J444" i="1" s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5" i="1"/>
  <c r="E414" i="1"/>
  <c r="E413" i="1"/>
  <c r="J413" i="1" s="1"/>
  <c r="E412" i="1"/>
  <c r="E411" i="1"/>
  <c r="E410" i="1"/>
  <c r="E409" i="1"/>
  <c r="J409" i="1" s="1"/>
  <c r="E408" i="1"/>
  <c r="E407" i="1"/>
  <c r="E406" i="1"/>
  <c r="E405" i="1"/>
  <c r="J405" i="1" s="1"/>
  <c r="E404" i="1"/>
  <c r="E403" i="1"/>
  <c r="J403" i="1" s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2" i="1"/>
  <c r="E363" i="1"/>
  <c r="E362" i="1"/>
  <c r="E361" i="1"/>
  <c r="E360" i="1"/>
  <c r="E355" i="1"/>
  <c r="E353" i="1"/>
  <c r="E348" i="1"/>
  <c r="E346" i="1"/>
  <c r="E342" i="1"/>
  <c r="E343" i="1" s="1"/>
  <c r="E345" i="1" s="1"/>
  <c r="E347" i="1" s="1"/>
  <c r="E349" i="1" s="1"/>
  <c r="E337" i="1"/>
  <c r="E335" i="1"/>
  <c r="E332" i="1"/>
  <c r="E338" i="1" s="1"/>
  <c r="E313" i="1"/>
  <c r="E312" i="1"/>
  <c r="E310" i="1"/>
  <c r="E303" i="1"/>
  <c r="E265" i="1"/>
  <c r="E229" i="1"/>
  <c r="E228" i="1"/>
  <c r="E227" i="1"/>
  <c r="E226" i="1"/>
  <c r="E219" i="1"/>
  <c r="E97" i="1"/>
  <c r="D12" i="1" s="1"/>
  <c r="E89" i="1"/>
  <c r="E34" i="1"/>
  <c r="E33" i="1"/>
  <c r="J33" i="1" s="1"/>
  <c r="M33" i="1" s="1"/>
  <c r="C325" i="1"/>
  <c r="E325" i="1" s="1"/>
  <c r="J325" i="1" s="1"/>
  <c r="C324" i="1"/>
  <c r="E324" i="1" s="1"/>
  <c r="C321" i="1"/>
  <c r="E321" i="1" s="1"/>
  <c r="C311" i="1"/>
  <c r="E311" i="1" s="1"/>
  <c r="J311" i="1" s="1"/>
  <c r="C309" i="1"/>
  <c r="C302" i="1"/>
  <c r="E302" i="1" s="1"/>
  <c r="J302" i="1" s="1"/>
  <c r="C301" i="1"/>
  <c r="E301" i="1" s="1"/>
  <c r="J301" i="1" s="1"/>
  <c r="C300" i="1"/>
  <c r="E300" i="1" s="1"/>
  <c r="C299" i="1"/>
  <c r="E299" i="1" s="1"/>
  <c r="C298" i="1"/>
  <c r="C295" i="1"/>
  <c r="E295" i="1" s="1"/>
  <c r="C291" i="1"/>
  <c r="E291" i="1" s="1"/>
  <c r="E292" i="1" s="1"/>
  <c r="C284" i="1"/>
  <c r="E284" i="1" s="1"/>
  <c r="C283" i="1"/>
  <c r="E283" i="1" s="1"/>
  <c r="E285" i="1" s="1"/>
  <c r="C280" i="1"/>
  <c r="E280" i="1" s="1"/>
  <c r="C277" i="1"/>
  <c r="C276" i="1"/>
  <c r="E276" i="1" s="1"/>
  <c r="C275" i="1"/>
  <c r="E275" i="1" s="1"/>
  <c r="C274" i="1"/>
  <c r="E274" i="1" s="1"/>
  <c r="J274" i="1" s="1"/>
  <c r="C273" i="1"/>
  <c r="C272" i="1"/>
  <c r="E272" i="1" s="1"/>
  <c r="C271" i="1"/>
  <c r="E271" i="1" s="1"/>
  <c r="J271" i="1" s="1"/>
  <c r="C270" i="1"/>
  <c r="E270" i="1" s="1"/>
  <c r="C269" i="1"/>
  <c r="E269" i="1" s="1"/>
  <c r="C268" i="1"/>
  <c r="E268" i="1" s="1"/>
  <c r="C264" i="1"/>
  <c r="E264" i="1" s="1"/>
  <c r="J264" i="1" s="1"/>
  <c r="C263" i="1"/>
  <c r="E263" i="1" s="1"/>
  <c r="J263" i="1" s="1"/>
  <c r="C262" i="1"/>
  <c r="E262" i="1" s="1"/>
  <c r="C261" i="1"/>
  <c r="E261" i="1" s="1"/>
  <c r="J261" i="1" s="1"/>
  <c r="C260" i="1"/>
  <c r="E260" i="1" s="1"/>
  <c r="J260" i="1" s="1"/>
  <c r="C259" i="1"/>
  <c r="E259" i="1" s="1"/>
  <c r="J259" i="1" s="1"/>
  <c r="C258" i="1"/>
  <c r="E258" i="1" s="1"/>
  <c r="C257" i="1"/>
  <c r="E257" i="1" s="1"/>
  <c r="J257" i="1" s="1"/>
  <c r="C256" i="1"/>
  <c r="E256" i="1" s="1"/>
  <c r="J256" i="1" s="1"/>
  <c r="C254" i="1"/>
  <c r="E254" i="1" s="1"/>
  <c r="C253" i="1"/>
  <c r="E253" i="1" s="1"/>
  <c r="J253" i="1" s="1"/>
  <c r="C252" i="1"/>
  <c r="C251" i="1"/>
  <c r="E251" i="1" s="1"/>
  <c r="J251" i="1" s="1"/>
  <c r="C250" i="1"/>
  <c r="E250" i="1" s="1"/>
  <c r="C247" i="1"/>
  <c r="E247" i="1" s="1"/>
  <c r="C246" i="1"/>
  <c r="E246" i="1" s="1"/>
  <c r="J246" i="1" s="1"/>
  <c r="C245" i="1"/>
  <c r="E245" i="1" s="1"/>
  <c r="C244" i="1"/>
  <c r="E244" i="1" s="1"/>
  <c r="J244" i="1" s="1"/>
  <c r="C243" i="1"/>
  <c r="E243" i="1" s="1"/>
  <c r="C248" i="1"/>
  <c r="C239" i="1"/>
  <c r="E239" i="1" s="1"/>
  <c r="E241" i="1" s="1"/>
  <c r="E235" i="1"/>
  <c r="E230" i="1"/>
  <c r="J230" i="1" s="1"/>
  <c r="C225" i="1"/>
  <c r="E225" i="1" s="1"/>
  <c r="J225" i="1" s="1"/>
  <c r="C224" i="1"/>
  <c r="E224" i="1" s="1"/>
  <c r="C223" i="1"/>
  <c r="E223" i="1" s="1"/>
  <c r="C222" i="1"/>
  <c r="E222" i="1" s="1"/>
  <c r="C221" i="1"/>
  <c r="E221" i="1" s="1"/>
  <c r="J221" i="1" s="1"/>
  <c r="C220" i="1"/>
  <c r="E220" i="1" s="1"/>
  <c r="C218" i="1"/>
  <c r="E218" i="1" s="1"/>
  <c r="E217" i="1"/>
  <c r="C216" i="1"/>
  <c r="E216" i="1" s="1"/>
  <c r="J216" i="1" s="1"/>
  <c r="C215" i="1"/>
  <c r="E215" i="1" s="1"/>
  <c r="C214" i="1"/>
  <c r="E214" i="1" s="1"/>
  <c r="J214" i="1" s="1"/>
  <c r="C213" i="1"/>
  <c r="E213" i="1" s="1"/>
  <c r="C212" i="1"/>
  <c r="E212" i="1" s="1"/>
  <c r="J212" i="1" s="1"/>
  <c r="C211" i="1"/>
  <c r="E211" i="1" s="1"/>
  <c r="C210" i="1"/>
  <c r="E210" i="1" s="1"/>
  <c r="C209" i="1"/>
  <c r="E209" i="1" s="1"/>
  <c r="C208" i="1"/>
  <c r="E208" i="1" s="1"/>
  <c r="J208" i="1" s="1"/>
  <c r="C207" i="1"/>
  <c r="E207" i="1" s="1"/>
  <c r="C206" i="1"/>
  <c r="E206" i="1" s="1"/>
  <c r="C205" i="1"/>
  <c r="E205" i="1" s="1"/>
  <c r="J205" i="1" s="1"/>
  <c r="C204" i="1"/>
  <c r="E204" i="1" s="1"/>
  <c r="J204" i="1" s="1"/>
  <c r="C203" i="1"/>
  <c r="E203" i="1" s="1"/>
  <c r="C202" i="1"/>
  <c r="E202" i="1" s="1"/>
  <c r="C201" i="1"/>
  <c r="E201" i="1" s="1"/>
  <c r="C200" i="1"/>
  <c r="E200" i="1" s="1"/>
  <c r="J200" i="1" s="1"/>
  <c r="C199" i="1"/>
  <c r="E199" i="1" s="1"/>
  <c r="C198" i="1"/>
  <c r="E198" i="1" s="1"/>
  <c r="J198" i="1" s="1"/>
  <c r="C197" i="1"/>
  <c r="E197" i="1" s="1"/>
  <c r="J197" i="1" s="1"/>
  <c r="C196" i="1"/>
  <c r="E196" i="1" s="1"/>
  <c r="J196" i="1" s="1"/>
  <c r="C195" i="1"/>
  <c r="E195" i="1" s="1"/>
  <c r="J195" i="1" s="1"/>
  <c r="C194" i="1"/>
  <c r="E194" i="1" s="1"/>
  <c r="C193" i="1"/>
  <c r="E193" i="1" s="1"/>
  <c r="C192" i="1"/>
  <c r="E192" i="1" s="1"/>
  <c r="J192" i="1" s="1"/>
  <c r="C191" i="1"/>
  <c r="E191" i="1" s="1"/>
  <c r="C190" i="1"/>
  <c r="E190" i="1" s="1"/>
  <c r="C189" i="1"/>
  <c r="E189" i="1" s="1"/>
  <c r="C188" i="1"/>
  <c r="E188" i="1" s="1"/>
  <c r="J188" i="1" s="1"/>
  <c r="C187" i="1"/>
  <c r="E187" i="1" s="1"/>
  <c r="C186" i="1"/>
  <c r="E186" i="1" s="1"/>
  <c r="C185" i="1"/>
  <c r="E185" i="1" s="1"/>
  <c r="C184" i="1"/>
  <c r="E184" i="1" s="1"/>
  <c r="J184" i="1" s="1"/>
  <c r="C183" i="1"/>
  <c r="E183" i="1" s="1"/>
  <c r="C182" i="1"/>
  <c r="E182" i="1" s="1"/>
  <c r="J182" i="1" s="1"/>
  <c r="C181" i="1"/>
  <c r="E181" i="1" s="1"/>
  <c r="J181" i="1" s="1"/>
  <c r="C180" i="1"/>
  <c r="C179" i="1"/>
  <c r="E179" i="1" s="1"/>
  <c r="C178" i="1"/>
  <c r="E178" i="1" s="1"/>
  <c r="C177" i="1"/>
  <c r="E177" i="1" s="1"/>
  <c r="C174" i="1"/>
  <c r="E174" i="1" s="1"/>
  <c r="C173" i="1"/>
  <c r="E173" i="1" s="1"/>
  <c r="J173" i="1" s="1"/>
  <c r="C172" i="1"/>
  <c r="E172" i="1" s="1"/>
  <c r="C171" i="1"/>
  <c r="E171" i="1" s="1"/>
  <c r="J171" i="1" s="1"/>
  <c r="C170" i="1"/>
  <c r="E170" i="1" s="1"/>
  <c r="J170" i="1" s="1"/>
  <c r="C169" i="1"/>
  <c r="E169" i="1" s="1"/>
  <c r="J169" i="1" s="1"/>
  <c r="C167" i="1"/>
  <c r="E167" i="1" s="1"/>
  <c r="C166" i="1"/>
  <c r="E166" i="1" s="1"/>
  <c r="C165" i="1"/>
  <c r="E165" i="1" s="1"/>
  <c r="J165" i="1" s="1"/>
  <c r="C164" i="1"/>
  <c r="C148" i="1"/>
  <c r="E148" i="1" s="1"/>
  <c r="C146" i="1"/>
  <c r="E146" i="1" s="1"/>
  <c r="C145" i="1"/>
  <c r="C141" i="1"/>
  <c r="C137" i="1"/>
  <c r="E137" i="1" s="1"/>
  <c r="J137" i="1" s="1"/>
  <c r="C136" i="1"/>
  <c r="E136" i="1" s="1"/>
  <c r="E138" i="1" s="1"/>
  <c r="C133" i="1"/>
  <c r="E133" i="1" s="1"/>
  <c r="J133" i="1" s="1"/>
  <c r="C132" i="1"/>
  <c r="E132" i="1" s="1"/>
  <c r="J132" i="1" s="1"/>
  <c r="C131" i="1"/>
  <c r="E131" i="1" s="1"/>
  <c r="C130" i="1"/>
  <c r="E130" i="1" s="1"/>
  <c r="J130" i="1" s="1"/>
  <c r="C129" i="1"/>
  <c r="E129" i="1" s="1"/>
  <c r="J129" i="1" s="1"/>
  <c r="C128" i="1"/>
  <c r="E128" i="1" s="1"/>
  <c r="C127" i="1"/>
  <c r="E127" i="1" s="1"/>
  <c r="C126" i="1"/>
  <c r="E126" i="1" s="1"/>
  <c r="C134" i="1"/>
  <c r="C123" i="1"/>
  <c r="E123" i="1" s="1"/>
  <c r="J123" i="1" s="1"/>
  <c r="C122" i="1"/>
  <c r="E122" i="1" s="1"/>
  <c r="C121" i="1"/>
  <c r="E121" i="1" s="1"/>
  <c r="C120" i="1"/>
  <c r="E120" i="1" s="1"/>
  <c r="C119" i="1"/>
  <c r="E119" i="1" s="1"/>
  <c r="J119" i="1" s="1"/>
  <c r="C118" i="1"/>
  <c r="E118" i="1" s="1"/>
  <c r="C117" i="1"/>
  <c r="E117" i="1" s="1"/>
  <c r="C116" i="1"/>
  <c r="E116" i="1" s="1"/>
  <c r="J116" i="1" s="1"/>
  <c r="C115" i="1"/>
  <c r="E115" i="1" s="1"/>
  <c r="C109" i="1"/>
  <c r="E109" i="1" s="1"/>
  <c r="C106" i="1"/>
  <c r="E106" i="1" s="1"/>
  <c r="C103" i="1"/>
  <c r="E103" i="1" s="1"/>
  <c r="J103" i="1" s="1"/>
  <c r="C102" i="1"/>
  <c r="E102" i="1" s="1"/>
  <c r="J102" i="1" s="1"/>
  <c r="C101" i="1"/>
  <c r="E101" i="1" s="1"/>
  <c r="J101" i="1" s="1"/>
  <c r="C100" i="1"/>
  <c r="E100" i="1" s="1"/>
  <c r="C99" i="1"/>
  <c r="C95" i="1"/>
  <c r="C94" i="1"/>
  <c r="C93" i="1"/>
  <c r="C92" i="1"/>
  <c r="C97" i="1" s="1"/>
  <c r="C87" i="1"/>
  <c r="E87" i="1" s="1"/>
  <c r="C85" i="1"/>
  <c r="E85" i="1" s="1"/>
  <c r="C84" i="1"/>
  <c r="E84" i="1" s="1"/>
  <c r="J84" i="1" s="1"/>
  <c r="C83" i="1"/>
  <c r="C90" i="1" s="1"/>
  <c r="C77" i="1"/>
  <c r="E77" i="1" s="1"/>
  <c r="E79" i="1" s="1"/>
  <c r="C73" i="1"/>
  <c r="E73" i="1" s="1"/>
  <c r="C72" i="1"/>
  <c r="E72" i="1" s="1"/>
  <c r="E75" i="1" s="1"/>
  <c r="C67" i="1"/>
  <c r="E67" i="1" s="1"/>
  <c r="J67" i="1" s="1"/>
  <c r="C66" i="1"/>
  <c r="E66" i="1" s="1"/>
  <c r="C65" i="1"/>
  <c r="E65" i="1" s="1"/>
  <c r="J65" i="1" s="1"/>
  <c r="C64" i="1"/>
  <c r="E64" i="1" s="1"/>
  <c r="C63" i="1"/>
  <c r="E63" i="1" s="1"/>
  <c r="J63" i="1" s="1"/>
  <c r="C62" i="1"/>
  <c r="E62" i="1" s="1"/>
  <c r="C61" i="1"/>
  <c r="E61" i="1" s="1"/>
  <c r="C60" i="1"/>
  <c r="E60" i="1" s="1"/>
  <c r="C59" i="1"/>
  <c r="E59" i="1" s="1"/>
  <c r="J59" i="1" s="1"/>
  <c r="C58" i="1"/>
  <c r="E58" i="1" s="1"/>
  <c r="C57" i="1"/>
  <c r="E57" i="1" s="1"/>
  <c r="C56" i="1"/>
  <c r="E56" i="1" s="1"/>
  <c r="J56" i="1" s="1"/>
  <c r="C55" i="1"/>
  <c r="E55" i="1" s="1"/>
  <c r="J55" i="1" s="1"/>
  <c r="C54" i="1"/>
  <c r="E54" i="1" s="1"/>
  <c r="C53" i="1"/>
  <c r="C52" i="1"/>
  <c r="C51" i="1"/>
  <c r="E51" i="1" s="1"/>
  <c r="J51" i="1" s="1"/>
  <c r="C50" i="1"/>
  <c r="E50" i="1" s="1"/>
  <c r="C49" i="1"/>
  <c r="E49" i="1" s="1"/>
  <c r="C48" i="1"/>
  <c r="E48" i="1" s="1"/>
  <c r="C47" i="1"/>
  <c r="E47" i="1" s="1"/>
  <c r="J47" i="1" s="1"/>
  <c r="C46" i="1"/>
  <c r="C41" i="1"/>
  <c r="E41" i="1" s="1"/>
  <c r="C40" i="1"/>
  <c r="E40" i="1" s="1"/>
  <c r="C39" i="1"/>
  <c r="E39" i="1" s="1"/>
  <c r="J39" i="1" s="1"/>
  <c r="M39" i="1" s="1"/>
  <c r="C38" i="1"/>
  <c r="E38" i="1" s="1"/>
  <c r="J38" i="1" s="1"/>
  <c r="M38" i="1" s="1"/>
  <c r="C37" i="1"/>
  <c r="E37" i="1" s="1"/>
  <c r="C36" i="1"/>
  <c r="E36" i="1" s="1"/>
  <c r="C35" i="1"/>
  <c r="E35" i="1" s="1"/>
  <c r="J35" i="1" s="1"/>
  <c r="M35" i="1" s="1"/>
  <c r="C32" i="1"/>
  <c r="E32" i="1" s="1"/>
  <c r="C31" i="1"/>
  <c r="E31" i="1" s="1"/>
  <c r="C30" i="1"/>
  <c r="E30" i="1" s="1"/>
  <c r="J30" i="1" s="1"/>
  <c r="M30" i="1" s="1"/>
  <c r="C29" i="1"/>
  <c r="E29" i="1" s="1"/>
  <c r="J29" i="1" s="1"/>
  <c r="M29" i="1" s="1"/>
  <c r="C28" i="1"/>
  <c r="E28" i="1" s="1"/>
  <c r="C27" i="1"/>
  <c r="E27" i="1" s="1"/>
  <c r="C26" i="1"/>
  <c r="E26" i="1" s="1"/>
  <c r="J26" i="1" s="1"/>
  <c r="M26" i="1" s="1"/>
  <c r="C25" i="1"/>
  <c r="C24" i="1"/>
  <c r="E24" i="1" s="1"/>
  <c r="C20" i="1"/>
  <c r="E20" i="1" s="1"/>
  <c r="C18" i="1"/>
  <c r="E18" i="1" s="1"/>
  <c r="E21" i="1" s="1"/>
  <c r="C326" i="1"/>
  <c r="C292" i="1"/>
  <c r="C241" i="1"/>
  <c r="C138" i="1"/>
  <c r="C79" i="1"/>
  <c r="C75" i="1"/>
  <c r="C21" i="1"/>
  <c r="J484" i="1"/>
  <c r="J483" i="1"/>
  <c r="C93" i="6" s="1"/>
  <c r="J480" i="1"/>
  <c r="J479" i="1"/>
  <c r="J478" i="1"/>
  <c r="J477" i="1"/>
  <c r="J473" i="1"/>
  <c r="J472" i="1"/>
  <c r="J471" i="1"/>
  <c r="J463" i="1"/>
  <c r="J462" i="1"/>
  <c r="J461" i="1"/>
  <c r="J459" i="1"/>
  <c r="J458" i="1"/>
  <c r="J457" i="1"/>
  <c r="J455" i="1"/>
  <c r="J454" i="1"/>
  <c r="J453" i="1"/>
  <c r="J451" i="1"/>
  <c r="J450" i="1"/>
  <c r="J449" i="1"/>
  <c r="J447" i="1"/>
  <c r="J446" i="1"/>
  <c r="J445" i="1"/>
  <c r="B8" i="8" s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5" i="1"/>
  <c r="J414" i="1"/>
  <c r="J412" i="1"/>
  <c r="J411" i="1"/>
  <c r="J410" i="1"/>
  <c r="J408" i="1"/>
  <c r="J407" i="1"/>
  <c r="J406" i="1"/>
  <c r="J404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2" i="1"/>
  <c r="J371" i="1"/>
  <c r="J368" i="1"/>
  <c r="J367" i="1"/>
  <c r="J366" i="1"/>
  <c r="J363" i="1"/>
  <c r="J362" i="1"/>
  <c r="J361" i="1"/>
  <c r="J355" i="1"/>
  <c r="J353" i="1"/>
  <c r="J348" i="1"/>
  <c r="J346" i="1"/>
  <c r="J344" i="1"/>
  <c r="J342" i="1"/>
  <c r="J337" i="1"/>
  <c r="J335" i="1"/>
  <c r="J321" i="1"/>
  <c r="J313" i="1"/>
  <c r="AB6" i="36" s="1"/>
  <c r="AB8" i="36" s="1"/>
  <c r="AB45" i="36" s="1"/>
  <c r="B45" i="36" s="1"/>
  <c r="F58" i="34" s="1"/>
  <c r="J312" i="1"/>
  <c r="AA6" i="36" s="1"/>
  <c r="AA8" i="36" s="1"/>
  <c r="AA44" i="36" s="1"/>
  <c r="B44" i="36" s="1"/>
  <c r="F56" i="34" s="1"/>
  <c r="J310" i="1"/>
  <c r="Z6" i="36" s="1"/>
  <c r="Z8" i="36" s="1"/>
  <c r="Z43" i="36" s="1"/>
  <c r="B43" i="36" s="1"/>
  <c r="F54" i="34" s="1"/>
  <c r="J303" i="1"/>
  <c r="J300" i="1"/>
  <c r="J299" i="1"/>
  <c r="J284" i="1"/>
  <c r="J280" i="1"/>
  <c r="J275" i="1"/>
  <c r="J273" i="1"/>
  <c r="J272" i="1"/>
  <c r="J270" i="1"/>
  <c r="J269" i="1"/>
  <c r="J262" i="1"/>
  <c r="J258" i="1"/>
  <c r="J254" i="1"/>
  <c r="J247" i="1"/>
  <c r="J245" i="1"/>
  <c r="J235" i="1"/>
  <c r="J228" i="1"/>
  <c r="J227" i="1"/>
  <c r="J226" i="1"/>
  <c r="J224" i="1"/>
  <c r="J223" i="1"/>
  <c r="J222" i="1"/>
  <c r="J220" i="1"/>
  <c r="J219" i="1"/>
  <c r="J218" i="1"/>
  <c r="J217" i="1"/>
  <c r="J215" i="1"/>
  <c r="J213" i="1"/>
  <c r="J211" i="1"/>
  <c r="J210" i="1"/>
  <c r="J209" i="1"/>
  <c r="J207" i="1"/>
  <c r="J206" i="1"/>
  <c r="J203" i="1"/>
  <c r="J202" i="1"/>
  <c r="J201" i="1"/>
  <c r="J199" i="1"/>
  <c r="E24" i="26"/>
  <c r="J194" i="1"/>
  <c r="J193" i="1"/>
  <c r="J191" i="1"/>
  <c r="J190" i="1"/>
  <c r="J189" i="1"/>
  <c r="J187" i="1"/>
  <c r="J186" i="1"/>
  <c r="J185" i="1"/>
  <c r="J183" i="1"/>
  <c r="J179" i="1"/>
  <c r="J178" i="1"/>
  <c r="J174" i="1"/>
  <c r="J172" i="1"/>
  <c r="J167" i="1"/>
  <c r="J166" i="1"/>
  <c r="J148" i="1"/>
  <c r="J146" i="1"/>
  <c r="J131" i="1"/>
  <c r="J128" i="1"/>
  <c r="J127" i="1"/>
  <c r="J122" i="1"/>
  <c r="J121" i="1"/>
  <c r="J120" i="1"/>
  <c r="J118" i="1"/>
  <c r="J117" i="1"/>
  <c r="J109" i="1"/>
  <c r="J106" i="1"/>
  <c r="J100" i="1"/>
  <c r="J95" i="1"/>
  <c r="J94" i="1"/>
  <c r="J93" i="1"/>
  <c r="J92" i="1"/>
  <c r="J89" i="1"/>
  <c r="J87" i="1"/>
  <c r="J85" i="1"/>
  <c r="J73" i="1"/>
  <c r="J66" i="1"/>
  <c r="J64" i="1"/>
  <c r="J62" i="1"/>
  <c r="J61" i="1"/>
  <c r="J60" i="1"/>
  <c r="J58" i="1"/>
  <c r="J57" i="1"/>
  <c r="J54" i="1"/>
  <c r="J53" i="1"/>
  <c r="J52" i="1"/>
  <c r="J50" i="1"/>
  <c r="J49" i="1"/>
  <c r="J48" i="1"/>
  <c r="J41" i="1"/>
  <c r="M41" i="1" s="1"/>
  <c r="J40" i="1"/>
  <c r="M40" i="1" s="1"/>
  <c r="J37" i="1"/>
  <c r="M37" i="1" s="1"/>
  <c r="J36" i="1"/>
  <c r="J34" i="1"/>
  <c r="J32" i="1"/>
  <c r="M32" i="1" s="1"/>
  <c r="J31" i="1"/>
  <c r="M31" i="1" s="1"/>
  <c r="J28" i="1"/>
  <c r="M28" i="1" s="1"/>
  <c r="J27" i="1"/>
  <c r="M27" i="1" s="1"/>
  <c r="J20" i="1"/>
  <c r="J12" i="1"/>
  <c r="E93" i="6" l="1"/>
  <c r="B26" i="8" s="1"/>
  <c r="E15" i="9"/>
  <c r="E17" i="9"/>
  <c r="E18" i="9"/>
  <c r="E24" i="9"/>
  <c r="E27" i="9"/>
  <c r="E28" i="9"/>
  <c r="E12" i="12"/>
  <c r="E13" i="12"/>
  <c r="E8" i="13"/>
  <c r="E9" i="13"/>
  <c r="E10" i="13"/>
  <c r="E11" i="13"/>
  <c r="E8" i="27"/>
  <c r="E10" i="27"/>
  <c r="E14" i="19"/>
  <c r="E16" i="19"/>
  <c r="E7" i="26"/>
  <c r="E8" i="26"/>
  <c r="E12" i="26"/>
  <c r="E14" i="26"/>
  <c r="E15" i="26"/>
  <c r="E16" i="26"/>
  <c r="E18" i="26"/>
  <c r="E19" i="26"/>
  <c r="E20" i="26"/>
  <c r="E22" i="26"/>
  <c r="E23" i="26"/>
  <c r="E28" i="26"/>
  <c r="E30" i="26"/>
  <c r="E31" i="26"/>
  <c r="E32" i="26"/>
  <c r="E35" i="26"/>
  <c r="E36" i="26"/>
  <c r="E38" i="26"/>
  <c r="E39" i="26"/>
  <c r="E40" i="26"/>
  <c r="E42" i="26"/>
  <c r="E44" i="26"/>
  <c r="E46" i="26"/>
  <c r="E47" i="26"/>
  <c r="E48" i="26"/>
  <c r="E50" i="26"/>
  <c r="E51" i="26"/>
  <c r="E52" i="26"/>
  <c r="E54" i="26"/>
  <c r="E10" i="17"/>
  <c r="E21" i="18"/>
  <c r="E24" i="18"/>
  <c r="E10" i="21"/>
  <c r="E12" i="21"/>
  <c r="E13" i="21"/>
  <c r="F65" i="31"/>
  <c r="T65" i="31" s="1"/>
  <c r="I64" i="31"/>
  <c r="T64" i="31" s="1"/>
  <c r="C12" i="6"/>
  <c r="F12" i="6" s="1"/>
  <c r="F115" i="6" s="1"/>
  <c r="E14" i="30"/>
  <c r="E18" i="30"/>
  <c r="E22" i="30"/>
  <c r="E31" i="30"/>
  <c r="E38" i="30"/>
  <c r="U38" i="30" s="1"/>
  <c r="E39" i="30"/>
  <c r="U39" i="30" s="1"/>
  <c r="E50" i="30"/>
  <c r="E53" i="30"/>
  <c r="E52" i="30"/>
  <c r="C27" i="6"/>
  <c r="F27" i="6" s="1"/>
  <c r="C29" i="6"/>
  <c r="F29" i="6" s="1"/>
  <c r="C30" i="6"/>
  <c r="F30" i="6" s="1"/>
  <c r="C31" i="6"/>
  <c r="F31" i="6" s="1"/>
  <c r="C33" i="6"/>
  <c r="F33" i="6" s="1"/>
  <c r="C34" i="6"/>
  <c r="F34" i="6" s="1"/>
  <c r="C35" i="6"/>
  <c r="F35" i="6" s="1"/>
  <c r="C37" i="6"/>
  <c r="D37" i="6" s="1"/>
  <c r="C39" i="6"/>
  <c r="F39" i="6" s="1"/>
  <c r="M434" i="1"/>
  <c r="M442" i="1"/>
  <c r="C75" i="6"/>
  <c r="F75" i="6" s="1"/>
  <c r="C76" i="6"/>
  <c r="F76" i="6" s="1"/>
  <c r="C77" i="6"/>
  <c r="F77" i="6" s="1"/>
  <c r="C79" i="6"/>
  <c r="F79" i="6" s="1"/>
  <c r="C80" i="6"/>
  <c r="F80" i="6" s="1"/>
  <c r="E15" i="25"/>
  <c r="E16" i="25"/>
  <c r="E16" i="9"/>
  <c r="E25" i="9"/>
  <c r="E26" i="9"/>
  <c r="E11" i="12"/>
  <c r="E11" i="19"/>
  <c r="E12" i="19"/>
  <c r="E13" i="19"/>
  <c r="E15" i="19"/>
  <c r="E10" i="26"/>
  <c r="E11" i="26"/>
  <c r="E13" i="26"/>
  <c r="E17" i="26"/>
  <c r="E21" i="26"/>
  <c r="E26" i="26"/>
  <c r="E27" i="26"/>
  <c r="E29" i="26"/>
  <c r="E33" i="26"/>
  <c r="E34" i="26"/>
  <c r="E37" i="26"/>
  <c r="E41" i="26"/>
  <c r="E43" i="26"/>
  <c r="E45" i="26"/>
  <c r="E49" i="26"/>
  <c r="E53" i="26"/>
  <c r="E9" i="17"/>
  <c r="E20" i="18"/>
  <c r="E22" i="18"/>
  <c r="E25" i="18"/>
  <c r="E26" i="18"/>
  <c r="E11" i="21"/>
  <c r="H59" i="3"/>
  <c r="T6" i="36" s="1"/>
  <c r="J276" i="1"/>
  <c r="E9" i="28"/>
  <c r="C28" i="6"/>
  <c r="F28" i="6" s="1"/>
  <c r="C32" i="6"/>
  <c r="F32" i="6" s="1"/>
  <c r="C36" i="6"/>
  <c r="F36" i="6" s="1"/>
  <c r="C72" i="6"/>
  <c r="F72" i="6" s="1"/>
  <c r="C78" i="6"/>
  <c r="F78" i="6" s="1"/>
  <c r="C84" i="6"/>
  <c r="F84" i="6" s="1"/>
  <c r="E9" i="21"/>
  <c r="U18" i="30"/>
  <c r="E51" i="30"/>
  <c r="C19" i="6"/>
  <c r="E9" i="23"/>
  <c r="C43" i="6"/>
  <c r="F43" i="6" s="1"/>
  <c r="E10" i="23"/>
  <c r="C44" i="6"/>
  <c r="F44" i="6" s="1"/>
  <c r="E11" i="23"/>
  <c r="C45" i="6"/>
  <c r="F45" i="6" s="1"/>
  <c r="E12" i="23"/>
  <c r="C46" i="6"/>
  <c r="F46" i="6" s="1"/>
  <c r="E14" i="23"/>
  <c r="C49" i="6"/>
  <c r="E16" i="23"/>
  <c r="C50" i="6"/>
  <c r="F50" i="6" s="1"/>
  <c r="E17" i="23"/>
  <c r="C51" i="6"/>
  <c r="F51" i="6" s="1"/>
  <c r="E18" i="23"/>
  <c r="C52" i="6"/>
  <c r="D52" i="6" s="1"/>
  <c r="E19" i="23"/>
  <c r="C53" i="6"/>
  <c r="F53" i="6" s="1"/>
  <c r="E20" i="23"/>
  <c r="C54" i="6"/>
  <c r="F54" i="6" s="1"/>
  <c r="E21" i="23"/>
  <c r="C55" i="6"/>
  <c r="F55" i="6" s="1"/>
  <c r="E22" i="23"/>
  <c r="C56" i="6"/>
  <c r="F56" i="6" s="1"/>
  <c r="E23" i="23"/>
  <c r="C57" i="6"/>
  <c r="F57" i="6" s="1"/>
  <c r="E24" i="23"/>
  <c r="C58" i="6"/>
  <c r="F58" i="6" s="1"/>
  <c r="E25" i="23"/>
  <c r="C59" i="6"/>
  <c r="F59" i="6" s="1"/>
  <c r="E26" i="23"/>
  <c r="C60" i="6"/>
  <c r="F60" i="6" s="1"/>
  <c r="E27" i="23"/>
  <c r="C61" i="6"/>
  <c r="F61" i="6" s="1"/>
  <c r="E28" i="23"/>
  <c r="C62" i="6"/>
  <c r="F62" i="6" s="1"/>
  <c r="E29" i="23"/>
  <c r="C63" i="6"/>
  <c r="F63" i="6" s="1"/>
  <c r="E30" i="23"/>
  <c r="C64" i="6"/>
  <c r="F64" i="6" s="1"/>
  <c r="E31" i="23"/>
  <c r="C65" i="6"/>
  <c r="F65" i="6" s="1"/>
  <c r="E32" i="23"/>
  <c r="C66" i="6"/>
  <c r="F66" i="6" s="1"/>
  <c r="E33" i="23"/>
  <c r="C67" i="6"/>
  <c r="D67" i="6" s="1"/>
  <c r="B18" i="8" s="1"/>
  <c r="E34" i="23"/>
  <c r="C68" i="6"/>
  <c r="F68" i="6" s="1"/>
  <c r="E35" i="23"/>
  <c r="C69" i="6"/>
  <c r="F69" i="6" s="1"/>
  <c r="E36" i="23"/>
  <c r="C70" i="6"/>
  <c r="F70" i="6" s="1"/>
  <c r="E37" i="23"/>
  <c r="C71" i="6"/>
  <c r="F71" i="6" s="1"/>
  <c r="E7" i="24"/>
  <c r="C91" i="6"/>
  <c r="F91" i="6" s="1"/>
  <c r="E8" i="24"/>
  <c r="E9" i="24"/>
  <c r="C92" i="6"/>
  <c r="F92" i="6" s="1"/>
  <c r="E9" i="25"/>
  <c r="C95" i="6"/>
  <c r="E10" i="25"/>
  <c r="C96" i="6"/>
  <c r="F96" i="6" s="1"/>
  <c r="E11" i="25"/>
  <c r="C97" i="6"/>
  <c r="F97" i="6" s="1"/>
  <c r="E12" i="25"/>
  <c r="C98" i="6"/>
  <c r="F98" i="6" s="1"/>
  <c r="E13" i="25"/>
  <c r="C99" i="6"/>
  <c r="F99" i="6" s="1"/>
  <c r="E14" i="25"/>
  <c r="C100" i="6"/>
  <c r="F100" i="6" s="1"/>
  <c r="E14" i="9"/>
  <c r="E23" i="9"/>
  <c r="C143" i="1"/>
  <c r="E141" i="1"/>
  <c r="E143" i="1" s="1"/>
  <c r="E25" i="26"/>
  <c r="C314" i="1"/>
  <c r="E309" i="1"/>
  <c r="E13" i="23"/>
  <c r="C83" i="6"/>
  <c r="F83" i="6" s="1"/>
  <c r="F24" i="4"/>
  <c r="AK6" i="36" s="1"/>
  <c r="E38" i="18"/>
  <c r="E354" i="1"/>
  <c r="E356" i="1" s="1"/>
  <c r="E12" i="17"/>
  <c r="E18" i="19"/>
  <c r="E13" i="13"/>
  <c r="E30" i="9"/>
  <c r="F67" i="6"/>
  <c r="D95" i="6"/>
  <c r="B17" i="8" s="1"/>
  <c r="F37" i="6"/>
  <c r="D49" i="6"/>
  <c r="F52" i="6"/>
  <c r="C42" i="1"/>
  <c r="E25" i="1"/>
  <c r="J25" i="1" s="1"/>
  <c r="M25" i="1" s="1"/>
  <c r="E99" i="1"/>
  <c r="E112" i="1" s="1"/>
  <c r="C112" i="1"/>
  <c r="E180" i="1"/>
  <c r="J180" i="1" s="1"/>
  <c r="C237" i="1"/>
  <c r="E252" i="1"/>
  <c r="J252" i="1" s="1"/>
  <c r="C266" i="1"/>
  <c r="E134" i="1"/>
  <c r="E298" i="1"/>
  <c r="J298" i="1" s="1"/>
  <c r="C304" i="1"/>
  <c r="C305" i="1" s="1"/>
  <c r="E248" i="1"/>
  <c r="E278" i="1"/>
  <c r="E11" i="30"/>
  <c r="U11" i="30" s="1"/>
  <c r="E28" i="30"/>
  <c r="U28" i="30" s="1"/>
  <c r="E42" i="30"/>
  <c r="U42" i="30" s="1"/>
  <c r="E47" i="30"/>
  <c r="C124" i="1"/>
  <c r="C139" i="1" s="1"/>
  <c r="C285" i="1"/>
  <c r="E145" i="1"/>
  <c r="E149" i="1" s="1"/>
  <c r="C149" i="1"/>
  <c r="E83" i="1"/>
  <c r="E90" i="1" s="1"/>
  <c r="H87" i="3"/>
  <c r="C43" i="1"/>
  <c r="E326" i="1"/>
  <c r="E124" i="1"/>
  <c r="E139" i="1" s="1"/>
  <c r="E314" i="1"/>
  <c r="J97" i="1"/>
  <c r="E54" i="30"/>
  <c r="E42" i="1"/>
  <c r="E43" i="1" s="1"/>
  <c r="C70" i="1"/>
  <c r="C175" i="1"/>
  <c r="E46" i="1"/>
  <c r="E70" i="1" s="1"/>
  <c r="E266" i="1"/>
  <c r="E474" i="1"/>
  <c r="E485" i="1"/>
  <c r="E237" i="1"/>
  <c r="E304" i="1"/>
  <c r="E43" i="30"/>
  <c r="U43" i="30" s="1"/>
  <c r="C278" i="1"/>
  <c r="E164" i="1"/>
  <c r="E175" i="1" s="1"/>
  <c r="E398" i="1"/>
  <c r="E465" i="1"/>
  <c r="E373" i="1"/>
  <c r="E399" i="1" s="1"/>
  <c r="E400" i="1" s="1"/>
  <c r="E416" i="1"/>
  <c r="E493" i="1"/>
  <c r="E305" i="1"/>
  <c r="C287" i="1"/>
  <c r="J332" i="1"/>
  <c r="J341" i="1"/>
  <c r="J352" i="1"/>
  <c r="J360" i="1"/>
  <c r="J376" i="1"/>
  <c r="J419" i="1"/>
  <c r="J470" i="1"/>
  <c r="J476" i="1"/>
  <c r="J497" i="1"/>
  <c r="J500" i="1"/>
  <c r="J91" i="3"/>
  <c r="F49" i="6" l="1"/>
  <c r="B20" i="8"/>
  <c r="AK8" i="36"/>
  <c r="AK12" i="36" s="1"/>
  <c r="AK58" i="36" s="1"/>
  <c r="F93" i="6"/>
  <c r="J501" i="1"/>
  <c r="J498" i="1"/>
  <c r="J474" i="1"/>
  <c r="J465" i="1"/>
  <c r="J398" i="1"/>
  <c r="E19" i="18"/>
  <c r="E9" i="26"/>
  <c r="E14" i="21"/>
  <c r="J485" i="1"/>
  <c r="E8" i="25"/>
  <c r="E18" i="25" s="1"/>
  <c r="C94" i="6"/>
  <c r="F94" i="6" s="1"/>
  <c r="F16" i="4"/>
  <c r="AI6" i="36" s="1"/>
  <c r="E6" i="24"/>
  <c r="E11" i="24" s="1"/>
  <c r="C90" i="6"/>
  <c r="F15" i="4"/>
  <c r="E8" i="23"/>
  <c r="E39" i="23" s="1"/>
  <c r="C42" i="6"/>
  <c r="F42" i="6" s="1"/>
  <c r="J416" i="1"/>
  <c r="C26" i="6"/>
  <c r="J338" i="1"/>
  <c r="C11" i="6"/>
  <c r="F11" i="6" s="1"/>
  <c r="F117" i="6" s="1"/>
  <c r="F118" i="6" s="1"/>
  <c r="C125" i="6" s="1"/>
  <c r="H19" i="3"/>
  <c r="G6" i="36" s="1"/>
  <c r="E22" i="13"/>
  <c r="E18" i="13"/>
  <c r="C158" i="1"/>
  <c r="E287" i="1"/>
  <c r="C306" i="1"/>
  <c r="C113" i="1"/>
  <c r="C159" i="1" s="1"/>
  <c r="C7" i="1" s="1"/>
  <c r="E17" i="13"/>
  <c r="E19" i="13" s="1"/>
  <c r="E21" i="13"/>
  <c r="E23" i="13" s="1"/>
  <c r="E21" i="19"/>
  <c r="E23" i="19" s="1"/>
  <c r="E25" i="19"/>
  <c r="C18" i="6"/>
  <c r="F18" i="6" s="1"/>
  <c r="F19" i="6"/>
  <c r="F95" i="6"/>
  <c r="E113" i="1"/>
  <c r="J354" i="1"/>
  <c r="E27" i="30"/>
  <c r="E306" i="1"/>
  <c r="J373" i="1"/>
  <c r="E35" i="30"/>
  <c r="E45" i="30" s="1"/>
  <c r="E158" i="1"/>
  <c r="E159" i="1" s="1"/>
  <c r="E7" i="1" s="1"/>
  <c r="J343" i="1"/>
  <c r="E10" i="30"/>
  <c r="E466" i="1"/>
  <c r="E467" i="1" s="1"/>
  <c r="E486" i="1"/>
  <c r="E56" i="30"/>
  <c r="U56" i="30" s="1"/>
  <c r="U47" i="30"/>
  <c r="J486" i="1"/>
  <c r="J324" i="1"/>
  <c r="J309" i="1"/>
  <c r="H91" i="3" s="1"/>
  <c r="J295" i="1"/>
  <c r="J291" i="1"/>
  <c r="J283" i="1"/>
  <c r="J268" i="1"/>
  <c r="J250" i="1"/>
  <c r="J243" i="1"/>
  <c r="J239" i="1"/>
  <c r="J177" i="1"/>
  <c r="J164" i="1"/>
  <c r="J145" i="1"/>
  <c r="J141" i="1"/>
  <c r="J136" i="1"/>
  <c r="J126" i="1"/>
  <c r="J115" i="1"/>
  <c r="J99" i="1"/>
  <c r="H20" i="3" s="1"/>
  <c r="J83" i="1"/>
  <c r="J77" i="1"/>
  <c r="J72" i="1"/>
  <c r="J46" i="1"/>
  <c r="J70" i="1" s="1"/>
  <c r="J24" i="1"/>
  <c r="J18" i="1"/>
  <c r="L86" i="3"/>
  <c r="AN314" i="1"/>
  <c r="AJ314" i="1"/>
  <c r="AL314" i="1" s="1"/>
  <c r="W314" i="1"/>
  <c r="Y314" i="1" s="1"/>
  <c r="AC341" i="1"/>
  <c r="AC352" i="1"/>
  <c r="AC368" i="1"/>
  <c r="AC367" i="1"/>
  <c r="G105" i="33"/>
  <c r="G106" i="33"/>
  <c r="I102" i="33"/>
  <c r="L58" i="6"/>
  <c r="AI8" i="36" l="1"/>
  <c r="AI12" i="36" s="1"/>
  <c r="AI58" i="36" s="1"/>
  <c r="D26" i="6"/>
  <c r="J21" i="1"/>
  <c r="J75" i="1"/>
  <c r="J79" i="1"/>
  <c r="J124" i="1"/>
  <c r="J134" i="1"/>
  <c r="J138" i="1"/>
  <c r="J143" i="1"/>
  <c r="E9" i="27"/>
  <c r="E12" i="27" s="1"/>
  <c r="J175" i="1"/>
  <c r="J241" i="1"/>
  <c r="J285" i="1"/>
  <c r="J345" i="1"/>
  <c r="J356" i="1"/>
  <c r="F10" i="4"/>
  <c r="F14" i="4"/>
  <c r="W14" i="4" s="1"/>
  <c r="J466" i="1"/>
  <c r="F17" i="4"/>
  <c r="AJ6" i="36" s="1"/>
  <c r="M465" i="1"/>
  <c r="F27" i="4"/>
  <c r="F28" i="4"/>
  <c r="AG6" i="36"/>
  <c r="X14" i="4"/>
  <c r="AH6" i="36"/>
  <c r="X15" i="4"/>
  <c r="E9" i="18"/>
  <c r="E11" i="18" s="1"/>
  <c r="E44" i="18" s="1"/>
  <c r="X6" i="35"/>
  <c r="X8" i="35" s="1"/>
  <c r="X7" i="36"/>
  <c r="X18" i="35"/>
  <c r="B18" i="35" s="1"/>
  <c r="X53" i="35"/>
  <c r="J42" i="1"/>
  <c r="E13" i="9"/>
  <c r="E20" i="9" s="1"/>
  <c r="J90" i="1"/>
  <c r="E10" i="12"/>
  <c r="E14" i="12" s="1"/>
  <c r="E16" i="27"/>
  <c r="E18" i="27" s="1"/>
  <c r="E20" i="27"/>
  <c r="H53" i="3"/>
  <c r="N6" i="36" s="1"/>
  <c r="E26" i="19"/>
  <c r="E6" i="26"/>
  <c r="E56" i="26" s="1"/>
  <c r="E18" i="18"/>
  <c r="E30" i="18" s="1"/>
  <c r="J278" i="1"/>
  <c r="E8" i="21"/>
  <c r="E16" i="21" s="1"/>
  <c r="J292" i="1"/>
  <c r="E8" i="29"/>
  <c r="E10" i="29" s="1"/>
  <c r="J326" i="1"/>
  <c r="E10" i="28"/>
  <c r="E12" i="28" s="1"/>
  <c r="D16" i="28" s="1"/>
  <c r="E487" i="1"/>
  <c r="E495" i="1" s="1"/>
  <c r="U45" i="30"/>
  <c r="C17" i="6"/>
  <c r="E27" i="19"/>
  <c r="F26" i="6"/>
  <c r="F86" i="6" s="1"/>
  <c r="C86" i="6"/>
  <c r="E43" i="23"/>
  <c r="E45" i="23" s="1"/>
  <c r="E47" i="23"/>
  <c r="E90" i="6"/>
  <c r="B27" i="8" s="1"/>
  <c r="C103" i="6"/>
  <c r="E15" i="24"/>
  <c r="E17" i="24" s="1"/>
  <c r="E19" i="24"/>
  <c r="E21" i="25"/>
  <c r="E23" i="25" s="1"/>
  <c r="E26" i="25"/>
  <c r="E317" i="1"/>
  <c r="E503" i="1"/>
  <c r="E505" i="1" s="1"/>
  <c r="H6" i="36"/>
  <c r="J139" i="1"/>
  <c r="H33" i="3"/>
  <c r="K6" i="36" s="1"/>
  <c r="J248" i="1"/>
  <c r="H52" i="3"/>
  <c r="S6" i="36" s="1"/>
  <c r="J43" i="1"/>
  <c r="J304" i="1"/>
  <c r="H69" i="3"/>
  <c r="J149" i="1"/>
  <c r="H35" i="3"/>
  <c r="L6" i="36" s="1"/>
  <c r="U10" i="30"/>
  <c r="E13" i="30"/>
  <c r="E16" i="30" s="1"/>
  <c r="E20" i="30" s="1"/>
  <c r="E24" i="30" s="1"/>
  <c r="J314" i="1"/>
  <c r="H86" i="3"/>
  <c r="X6" i="36" s="1"/>
  <c r="U27" i="30"/>
  <c r="E30" i="30"/>
  <c r="E33" i="30" s="1"/>
  <c r="U33" i="30" s="1"/>
  <c r="Q197" i="1"/>
  <c r="X8" i="36" l="1"/>
  <c r="X40" i="36" s="1"/>
  <c r="AH8" i="36"/>
  <c r="AH12" i="36" s="1"/>
  <c r="AH58" i="36" s="1"/>
  <c r="AG8" i="36"/>
  <c r="AG14" i="36" s="1"/>
  <c r="AJ8" i="36"/>
  <c r="AJ19" i="36" s="1"/>
  <c r="B24" i="8"/>
  <c r="B30" i="8" s="1"/>
  <c r="D103" i="6"/>
  <c r="D105" i="6" s="1"/>
  <c r="D109" i="6" s="1"/>
  <c r="AE6" i="36"/>
  <c r="W15" i="4"/>
  <c r="E21" i="27"/>
  <c r="H68" i="3"/>
  <c r="H70" i="3"/>
  <c r="W6" i="36" s="1"/>
  <c r="F19" i="4"/>
  <c r="C16" i="6"/>
  <c r="F16" i="6" s="1"/>
  <c r="J347" i="1"/>
  <c r="H58" i="3"/>
  <c r="H48" i="3"/>
  <c r="P6" i="36" s="1"/>
  <c r="H34" i="3"/>
  <c r="J6" i="36" s="1"/>
  <c r="H16" i="3"/>
  <c r="E6" i="36" s="1"/>
  <c r="H17" i="3"/>
  <c r="D6" i="36" s="1"/>
  <c r="E9" i="9"/>
  <c r="B18" i="36"/>
  <c r="X58" i="36"/>
  <c r="H73" i="3"/>
  <c r="H14" i="3"/>
  <c r="E46" i="9"/>
  <c r="E42" i="9"/>
  <c r="H51" i="3"/>
  <c r="F90" i="6"/>
  <c r="F103" i="6" s="1"/>
  <c r="F17" i="6"/>
  <c r="H89" i="3"/>
  <c r="AC6" i="36" s="1"/>
  <c r="D17" i="28"/>
  <c r="D18" i="28" s="1"/>
  <c r="E19" i="21"/>
  <c r="E23" i="21"/>
  <c r="H54" i="3"/>
  <c r="R6" i="36" s="1"/>
  <c r="E24" i="21"/>
  <c r="E20" i="21"/>
  <c r="E48" i="18"/>
  <c r="E59" i="18"/>
  <c r="E55" i="18"/>
  <c r="E62" i="26"/>
  <c r="E66" i="26"/>
  <c r="E22" i="27"/>
  <c r="E18" i="12"/>
  <c r="E22" i="12"/>
  <c r="H18" i="3"/>
  <c r="F6" i="36" s="1"/>
  <c r="E23" i="12"/>
  <c r="E19" i="12"/>
  <c r="E32" i="9"/>
  <c r="E45" i="9" s="1"/>
  <c r="E41" i="9"/>
  <c r="E43" i="9" s="1"/>
  <c r="H37" i="3"/>
  <c r="J158" i="1"/>
  <c r="J305" i="1"/>
  <c r="E58" i="30"/>
  <c r="R197" i="1"/>
  <c r="J107" i="33"/>
  <c r="H103" i="33"/>
  <c r="H110" i="33"/>
  <c r="N110" i="33"/>
  <c r="P107" i="33"/>
  <c r="N103" i="33"/>
  <c r="B19" i="36" l="1"/>
  <c r="F24" i="34" s="1"/>
  <c r="AE8" i="36"/>
  <c r="AE11" i="36" s="1"/>
  <c r="AE58" i="36" s="1"/>
  <c r="J349" i="1"/>
  <c r="F81" i="34"/>
  <c r="C6" i="36"/>
  <c r="B61" i="36" s="1"/>
  <c r="E24" i="12"/>
  <c r="E20" i="12"/>
  <c r="E25" i="21"/>
  <c r="E21" i="21"/>
  <c r="K102" i="33"/>
  <c r="AG291" i="1"/>
  <c r="AD445" i="1"/>
  <c r="AE445" i="1"/>
  <c r="H73" i="32"/>
  <c r="B73" i="32"/>
  <c r="AI445" i="1"/>
  <c r="T291" i="1"/>
  <c r="B110" i="33"/>
  <c r="Q445" i="1"/>
  <c r="R445" i="1"/>
  <c r="V445" i="1"/>
  <c r="T342" i="1"/>
  <c r="R226" i="1"/>
  <c r="C15" i="6" l="1"/>
  <c r="J399" i="1"/>
  <c r="U24" i="30"/>
  <c r="AF291" i="1"/>
  <c r="S291" i="1"/>
  <c r="Q226" i="1"/>
  <c r="E61" i="30" l="1"/>
  <c r="F11" i="4"/>
  <c r="J400" i="1"/>
  <c r="E15" i="6"/>
  <c r="C21" i="6"/>
  <c r="C23" i="6" s="1"/>
  <c r="C87" i="6" s="1"/>
  <c r="C105" i="6" s="1"/>
  <c r="C109" i="6" s="1"/>
  <c r="R403" i="1"/>
  <c r="B103" i="33"/>
  <c r="S268" i="1" s="1"/>
  <c r="Q403" i="1"/>
  <c r="T268" i="1"/>
  <c r="F15" i="6" l="1"/>
  <c r="F21" i="6" s="1"/>
  <c r="F23" i="6" s="1"/>
  <c r="F87" i="6" s="1"/>
  <c r="F105" i="6" s="1"/>
  <c r="F109" i="6" s="1"/>
  <c r="F120" i="6" s="1"/>
  <c r="F121" i="6" s="1"/>
  <c r="E103" i="6"/>
  <c r="E105" i="6" s="1"/>
  <c r="E109" i="6" s="1"/>
  <c r="D110" i="6" s="1"/>
  <c r="E124" i="6"/>
  <c r="F124" i="6" s="1"/>
  <c r="C128" i="6"/>
  <c r="J467" i="1"/>
  <c r="F13" i="4"/>
  <c r="W10" i="4" s="1"/>
  <c r="AF6" i="36"/>
  <c r="T403" i="1"/>
  <c r="AF8" i="36" l="1"/>
  <c r="AF12" i="36" s="1"/>
  <c r="AF58" i="36" s="1"/>
  <c r="F21" i="4"/>
  <c r="X10" i="4"/>
  <c r="J487" i="1"/>
  <c r="C110" i="6" s="1"/>
  <c r="E128" i="6"/>
  <c r="F128" i="6" s="1"/>
  <c r="E135" i="6" s="1"/>
  <c r="F135" i="6" s="1"/>
  <c r="E132" i="6"/>
  <c r="F132" i="6" s="1"/>
  <c r="F137" i="6" s="1"/>
  <c r="F145" i="6" s="1"/>
  <c r="F154" i="6" s="1"/>
  <c r="E149" i="6" s="1"/>
  <c r="T109" i="1"/>
  <c r="G98" i="33"/>
  <c r="R444" i="1" s="1"/>
  <c r="B98" i="33"/>
  <c r="Q444" i="1" s="1"/>
  <c r="G94" i="33"/>
  <c r="B5" i="8" l="1"/>
  <c r="O235" i="1"/>
  <c r="S253" i="1"/>
  <c r="T253" i="1"/>
  <c r="G50" i="33"/>
  <c r="R313" i="1"/>
  <c r="Q313" i="1"/>
  <c r="B95" i="33"/>
  <c r="B33" i="8" l="1"/>
  <c r="B35" i="8" s="1"/>
  <c r="B37" i="8" s="1"/>
  <c r="B48" i="8" s="1"/>
  <c r="G113" i="37" s="1"/>
  <c r="G78" i="33"/>
  <c r="I265" i="1" l="1"/>
  <c r="J265" i="1" s="1"/>
  <c r="J266" i="1" s="1"/>
  <c r="H110" i="37"/>
  <c r="G489" i="1" s="1"/>
  <c r="J489" i="1" s="1"/>
  <c r="C111" i="6"/>
  <c r="G5" i="32"/>
  <c r="G6" i="32"/>
  <c r="H8" i="32"/>
  <c r="G12" i="32"/>
  <c r="G13" i="32"/>
  <c r="I16" i="32"/>
  <c r="H25" i="32"/>
  <c r="I27" i="32"/>
  <c r="H33" i="32"/>
  <c r="G35" i="32"/>
  <c r="H42" i="32"/>
  <c r="H46" i="32"/>
  <c r="H50" i="32"/>
  <c r="G52" i="32"/>
  <c r="G55" i="32"/>
  <c r="H59" i="32"/>
  <c r="J62" i="32"/>
  <c r="H65" i="32"/>
  <c r="E36" i="18" l="1"/>
  <c r="E40" i="18" s="1"/>
  <c r="J493" i="1"/>
  <c r="J495" i="1" s="1"/>
  <c r="F23" i="4"/>
  <c r="H55" i="3"/>
  <c r="V6" i="36" s="1"/>
  <c r="E60" i="18"/>
  <c r="E61" i="18" s="1"/>
  <c r="E56" i="18"/>
  <c r="E57" i="18" s="1"/>
  <c r="B92" i="33"/>
  <c r="Q196" i="1"/>
  <c r="G91" i="33"/>
  <c r="R196" i="1" s="1"/>
  <c r="AL6" i="36" l="1"/>
  <c r="AL8" i="36" s="1"/>
  <c r="F26" i="4"/>
  <c r="J317" i="1"/>
  <c r="H93" i="3" s="1"/>
  <c r="J503" i="1"/>
  <c r="E52" i="18"/>
  <c r="E54" i="18" s="1"/>
  <c r="E63" i="18"/>
  <c r="T353" i="1"/>
  <c r="F31" i="4" l="1"/>
  <c r="F37" i="4" s="1"/>
  <c r="P66" i="31"/>
  <c r="T66" i="31" s="1"/>
  <c r="AL20" i="36"/>
  <c r="B20" i="36" s="1"/>
  <c r="F22" i="34" s="1"/>
  <c r="AL58" i="36"/>
  <c r="Q268" i="1"/>
  <c r="G86" i="33"/>
  <c r="G85" i="33"/>
  <c r="R268" i="1" s="1"/>
  <c r="B86" i="33"/>
  <c r="B88" i="33" s="1"/>
  <c r="T440" i="1"/>
  <c r="J75" i="33"/>
  <c r="I74" i="33"/>
  <c r="B89" i="33" l="1"/>
  <c r="S440" i="1"/>
  <c r="T101" i="1" l="1"/>
  <c r="T102" i="1"/>
  <c r="Q489" i="1"/>
  <c r="R55" i="1" l="1"/>
  <c r="R64" i="1"/>
  <c r="J82" i="33"/>
  <c r="T332" i="1" s="1"/>
  <c r="R480" i="1"/>
  <c r="T434" i="1"/>
  <c r="K75" i="33"/>
  <c r="B75" i="33"/>
  <c r="P265" i="1"/>
  <c r="U265" i="1" s="1"/>
  <c r="Q55" i="1" l="1"/>
  <c r="B78" i="33"/>
  <c r="B79" i="33" s="1"/>
  <c r="Q480" i="1"/>
  <c r="S434" i="1"/>
  <c r="AG102" i="1"/>
  <c r="AG101" i="1"/>
  <c r="AD489" i="1"/>
  <c r="I67" i="33"/>
  <c r="R342" i="1" s="1"/>
  <c r="I68" i="33"/>
  <c r="R360" i="1"/>
  <c r="T188" i="1"/>
  <c r="T190" i="1"/>
  <c r="T195" i="1"/>
  <c r="B68" i="33"/>
  <c r="Q360" i="1" s="1"/>
  <c r="T212" i="1"/>
  <c r="B80" i="33" l="1"/>
  <c r="B81" i="33" s="1"/>
  <c r="B82" i="33" s="1"/>
  <c r="S332" i="1" s="1"/>
  <c r="Q64" i="1"/>
  <c r="F25" i="8"/>
  <c r="S93" i="6"/>
  <c r="F9" i="8"/>
  <c r="T461" i="1"/>
  <c r="H11" i="33"/>
  <c r="B7" i="33"/>
  <c r="Q460" i="1" s="1"/>
  <c r="I7" i="33"/>
  <c r="R460" i="1" s="1"/>
  <c r="R128" i="1"/>
  <c r="T127" i="1" l="1"/>
  <c r="I17" i="33"/>
  <c r="R461" i="1" s="1"/>
  <c r="H57" i="33"/>
  <c r="T273" i="1" s="1"/>
  <c r="U273" i="1" s="1"/>
  <c r="T250" i="1"/>
  <c r="R272" i="1"/>
  <c r="R101" i="1" l="1"/>
  <c r="H45" i="33"/>
  <c r="T254" i="1" s="1"/>
  <c r="R102" i="1"/>
  <c r="Q102" i="1"/>
  <c r="H42" i="33"/>
  <c r="T252" i="1" s="1"/>
  <c r="Q110" i="1" l="1"/>
  <c r="R110" i="1"/>
  <c r="U110" i="1" s="1"/>
  <c r="H65" i="33"/>
  <c r="T229" i="1" s="1"/>
  <c r="B65" i="33"/>
  <c r="S229" i="1" s="1"/>
  <c r="K65" i="33"/>
  <c r="F51" i="31"/>
  <c r="P313" i="1"/>
  <c r="U313" i="1" s="1"/>
  <c r="P312" i="1"/>
  <c r="U312" i="1" s="1"/>
  <c r="N309" i="1"/>
  <c r="P310" i="1"/>
  <c r="U310" i="1" s="1"/>
  <c r="AA309" i="1"/>
  <c r="P309" i="1"/>
  <c r="J22" i="33"/>
  <c r="T457" i="1" s="1"/>
  <c r="T463" i="1"/>
  <c r="T460" i="1"/>
  <c r="Q390" i="1"/>
  <c r="I16" i="33"/>
  <c r="R457" i="1"/>
  <c r="T132" i="1"/>
  <c r="R131" i="1"/>
  <c r="T126" i="1"/>
  <c r="S126" i="1"/>
  <c r="Q130" i="1"/>
  <c r="I19" i="33"/>
  <c r="R463" i="1" s="1"/>
  <c r="J18" i="33"/>
  <c r="T462" i="1" s="1"/>
  <c r="J15" i="33"/>
  <c r="T456" i="1" s="1"/>
  <c r="R130" i="1"/>
  <c r="J17" i="33"/>
  <c r="Q128" i="1"/>
  <c r="T129" i="1"/>
  <c r="I21" i="33" l="1"/>
  <c r="R390" i="1" s="1"/>
  <c r="F55" i="31"/>
  <c r="T55" i="31" s="1"/>
  <c r="I54" i="31"/>
  <c r="U309" i="1"/>
  <c r="AC309" i="1"/>
  <c r="J33" i="33"/>
  <c r="T396" i="1" s="1"/>
  <c r="R239" i="1"/>
  <c r="Q239" i="1"/>
  <c r="H36" i="33"/>
  <c r="T73" i="1" s="1"/>
  <c r="B69" i="33"/>
  <c r="K60" i="33"/>
  <c r="K61" i="33" s="1"/>
  <c r="K62" i="33" s="1"/>
  <c r="B60" i="33"/>
  <c r="K57" i="33"/>
  <c r="B57" i="33"/>
  <c r="S273" i="1" s="1"/>
  <c r="K51" i="33"/>
  <c r="K52" i="33" s="1"/>
  <c r="K53" i="33" s="1"/>
  <c r="K54" i="33" s="1"/>
  <c r="B51" i="33"/>
  <c r="B52" i="33" s="1"/>
  <c r="K48" i="33"/>
  <c r="B48" i="33"/>
  <c r="K45" i="33"/>
  <c r="B45" i="33"/>
  <c r="K42" i="33"/>
  <c r="B42" i="33"/>
  <c r="K39" i="33"/>
  <c r="B39" i="33"/>
  <c r="K36" i="33"/>
  <c r="B36" i="33"/>
  <c r="S73" i="1" s="1"/>
  <c r="K33" i="33"/>
  <c r="B33" i="33"/>
  <c r="S396" i="1" s="1"/>
  <c r="K29" i="33"/>
  <c r="K30" i="33" s="1"/>
  <c r="B29" i="33"/>
  <c r="B30" i="33" s="1"/>
  <c r="K22" i="33"/>
  <c r="K23" i="33" s="1"/>
  <c r="K24" i="33" s="1"/>
  <c r="K25" i="33" s="1"/>
  <c r="K26" i="33" s="1"/>
  <c r="B22" i="33"/>
  <c r="K11" i="33"/>
  <c r="K12" i="33" s="1"/>
  <c r="K13" i="33" s="1"/>
  <c r="K14" i="33" s="1"/>
  <c r="K15" i="33" s="1"/>
  <c r="K16" i="33" s="1"/>
  <c r="K17" i="33" s="1"/>
  <c r="K18" i="33" s="1"/>
  <c r="K19" i="33" s="1"/>
  <c r="B11" i="33"/>
  <c r="K8" i="33"/>
  <c r="B8" i="33"/>
  <c r="S129" i="1" s="1"/>
  <c r="H94" i="3" l="1"/>
  <c r="J86" i="3"/>
  <c r="B61" i="33"/>
  <c r="S101" i="1"/>
  <c r="B12" i="33"/>
  <c r="S127" i="1"/>
  <c r="B70" i="33"/>
  <c r="S188" i="1"/>
  <c r="S190" i="1"/>
  <c r="B53" i="33"/>
  <c r="B54" i="33" s="1"/>
  <c r="S250" i="1"/>
  <c r="B13" i="33"/>
  <c r="B23" i="33"/>
  <c r="S457" i="1"/>
  <c r="AH309" i="1"/>
  <c r="B62" i="33" l="1"/>
  <c r="S256" i="1" s="1"/>
  <c r="S102" i="1"/>
  <c r="B24" i="33"/>
  <c r="S461" i="1"/>
  <c r="Q342" i="1"/>
  <c r="B71" i="33"/>
  <c r="B25" i="33"/>
  <c r="B26" i="33" s="1"/>
  <c r="S463" i="1" s="1"/>
  <c r="S460" i="1"/>
  <c r="B14" i="33"/>
  <c r="Q131" i="1"/>
  <c r="P353" i="1"/>
  <c r="P415" i="1"/>
  <c r="U415" i="1" s="1"/>
  <c r="K39" i="6" l="1"/>
  <c r="N39" i="6" s="1"/>
  <c r="B72" i="33"/>
  <c r="S212" i="1" s="1"/>
  <c r="S195" i="1"/>
  <c r="B15" i="33"/>
  <c r="S132" i="1"/>
  <c r="T54" i="31"/>
  <c r="N235" i="1"/>
  <c r="P235" i="1" s="1"/>
  <c r="B16" i="33" l="1"/>
  <c r="S456" i="1"/>
  <c r="P230" i="1"/>
  <c r="U230" i="1" s="1"/>
  <c r="B17" i="33" l="1"/>
  <c r="Q457" i="1"/>
  <c r="P229" i="1"/>
  <c r="U229" i="1" s="1"/>
  <c r="P228" i="1"/>
  <c r="U228" i="1" s="1"/>
  <c r="P219" i="1"/>
  <c r="U219" i="1" s="1"/>
  <c r="P227" i="1"/>
  <c r="U227" i="1" s="1"/>
  <c r="P226" i="1"/>
  <c r="U226" i="1" s="1"/>
  <c r="P67" i="1"/>
  <c r="U67" i="1" s="1"/>
  <c r="P56" i="1"/>
  <c r="U56" i="1" s="1"/>
  <c r="P33" i="1"/>
  <c r="U33" i="1" s="1"/>
  <c r="B18" i="33" l="1"/>
  <c r="B19" i="33" s="1"/>
  <c r="Q463" i="1" s="1"/>
  <c r="Q461" i="1"/>
  <c r="K65" i="32"/>
  <c r="AG235" i="1"/>
  <c r="B65" i="32"/>
  <c r="AF235" i="1" s="1"/>
  <c r="AD64" i="1"/>
  <c r="AE64" i="1"/>
  <c r="AF473" i="1"/>
  <c r="AD336" i="1"/>
  <c r="AE336" i="1"/>
  <c r="K62" i="32"/>
  <c r="AG473" i="1"/>
  <c r="B62" i="32"/>
  <c r="AE101" i="1"/>
  <c r="AD101" i="1"/>
  <c r="AF254" i="1"/>
  <c r="K59" i="32"/>
  <c r="AG254" i="1"/>
  <c r="K36" i="32"/>
  <c r="K37" i="32" s="1"/>
  <c r="K38" i="32" s="1"/>
  <c r="AG253" i="1"/>
  <c r="AG252" i="1"/>
  <c r="AD102" i="1"/>
  <c r="AE102" i="1"/>
  <c r="AD253" i="1"/>
  <c r="AE253" i="1"/>
  <c r="AD272" i="1"/>
  <c r="AG250" i="1"/>
  <c r="AE272" i="1"/>
  <c r="AD434" i="1"/>
  <c r="AE434" i="1"/>
  <c r="AD390" i="1"/>
  <c r="AG463" i="1"/>
  <c r="AG462" i="1"/>
  <c r="AG461" i="1"/>
  <c r="AG460" i="1"/>
  <c r="AG458" i="1"/>
  <c r="AG457" i="1"/>
  <c r="AE390" i="1"/>
  <c r="AD440" i="1"/>
  <c r="K53" i="32"/>
  <c r="B53" i="32"/>
  <c r="AE440" i="1"/>
  <c r="AG128" i="1"/>
  <c r="AD128" i="1"/>
  <c r="AE128" i="1"/>
  <c r="AD127" i="1"/>
  <c r="AD126" i="1"/>
  <c r="K50" i="32"/>
  <c r="B50" i="32"/>
  <c r="AF129" i="1" s="1"/>
  <c r="AG129" i="1"/>
  <c r="AF456" i="1"/>
  <c r="AE131" i="1"/>
  <c r="AE126" i="1"/>
  <c r="AG132" i="1"/>
  <c r="AE130" i="1"/>
  <c r="AE127" i="1"/>
  <c r="AE463" i="1"/>
  <c r="AG456" i="1"/>
  <c r="AE239" i="1" l="1"/>
  <c r="AD239" i="1"/>
  <c r="AG73" i="1"/>
  <c r="AD72" i="1"/>
  <c r="AE72" i="1"/>
  <c r="K46" i="32"/>
  <c r="AG84" i="1"/>
  <c r="B46" i="32"/>
  <c r="AF84" i="1" s="1"/>
  <c r="AE442" i="1"/>
  <c r="AD431" i="1"/>
  <c r="AE431" i="1"/>
  <c r="AG272" i="1"/>
  <c r="AD136" i="1"/>
  <c r="AG85" i="1"/>
  <c r="AE137" i="1"/>
  <c r="AE136" i="1"/>
  <c r="K68" i="32"/>
  <c r="K69" i="32" s="1"/>
  <c r="K70" i="32" s="1"/>
  <c r="B68" i="32"/>
  <c r="B41" i="32"/>
  <c r="B36" i="32"/>
  <c r="B37" i="32" s="1"/>
  <c r="B38" i="32" s="1"/>
  <c r="AF253" i="1" s="1"/>
  <c r="K32" i="32"/>
  <c r="K33" i="32" s="1"/>
  <c r="B32" i="32"/>
  <c r="K28" i="32"/>
  <c r="K29" i="32" s="1"/>
  <c r="B28" i="32"/>
  <c r="K25" i="32"/>
  <c r="B25" i="32"/>
  <c r="AF73" i="1" s="1"/>
  <c r="K17" i="32"/>
  <c r="K18" i="32" s="1"/>
  <c r="K19" i="32" s="1"/>
  <c r="K20" i="32" s="1"/>
  <c r="K21" i="32" s="1"/>
  <c r="K22" i="32" s="1"/>
  <c r="B17" i="32"/>
  <c r="B18" i="32" s="1"/>
  <c r="B19" i="32" s="1"/>
  <c r="B9" i="32"/>
  <c r="AD130" i="1" s="1"/>
  <c r="K6" i="32"/>
  <c r="K7" i="32" s="1"/>
  <c r="K8" i="32" s="1"/>
  <c r="K9" i="32" s="1"/>
  <c r="K10" i="32" s="1"/>
  <c r="K11" i="32" s="1"/>
  <c r="K12" i="32" s="1"/>
  <c r="K13" i="32" s="1"/>
  <c r="K14" i="32" s="1"/>
  <c r="AC88" i="1"/>
  <c r="AH88" i="1" s="1"/>
  <c r="B69" i="32" l="1"/>
  <c r="AF101" i="1"/>
  <c r="B20" i="32"/>
  <c r="B21" i="32" s="1"/>
  <c r="AF460" i="1"/>
  <c r="B10" i="32"/>
  <c r="AD131" i="1" s="1"/>
  <c r="B33" i="32"/>
  <c r="AF272" i="1" s="1"/>
  <c r="AD442" i="1"/>
  <c r="B42" i="32"/>
  <c r="AF85" i="1" s="1"/>
  <c r="AD137" i="1"/>
  <c r="B70" i="32" l="1"/>
  <c r="AF256" i="1" s="1"/>
  <c r="AF102" i="1"/>
  <c r="AF463" i="1"/>
  <c r="B22" i="32"/>
  <c r="AF458" i="1" s="1"/>
  <c r="B11" i="32"/>
  <c r="B12" i="32" s="1"/>
  <c r="B13" i="32" s="1"/>
  <c r="B14" i="32" s="1"/>
  <c r="AC219" i="1"/>
  <c r="AH219" i="1" s="1"/>
  <c r="AC86" i="1" l="1"/>
  <c r="AH86" i="1" s="1"/>
  <c r="F46" i="8" l="1"/>
  <c r="D46" i="8"/>
  <c r="V152" i="6"/>
  <c r="N152" i="6"/>
  <c r="V151" i="6"/>
  <c r="N151" i="6"/>
  <c r="V150" i="6"/>
  <c r="N150" i="6"/>
  <c r="T107" i="6"/>
  <c r="L107" i="6"/>
  <c r="V101" i="6"/>
  <c r="N101" i="6"/>
  <c r="V38" i="6"/>
  <c r="N38" i="6"/>
  <c r="P51" i="31"/>
  <c r="T53" i="31"/>
  <c r="R47" i="31"/>
  <c r="P57" i="31" l="1"/>
  <c r="T51" i="31"/>
  <c r="T85" i="31"/>
  <c r="T43" i="31"/>
  <c r="T41" i="31"/>
  <c r="T36" i="31"/>
  <c r="T35" i="31"/>
  <c r="T34" i="31"/>
  <c r="P29" i="31"/>
  <c r="T29" i="31" s="1"/>
  <c r="T28" i="31"/>
  <c r="N25" i="31"/>
  <c r="N31" i="31" s="1"/>
  <c r="N38" i="31" s="1"/>
  <c r="K25" i="31"/>
  <c r="I25" i="31"/>
  <c r="I31" i="31" s="1"/>
  <c r="I38" i="31" s="1"/>
  <c r="F25" i="31"/>
  <c r="F31" i="31" s="1"/>
  <c r="F38" i="31" s="1"/>
  <c r="F49" i="31" s="1"/>
  <c r="F74" i="31" s="1"/>
  <c r="P23" i="31"/>
  <c r="T23" i="31" s="1"/>
  <c r="P21" i="31"/>
  <c r="T20" i="31"/>
  <c r="R18" i="31"/>
  <c r="A1" i="31"/>
  <c r="N47" i="31" l="1"/>
  <c r="N49" i="31"/>
  <c r="N74" i="31" s="1"/>
  <c r="I47" i="31"/>
  <c r="F47" i="31"/>
  <c r="R25" i="31"/>
  <c r="R31" i="31" s="1"/>
  <c r="T18" i="31"/>
  <c r="P25" i="31"/>
  <c r="T21" i="31"/>
  <c r="I49" i="31"/>
  <c r="K85" i="31"/>
  <c r="K31" i="31"/>
  <c r="I69" i="31" l="1"/>
  <c r="I72" i="31" s="1"/>
  <c r="I74" i="31"/>
  <c r="N59" i="31"/>
  <c r="N69" i="31"/>
  <c r="N72" i="31" s="1"/>
  <c r="F59" i="31"/>
  <c r="F69" i="31"/>
  <c r="F72" i="31" s="1"/>
  <c r="I59" i="31"/>
  <c r="T57" i="31"/>
  <c r="N77" i="31"/>
  <c r="K82" i="31"/>
  <c r="K38" i="31"/>
  <c r="K47" i="31" s="1"/>
  <c r="I77" i="31"/>
  <c r="F77" i="31"/>
  <c r="P85" i="31"/>
  <c r="P31" i="31"/>
  <c r="T25" i="31"/>
  <c r="R85" i="31"/>
  <c r="R82" i="31"/>
  <c r="R38" i="31"/>
  <c r="R49" i="31" l="1"/>
  <c r="R59" i="31" s="1"/>
  <c r="T82" i="31"/>
  <c r="T31" i="31"/>
  <c r="T38" i="31" s="1"/>
  <c r="P82" i="31"/>
  <c r="P38" i="31"/>
  <c r="K49" i="31"/>
  <c r="K69" i="31" l="1"/>
  <c r="K72" i="31" s="1"/>
  <c r="K59" i="31"/>
  <c r="K77" i="31"/>
  <c r="K47" i="30" l="1"/>
  <c r="AA47" i="30" s="1"/>
  <c r="K54" i="30"/>
  <c r="W398" i="1"/>
  <c r="Y398" i="1" s="1"/>
  <c r="K53" i="30"/>
  <c r="K52" i="30"/>
  <c r="K51" i="30"/>
  <c r="K50" i="30"/>
  <c r="K56" i="30"/>
  <c r="AA56" i="30" s="1"/>
  <c r="K43" i="30"/>
  <c r="K42" i="30"/>
  <c r="W373" i="1"/>
  <c r="K39" i="30"/>
  <c r="K38" i="30"/>
  <c r="K35" i="30"/>
  <c r="K10" i="30"/>
  <c r="K11" i="30"/>
  <c r="K31" i="30"/>
  <c r="K28" i="30"/>
  <c r="K27" i="30"/>
  <c r="K30" i="30" s="1"/>
  <c r="K33" i="30" s="1"/>
  <c r="K22" i="30"/>
  <c r="K18" i="30"/>
  <c r="AA18" i="30" s="1"/>
  <c r="K14" i="30"/>
  <c r="W343" i="1"/>
  <c r="C11" i="30"/>
  <c r="C10" i="30"/>
  <c r="K45" i="30" l="1"/>
  <c r="AA10" i="30"/>
  <c r="K13" i="30"/>
  <c r="K16" i="30" s="1"/>
  <c r="K20" i="30" s="1"/>
  <c r="K24" i="30" s="1"/>
  <c r="K58" i="30" l="1"/>
  <c r="I7" i="14"/>
  <c r="I9" i="14" s="1"/>
  <c r="K45" i="18"/>
  <c r="G45" i="18"/>
  <c r="I22" i="18"/>
  <c r="I38" i="18"/>
  <c r="I36" i="18"/>
  <c r="I10" i="28"/>
  <c r="I9" i="28"/>
  <c r="C10" i="28"/>
  <c r="C9" i="28"/>
  <c r="I8" i="29"/>
  <c r="I10" i="29" s="1"/>
  <c r="I10" i="27"/>
  <c r="I9" i="27"/>
  <c r="I8" i="27"/>
  <c r="I12" i="27" s="1"/>
  <c r="K16" i="27" s="1"/>
  <c r="I9" i="17"/>
  <c r="I7" i="24"/>
  <c r="I8" i="24"/>
  <c r="I9" i="18"/>
  <c r="I11" i="18" s="1"/>
  <c r="K44" i="18" s="1"/>
  <c r="K46" i="18" s="1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6" i="26"/>
  <c r="I15" i="23"/>
  <c r="I14" i="23"/>
  <c r="I13" i="23"/>
  <c r="I9" i="24"/>
  <c r="I6" i="24"/>
  <c r="I9" i="25"/>
  <c r="I10" i="25"/>
  <c r="I11" i="25"/>
  <c r="I12" i="25"/>
  <c r="I13" i="25"/>
  <c r="I14" i="25"/>
  <c r="I15" i="25"/>
  <c r="I16" i="25"/>
  <c r="I8" i="25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16" i="23"/>
  <c r="I9" i="23"/>
  <c r="I10" i="23"/>
  <c r="I11" i="23"/>
  <c r="I12" i="23"/>
  <c r="I8" i="23"/>
  <c r="I12" i="19"/>
  <c r="I13" i="19"/>
  <c r="I14" i="19"/>
  <c r="I15" i="19"/>
  <c r="I16" i="19"/>
  <c r="I11" i="19"/>
  <c r="I11" i="21"/>
  <c r="I14" i="21"/>
  <c r="I13" i="21"/>
  <c r="I12" i="21"/>
  <c r="I10" i="21"/>
  <c r="I9" i="21"/>
  <c r="I8" i="21"/>
  <c r="I10" i="17"/>
  <c r="I26" i="18"/>
  <c r="I25" i="18"/>
  <c r="I24" i="18"/>
  <c r="I21" i="18"/>
  <c r="I20" i="18"/>
  <c r="I19" i="18"/>
  <c r="I18" i="18"/>
  <c r="I11" i="12"/>
  <c r="I12" i="12"/>
  <c r="I13" i="12"/>
  <c r="I10" i="12"/>
  <c r="K44" i="23" l="1"/>
  <c r="Y465" i="1"/>
  <c r="I12" i="28"/>
  <c r="D24" i="28" s="1"/>
  <c r="I12" i="17"/>
  <c r="I14" i="12"/>
  <c r="K18" i="12" s="1"/>
  <c r="I18" i="25"/>
  <c r="K21" i="25" s="1"/>
  <c r="I16" i="21"/>
  <c r="K19" i="21" s="1"/>
  <c r="I56" i="26"/>
  <c r="K62" i="26" s="1"/>
  <c r="I40" i="18"/>
  <c r="K52" i="18" s="1"/>
  <c r="I30" i="18"/>
  <c r="K48" i="18" s="1"/>
  <c r="I18" i="19"/>
  <c r="K21" i="19" s="1"/>
  <c r="I11" i="24"/>
  <c r="K15" i="24" s="1"/>
  <c r="I39" i="23"/>
  <c r="K43" i="23" s="1"/>
  <c r="K45" i="23" s="1"/>
  <c r="I9" i="13"/>
  <c r="I10" i="13"/>
  <c r="I11" i="13"/>
  <c r="I8" i="13"/>
  <c r="G44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25" i="11"/>
  <c r="E27" i="11"/>
  <c r="G12" i="11"/>
  <c r="G13" i="11"/>
  <c r="G14" i="11"/>
  <c r="G15" i="11"/>
  <c r="G16" i="11"/>
  <c r="G11" i="11"/>
  <c r="G18" i="11" s="1"/>
  <c r="I28" i="9"/>
  <c r="I27" i="9"/>
  <c r="I26" i="9"/>
  <c r="I25" i="9"/>
  <c r="I24" i="9"/>
  <c r="I23" i="9"/>
  <c r="I18" i="9"/>
  <c r="I17" i="9"/>
  <c r="I16" i="9"/>
  <c r="I15" i="9"/>
  <c r="I14" i="9"/>
  <c r="I13" i="9"/>
  <c r="I20" i="9" s="1"/>
  <c r="J43" i="3"/>
  <c r="J60" i="3"/>
  <c r="P368" i="1"/>
  <c r="P367" i="1"/>
  <c r="U367" i="1" s="1"/>
  <c r="G38" i="30" s="1"/>
  <c r="W38" i="30" s="1"/>
  <c r="P352" i="1"/>
  <c r="P341" i="1"/>
  <c r="AA325" i="1"/>
  <c r="AA324" i="1"/>
  <c r="AA321" i="1"/>
  <c r="AA311" i="1"/>
  <c r="AA314" i="1" s="1"/>
  <c r="AA302" i="1"/>
  <c r="AA301" i="1"/>
  <c r="AA300" i="1"/>
  <c r="AA299" i="1"/>
  <c r="AA298" i="1"/>
  <c r="AC298" i="1" s="1"/>
  <c r="AH298" i="1" s="1"/>
  <c r="AA295" i="1"/>
  <c r="AA291" i="1"/>
  <c r="AA284" i="1"/>
  <c r="AA283" i="1"/>
  <c r="AA280" i="1"/>
  <c r="AC280" i="1" s="1"/>
  <c r="AH280" i="1" s="1"/>
  <c r="AA276" i="1"/>
  <c r="AC276" i="1" s="1"/>
  <c r="AH276" i="1" s="1"/>
  <c r="AA275" i="1"/>
  <c r="AA274" i="1"/>
  <c r="AC274" i="1" s="1"/>
  <c r="AH274" i="1" s="1"/>
  <c r="AA272" i="1"/>
  <c r="AC272" i="1" s="1"/>
  <c r="AH272" i="1" s="1"/>
  <c r="AA271" i="1"/>
  <c r="AC271" i="1" s="1"/>
  <c r="AH271" i="1" s="1"/>
  <c r="AA270" i="1"/>
  <c r="AA269" i="1"/>
  <c r="AA268" i="1"/>
  <c r="AA264" i="1"/>
  <c r="AA263" i="1"/>
  <c r="AA262" i="1"/>
  <c r="AC262" i="1" s="1"/>
  <c r="AH262" i="1" s="1"/>
  <c r="AA261" i="1"/>
  <c r="AC261" i="1" s="1"/>
  <c r="AH261" i="1" s="1"/>
  <c r="AA260" i="1"/>
  <c r="AC260" i="1" s="1"/>
  <c r="AH260" i="1" s="1"/>
  <c r="AA259" i="1"/>
  <c r="AA258" i="1"/>
  <c r="AC258" i="1" s="1"/>
  <c r="AH258" i="1" s="1"/>
  <c r="AA257" i="1"/>
  <c r="AC257" i="1" s="1"/>
  <c r="AH257" i="1" s="1"/>
  <c r="AA256" i="1"/>
  <c r="AA254" i="1"/>
  <c r="AC254" i="1" s="1"/>
  <c r="AH254" i="1" s="1"/>
  <c r="AA253" i="1"/>
  <c r="AC253" i="1" s="1"/>
  <c r="AH253" i="1" s="1"/>
  <c r="AA252" i="1"/>
  <c r="AC252" i="1" s="1"/>
  <c r="AH252" i="1" s="1"/>
  <c r="AA251" i="1"/>
  <c r="AA250" i="1"/>
  <c r="AA247" i="1"/>
  <c r="AC247" i="1" s="1"/>
  <c r="AH247" i="1" s="1"/>
  <c r="AA246" i="1"/>
  <c r="AA245" i="1"/>
  <c r="AA244" i="1"/>
  <c r="AC244" i="1" s="1"/>
  <c r="AH244" i="1" s="1"/>
  <c r="AA243" i="1"/>
  <c r="AA239" i="1"/>
  <c r="AA217" i="1"/>
  <c r="AA216" i="1"/>
  <c r="AA215" i="1"/>
  <c r="AC215" i="1" s="1"/>
  <c r="AH215" i="1" s="1"/>
  <c r="AA214" i="1"/>
  <c r="AC214" i="1" s="1"/>
  <c r="AH214" i="1" s="1"/>
  <c r="AA211" i="1"/>
  <c r="AC211" i="1" s="1"/>
  <c r="AH211" i="1" s="1"/>
  <c r="AA210" i="1"/>
  <c r="AC210" i="1" s="1"/>
  <c r="AH210" i="1" s="1"/>
  <c r="AA209" i="1"/>
  <c r="AC209" i="1" s="1"/>
  <c r="AH209" i="1" s="1"/>
  <c r="AA208" i="1"/>
  <c r="AA207" i="1"/>
  <c r="AC207" i="1" s="1"/>
  <c r="AH207" i="1" s="1"/>
  <c r="AA206" i="1"/>
  <c r="AA205" i="1"/>
  <c r="AA235" i="1" s="1"/>
  <c r="AC235" i="1" s="1"/>
  <c r="AH235" i="1" s="1"/>
  <c r="AA204" i="1"/>
  <c r="AA203" i="1"/>
  <c r="AC203" i="1" s="1"/>
  <c r="AH203" i="1" s="1"/>
  <c r="AA202" i="1"/>
  <c r="AC202" i="1" s="1"/>
  <c r="AH202" i="1" s="1"/>
  <c r="AA201" i="1"/>
  <c r="AA200" i="1"/>
  <c r="AA199" i="1"/>
  <c r="AC199" i="1" s="1"/>
  <c r="AH199" i="1" s="1"/>
  <c r="AA198" i="1"/>
  <c r="AC198" i="1" s="1"/>
  <c r="AH198" i="1" s="1"/>
  <c r="AA196" i="1"/>
  <c r="AC196" i="1" s="1"/>
  <c r="AH196" i="1" s="1"/>
  <c r="AA195" i="1"/>
  <c r="AA194" i="1"/>
  <c r="AC194" i="1" s="1"/>
  <c r="AH194" i="1" s="1"/>
  <c r="AA193" i="1"/>
  <c r="AC193" i="1" s="1"/>
  <c r="AH193" i="1" s="1"/>
  <c r="AA192" i="1"/>
  <c r="AA191" i="1"/>
  <c r="AA190" i="1"/>
  <c r="AC190" i="1" s="1"/>
  <c r="AH190" i="1" s="1"/>
  <c r="AA189" i="1"/>
  <c r="AC189" i="1" s="1"/>
  <c r="AH189" i="1" s="1"/>
  <c r="AA188" i="1"/>
  <c r="AC188" i="1" s="1"/>
  <c r="AH188" i="1" s="1"/>
  <c r="AA187" i="1"/>
  <c r="AA185" i="1"/>
  <c r="AC185" i="1" s="1"/>
  <c r="AH185" i="1" s="1"/>
  <c r="AA184" i="1"/>
  <c r="AC184" i="1" s="1"/>
  <c r="AH184" i="1" s="1"/>
  <c r="AA183" i="1"/>
  <c r="AC183" i="1" s="1"/>
  <c r="AH183" i="1" s="1"/>
  <c r="AA182" i="1"/>
  <c r="AA181" i="1"/>
  <c r="AC181" i="1" s="1"/>
  <c r="AH181" i="1" s="1"/>
  <c r="AA180" i="1"/>
  <c r="AC180" i="1" s="1"/>
  <c r="AH180" i="1" s="1"/>
  <c r="AA179" i="1"/>
  <c r="AA178" i="1"/>
  <c r="AA177" i="1"/>
  <c r="AA174" i="1"/>
  <c r="AC174" i="1" s="1"/>
  <c r="AH174" i="1" s="1"/>
  <c r="AA173" i="1"/>
  <c r="AC173" i="1" s="1"/>
  <c r="AH173" i="1" s="1"/>
  <c r="AA172" i="1"/>
  <c r="AA171" i="1"/>
  <c r="AC171" i="1" s="1"/>
  <c r="AH171" i="1" s="1"/>
  <c r="AA170" i="1"/>
  <c r="AA169" i="1"/>
  <c r="AC169" i="1" s="1"/>
  <c r="AH169" i="1" s="1"/>
  <c r="AA167" i="1"/>
  <c r="AA166" i="1"/>
  <c r="AC166" i="1" s="1"/>
  <c r="AH166" i="1" s="1"/>
  <c r="AA165" i="1"/>
  <c r="AC165" i="1" s="1"/>
  <c r="AH165" i="1" s="1"/>
  <c r="AA164" i="1"/>
  <c r="AA154" i="1"/>
  <c r="AA151" i="1"/>
  <c r="AC151" i="1" s="1"/>
  <c r="AH151" i="1" s="1"/>
  <c r="AA148" i="1"/>
  <c r="AA146" i="1"/>
  <c r="AC146" i="1" s="1"/>
  <c r="AH146" i="1" s="1"/>
  <c r="AA145" i="1"/>
  <c r="AA141" i="1"/>
  <c r="AA137" i="1"/>
  <c r="AC137" i="1" s="1"/>
  <c r="AH137" i="1" s="1"/>
  <c r="AA136" i="1"/>
  <c r="AA133" i="1"/>
  <c r="AA132" i="1"/>
  <c r="AC132" i="1" s="1"/>
  <c r="AH132" i="1" s="1"/>
  <c r="AA131" i="1"/>
  <c r="AC131" i="1" s="1"/>
  <c r="AH131" i="1" s="1"/>
  <c r="AA130" i="1"/>
  <c r="AA129" i="1"/>
  <c r="AA128" i="1"/>
  <c r="AC128" i="1" s="1"/>
  <c r="AH128" i="1" s="1"/>
  <c r="AA127" i="1"/>
  <c r="AC127" i="1" s="1"/>
  <c r="AH127" i="1" s="1"/>
  <c r="AA126" i="1"/>
  <c r="AA123" i="1"/>
  <c r="AA122" i="1"/>
  <c r="AC122" i="1" s="1"/>
  <c r="AH122" i="1" s="1"/>
  <c r="AA121" i="1"/>
  <c r="AA120" i="1"/>
  <c r="AA119" i="1"/>
  <c r="AA118" i="1"/>
  <c r="AC118" i="1" s="1"/>
  <c r="AH118" i="1" s="1"/>
  <c r="AA117" i="1"/>
  <c r="AC117" i="1" s="1"/>
  <c r="AH117" i="1" s="1"/>
  <c r="AA116" i="1"/>
  <c r="AC116" i="1" s="1"/>
  <c r="AH116" i="1" s="1"/>
  <c r="AA115" i="1"/>
  <c r="AA109" i="1"/>
  <c r="AC109" i="1" s="1"/>
  <c r="AH109" i="1" s="1"/>
  <c r="AA106" i="1"/>
  <c r="AC106" i="1" s="1"/>
  <c r="AH106" i="1" s="1"/>
  <c r="AA103" i="1"/>
  <c r="AC103" i="1" s="1"/>
  <c r="AH103" i="1" s="1"/>
  <c r="AA102" i="1"/>
  <c r="AC102" i="1" s="1"/>
  <c r="AH102" i="1" s="1"/>
  <c r="AA101" i="1"/>
  <c r="AC101" i="1" s="1"/>
  <c r="AH101" i="1" s="1"/>
  <c r="AA100" i="1"/>
  <c r="AC100" i="1" s="1"/>
  <c r="AH100" i="1" s="1"/>
  <c r="AA99" i="1"/>
  <c r="AA95" i="1"/>
  <c r="AA94" i="1"/>
  <c r="AA93" i="1"/>
  <c r="AA92" i="1"/>
  <c r="AA87" i="1"/>
  <c r="AA85" i="1"/>
  <c r="AC85" i="1" s="1"/>
  <c r="AH85" i="1" s="1"/>
  <c r="AA84" i="1"/>
  <c r="AC84" i="1" s="1"/>
  <c r="AH84" i="1" s="1"/>
  <c r="AA83" i="1"/>
  <c r="AA77" i="1"/>
  <c r="AA73" i="1"/>
  <c r="AC73" i="1" s="1"/>
  <c r="AH73" i="1" s="1"/>
  <c r="AA72" i="1"/>
  <c r="AA66" i="1"/>
  <c r="AC66" i="1" s="1"/>
  <c r="AH66" i="1" s="1"/>
  <c r="AA65" i="1"/>
  <c r="AA64" i="1"/>
  <c r="AA63" i="1"/>
  <c r="AC63" i="1" s="1"/>
  <c r="AH63" i="1" s="1"/>
  <c r="AA62" i="1"/>
  <c r="AA61" i="1"/>
  <c r="AA60" i="1"/>
  <c r="AC60" i="1" s="1"/>
  <c r="AH60" i="1" s="1"/>
  <c r="AA59" i="1"/>
  <c r="AC59" i="1" s="1"/>
  <c r="AH59" i="1" s="1"/>
  <c r="AA58" i="1"/>
  <c r="AC58" i="1" s="1"/>
  <c r="AH58" i="1" s="1"/>
  <c r="AA57" i="1"/>
  <c r="AA56" i="1"/>
  <c r="AC56" i="1" s="1"/>
  <c r="AH56" i="1" s="1"/>
  <c r="AA55" i="1"/>
  <c r="AC55" i="1" s="1"/>
  <c r="AH55" i="1" s="1"/>
  <c r="AA54" i="1"/>
  <c r="AA53" i="1"/>
  <c r="AA52" i="1"/>
  <c r="AA51" i="1"/>
  <c r="AC51" i="1" s="1"/>
  <c r="AH51" i="1" s="1"/>
  <c r="AA50" i="1"/>
  <c r="AA49" i="1"/>
  <c r="AA48" i="1"/>
  <c r="AC48" i="1" s="1"/>
  <c r="AH48" i="1" s="1"/>
  <c r="AA47" i="1"/>
  <c r="AC47" i="1" s="1"/>
  <c r="AH47" i="1" s="1"/>
  <c r="AA46" i="1"/>
  <c r="AA41" i="1"/>
  <c r="AA40" i="1"/>
  <c r="AC40" i="1" s="1"/>
  <c r="AH40" i="1" s="1"/>
  <c r="AA39" i="1"/>
  <c r="AC39" i="1" s="1"/>
  <c r="AH39" i="1" s="1"/>
  <c r="AA38" i="1"/>
  <c r="AC38" i="1" s="1"/>
  <c r="AH38" i="1" s="1"/>
  <c r="AA37" i="1"/>
  <c r="AA36" i="1"/>
  <c r="AC36" i="1" s="1"/>
  <c r="AH36" i="1" s="1"/>
  <c r="AA35" i="1"/>
  <c r="AC35" i="1" s="1"/>
  <c r="AH35" i="1" s="1"/>
  <c r="AA32" i="1"/>
  <c r="AC32" i="1" s="1"/>
  <c r="AH32" i="1" s="1"/>
  <c r="AA31" i="1"/>
  <c r="AA30" i="1"/>
  <c r="AC30" i="1" s="1"/>
  <c r="AH30" i="1" s="1"/>
  <c r="AA29" i="1"/>
  <c r="AC29" i="1" s="1"/>
  <c r="AH29" i="1" s="1"/>
  <c r="AA28" i="1"/>
  <c r="AA27" i="1"/>
  <c r="AA26" i="1"/>
  <c r="AC26" i="1" s="1"/>
  <c r="AH26" i="1" s="1"/>
  <c r="AA25" i="1"/>
  <c r="AC25" i="1" s="1"/>
  <c r="AH25" i="1" s="1"/>
  <c r="AA24" i="1"/>
  <c r="AA20" i="1"/>
  <c r="AA18" i="1"/>
  <c r="AB12" i="1"/>
  <c r="AC500" i="1"/>
  <c r="AC497" i="1"/>
  <c r="AC492" i="1"/>
  <c r="AH492" i="1" s="1"/>
  <c r="J24" i="4" s="1"/>
  <c r="AC491" i="1"/>
  <c r="AH491" i="1" s="1"/>
  <c r="AC489" i="1"/>
  <c r="AC484" i="1"/>
  <c r="AH484" i="1" s="1"/>
  <c r="AC483" i="1"/>
  <c r="AH483" i="1" s="1"/>
  <c r="AC482" i="1"/>
  <c r="AH482" i="1" s="1"/>
  <c r="S100" i="6" s="1"/>
  <c r="V100" i="6" s="1"/>
  <c r="AC481" i="1"/>
  <c r="AH481" i="1" s="1"/>
  <c r="S99" i="6" s="1"/>
  <c r="V99" i="6" s="1"/>
  <c r="AC480" i="1"/>
  <c r="AH480" i="1" s="1"/>
  <c r="S98" i="6" s="1"/>
  <c r="V98" i="6" s="1"/>
  <c r="AC479" i="1"/>
  <c r="AH479" i="1" s="1"/>
  <c r="S97" i="6" s="1"/>
  <c r="V97" i="6" s="1"/>
  <c r="AC478" i="1"/>
  <c r="AH478" i="1" s="1"/>
  <c r="S96" i="6" s="1"/>
  <c r="V96" i="6" s="1"/>
  <c r="AC477" i="1"/>
  <c r="AH477" i="1" s="1"/>
  <c r="S95" i="6" s="1"/>
  <c r="AC476" i="1"/>
  <c r="AC473" i="1"/>
  <c r="AH473" i="1" s="1"/>
  <c r="AC472" i="1"/>
  <c r="AH472" i="1" s="1"/>
  <c r="AC471" i="1"/>
  <c r="AH471" i="1" s="1"/>
  <c r="S91" i="6" s="1"/>
  <c r="V91" i="6" s="1"/>
  <c r="AC470" i="1"/>
  <c r="AC464" i="1"/>
  <c r="AH464" i="1" s="1"/>
  <c r="AC463" i="1"/>
  <c r="AH463" i="1" s="1"/>
  <c r="AC462" i="1"/>
  <c r="AH462" i="1" s="1"/>
  <c r="AC461" i="1"/>
  <c r="AH461" i="1" s="1"/>
  <c r="AC460" i="1"/>
  <c r="AH460" i="1" s="1"/>
  <c r="S84" i="6" s="1"/>
  <c r="V84" i="6" s="1"/>
  <c r="AC459" i="1"/>
  <c r="AH459" i="1" s="1"/>
  <c r="AC458" i="1"/>
  <c r="AH458" i="1" s="1"/>
  <c r="AC457" i="1"/>
  <c r="AH457" i="1" s="1"/>
  <c r="AC456" i="1"/>
  <c r="AH456" i="1" s="1"/>
  <c r="S83" i="6" s="1"/>
  <c r="V83" i="6" s="1"/>
  <c r="AC455" i="1"/>
  <c r="AH455" i="1" s="1"/>
  <c r="AC454" i="1"/>
  <c r="AH454" i="1" s="1"/>
  <c r="S80" i="6" s="1"/>
  <c r="V80" i="6" s="1"/>
  <c r="AC453" i="1"/>
  <c r="AH453" i="1" s="1"/>
  <c r="S79" i="6" s="1"/>
  <c r="V79" i="6" s="1"/>
  <c r="AC452" i="1"/>
  <c r="AH452" i="1" s="1"/>
  <c r="S78" i="6" s="1"/>
  <c r="V78" i="6" s="1"/>
  <c r="AC451" i="1"/>
  <c r="AH451" i="1" s="1"/>
  <c r="S77" i="6" s="1"/>
  <c r="V77" i="6" s="1"/>
  <c r="AC450" i="1"/>
  <c r="AH450" i="1" s="1"/>
  <c r="S76" i="6" s="1"/>
  <c r="V76" i="6" s="1"/>
  <c r="AC449" i="1"/>
  <c r="AH449" i="1" s="1"/>
  <c r="S75" i="6" s="1"/>
  <c r="V75" i="6" s="1"/>
  <c r="AC448" i="1"/>
  <c r="AH448" i="1" s="1"/>
  <c r="S72" i="6" s="1"/>
  <c r="V72" i="6" s="1"/>
  <c r="AC447" i="1"/>
  <c r="AH447" i="1" s="1"/>
  <c r="S71" i="6" s="1"/>
  <c r="V71" i="6" s="1"/>
  <c r="AC446" i="1"/>
  <c r="AH446" i="1" s="1"/>
  <c r="S70" i="6" s="1"/>
  <c r="V70" i="6" s="1"/>
  <c r="AC445" i="1"/>
  <c r="AH445" i="1" s="1"/>
  <c r="S69" i="6" s="1"/>
  <c r="V69" i="6" s="1"/>
  <c r="AC444" i="1"/>
  <c r="AH444" i="1" s="1"/>
  <c r="S68" i="6" s="1"/>
  <c r="V68" i="6" s="1"/>
  <c r="AC443" i="1"/>
  <c r="AH443" i="1" s="1"/>
  <c r="S67" i="6" s="1"/>
  <c r="T67" i="6" s="1"/>
  <c r="AC442" i="1"/>
  <c r="AH442" i="1" s="1"/>
  <c r="S66" i="6" s="1"/>
  <c r="V66" i="6" s="1"/>
  <c r="AC441" i="1"/>
  <c r="AH441" i="1" s="1"/>
  <c r="S65" i="6" s="1"/>
  <c r="V65" i="6" s="1"/>
  <c r="AC440" i="1"/>
  <c r="AH440" i="1" s="1"/>
  <c r="S64" i="6" s="1"/>
  <c r="V64" i="6" s="1"/>
  <c r="AC439" i="1"/>
  <c r="AH439" i="1" s="1"/>
  <c r="S63" i="6" s="1"/>
  <c r="V63" i="6" s="1"/>
  <c r="AC438" i="1"/>
  <c r="AH438" i="1" s="1"/>
  <c r="S62" i="6" s="1"/>
  <c r="V62" i="6" s="1"/>
  <c r="AC437" i="1"/>
  <c r="AH437" i="1" s="1"/>
  <c r="S61" i="6" s="1"/>
  <c r="V61" i="6" s="1"/>
  <c r="AC436" i="1"/>
  <c r="AH436" i="1" s="1"/>
  <c r="S60" i="6" s="1"/>
  <c r="V60" i="6" s="1"/>
  <c r="AC435" i="1"/>
  <c r="AH435" i="1" s="1"/>
  <c r="S59" i="6" s="1"/>
  <c r="V59" i="6" s="1"/>
  <c r="AC434" i="1"/>
  <c r="AH434" i="1" s="1"/>
  <c r="S58" i="6" s="1"/>
  <c r="V58" i="6" s="1"/>
  <c r="AC433" i="1"/>
  <c r="AH433" i="1" s="1"/>
  <c r="S57" i="6" s="1"/>
  <c r="V57" i="6" s="1"/>
  <c r="AC432" i="1"/>
  <c r="AH432" i="1" s="1"/>
  <c r="S56" i="6" s="1"/>
  <c r="V56" i="6" s="1"/>
  <c r="AC431" i="1"/>
  <c r="AH431" i="1" s="1"/>
  <c r="S55" i="6" s="1"/>
  <c r="V55" i="6" s="1"/>
  <c r="AC430" i="1"/>
  <c r="AH430" i="1" s="1"/>
  <c r="S54" i="6" s="1"/>
  <c r="V54" i="6" s="1"/>
  <c r="AC429" i="1"/>
  <c r="AH429" i="1" s="1"/>
  <c r="S53" i="6" s="1"/>
  <c r="V53" i="6" s="1"/>
  <c r="AC428" i="1"/>
  <c r="AH428" i="1" s="1"/>
  <c r="S52" i="6" s="1"/>
  <c r="AC427" i="1"/>
  <c r="AH427" i="1" s="1"/>
  <c r="S51" i="6" s="1"/>
  <c r="V51" i="6" s="1"/>
  <c r="AC426" i="1"/>
  <c r="AH426" i="1" s="1"/>
  <c r="S50" i="6" s="1"/>
  <c r="V50" i="6" s="1"/>
  <c r="AC425" i="1"/>
  <c r="AH425" i="1" s="1"/>
  <c r="S49" i="6" s="1"/>
  <c r="T49" i="6" s="1"/>
  <c r="AC424" i="1"/>
  <c r="AH424" i="1" s="1"/>
  <c r="AC423" i="1"/>
  <c r="AH423" i="1" s="1"/>
  <c r="S46" i="6" s="1"/>
  <c r="V46" i="6" s="1"/>
  <c r="AC422" i="1"/>
  <c r="AH422" i="1" s="1"/>
  <c r="S45" i="6" s="1"/>
  <c r="V45" i="6" s="1"/>
  <c r="AC421" i="1"/>
  <c r="AH421" i="1" s="1"/>
  <c r="S44" i="6" s="1"/>
  <c r="V44" i="6" s="1"/>
  <c r="AC420" i="1"/>
  <c r="AH420" i="1" s="1"/>
  <c r="S43" i="6" s="1"/>
  <c r="V43" i="6" s="1"/>
  <c r="AC419" i="1"/>
  <c r="AC414" i="1"/>
  <c r="AH414" i="1" s="1"/>
  <c r="S37" i="6" s="1"/>
  <c r="T37" i="6" s="1"/>
  <c r="V37" i="6" s="1"/>
  <c r="AC413" i="1"/>
  <c r="AH413" i="1" s="1"/>
  <c r="S36" i="6" s="1"/>
  <c r="V36" i="6" s="1"/>
  <c r="AC412" i="1"/>
  <c r="AH412" i="1" s="1"/>
  <c r="S35" i="6" s="1"/>
  <c r="V35" i="6" s="1"/>
  <c r="AC411" i="1"/>
  <c r="AH411" i="1" s="1"/>
  <c r="S34" i="6" s="1"/>
  <c r="V34" i="6" s="1"/>
  <c r="AC410" i="1"/>
  <c r="AH410" i="1" s="1"/>
  <c r="S33" i="6" s="1"/>
  <c r="V33" i="6" s="1"/>
  <c r="AC409" i="1"/>
  <c r="AH409" i="1" s="1"/>
  <c r="S32" i="6" s="1"/>
  <c r="V32" i="6" s="1"/>
  <c r="AC408" i="1"/>
  <c r="AH408" i="1" s="1"/>
  <c r="S31" i="6" s="1"/>
  <c r="V31" i="6" s="1"/>
  <c r="AC407" i="1"/>
  <c r="AH407" i="1" s="1"/>
  <c r="S30" i="6" s="1"/>
  <c r="V30" i="6" s="1"/>
  <c r="AC406" i="1"/>
  <c r="AH406" i="1" s="1"/>
  <c r="S29" i="6" s="1"/>
  <c r="V29" i="6" s="1"/>
  <c r="AC405" i="1"/>
  <c r="AH405" i="1" s="1"/>
  <c r="S28" i="6" s="1"/>
  <c r="V28" i="6" s="1"/>
  <c r="AC404" i="1"/>
  <c r="AH404" i="1" s="1"/>
  <c r="S27" i="6" s="1"/>
  <c r="V27" i="6" s="1"/>
  <c r="AC403" i="1"/>
  <c r="AC397" i="1"/>
  <c r="AH397" i="1" s="1"/>
  <c r="AC396" i="1"/>
  <c r="AH396" i="1" s="1"/>
  <c r="AC395" i="1"/>
  <c r="AH395" i="1" s="1"/>
  <c r="I52" i="30" s="1"/>
  <c r="AC394" i="1"/>
  <c r="AH394" i="1" s="1"/>
  <c r="I53" i="30" s="1"/>
  <c r="AC393" i="1"/>
  <c r="AH393" i="1" s="1"/>
  <c r="I50" i="30" s="1"/>
  <c r="AC392" i="1"/>
  <c r="AH392" i="1" s="1"/>
  <c r="AC391" i="1"/>
  <c r="AH391" i="1" s="1"/>
  <c r="AC390" i="1"/>
  <c r="AH390" i="1" s="1"/>
  <c r="AC389" i="1"/>
  <c r="AH389" i="1" s="1"/>
  <c r="I54" i="30" s="1"/>
  <c r="AC388" i="1"/>
  <c r="AH388" i="1" s="1"/>
  <c r="AC387" i="1"/>
  <c r="AH387" i="1" s="1"/>
  <c r="AC386" i="1"/>
  <c r="AH386" i="1" s="1"/>
  <c r="AC385" i="1"/>
  <c r="AH385" i="1" s="1"/>
  <c r="AC384" i="1"/>
  <c r="AH384" i="1" s="1"/>
  <c r="AC383" i="1"/>
  <c r="AH383" i="1" s="1"/>
  <c r="AC382" i="1"/>
  <c r="AH382" i="1" s="1"/>
  <c r="AC381" i="1"/>
  <c r="AH381" i="1" s="1"/>
  <c r="AC380" i="1"/>
  <c r="AH380" i="1" s="1"/>
  <c r="AC379" i="1"/>
  <c r="AH379" i="1" s="1"/>
  <c r="AC378" i="1"/>
  <c r="AH378" i="1" s="1"/>
  <c r="AC377" i="1"/>
  <c r="AH377" i="1" s="1"/>
  <c r="AC376" i="1"/>
  <c r="AC372" i="1"/>
  <c r="AH372" i="1" s="1"/>
  <c r="AC371" i="1"/>
  <c r="AH371" i="1" s="1"/>
  <c r="AH366" i="1"/>
  <c r="AC364" i="1"/>
  <c r="AC363" i="1"/>
  <c r="AH363" i="1" s="1"/>
  <c r="AC362" i="1"/>
  <c r="AH362" i="1" s="1"/>
  <c r="AC361" i="1"/>
  <c r="AH361" i="1" s="1"/>
  <c r="AC360" i="1"/>
  <c r="AC355" i="1"/>
  <c r="AH355" i="1" s="1"/>
  <c r="I31" i="30" s="1"/>
  <c r="AC353" i="1"/>
  <c r="AH353" i="1" s="1"/>
  <c r="AC348" i="1"/>
  <c r="AH348" i="1" s="1"/>
  <c r="I22" i="30" s="1"/>
  <c r="AC346" i="1"/>
  <c r="AH346" i="1" s="1"/>
  <c r="I18" i="30" s="1"/>
  <c r="AH344" i="1"/>
  <c r="I14" i="30" s="1"/>
  <c r="AC342" i="1"/>
  <c r="AH342" i="1" s="1"/>
  <c r="AC337" i="1"/>
  <c r="AH337" i="1" s="1"/>
  <c r="AC336" i="1"/>
  <c r="AH336" i="1" s="1"/>
  <c r="AC335" i="1"/>
  <c r="AH335" i="1" s="1"/>
  <c r="S12" i="6" s="1"/>
  <c r="V12" i="6" s="1"/>
  <c r="V115" i="6" s="1"/>
  <c r="AC332" i="1"/>
  <c r="AC303" i="1"/>
  <c r="AH303" i="1" s="1"/>
  <c r="AC284" i="1"/>
  <c r="AH284" i="1" s="1"/>
  <c r="AC277" i="1"/>
  <c r="AC275" i="1"/>
  <c r="AH275" i="1" s="1"/>
  <c r="AH273" i="1"/>
  <c r="AC270" i="1"/>
  <c r="AH270" i="1" s="1"/>
  <c r="AC269" i="1"/>
  <c r="AH269" i="1" s="1"/>
  <c r="AC264" i="1"/>
  <c r="AH264" i="1" s="1"/>
  <c r="AC263" i="1"/>
  <c r="AH263" i="1" s="1"/>
  <c r="AC259" i="1"/>
  <c r="AH259" i="1" s="1"/>
  <c r="AC256" i="1"/>
  <c r="AC251" i="1"/>
  <c r="AH251" i="1" s="1"/>
  <c r="AC246" i="1"/>
  <c r="AH246" i="1" s="1"/>
  <c r="AC245" i="1"/>
  <c r="AH245" i="1" s="1"/>
  <c r="AC225" i="1"/>
  <c r="AH225" i="1" s="1"/>
  <c r="AC224" i="1"/>
  <c r="AH224" i="1" s="1"/>
  <c r="AC223" i="1"/>
  <c r="AH223" i="1" s="1"/>
  <c r="AC222" i="1"/>
  <c r="AH222" i="1" s="1"/>
  <c r="AC221" i="1"/>
  <c r="AH221" i="1" s="1"/>
  <c r="AC220" i="1"/>
  <c r="AH220" i="1" s="1"/>
  <c r="AC218" i="1"/>
  <c r="AH218" i="1" s="1"/>
  <c r="AC217" i="1"/>
  <c r="AH217" i="1" s="1"/>
  <c r="AC216" i="1"/>
  <c r="AH216" i="1" s="1"/>
  <c r="AC213" i="1"/>
  <c r="AH213" i="1" s="1"/>
  <c r="AC212" i="1"/>
  <c r="AH212" i="1" s="1"/>
  <c r="AC208" i="1"/>
  <c r="AH208" i="1" s="1"/>
  <c r="AC206" i="1"/>
  <c r="AH206" i="1" s="1"/>
  <c r="AC204" i="1"/>
  <c r="AH204" i="1" s="1"/>
  <c r="AC201" i="1"/>
  <c r="AH201" i="1" s="1"/>
  <c r="AC200" i="1"/>
  <c r="AH200" i="1" s="1"/>
  <c r="AC197" i="1"/>
  <c r="AH197" i="1" s="1"/>
  <c r="AC195" i="1"/>
  <c r="AH195" i="1" s="1"/>
  <c r="AC192" i="1"/>
  <c r="AH192" i="1" s="1"/>
  <c r="AC191" i="1"/>
  <c r="AH191" i="1" s="1"/>
  <c r="AC187" i="1"/>
  <c r="AH187" i="1" s="1"/>
  <c r="AC186" i="1"/>
  <c r="AH186" i="1" s="1"/>
  <c r="AC182" i="1"/>
  <c r="AH182" i="1" s="1"/>
  <c r="AC179" i="1"/>
  <c r="AH179" i="1" s="1"/>
  <c r="AC178" i="1"/>
  <c r="AH178" i="1" s="1"/>
  <c r="AC172" i="1"/>
  <c r="AH172" i="1" s="1"/>
  <c r="AC170" i="1"/>
  <c r="AH170" i="1" s="1"/>
  <c r="AC167" i="1"/>
  <c r="AH167" i="1" s="1"/>
  <c r="AC154" i="1"/>
  <c r="AH154" i="1" s="1"/>
  <c r="AC148" i="1"/>
  <c r="AH148" i="1" s="1"/>
  <c r="AC133" i="1"/>
  <c r="AH133" i="1" s="1"/>
  <c r="AC130" i="1"/>
  <c r="AH130" i="1" s="1"/>
  <c r="AC129" i="1"/>
  <c r="AH129" i="1" s="1"/>
  <c r="AC123" i="1"/>
  <c r="AH123" i="1" s="1"/>
  <c r="AC121" i="1"/>
  <c r="AH121" i="1" s="1"/>
  <c r="AC120" i="1"/>
  <c r="AH120" i="1" s="1"/>
  <c r="AC119" i="1"/>
  <c r="AH119" i="1" s="1"/>
  <c r="AC97" i="1"/>
  <c r="AH95" i="1"/>
  <c r="AH94" i="1"/>
  <c r="AH93" i="1"/>
  <c r="AH92" i="1"/>
  <c r="AC89" i="1"/>
  <c r="AH89" i="1" s="1"/>
  <c r="AC87" i="1"/>
  <c r="AH87" i="1" s="1"/>
  <c r="AC65" i="1"/>
  <c r="AH65" i="1" s="1"/>
  <c r="AC62" i="1"/>
  <c r="AH62" i="1" s="1"/>
  <c r="AC61" i="1"/>
  <c r="AH61" i="1" s="1"/>
  <c r="AC57" i="1"/>
  <c r="AH57" i="1" s="1"/>
  <c r="AC54" i="1"/>
  <c r="AH54" i="1" s="1"/>
  <c r="AH53" i="1"/>
  <c r="AH52" i="1"/>
  <c r="AC50" i="1"/>
  <c r="AH50" i="1" s="1"/>
  <c r="AC49" i="1"/>
  <c r="AH49" i="1" s="1"/>
  <c r="AC41" i="1"/>
  <c r="AH41" i="1" s="1"/>
  <c r="AC37" i="1"/>
  <c r="AH37" i="1" s="1"/>
  <c r="AC34" i="1"/>
  <c r="AH34" i="1" s="1"/>
  <c r="AC31" i="1"/>
  <c r="AH31" i="1" s="1"/>
  <c r="AC28" i="1"/>
  <c r="AH28" i="1" s="1"/>
  <c r="AC27" i="1"/>
  <c r="AH27" i="1" s="1"/>
  <c r="AC20" i="1"/>
  <c r="AH20" i="1" s="1"/>
  <c r="AH12" i="1"/>
  <c r="O12" i="1"/>
  <c r="N325" i="1"/>
  <c r="N324" i="1"/>
  <c r="N321" i="1"/>
  <c r="P321" i="1" s="1"/>
  <c r="U321" i="1" s="1"/>
  <c r="N311" i="1"/>
  <c r="N314" i="1" s="1"/>
  <c r="N302" i="1"/>
  <c r="N301" i="1"/>
  <c r="P301" i="1" s="1"/>
  <c r="U301" i="1" s="1"/>
  <c r="N300" i="1"/>
  <c r="N299" i="1"/>
  <c r="P299" i="1" s="1"/>
  <c r="U299" i="1" s="1"/>
  <c r="N298" i="1"/>
  <c r="P298" i="1" s="1"/>
  <c r="U298" i="1" s="1"/>
  <c r="N295" i="1"/>
  <c r="N291" i="1"/>
  <c r="N284" i="1"/>
  <c r="P284" i="1" s="1"/>
  <c r="U284" i="1" s="1"/>
  <c r="N283" i="1"/>
  <c r="N280" i="1"/>
  <c r="P280" i="1" s="1"/>
  <c r="U280" i="1" s="1"/>
  <c r="N277" i="1"/>
  <c r="N276" i="1"/>
  <c r="N275" i="1"/>
  <c r="P275" i="1" s="1"/>
  <c r="U275" i="1" s="1"/>
  <c r="N274" i="1"/>
  <c r="P274" i="1" s="1"/>
  <c r="U274" i="1" s="1"/>
  <c r="J59" i="3" s="1"/>
  <c r="N273" i="1"/>
  <c r="N272" i="1"/>
  <c r="N271" i="1"/>
  <c r="P271" i="1" s="1"/>
  <c r="U271" i="1" s="1"/>
  <c r="N270" i="1"/>
  <c r="P270" i="1" s="1"/>
  <c r="U270" i="1" s="1"/>
  <c r="N269" i="1"/>
  <c r="N268" i="1"/>
  <c r="N264" i="1"/>
  <c r="P264" i="1" s="1"/>
  <c r="U264" i="1" s="1"/>
  <c r="N263" i="1"/>
  <c r="P263" i="1" s="1"/>
  <c r="U263" i="1" s="1"/>
  <c r="N262" i="1"/>
  <c r="N261" i="1"/>
  <c r="N260" i="1"/>
  <c r="P260" i="1" s="1"/>
  <c r="U260" i="1" s="1"/>
  <c r="N259" i="1"/>
  <c r="P259" i="1" s="1"/>
  <c r="U259" i="1" s="1"/>
  <c r="N258" i="1"/>
  <c r="P258" i="1" s="1"/>
  <c r="U258" i="1" s="1"/>
  <c r="N257" i="1"/>
  <c r="P257" i="1" s="1"/>
  <c r="U257" i="1" s="1"/>
  <c r="N256" i="1"/>
  <c r="N254" i="1"/>
  <c r="N253" i="1"/>
  <c r="P253" i="1" s="1"/>
  <c r="N252" i="1"/>
  <c r="P252" i="1" s="1"/>
  <c r="U252" i="1" s="1"/>
  <c r="N251" i="1"/>
  <c r="P251" i="1" s="1"/>
  <c r="U251" i="1" s="1"/>
  <c r="N250" i="1"/>
  <c r="N247" i="1"/>
  <c r="N246" i="1"/>
  <c r="P246" i="1" s="1"/>
  <c r="U246" i="1" s="1"/>
  <c r="N245" i="1"/>
  <c r="P245" i="1" s="1"/>
  <c r="U245" i="1" s="1"/>
  <c r="N244" i="1"/>
  <c r="N243" i="1"/>
  <c r="N239" i="1"/>
  <c r="N225" i="1"/>
  <c r="P225" i="1" s="1"/>
  <c r="U225" i="1" s="1"/>
  <c r="N224" i="1"/>
  <c r="P224" i="1" s="1"/>
  <c r="U224" i="1" s="1"/>
  <c r="N223" i="1"/>
  <c r="P223" i="1" s="1"/>
  <c r="U223" i="1" s="1"/>
  <c r="N222" i="1"/>
  <c r="P222" i="1" s="1"/>
  <c r="U222" i="1" s="1"/>
  <c r="N221" i="1"/>
  <c r="P221" i="1" s="1"/>
  <c r="U221" i="1" s="1"/>
  <c r="N220" i="1"/>
  <c r="P220" i="1" s="1"/>
  <c r="U220" i="1" s="1"/>
  <c r="N218" i="1"/>
  <c r="P218" i="1" s="1"/>
  <c r="U218" i="1" s="1"/>
  <c r="P217" i="1"/>
  <c r="U217" i="1" s="1"/>
  <c r="N216" i="1"/>
  <c r="P216" i="1" s="1"/>
  <c r="U216" i="1" s="1"/>
  <c r="N215" i="1"/>
  <c r="P215" i="1" s="1"/>
  <c r="U215" i="1" s="1"/>
  <c r="N214" i="1"/>
  <c r="P214" i="1" s="1"/>
  <c r="U214" i="1" s="1"/>
  <c r="N213" i="1"/>
  <c r="P213" i="1" s="1"/>
  <c r="U213" i="1" s="1"/>
  <c r="N212" i="1"/>
  <c r="N211" i="1"/>
  <c r="N210" i="1"/>
  <c r="P210" i="1" s="1"/>
  <c r="U210" i="1" s="1"/>
  <c r="N209" i="1"/>
  <c r="P209" i="1" s="1"/>
  <c r="U209" i="1" s="1"/>
  <c r="N208" i="1"/>
  <c r="N207" i="1"/>
  <c r="N206" i="1"/>
  <c r="P206" i="1" s="1"/>
  <c r="U206" i="1" s="1"/>
  <c r="N205" i="1"/>
  <c r="P205" i="1" s="1"/>
  <c r="U205" i="1" s="1"/>
  <c r="N204" i="1"/>
  <c r="P204" i="1" s="1"/>
  <c r="U204" i="1" s="1"/>
  <c r="N203" i="1"/>
  <c r="N202" i="1"/>
  <c r="N201" i="1"/>
  <c r="P201" i="1" s="1"/>
  <c r="U201" i="1" s="1"/>
  <c r="G30" i="26" s="1"/>
  <c r="N200" i="1"/>
  <c r="P200" i="1" s="1"/>
  <c r="U200" i="1" s="1"/>
  <c r="G29" i="26" s="1"/>
  <c r="N199" i="1"/>
  <c r="P199" i="1" s="1"/>
  <c r="U199" i="1" s="1"/>
  <c r="G28" i="26" s="1"/>
  <c r="N198" i="1"/>
  <c r="P198" i="1" s="1"/>
  <c r="U198" i="1" s="1"/>
  <c r="G27" i="26" s="1"/>
  <c r="N197" i="1"/>
  <c r="P197" i="1" s="1"/>
  <c r="U197" i="1" s="1"/>
  <c r="N196" i="1"/>
  <c r="N195" i="1"/>
  <c r="N194" i="1"/>
  <c r="N193" i="1"/>
  <c r="P193" i="1" s="1"/>
  <c r="U193" i="1" s="1"/>
  <c r="N192" i="1"/>
  <c r="N191" i="1"/>
  <c r="N190" i="1"/>
  <c r="N189" i="1"/>
  <c r="P189" i="1" s="1"/>
  <c r="U189" i="1" s="1"/>
  <c r="N188" i="1"/>
  <c r="P188" i="1" s="1"/>
  <c r="U188" i="1" s="1"/>
  <c r="G17" i="26" s="1"/>
  <c r="N187" i="1"/>
  <c r="N186" i="1"/>
  <c r="P186" i="1" s="1"/>
  <c r="U186" i="1" s="1"/>
  <c r="N185" i="1"/>
  <c r="P185" i="1" s="1"/>
  <c r="U185" i="1" s="1"/>
  <c r="N184" i="1"/>
  <c r="P184" i="1" s="1"/>
  <c r="U184" i="1" s="1"/>
  <c r="N183" i="1"/>
  <c r="P183" i="1" s="1"/>
  <c r="U183" i="1" s="1"/>
  <c r="G12" i="26" s="1"/>
  <c r="N182" i="1"/>
  <c r="P182" i="1" s="1"/>
  <c r="U182" i="1" s="1"/>
  <c r="G11" i="26" s="1"/>
  <c r="N181" i="1"/>
  <c r="P181" i="1" s="1"/>
  <c r="U181" i="1" s="1"/>
  <c r="G10" i="26" s="1"/>
  <c r="N180" i="1"/>
  <c r="N179" i="1"/>
  <c r="N178" i="1"/>
  <c r="P178" i="1" s="1"/>
  <c r="U178" i="1" s="1"/>
  <c r="G7" i="26" s="1"/>
  <c r="N177" i="1"/>
  <c r="N174" i="1"/>
  <c r="N173" i="1"/>
  <c r="N172" i="1"/>
  <c r="P172" i="1" s="1"/>
  <c r="U172" i="1" s="1"/>
  <c r="G14" i="19" s="1"/>
  <c r="N171" i="1"/>
  <c r="P171" i="1" s="1"/>
  <c r="U171" i="1" s="1"/>
  <c r="N170" i="1"/>
  <c r="N169" i="1"/>
  <c r="N167" i="1"/>
  <c r="P167" i="1" s="1"/>
  <c r="U167" i="1" s="1"/>
  <c r="N166" i="1"/>
  <c r="P166" i="1" s="1"/>
  <c r="U166" i="1" s="1"/>
  <c r="N165" i="1"/>
  <c r="N164" i="1"/>
  <c r="N154" i="1"/>
  <c r="N151" i="1"/>
  <c r="N148" i="1"/>
  <c r="N146" i="1"/>
  <c r="N145" i="1"/>
  <c r="N141" i="1"/>
  <c r="N137" i="1"/>
  <c r="P137" i="1" s="1"/>
  <c r="U137" i="1" s="1"/>
  <c r="N136" i="1"/>
  <c r="N133" i="1"/>
  <c r="P133" i="1" s="1"/>
  <c r="U133" i="1" s="1"/>
  <c r="N132" i="1"/>
  <c r="P132" i="1" s="1"/>
  <c r="U132" i="1" s="1"/>
  <c r="N131" i="1"/>
  <c r="P131" i="1" s="1"/>
  <c r="U131" i="1" s="1"/>
  <c r="N130" i="1"/>
  <c r="N129" i="1"/>
  <c r="P129" i="1" s="1"/>
  <c r="U129" i="1" s="1"/>
  <c r="N128" i="1"/>
  <c r="P128" i="1" s="1"/>
  <c r="U128" i="1" s="1"/>
  <c r="N127" i="1"/>
  <c r="P127" i="1" s="1"/>
  <c r="U127" i="1" s="1"/>
  <c r="N126" i="1"/>
  <c r="N123" i="1"/>
  <c r="P123" i="1" s="1"/>
  <c r="U123" i="1" s="1"/>
  <c r="N122" i="1"/>
  <c r="P122" i="1" s="1"/>
  <c r="U122" i="1" s="1"/>
  <c r="N121" i="1"/>
  <c r="P121" i="1" s="1"/>
  <c r="U121" i="1" s="1"/>
  <c r="N120" i="1"/>
  <c r="N119" i="1"/>
  <c r="P119" i="1" s="1"/>
  <c r="U119" i="1" s="1"/>
  <c r="N118" i="1"/>
  <c r="P118" i="1" s="1"/>
  <c r="U118" i="1" s="1"/>
  <c r="N117" i="1"/>
  <c r="N116" i="1"/>
  <c r="P116" i="1" s="1"/>
  <c r="U116" i="1" s="1"/>
  <c r="N115" i="1"/>
  <c r="N109" i="1"/>
  <c r="P109" i="1" s="1"/>
  <c r="U109" i="1" s="1"/>
  <c r="N106" i="1"/>
  <c r="P106" i="1" s="1"/>
  <c r="U106" i="1" s="1"/>
  <c r="N103" i="1"/>
  <c r="N102" i="1"/>
  <c r="P102" i="1" s="1"/>
  <c r="U102" i="1" s="1"/>
  <c r="U101" i="1"/>
  <c r="N100" i="1"/>
  <c r="N99" i="1"/>
  <c r="N95" i="1"/>
  <c r="N94" i="1"/>
  <c r="N93" i="1"/>
  <c r="N92" i="1"/>
  <c r="N87" i="1"/>
  <c r="P87" i="1" s="1"/>
  <c r="U87" i="1" s="1"/>
  <c r="G13" i="12" s="1"/>
  <c r="N85" i="1"/>
  <c r="P85" i="1" s="1"/>
  <c r="U85" i="1" s="1"/>
  <c r="G12" i="12" s="1"/>
  <c r="N84" i="1"/>
  <c r="P84" i="1" s="1"/>
  <c r="U84" i="1" s="1"/>
  <c r="N83" i="1"/>
  <c r="N77" i="1"/>
  <c r="N73" i="1"/>
  <c r="P73" i="1" s="1"/>
  <c r="U73" i="1" s="1"/>
  <c r="N72" i="1"/>
  <c r="N66" i="1"/>
  <c r="N65" i="1"/>
  <c r="N64" i="1"/>
  <c r="P64" i="1" s="1"/>
  <c r="U64" i="1" s="1"/>
  <c r="N63" i="1"/>
  <c r="N62" i="1"/>
  <c r="P62" i="1" s="1"/>
  <c r="U62" i="1" s="1"/>
  <c r="N61" i="1"/>
  <c r="P61" i="1" s="1"/>
  <c r="U61" i="1" s="1"/>
  <c r="E32" i="11" s="1"/>
  <c r="N60" i="1"/>
  <c r="P60" i="1" s="1"/>
  <c r="U60" i="1" s="1"/>
  <c r="N59" i="1"/>
  <c r="N58" i="1"/>
  <c r="N57" i="1"/>
  <c r="P57" i="1" s="1"/>
  <c r="U57" i="1" s="1"/>
  <c r="N55" i="1"/>
  <c r="P55" i="1" s="1"/>
  <c r="U55" i="1" s="1"/>
  <c r="N54" i="1"/>
  <c r="P54" i="1" s="1"/>
  <c r="U54" i="1" s="1"/>
  <c r="E25" i="11" s="1"/>
  <c r="N53" i="1"/>
  <c r="N52" i="1"/>
  <c r="N51" i="1"/>
  <c r="P51" i="1" s="1"/>
  <c r="U51" i="1" s="1"/>
  <c r="N50" i="1"/>
  <c r="P50" i="1" s="1"/>
  <c r="U50" i="1" s="1"/>
  <c r="N49" i="1"/>
  <c r="N48" i="1"/>
  <c r="P48" i="1" s="1"/>
  <c r="U48" i="1" s="1"/>
  <c r="N47" i="1"/>
  <c r="P47" i="1" s="1"/>
  <c r="U47" i="1" s="1"/>
  <c r="N46" i="1"/>
  <c r="N41" i="1"/>
  <c r="N40" i="1"/>
  <c r="P40" i="1" s="1"/>
  <c r="U40" i="1" s="1"/>
  <c r="G27" i="9" s="1"/>
  <c r="N39" i="1"/>
  <c r="P39" i="1" s="1"/>
  <c r="U39" i="1" s="1"/>
  <c r="N38" i="1"/>
  <c r="N37" i="1"/>
  <c r="N36" i="1"/>
  <c r="N35" i="1"/>
  <c r="P35" i="1" s="1"/>
  <c r="U35" i="1" s="1"/>
  <c r="N32" i="1"/>
  <c r="N31" i="1"/>
  <c r="N30" i="1"/>
  <c r="N29" i="1"/>
  <c r="P29" i="1" s="1"/>
  <c r="U29" i="1" s="1"/>
  <c r="N28" i="1"/>
  <c r="N27" i="1"/>
  <c r="N25" i="1"/>
  <c r="P25" i="1" s="1"/>
  <c r="U25" i="1" s="1"/>
  <c r="N24" i="1"/>
  <c r="N20" i="1"/>
  <c r="P20" i="1" s="1"/>
  <c r="U20" i="1" s="1"/>
  <c r="N18" i="1"/>
  <c r="P500" i="1"/>
  <c r="P497" i="1"/>
  <c r="P492" i="1"/>
  <c r="U492" i="1" s="1"/>
  <c r="P491" i="1"/>
  <c r="U491" i="1" s="1"/>
  <c r="P489" i="1"/>
  <c r="P484" i="1"/>
  <c r="U484" i="1" s="1"/>
  <c r="P483" i="1"/>
  <c r="U483" i="1" s="1"/>
  <c r="P482" i="1"/>
  <c r="U482" i="1" s="1"/>
  <c r="P481" i="1"/>
  <c r="U481" i="1" s="1"/>
  <c r="P480" i="1"/>
  <c r="U480" i="1" s="1"/>
  <c r="P479" i="1"/>
  <c r="U479" i="1" s="1"/>
  <c r="P478" i="1"/>
  <c r="U478" i="1" s="1"/>
  <c r="P477" i="1"/>
  <c r="U477" i="1" s="1"/>
  <c r="P476" i="1"/>
  <c r="P473" i="1"/>
  <c r="U473" i="1" s="1"/>
  <c r="P472" i="1"/>
  <c r="U472" i="1" s="1"/>
  <c r="P471" i="1"/>
  <c r="U471" i="1" s="1"/>
  <c r="P470" i="1"/>
  <c r="P464" i="1"/>
  <c r="U464" i="1" s="1"/>
  <c r="P463" i="1"/>
  <c r="U463" i="1" s="1"/>
  <c r="P462" i="1"/>
  <c r="U462" i="1" s="1"/>
  <c r="P461" i="1"/>
  <c r="U461" i="1" s="1"/>
  <c r="P460" i="1"/>
  <c r="U460" i="1" s="1"/>
  <c r="P459" i="1"/>
  <c r="U459" i="1" s="1"/>
  <c r="P458" i="1"/>
  <c r="U458" i="1" s="1"/>
  <c r="P457" i="1"/>
  <c r="U457" i="1" s="1"/>
  <c r="P456" i="1"/>
  <c r="U456" i="1" s="1"/>
  <c r="P455" i="1"/>
  <c r="U455" i="1" s="1"/>
  <c r="P454" i="1"/>
  <c r="U454" i="1" s="1"/>
  <c r="P453" i="1"/>
  <c r="U453" i="1" s="1"/>
  <c r="P452" i="1"/>
  <c r="U452" i="1" s="1"/>
  <c r="P451" i="1"/>
  <c r="U451" i="1" s="1"/>
  <c r="P450" i="1"/>
  <c r="U450" i="1" s="1"/>
  <c r="K76" i="6" s="1"/>
  <c r="N76" i="6" s="1"/>
  <c r="P449" i="1"/>
  <c r="U449" i="1" s="1"/>
  <c r="P448" i="1"/>
  <c r="U448" i="1" s="1"/>
  <c r="K72" i="6" s="1"/>
  <c r="N72" i="6" s="1"/>
  <c r="P447" i="1"/>
  <c r="U447" i="1" s="1"/>
  <c r="P446" i="1"/>
  <c r="U446" i="1" s="1"/>
  <c r="P445" i="1"/>
  <c r="U445" i="1" s="1"/>
  <c r="P444" i="1"/>
  <c r="U444" i="1" s="1"/>
  <c r="P443" i="1"/>
  <c r="U443" i="1" s="1"/>
  <c r="P442" i="1"/>
  <c r="U442" i="1" s="1"/>
  <c r="P441" i="1"/>
  <c r="U441" i="1" s="1"/>
  <c r="P440" i="1"/>
  <c r="U440" i="1" s="1"/>
  <c r="P439" i="1"/>
  <c r="U439" i="1" s="1"/>
  <c r="P438" i="1"/>
  <c r="U438" i="1" s="1"/>
  <c r="P437" i="1"/>
  <c r="U437" i="1" s="1"/>
  <c r="P436" i="1"/>
  <c r="U436" i="1" s="1"/>
  <c r="P435" i="1"/>
  <c r="U435" i="1" s="1"/>
  <c r="P434" i="1"/>
  <c r="U434" i="1" s="1"/>
  <c r="P433" i="1"/>
  <c r="U433" i="1" s="1"/>
  <c r="P432" i="1"/>
  <c r="U432" i="1" s="1"/>
  <c r="P431" i="1"/>
  <c r="U431" i="1" s="1"/>
  <c r="P430" i="1"/>
  <c r="U430" i="1" s="1"/>
  <c r="P429" i="1"/>
  <c r="U429" i="1" s="1"/>
  <c r="P428" i="1"/>
  <c r="U428" i="1" s="1"/>
  <c r="P427" i="1"/>
  <c r="U427" i="1" s="1"/>
  <c r="P426" i="1"/>
  <c r="U426" i="1" s="1"/>
  <c r="P425" i="1"/>
  <c r="U425" i="1" s="1"/>
  <c r="P424" i="1"/>
  <c r="U424" i="1" s="1"/>
  <c r="P423" i="1"/>
  <c r="U423" i="1" s="1"/>
  <c r="P422" i="1"/>
  <c r="U422" i="1" s="1"/>
  <c r="P421" i="1"/>
  <c r="U421" i="1" s="1"/>
  <c r="P420" i="1"/>
  <c r="U420" i="1" s="1"/>
  <c r="P419" i="1"/>
  <c r="P414" i="1"/>
  <c r="U414" i="1" s="1"/>
  <c r="P413" i="1"/>
  <c r="U413" i="1" s="1"/>
  <c r="P412" i="1"/>
  <c r="U412" i="1" s="1"/>
  <c r="P411" i="1"/>
  <c r="U411" i="1" s="1"/>
  <c r="P410" i="1"/>
  <c r="P409" i="1"/>
  <c r="U409" i="1" s="1"/>
  <c r="K32" i="6" s="1"/>
  <c r="N32" i="6" s="1"/>
  <c r="P408" i="1"/>
  <c r="U408" i="1" s="1"/>
  <c r="P407" i="1"/>
  <c r="U407" i="1" s="1"/>
  <c r="K30" i="6" s="1"/>
  <c r="N30" i="6" s="1"/>
  <c r="P406" i="1"/>
  <c r="U406" i="1" s="1"/>
  <c r="K29" i="6" s="1"/>
  <c r="N29" i="6" s="1"/>
  <c r="P405" i="1"/>
  <c r="U405" i="1" s="1"/>
  <c r="P404" i="1"/>
  <c r="U404" i="1" s="1"/>
  <c r="P403" i="1"/>
  <c r="P397" i="1"/>
  <c r="U397" i="1" s="1"/>
  <c r="P396" i="1"/>
  <c r="U396" i="1" s="1"/>
  <c r="P395" i="1"/>
  <c r="U395" i="1" s="1"/>
  <c r="P394" i="1"/>
  <c r="U394" i="1" s="1"/>
  <c r="P393" i="1"/>
  <c r="U393" i="1" s="1"/>
  <c r="G50" i="30" s="1"/>
  <c r="P392" i="1"/>
  <c r="U392" i="1" s="1"/>
  <c r="P391" i="1"/>
  <c r="U391" i="1" s="1"/>
  <c r="P390" i="1"/>
  <c r="U390" i="1" s="1"/>
  <c r="P389" i="1"/>
  <c r="U389" i="1" s="1"/>
  <c r="P388" i="1"/>
  <c r="U388" i="1" s="1"/>
  <c r="P387" i="1"/>
  <c r="U387" i="1" s="1"/>
  <c r="P386" i="1"/>
  <c r="U386" i="1" s="1"/>
  <c r="P385" i="1"/>
  <c r="U385" i="1" s="1"/>
  <c r="P384" i="1"/>
  <c r="U384" i="1" s="1"/>
  <c r="P383" i="1"/>
  <c r="U383" i="1" s="1"/>
  <c r="P382" i="1"/>
  <c r="U382" i="1" s="1"/>
  <c r="P381" i="1"/>
  <c r="U381" i="1" s="1"/>
  <c r="P380" i="1"/>
  <c r="U380" i="1" s="1"/>
  <c r="P379" i="1"/>
  <c r="U379" i="1" s="1"/>
  <c r="P378" i="1"/>
  <c r="U378" i="1" s="1"/>
  <c r="P377" i="1"/>
  <c r="U377" i="1" s="1"/>
  <c r="P376" i="1"/>
  <c r="P372" i="1"/>
  <c r="U372" i="1" s="1"/>
  <c r="P371" i="1"/>
  <c r="U371" i="1" s="1"/>
  <c r="U368" i="1"/>
  <c r="G39" i="30" s="1"/>
  <c r="W39" i="30" s="1"/>
  <c r="U366" i="1"/>
  <c r="P363" i="1"/>
  <c r="U363" i="1" s="1"/>
  <c r="P362" i="1"/>
  <c r="U362" i="1" s="1"/>
  <c r="P361" i="1"/>
  <c r="U361" i="1" s="1"/>
  <c r="P360" i="1"/>
  <c r="P355" i="1"/>
  <c r="U355" i="1" s="1"/>
  <c r="G31" i="30" s="1"/>
  <c r="U353" i="1"/>
  <c r="P348" i="1"/>
  <c r="U348" i="1" s="1"/>
  <c r="P346" i="1"/>
  <c r="U346" i="1" s="1"/>
  <c r="G18" i="30" s="1"/>
  <c r="U344" i="1"/>
  <c r="G14" i="30" s="1"/>
  <c r="P342" i="1"/>
  <c r="U342" i="1" s="1"/>
  <c r="P337" i="1"/>
  <c r="U337" i="1" s="1"/>
  <c r="P335" i="1"/>
  <c r="U335" i="1" s="1"/>
  <c r="K12" i="6" s="1"/>
  <c r="N12" i="6" s="1"/>
  <c r="N115" i="6" s="1"/>
  <c r="P332" i="1"/>
  <c r="P325" i="1"/>
  <c r="U325" i="1" s="1"/>
  <c r="P303" i="1"/>
  <c r="U303" i="1" s="1"/>
  <c r="P302" i="1"/>
  <c r="U302" i="1" s="1"/>
  <c r="P300" i="1"/>
  <c r="U300" i="1" s="1"/>
  <c r="P276" i="1"/>
  <c r="U276" i="1" s="1"/>
  <c r="P272" i="1"/>
  <c r="U272" i="1" s="1"/>
  <c r="P269" i="1"/>
  <c r="U269" i="1" s="1"/>
  <c r="G10" i="21" s="1"/>
  <c r="P262" i="1"/>
  <c r="U262" i="1" s="1"/>
  <c r="P261" i="1"/>
  <c r="U261" i="1" s="1"/>
  <c r="P256" i="1"/>
  <c r="P254" i="1"/>
  <c r="U254" i="1" s="1"/>
  <c r="P247" i="1"/>
  <c r="U247" i="1" s="1"/>
  <c r="P244" i="1"/>
  <c r="U244" i="1" s="1"/>
  <c r="P212" i="1"/>
  <c r="U212" i="1" s="1"/>
  <c r="P211" i="1"/>
  <c r="U211" i="1" s="1"/>
  <c r="P208" i="1"/>
  <c r="U208" i="1" s="1"/>
  <c r="P207" i="1"/>
  <c r="U207" i="1" s="1"/>
  <c r="P203" i="1"/>
  <c r="U203" i="1" s="1"/>
  <c r="P202" i="1"/>
  <c r="U202" i="1" s="1"/>
  <c r="P196" i="1"/>
  <c r="U196" i="1" s="1"/>
  <c r="P195" i="1"/>
  <c r="U195" i="1" s="1"/>
  <c r="P194" i="1"/>
  <c r="U194" i="1" s="1"/>
  <c r="P192" i="1"/>
  <c r="U192" i="1" s="1"/>
  <c r="P191" i="1"/>
  <c r="U191" i="1" s="1"/>
  <c r="P190" i="1"/>
  <c r="U190" i="1" s="1"/>
  <c r="P187" i="1"/>
  <c r="U187" i="1" s="1"/>
  <c r="P180" i="1"/>
  <c r="U180" i="1" s="1"/>
  <c r="G9" i="26" s="1"/>
  <c r="P179" i="1"/>
  <c r="U179" i="1" s="1"/>
  <c r="G8" i="26" s="1"/>
  <c r="P174" i="1"/>
  <c r="U174" i="1" s="1"/>
  <c r="P173" i="1"/>
  <c r="U173" i="1" s="1"/>
  <c r="G15" i="19" s="1"/>
  <c r="P170" i="1"/>
  <c r="U170" i="1" s="1"/>
  <c r="G12" i="19" s="1"/>
  <c r="P169" i="1"/>
  <c r="U169" i="1" s="1"/>
  <c r="G11" i="19" s="1"/>
  <c r="P165" i="1"/>
  <c r="U165" i="1" s="1"/>
  <c r="P148" i="1"/>
  <c r="U148" i="1" s="1"/>
  <c r="P146" i="1"/>
  <c r="U146" i="1" s="1"/>
  <c r="G8" i="27" s="1"/>
  <c r="P130" i="1"/>
  <c r="U130" i="1" s="1"/>
  <c r="P120" i="1"/>
  <c r="U120" i="1" s="1"/>
  <c r="P117" i="1"/>
  <c r="U117" i="1" s="1"/>
  <c r="P103" i="1"/>
  <c r="U103" i="1" s="1"/>
  <c r="P100" i="1"/>
  <c r="U100" i="1" s="1"/>
  <c r="P97" i="1"/>
  <c r="U95" i="1"/>
  <c r="U94" i="1"/>
  <c r="U93" i="1"/>
  <c r="U92" i="1"/>
  <c r="P89" i="1"/>
  <c r="U89" i="1" s="1"/>
  <c r="P66" i="1"/>
  <c r="U66" i="1" s="1"/>
  <c r="P65" i="1"/>
  <c r="U65" i="1" s="1"/>
  <c r="P63" i="1"/>
  <c r="P59" i="1"/>
  <c r="U59" i="1" s="1"/>
  <c r="P58" i="1"/>
  <c r="U58" i="1" s="1"/>
  <c r="U53" i="1"/>
  <c r="U52" i="1"/>
  <c r="P49" i="1"/>
  <c r="U49" i="1" s="1"/>
  <c r="P41" i="1"/>
  <c r="U41" i="1" s="1"/>
  <c r="G28" i="9" s="1"/>
  <c r="P38" i="1"/>
  <c r="U38" i="1" s="1"/>
  <c r="P37" i="1"/>
  <c r="U37" i="1" s="1"/>
  <c r="P36" i="1"/>
  <c r="U36" i="1" s="1"/>
  <c r="P34" i="1"/>
  <c r="U34" i="1" s="1"/>
  <c r="P32" i="1"/>
  <c r="U32" i="1" s="1"/>
  <c r="G18" i="9" s="1"/>
  <c r="P31" i="1"/>
  <c r="U31" i="1" s="1"/>
  <c r="P30" i="1"/>
  <c r="U30" i="1" s="1"/>
  <c r="P28" i="1"/>
  <c r="U28" i="1" s="1"/>
  <c r="P27" i="1"/>
  <c r="U27" i="1" s="1"/>
  <c r="P26" i="1"/>
  <c r="U26" i="1" s="1"/>
  <c r="U12" i="1"/>
  <c r="K64" i="5"/>
  <c r="K65" i="5" s="1"/>
  <c r="B64" i="5"/>
  <c r="B65" i="5" s="1"/>
  <c r="G63" i="5"/>
  <c r="J37" i="8"/>
  <c r="J9" i="8"/>
  <c r="G16" i="9" l="1"/>
  <c r="G17" i="9"/>
  <c r="G24" i="9"/>
  <c r="G25" i="9"/>
  <c r="E14" i="11"/>
  <c r="E29" i="11"/>
  <c r="E30" i="11"/>
  <c r="E36" i="11"/>
  <c r="E37" i="11"/>
  <c r="G9" i="13"/>
  <c r="G10" i="13"/>
  <c r="G11" i="13"/>
  <c r="G10" i="27"/>
  <c r="G16" i="19"/>
  <c r="G16" i="26"/>
  <c r="G19" i="26"/>
  <c r="G20" i="26"/>
  <c r="G21" i="26"/>
  <c r="G23" i="26"/>
  <c r="G24" i="26"/>
  <c r="G31" i="26"/>
  <c r="G32" i="26"/>
  <c r="G36" i="26"/>
  <c r="G37" i="26"/>
  <c r="G40" i="26"/>
  <c r="G41" i="26"/>
  <c r="G10" i="17"/>
  <c r="G21" i="18"/>
  <c r="G24" i="18"/>
  <c r="G14" i="21"/>
  <c r="G9" i="28"/>
  <c r="G22" i="30"/>
  <c r="G53" i="30"/>
  <c r="G52" i="30"/>
  <c r="K27" i="6"/>
  <c r="N27" i="6" s="1"/>
  <c r="K28" i="6"/>
  <c r="N28" i="6" s="1"/>
  <c r="K31" i="6"/>
  <c r="N31" i="6" s="1"/>
  <c r="K34" i="6"/>
  <c r="N34" i="6" s="1"/>
  <c r="K35" i="6"/>
  <c r="N35" i="6" s="1"/>
  <c r="K36" i="6"/>
  <c r="N36" i="6" s="1"/>
  <c r="K37" i="6"/>
  <c r="D8" i="8"/>
  <c r="K77" i="6"/>
  <c r="N77" i="6" s="1"/>
  <c r="K78" i="6"/>
  <c r="N78" i="6" s="1"/>
  <c r="K79" i="6"/>
  <c r="N79" i="6" s="1"/>
  <c r="K80" i="6"/>
  <c r="N80" i="6" s="1"/>
  <c r="K84" i="6"/>
  <c r="N84" i="6" s="1"/>
  <c r="K93" i="6"/>
  <c r="K92" i="6"/>
  <c r="G15" i="25"/>
  <c r="G16" i="25"/>
  <c r="G26" i="9"/>
  <c r="E12" i="11"/>
  <c r="E13" i="11"/>
  <c r="E15" i="11"/>
  <c r="E16" i="11"/>
  <c r="E26" i="11"/>
  <c r="E28" i="11"/>
  <c r="E31" i="11"/>
  <c r="E33" i="11"/>
  <c r="E35" i="11"/>
  <c r="G11" i="12"/>
  <c r="G13" i="19"/>
  <c r="G13" i="26"/>
  <c r="G14" i="26"/>
  <c r="G15" i="26"/>
  <c r="G18" i="26"/>
  <c r="G22" i="26"/>
  <c r="G26" i="26"/>
  <c r="G33" i="26"/>
  <c r="G34" i="26"/>
  <c r="G35" i="26"/>
  <c r="G38" i="26"/>
  <c r="G39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9" i="17"/>
  <c r="G19" i="18"/>
  <c r="G22" i="18"/>
  <c r="G25" i="18"/>
  <c r="G26" i="18"/>
  <c r="G12" i="21"/>
  <c r="G11" i="21"/>
  <c r="G13" i="21"/>
  <c r="P154" i="1"/>
  <c r="U154" i="1" s="1"/>
  <c r="C154" i="1"/>
  <c r="E154" i="1" s="1"/>
  <c r="J154" i="1" s="1"/>
  <c r="P416" i="1"/>
  <c r="I47" i="30"/>
  <c r="G15" i="9"/>
  <c r="P311" i="1"/>
  <c r="P314" i="1" s="1"/>
  <c r="J21" i="3"/>
  <c r="AC205" i="1"/>
  <c r="AH205" i="1" s="1"/>
  <c r="P151" i="1"/>
  <c r="U151" i="1" s="1"/>
  <c r="C151" i="1"/>
  <c r="E151" i="1" s="1"/>
  <c r="J151" i="1" s="1"/>
  <c r="L37" i="6"/>
  <c r="N37" i="6" s="1"/>
  <c r="U253" i="1"/>
  <c r="G25" i="26"/>
  <c r="V196" i="1"/>
  <c r="V93" i="6"/>
  <c r="S92" i="6"/>
  <c r="V92" i="6" s="1"/>
  <c r="K83" i="6"/>
  <c r="N83" i="6" s="1"/>
  <c r="T52" i="6"/>
  <c r="V52" i="6" s="1"/>
  <c r="U311" i="1"/>
  <c r="U410" i="1"/>
  <c r="U63" i="1"/>
  <c r="AC64" i="1"/>
  <c r="AH64" i="1" s="1"/>
  <c r="G11" i="30"/>
  <c r="W11" i="30" s="1"/>
  <c r="W18" i="30"/>
  <c r="G28" i="30"/>
  <c r="W28" i="30" s="1"/>
  <c r="G42" i="30"/>
  <c r="W42" i="30"/>
  <c r="G43" i="30"/>
  <c r="W43" i="30" s="1"/>
  <c r="G51" i="30"/>
  <c r="K19" i="6"/>
  <c r="N19" i="6" s="1"/>
  <c r="G9" i="23"/>
  <c r="K43" i="6"/>
  <c r="N43" i="6" s="1"/>
  <c r="G10" i="23"/>
  <c r="K44" i="6"/>
  <c r="N44" i="6" s="1"/>
  <c r="G11" i="23"/>
  <c r="K45" i="6"/>
  <c r="N45" i="6" s="1"/>
  <c r="G12" i="23"/>
  <c r="K46" i="6"/>
  <c r="N46" i="6" s="1"/>
  <c r="G14" i="23"/>
  <c r="K49" i="6"/>
  <c r="L49" i="6" s="1"/>
  <c r="G16" i="23"/>
  <c r="K50" i="6"/>
  <c r="N50" i="6" s="1"/>
  <c r="G17" i="23"/>
  <c r="K51" i="6"/>
  <c r="N51" i="6" s="1"/>
  <c r="G18" i="23"/>
  <c r="K52" i="6"/>
  <c r="L52" i="6" s="1"/>
  <c r="G19" i="23"/>
  <c r="K53" i="6"/>
  <c r="N53" i="6" s="1"/>
  <c r="G20" i="23"/>
  <c r="K54" i="6"/>
  <c r="N54" i="6" s="1"/>
  <c r="G21" i="23"/>
  <c r="K55" i="6"/>
  <c r="N55" i="6" s="1"/>
  <c r="G22" i="23"/>
  <c r="K56" i="6"/>
  <c r="N56" i="6" s="1"/>
  <c r="G23" i="23"/>
  <c r="K57" i="6"/>
  <c r="N57" i="6" s="1"/>
  <c r="G24" i="23"/>
  <c r="K58" i="6"/>
  <c r="N58" i="6" s="1"/>
  <c r="G25" i="23"/>
  <c r="K59" i="6"/>
  <c r="N59" i="6" s="1"/>
  <c r="G26" i="23"/>
  <c r="K60" i="6"/>
  <c r="N60" i="6" s="1"/>
  <c r="G27" i="23"/>
  <c r="K61" i="6"/>
  <c r="N61" i="6" s="1"/>
  <c r="G28" i="23"/>
  <c r="K62" i="6"/>
  <c r="N62" i="6" s="1"/>
  <c r="G29" i="23"/>
  <c r="K63" i="6"/>
  <c r="N63" i="6" s="1"/>
  <c r="G30" i="23"/>
  <c r="K64" i="6"/>
  <c r="N64" i="6" s="1"/>
  <c r="G31" i="23"/>
  <c r="K65" i="6"/>
  <c r="N65" i="6" s="1"/>
  <c r="G32" i="23"/>
  <c r="K66" i="6"/>
  <c r="N66" i="6" s="1"/>
  <c r="G33" i="23"/>
  <c r="K67" i="6"/>
  <c r="L67" i="6" s="1"/>
  <c r="G34" i="23"/>
  <c r="K68" i="6"/>
  <c r="N68" i="6" s="1"/>
  <c r="G35" i="23"/>
  <c r="K69" i="6"/>
  <c r="N69" i="6" s="1"/>
  <c r="G36" i="23"/>
  <c r="K70" i="6"/>
  <c r="N70" i="6" s="1"/>
  <c r="G37" i="23"/>
  <c r="K71" i="6"/>
  <c r="N71" i="6" s="1"/>
  <c r="G15" i="23"/>
  <c r="K75" i="6"/>
  <c r="N75" i="6" s="1"/>
  <c r="G7" i="24"/>
  <c r="K91" i="6"/>
  <c r="N91" i="6" s="1"/>
  <c r="G8" i="24"/>
  <c r="N92" i="6"/>
  <c r="G9" i="24"/>
  <c r="N93" i="6"/>
  <c r="G9" i="25"/>
  <c r="K95" i="6"/>
  <c r="G10" i="25"/>
  <c r="K96" i="6"/>
  <c r="N96" i="6" s="1"/>
  <c r="G11" i="25"/>
  <c r="K97" i="6"/>
  <c r="N97" i="6" s="1"/>
  <c r="G12" i="25"/>
  <c r="K98" i="6"/>
  <c r="N98" i="6" s="1"/>
  <c r="G13" i="25"/>
  <c r="K99" i="6"/>
  <c r="N99" i="6" s="1"/>
  <c r="G14" i="25"/>
  <c r="K100" i="6"/>
  <c r="N100" i="6" s="1"/>
  <c r="N97" i="1"/>
  <c r="I11" i="30"/>
  <c r="Y11" i="30" s="1"/>
  <c r="Y18" i="30"/>
  <c r="I28" i="30"/>
  <c r="Y28" i="30" s="1"/>
  <c r="I42" i="30"/>
  <c r="Y42" i="30" s="1"/>
  <c r="I43" i="30"/>
  <c r="Y43" i="30" s="1"/>
  <c r="Y47" i="30"/>
  <c r="S19" i="6"/>
  <c r="V19" i="6" s="1"/>
  <c r="I51" i="30"/>
  <c r="V49" i="6"/>
  <c r="F20" i="8"/>
  <c r="V67" i="6"/>
  <c r="F18" i="8"/>
  <c r="T95" i="6"/>
  <c r="V95" i="6" s="1"/>
  <c r="G14" i="9"/>
  <c r="G47" i="30"/>
  <c r="G39" i="11"/>
  <c r="G41" i="11" s="1"/>
  <c r="G54" i="30"/>
  <c r="G12" i="17"/>
  <c r="H24" i="4"/>
  <c r="G38" i="18"/>
  <c r="I13" i="13"/>
  <c r="K17" i="13" s="1"/>
  <c r="G23" i="9"/>
  <c r="G30" i="9" s="1"/>
  <c r="I30" i="9"/>
  <c r="U97" i="1"/>
  <c r="G9" i="21"/>
  <c r="AH97" i="1"/>
  <c r="G18" i="19"/>
  <c r="G21" i="19" s="1"/>
  <c r="G13" i="23"/>
  <c r="AA97" i="1"/>
  <c r="G8" i="13"/>
  <c r="G13" i="13" s="1"/>
  <c r="G17" i="13" s="1"/>
  <c r="N149" i="1"/>
  <c r="AA21" i="1"/>
  <c r="AC18" i="1"/>
  <c r="AA42" i="1"/>
  <c r="AC24" i="1"/>
  <c r="AA70" i="1"/>
  <c r="AC46" i="1"/>
  <c r="AA75" i="1"/>
  <c r="AC72" i="1"/>
  <c r="AA79" i="1"/>
  <c r="AC77" i="1"/>
  <c r="AA90" i="1"/>
  <c r="AC83" i="1"/>
  <c r="AA112" i="1"/>
  <c r="AC99" i="1"/>
  <c r="AA124" i="1"/>
  <c r="AC115" i="1"/>
  <c r="AA134" i="1"/>
  <c r="AC126" i="1"/>
  <c r="AA138" i="1"/>
  <c r="AC136" i="1"/>
  <c r="AA143" i="1"/>
  <c r="AC141" i="1"/>
  <c r="AA149" i="1"/>
  <c r="AC145" i="1"/>
  <c r="AA175" i="1"/>
  <c r="AC164" i="1"/>
  <c r="AA237" i="1"/>
  <c r="AC177" i="1"/>
  <c r="AA241" i="1"/>
  <c r="AC239" i="1"/>
  <c r="AA248" i="1"/>
  <c r="AC243" i="1"/>
  <c r="AA266" i="1"/>
  <c r="AC250" i="1"/>
  <c r="AA278" i="1"/>
  <c r="AC268" i="1"/>
  <c r="AA285" i="1"/>
  <c r="AC283" i="1"/>
  <c r="AA292" i="1"/>
  <c r="AC291" i="1"/>
  <c r="AC295" i="1"/>
  <c r="AC338" i="1"/>
  <c r="AH332" i="1"/>
  <c r="AH360" i="1"/>
  <c r="AC398" i="1"/>
  <c r="AH376" i="1"/>
  <c r="AH398" i="1" s="1"/>
  <c r="AC416" i="1"/>
  <c r="AH403" i="1"/>
  <c r="AC465" i="1"/>
  <c r="AH419" i="1"/>
  <c r="AC474" i="1"/>
  <c r="AH470" i="1"/>
  <c r="AC485" i="1"/>
  <c r="AH476" i="1"/>
  <c r="AC493" i="1"/>
  <c r="AC498" i="1"/>
  <c r="AH497" i="1"/>
  <c r="AH498" i="1" s="1"/>
  <c r="J27" i="4" s="1"/>
  <c r="AC501" i="1"/>
  <c r="AH500" i="1"/>
  <c r="AH501" i="1" s="1"/>
  <c r="J28" i="4" s="1"/>
  <c r="N21" i="1"/>
  <c r="P18" i="1"/>
  <c r="N42" i="1"/>
  <c r="P24" i="1"/>
  <c r="N70" i="1"/>
  <c r="P46" i="1"/>
  <c r="P70" i="1" s="1"/>
  <c r="N75" i="1"/>
  <c r="P72" i="1"/>
  <c r="N79" i="1"/>
  <c r="P77" i="1"/>
  <c r="N90" i="1"/>
  <c r="P83" i="1"/>
  <c r="N112" i="1"/>
  <c r="P99" i="1"/>
  <c r="N124" i="1"/>
  <c r="P115" i="1"/>
  <c r="N134" i="1"/>
  <c r="P126" i="1"/>
  <c r="N138" i="1"/>
  <c r="P136" i="1"/>
  <c r="N143" i="1"/>
  <c r="P141" i="1"/>
  <c r="P145" i="1"/>
  <c r="N175" i="1"/>
  <c r="P164" i="1"/>
  <c r="P177" i="1"/>
  <c r="N241" i="1"/>
  <c r="P239" i="1"/>
  <c r="N248" i="1"/>
  <c r="P243" i="1"/>
  <c r="N266" i="1"/>
  <c r="P250" i="1"/>
  <c r="P266" i="1" s="1"/>
  <c r="N278" i="1"/>
  <c r="P268" i="1"/>
  <c r="N285" i="1"/>
  <c r="P283" i="1"/>
  <c r="N292" i="1"/>
  <c r="P291" i="1"/>
  <c r="N304" i="1"/>
  <c r="P295" i="1"/>
  <c r="N326" i="1"/>
  <c r="P324" i="1"/>
  <c r="P338" i="1"/>
  <c r="U332" i="1"/>
  <c r="P343" i="1"/>
  <c r="P345" i="1" s="1"/>
  <c r="P347" i="1" s="1"/>
  <c r="P349" i="1" s="1"/>
  <c r="U341" i="1"/>
  <c r="P354" i="1"/>
  <c r="P356" i="1" s="1"/>
  <c r="U352" i="1"/>
  <c r="P373" i="1"/>
  <c r="U360" i="1"/>
  <c r="P398" i="1"/>
  <c r="U376" i="1"/>
  <c r="U398" i="1" s="1"/>
  <c r="U403" i="1"/>
  <c r="P465" i="1"/>
  <c r="U419" i="1"/>
  <c r="P474" i="1"/>
  <c r="U470" i="1"/>
  <c r="P485" i="1"/>
  <c r="U476" i="1"/>
  <c r="P493" i="1"/>
  <c r="P498" i="1"/>
  <c r="U497" i="1"/>
  <c r="U498" i="1" s="1"/>
  <c r="H27" i="4" s="1"/>
  <c r="P501" i="1"/>
  <c r="U500" i="1"/>
  <c r="U501" i="1" s="1"/>
  <c r="H28" i="4" s="1"/>
  <c r="K51" i="7"/>
  <c r="K52" i="7" s="1"/>
  <c r="K53" i="7" s="1"/>
  <c r="B51" i="7"/>
  <c r="B52" i="7" s="1"/>
  <c r="B53" i="7" s="1"/>
  <c r="I50" i="7"/>
  <c r="K59" i="5"/>
  <c r="K60" i="5" s="1"/>
  <c r="K61" i="5" s="1"/>
  <c r="J46" i="8"/>
  <c r="J48" i="8"/>
  <c r="B59" i="5"/>
  <c r="I58" i="5"/>
  <c r="H9" i="8"/>
  <c r="H46" i="8"/>
  <c r="H37" i="8"/>
  <c r="K94" i="6" l="1"/>
  <c r="N94" i="6" s="1"/>
  <c r="K90" i="6"/>
  <c r="G20" i="18"/>
  <c r="K18" i="6"/>
  <c r="N18" i="6" s="1"/>
  <c r="I56" i="30"/>
  <c r="Y56" i="30" s="1"/>
  <c r="I35" i="30"/>
  <c r="G56" i="30"/>
  <c r="J87" i="3"/>
  <c r="U314" i="1"/>
  <c r="K42" i="6"/>
  <c r="N42" i="6" s="1"/>
  <c r="U465" i="1"/>
  <c r="K33" i="6"/>
  <c r="N33" i="6" s="1"/>
  <c r="U416" i="1"/>
  <c r="E34" i="11"/>
  <c r="E39" i="11" s="1"/>
  <c r="K103" i="6"/>
  <c r="M90" i="6"/>
  <c r="D27" i="8" s="1"/>
  <c r="H14" i="4"/>
  <c r="K26" i="6"/>
  <c r="L26" i="6" s="1"/>
  <c r="D24" i="8" s="1"/>
  <c r="U338" i="1"/>
  <c r="H10" i="4" s="1"/>
  <c r="K11" i="6"/>
  <c r="N11" i="6" s="1"/>
  <c r="AH485" i="1"/>
  <c r="J17" i="4" s="1"/>
  <c r="S94" i="6"/>
  <c r="V94" i="6" s="1"/>
  <c r="AH474" i="1"/>
  <c r="J16" i="4" s="1"/>
  <c r="S90" i="6"/>
  <c r="AH465" i="1"/>
  <c r="J15" i="4" s="1"/>
  <c r="S42" i="6"/>
  <c r="V42" i="6" s="1"/>
  <c r="AH416" i="1"/>
  <c r="J14" i="4" s="1"/>
  <c r="S26" i="6"/>
  <c r="S18" i="6"/>
  <c r="V18" i="6" s="1"/>
  <c r="AH338" i="1"/>
  <c r="J10" i="4" s="1"/>
  <c r="S11" i="6"/>
  <c r="V11" i="6" s="1"/>
  <c r="W56" i="30"/>
  <c r="W47" i="30"/>
  <c r="F17" i="8"/>
  <c r="T103" i="6"/>
  <c r="T105" i="6" s="1"/>
  <c r="T109" i="6" s="1"/>
  <c r="L95" i="6"/>
  <c r="N95" i="6" s="1"/>
  <c r="N67" i="6"/>
  <c r="D18" i="8"/>
  <c r="N49" i="6"/>
  <c r="D20" i="8"/>
  <c r="I50" i="11"/>
  <c r="G46" i="11"/>
  <c r="U373" i="1"/>
  <c r="G35" i="30"/>
  <c r="G45" i="30" s="1"/>
  <c r="U343" i="1"/>
  <c r="G10" i="30"/>
  <c r="U354" i="1"/>
  <c r="U356" i="1" s="1"/>
  <c r="K16" i="6" s="1"/>
  <c r="N16" i="6" s="1"/>
  <c r="G27" i="30"/>
  <c r="P399" i="1"/>
  <c r="J19" i="3"/>
  <c r="G18" i="13"/>
  <c r="G19" i="13" s="1"/>
  <c r="U474" i="1"/>
  <c r="G6" i="24"/>
  <c r="G11" i="24" s="1"/>
  <c r="G15" i="24" s="1"/>
  <c r="U485" i="1"/>
  <c r="G8" i="25"/>
  <c r="G18" i="25" s="1"/>
  <c r="G21" i="25" s="1"/>
  <c r="G8" i="23"/>
  <c r="G39" i="23" s="1"/>
  <c r="G43" i="23" s="1"/>
  <c r="H48" i="8"/>
  <c r="N305" i="1"/>
  <c r="AC486" i="1"/>
  <c r="AC466" i="1"/>
  <c r="AH295" i="1"/>
  <c r="AC292" i="1"/>
  <c r="AH291" i="1"/>
  <c r="AH292" i="1" s="1"/>
  <c r="AC285" i="1"/>
  <c r="AH283" i="1"/>
  <c r="AH285" i="1" s="1"/>
  <c r="AC278" i="1"/>
  <c r="AH268" i="1"/>
  <c r="AH278" i="1" s="1"/>
  <c r="AC266" i="1"/>
  <c r="AH250" i="1"/>
  <c r="AC248" i="1"/>
  <c r="AH243" i="1"/>
  <c r="AH248" i="1" s="1"/>
  <c r="AC241" i="1"/>
  <c r="AH239" i="1"/>
  <c r="AH241" i="1" s="1"/>
  <c r="AC237" i="1"/>
  <c r="AH177" i="1"/>
  <c r="AH237" i="1" s="1"/>
  <c r="AA287" i="1"/>
  <c r="AC175" i="1"/>
  <c r="AH164" i="1"/>
  <c r="AH175" i="1" s="1"/>
  <c r="AC149" i="1"/>
  <c r="AH145" i="1"/>
  <c r="AH149" i="1" s="1"/>
  <c r="AC143" i="1"/>
  <c r="AH141" i="1"/>
  <c r="AH143" i="1" s="1"/>
  <c r="AC138" i="1"/>
  <c r="AH136" i="1"/>
  <c r="AH138" i="1" s="1"/>
  <c r="AC134" i="1"/>
  <c r="AH126" i="1"/>
  <c r="AH134" i="1" s="1"/>
  <c r="AC124" i="1"/>
  <c r="AH115" i="1"/>
  <c r="AH124" i="1" s="1"/>
  <c r="AA139" i="1"/>
  <c r="AA158" i="1" s="1"/>
  <c r="AC112" i="1"/>
  <c r="AH99" i="1"/>
  <c r="AH112" i="1" s="1"/>
  <c r="AC90" i="1"/>
  <c r="AH83" i="1"/>
  <c r="AH90" i="1" s="1"/>
  <c r="AC79" i="1"/>
  <c r="AH77" i="1"/>
  <c r="AH79" i="1" s="1"/>
  <c r="AC75" i="1"/>
  <c r="AH72" i="1"/>
  <c r="AH75" i="1" s="1"/>
  <c r="AC70" i="1"/>
  <c r="AH46" i="1"/>
  <c r="AH70" i="1" s="1"/>
  <c r="AC42" i="1"/>
  <c r="AH24" i="1"/>
  <c r="AH42" i="1" s="1"/>
  <c r="AC21" i="1"/>
  <c r="AH18" i="1"/>
  <c r="AH21" i="1" s="1"/>
  <c r="AA43" i="1"/>
  <c r="AA113" i="1" s="1"/>
  <c r="P486" i="1"/>
  <c r="P466" i="1"/>
  <c r="P400" i="1"/>
  <c r="P326" i="1"/>
  <c r="U324" i="1"/>
  <c r="P304" i="1"/>
  <c r="U295" i="1"/>
  <c r="P292" i="1"/>
  <c r="U291" i="1"/>
  <c r="P285" i="1"/>
  <c r="U283" i="1"/>
  <c r="P278" i="1"/>
  <c r="U268" i="1"/>
  <c r="U250" i="1"/>
  <c r="P248" i="1"/>
  <c r="U243" i="1"/>
  <c r="P241" i="1"/>
  <c r="U239" i="1"/>
  <c r="U177" i="1"/>
  <c r="G6" i="26" s="1"/>
  <c r="P175" i="1"/>
  <c r="U164" i="1"/>
  <c r="U175" i="1" s="1"/>
  <c r="P149" i="1"/>
  <c r="U145" i="1"/>
  <c r="G9" i="27" s="1"/>
  <c r="G12" i="27" s="1"/>
  <c r="G16" i="27" s="1"/>
  <c r="P143" i="1"/>
  <c r="U141" i="1"/>
  <c r="P138" i="1"/>
  <c r="U136" i="1"/>
  <c r="U138" i="1" s="1"/>
  <c r="P134" i="1"/>
  <c r="U126" i="1"/>
  <c r="P124" i="1"/>
  <c r="U115" i="1"/>
  <c r="N139" i="1"/>
  <c r="N158" i="1" s="1"/>
  <c r="P112" i="1"/>
  <c r="U99" i="1"/>
  <c r="P90" i="1"/>
  <c r="U83" i="1"/>
  <c r="P79" i="1"/>
  <c r="U77" i="1"/>
  <c r="P75" i="1"/>
  <c r="U72" i="1"/>
  <c r="U46" i="1"/>
  <c r="P42" i="1"/>
  <c r="U24" i="1"/>
  <c r="P21" i="1"/>
  <c r="U18" i="1"/>
  <c r="U21" i="1" s="1"/>
  <c r="N43" i="1"/>
  <c r="N113" i="1" s="1"/>
  <c r="B60" i="5"/>
  <c r="B61" i="5" s="1"/>
  <c r="U70" i="1" l="1"/>
  <c r="U75" i="1"/>
  <c r="E45" i="18"/>
  <c r="E46" i="18" s="1"/>
  <c r="U124" i="1"/>
  <c r="U134" i="1"/>
  <c r="U241" i="1"/>
  <c r="U285" i="1"/>
  <c r="U486" i="1"/>
  <c r="U345" i="1"/>
  <c r="U347" i="1" s="1"/>
  <c r="U349" i="1" s="1"/>
  <c r="U466" i="1"/>
  <c r="J19" i="4"/>
  <c r="N90" i="6"/>
  <c r="AH486" i="1"/>
  <c r="AH466" i="1"/>
  <c r="Z15" i="4"/>
  <c r="G9" i="18"/>
  <c r="G11" i="18" s="1"/>
  <c r="G44" i="18" s="1"/>
  <c r="G46" i="18" s="1"/>
  <c r="U112" i="1"/>
  <c r="Z14" i="4"/>
  <c r="Y14" i="4"/>
  <c r="N52" i="6"/>
  <c r="G30" i="30"/>
  <c r="G33" i="30" s="1"/>
  <c r="W33" i="30" s="1"/>
  <c r="W27" i="30"/>
  <c r="G13" i="30"/>
  <c r="G16" i="30" s="1"/>
  <c r="G20" i="30" s="1"/>
  <c r="G24" i="30" s="1"/>
  <c r="W10" i="30"/>
  <c r="K17" i="6"/>
  <c r="W45" i="30"/>
  <c r="D17" i="8"/>
  <c r="L103" i="6"/>
  <c r="L105" i="6" s="1"/>
  <c r="L109" i="6" s="1"/>
  <c r="V117" i="6"/>
  <c r="V118" i="6" s="1"/>
  <c r="S125" i="6" s="1"/>
  <c r="S86" i="6"/>
  <c r="T26" i="6"/>
  <c r="V26" i="6" s="1"/>
  <c r="V86" i="6" s="1"/>
  <c r="S103" i="6"/>
  <c r="U90" i="6"/>
  <c r="V90" i="6"/>
  <c r="V103" i="6" s="1"/>
  <c r="N117" i="6"/>
  <c r="N118" i="6" s="1"/>
  <c r="K125" i="6" s="1"/>
  <c r="K86" i="6"/>
  <c r="N26" i="6"/>
  <c r="N103" i="6"/>
  <c r="M103" i="6"/>
  <c r="M105" i="6" s="1"/>
  <c r="M109" i="6" s="1"/>
  <c r="U326" i="1"/>
  <c r="G10" i="28"/>
  <c r="G12" i="28" s="1"/>
  <c r="D20" i="28" s="1"/>
  <c r="U143" i="1"/>
  <c r="G7" i="14"/>
  <c r="G9" i="14" s="1"/>
  <c r="U292" i="1"/>
  <c r="J70" i="3" s="1"/>
  <c r="G8" i="29"/>
  <c r="G10" i="29" s="1"/>
  <c r="J53" i="3"/>
  <c r="G22" i="19"/>
  <c r="G23" i="19" s="1"/>
  <c r="U90" i="1"/>
  <c r="G10" i="12"/>
  <c r="G14" i="12" s="1"/>
  <c r="G18" i="12" s="1"/>
  <c r="U278" i="1"/>
  <c r="G8" i="21"/>
  <c r="G16" i="21" s="1"/>
  <c r="G19" i="21" s="1"/>
  <c r="U42" i="1"/>
  <c r="G13" i="9"/>
  <c r="G20" i="9" s="1"/>
  <c r="H15" i="4"/>
  <c r="Y15" i="4" s="1"/>
  <c r="G44" i="23"/>
  <c r="G45" i="23" s="1"/>
  <c r="H16" i="4"/>
  <c r="G16" i="24"/>
  <c r="G17" i="24" s="1"/>
  <c r="G9" i="9"/>
  <c r="E51" i="11"/>
  <c r="E11" i="11"/>
  <c r="E18" i="11" s="1"/>
  <c r="E41" i="11" s="1"/>
  <c r="U79" i="1"/>
  <c r="E44" i="11"/>
  <c r="P139" i="1"/>
  <c r="P158" i="1" s="1"/>
  <c r="G18" i="18"/>
  <c r="G30" i="18" s="1"/>
  <c r="G48" i="18" s="1"/>
  <c r="AH139" i="1"/>
  <c r="AH158" i="1" s="1"/>
  <c r="H17" i="4"/>
  <c r="G22" i="25"/>
  <c r="G23" i="25" s="1"/>
  <c r="P43" i="1"/>
  <c r="AH43" i="1"/>
  <c r="AC139" i="1"/>
  <c r="AC158" i="1" s="1"/>
  <c r="P467" i="1"/>
  <c r="P487" i="1" s="1"/>
  <c r="P495" i="1" s="1"/>
  <c r="P503" i="1" s="1"/>
  <c r="P505" i="1" s="1"/>
  <c r="AC43" i="1"/>
  <c r="J20" i="3"/>
  <c r="U139" i="1"/>
  <c r="J33" i="3"/>
  <c r="U149" i="1"/>
  <c r="G17" i="27" s="1"/>
  <c r="G18" i="27" s="1"/>
  <c r="J35" i="3"/>
  <c r="U248" i="1"/>
  <c r="J52" i="3"/>
  <c r="U304" i="1"/>
  <c r="J68" i="3" s="1"/>
  <c r="J69" i="3"/>
  <c r="AH113" i="1"/>
  <c r="AH159" i="1" s="1"/>
  <c r="AH7" i="1" s="1"/>
  <c r="AC113" i="1"/>
  <c r="AA159" i="1"/>
  <c r="AA7" i="1" s="1"/>
  <c r="AC287" i="1"/>
  <c r="P113" i="1"/>
  <c r="N159" i="1"/>
  <c r="N7" i="1" s="1"/>
  <c r="P305" i="1"/>
  <c r="AM152" i="6"/>
  <c r="AM151" i="6"/>
  <c r="AM150" i="6"/>
  <c r="AK107" i="6"/>
  <c r="AM101" i="6"/>
  <c r="AM38" i="6"/>
  <c r="B46" i="7"/>
  <c r="B47" i="7" s="1"/>
  <c r="H47" i="7"/>
  <c r="H39" i="7"/>
  <c r="H38" i="7"/>
  <c r="B37" i="7"/>
  <c r="B38" i="7" s="1"/>
  <c r="B39" i="7" s="1"/>
  <c r="B42" i="7"/>
  <c r="K33" i="7"/>
  <c r="K34" i="7" s="1"/>
  <c r="H34" i="7"/>
  <c r="B33" i="7"/>
  <c r="K29" i="7"/>
  <c r="K30" i="7" s="1"/>
  <c r="I28" i="7"/>
  <c r="B29" i="7"/>
  <c r="K26" i="7"/>
  <c r="H26" i="7"/>
  <c r="B26" i="7"/>
  <c r="K18" i="7"/>
  <c r="K19" i="7" s="1"/>
  <c r="K20" i="7" s="1"/>
  <c r="K21" i="7" s="1"/>
  <c r="K22" i="7" s="1"/>
  <c r="K23" i="7" s="1"/>
  <c r="K6" i="7"/>
  <c r="K7" i="7" s="1"/>
  <c r="K8" i="7" s="1"/>
  <c r="K9" i="7" s="1"/>
  <c r="K10" i="7" s="1"/>
  <c r="K11" i="7" s="1"/>
  <c r="K12" i="7" s="1"/>
  <c r="K13" i="7" s="1"/>
  <c r="K14" i="7" s="1"/>
  <c r="K15" i="7" s="1"/>
  <c r="I17" i="7"/>
  <c r="B18" i="7"/>
  <c r="B19" i="7" s="1"/>
  <c r="B20" i="7" s="1"/>
  <c r="B21" i="7" s="1"/>
  <c r="B22" i="7" s="1"/>
  <c r="H8" i="7"/>
  <c r="G6" i="7"/>
  <c r="G5" i="7"/>
  <c r="B9" i="7"/>
  <c r="B10" i="7" s="1"/>
  <c r="B11" i="7" s="1"/>
  <c r="B12" i="7" s="1"/>
  <c r="U43" i="1" l="1"/>
  <c r="J34" i="3"/>
  <c r="J89" i="3"/>
  <c r="K15" i="6"/>
  <c r="M15" i="6" s="1"/>
  <c r="N15" i="6" s="1"/>
  <c r="U399" i="1"/>
  <c r="J58" i="3"/>
  <c r="J48" i="3"/>
  <c r="J16" i="3"/>
  <c r="P159" i="1"/>
  <c r="P7" i="1" s="1"/>
  <c r="G36" i="7"/>
  <c r="N86" i="6"/>
  <c r="F27" i="8"/>
  <c r="F30" i="8" s="1"/>
  <c r="U103" i="6"/>
  <c r="U105" i="6" s="1"/>
  <c r="U109" i="6" s="1"/>
  <c r="T110" i="6" s="1"/>
  <c r="L110" i="6"/>
  <c r="D30" i="8"/>
  <c r="N17" i="6"/>
  <c r="N21" i="6" s="1"/>
  <c r="N23" i="6" s="1"/>
  <c r="N87" i="6" s="1"/>
  <c r="N105" i="6" s="1"/>
  <c r="N109" i="6" s="1"/>
  <c r="N120" i="6" s="1"/>
  <c r="N121" i="6" s="1"/>
  <c r="K21" i="6"/>
  <c r="K23" i="6" s="1"/>
  <c r="K87" i="6" s="1"/>
  <c r="K105" i="6" s="1"/>
  <c r="K109" i="6" s="1"/>
  <c r="G58" i="30"/>
  <c r="W24" i="30"/>
  <c r="G32" i="9"/>
  <c r="D21" i="28"/>
  <c r="D22" i="28" s="1"/>
  <c r="G41" i="9"/>
  <c r="P317" i="1"/>
  <c r="AC159" i="1"/>
  <c r="AC7" i="1" s="1"/>
  <c r="E50" i="11"/>
  <c r="E52" i="11" s="1"/>
  <c r="E46" i="11"/>
  <c r="J14" i="3"/>
  <c r="G42" i="9"/>
  <c r="H19" i="4"/>
  <c r="J54" i="3"/>
  <c r="G20" i="21"/>
  <c r="G21" i="21" s="1"/>
  <c r="U113" i="1"/>
  <c r="J17" i="3"/>
  <c r="J18" i="3"/>
  <c r="G19" i="12"/>
  <c r="G20" i="12" s="1"/>
  <c r="U305" i="1"/>
  <c r="J73" i="3"/>
  <c r="J51" i="3"/>
  <c r="J37" i="3"/>
  <c r="U158" i="1"/>
  <c r="B34" i="7"/>
  <c r="B13" i="7"/>
  <c r="H11" i="4" l="1"/>
  <c r="H13" i="4" s="1"/>
  <c r="G61" i="30"/>
  <c r="U400" i="1"/>
  <c r="K128" i="6"/>
  <c r="M124" i="6"/>
  <c r="N124" i="6" s="1"/>
  <c r="U159" i="1"/>
  <c r="U7" i="1" s="1"/>
  <c r="J23" i="3"/>
  <c r="J39" i="3" s="1"/>
  <c r="G43" i="9"/>
  <c r="B14" i="7"/>
  <c r="U467" i="1" l="1"/>
  <c r="Y10" i="4"/>
  <c r="H21" i="4"/>
  <c r="D5" i="8" s="1"/>
  <c r="D33" i="8" s="1"/>
  <c r="D35" i="8" s="1"/>
  <c r="D37" i="8" s="1"/>
  <c r="D48" i="8" s="1"/>
  <c r="H62" i="33" s="1"/>
  <c r="T256" i="1"/>
  <c r="U256" i="1" s="1"/>
  <c r="I59" i="33"/>
  <c r="R489" i="1" s="1"/>
  <c r="U489" i="1" s="1"/>
  <c r="M132" i="6"/>
  <c r="N132" i="6" s="1"/>
  <c r="M128" i="6"/>
  <c r="N128" i="6" s="1"/>
  <c r="M135" i="6" s="1"/>
  <c r="N135" i="6" s="1"/>
  <c r="B15" i="7"/>
  <c r="AC325" i="1"/>
  <c r="AH325" i="1" s="1"/>
  <c r="AC321" i="1"/>
  <c r="AH321" i="1" s="1"/>
  <c r="AC311" i="1"/>
  <c r="AH368" i="1"/>
  <c r="I39" i="30" s="1"/>
  <c r="Y39" i="30" s="1"/>
  <c r="AJ100" i="6"/>
  <c r="AM100" i="6" s="1"/>
  <c r="AJ99" i="6"/>
  <c r="AM99" i="6" s="1"/>
  <c r="AJ98" i="6"/>
  <c r="AM98" i="6" s="1"/>
  <c r="AJ97" i="6"/>
  <c r="AM97" i="6" s="1"/>
  <c r="AJ96" i="6"/>
  <c r="AM96" i="6" s="1"/>
  <c r="AJ95" i="6"/>
  <c r="AJ93" i="6"/>
  <c r="AJ92" i="6"/>
  <c r="AM92" i="6" s="1"/>
  <c r="AJ91" i="6"/>
  <c r="AM91" i="6" s="1"/>
  <c r="AJ84" i="6"/>
  <c r="AM84" i="6" s="1"/>
  <c r="AJ83" i="6"/>
  <c r="AM83" i="6" s="1"/>
  <c r="AJ80" i="6"/>
  <c r="AM80" i="6" s="1"/>
  <c r="AJ79" i="6"/>
  <c r="AM79" i="6" s="1"/>
  <c r="AJ78" i="6"/>
  <c r="AM78" i="6" s="1"/>
  <c r="AJ77" i="6"/>
  <c r="AM77" i="6" s="1"/>
  <c r="AJ76" i="6"/>
  <c r="AM76" i="6" s="1"/>
  <c r="AJ75" i="6"/>
  <c r="AM75" i="6" s="1"/>
  <c r="AJ72" i="6"/>
  <c r="AM72" i="6" s="1"/>
  <c r="AJ71" i="6"/>
  <c r="AM71" i="6" s="1"/>
  <c r="AJ70" i="6"/>
  <c r="AM70" i="6" s="1"/>
  <c r="AJ69" i="6"/>
  <c r="AM69" i="6" s="1"/>
  <c r="AJ68" i="6"/>
  <c r="AM68" i="6" s="1"/>
  <c r="AJ67" i="6"/>
  <c r="AK67" i="6" s="1"/>
  <c r="AJ66" i="6"/>
  <c r="AM66" i="6" s="1"/>
  <c r="AJ65" i="6"/>
  <c r="AM65" i="6" s="1"/>
  <c r="AJ64" i="6"/>
  <c r="AM64" i="6" s="1"/>
  <c r="AJ63" i="6"/>
  <c r="AM63" i="6" s="1"/>
  <c r="AJ62" i="6"/>
  <c r="AM62" i="6" s="1"/>
  <c r="AJ61" i="6"/>
  <c r="AM61" i="6" s="1"/>
  <c r="AJ60" i="6"/>
  <c r="AM60" i="6" s="1"/>
  <c r="AJ59" i="6"/>
  <c r="AM59" i="6" s="1"/>
  <c r="AJ58" i="6"/>
  <c r="AM58" i="6" s="1"/>
  <c r="AJ57" i="6"/>
  <c r="AM57" i="6" s="1"/>
  <c r="AJ56" i="6"/>
  <c r="AM56" i="6" s="1"/>
  <c r="AJ55" i="6"/>
  <c r="AM55" i="6" s="1"/>
  <c r="AJ54" i="6"/>
  <c r="AM54" i="6" s="1"/>
  <c r="AJ53" i="6"/>
  <c r="AM53" i="6" s="1"/>
  <c r="AJ52" i="6"/>
  <c r="AK52" i="6" s="1"/>
  <c r="AM52" i="6" s="1"/>
  <c r="AJ51" i="6"/>
  <c r="AM51" i="6" s="1"/>
  <c r="AJ50" i="6"/>
  <c r="AM50" i="6" s="1"/>
  <c r="AJ49" i="6"/>
  <c r="AK49" i="6" s="1"/>
  <c r="AJ46" i="6"/>
  <c r="AM46" i="6" s="1"/>
  <c r="AJ45" i="6"/>
  <c r="AM45" i="6" s="1"/>
  <c r="AJ44" i="6"/>
  <c r="AM44" i="6" s="1"/>
  <c r="AJ43" i="6"/>
  <c r="AM43" i="6" s="1"/>
  <c r="AJ37" i="6"/>
  <c r="AK37" i="6" s="1"/>
  <c r="AM37" i="6" s="1"/>
  <c r="AJ36" i="6"/>
  <c r="AM36" i="6" s="1"/>
  <c r="AJ35" i="6"/>
  <c r="AM35" i="6" s="1"/>
  <c r="AJ34" i="6"/>
  <c r="AM34" i="6" s="1"/>
  <c r="AJ33" i="6"/>
  <c r="AM33" i="6" s="1"/>
  <c r="AJ32" i="6"/>
  <c r="AM32" i="6" s="1"/>
  <c r="AJ31" i="6"/>
  <c r="AM31" i="6" s="1"/>
  <c r="AJ30" i="6"/>
  <c r="AM30" i="6" s="1"/>
  <c r="AJ29" i="6"/>
  <c r="AM29" i="6" s="1"/>
  <c r="AJ28" i="6"/>
  <c r="AM28" i="6" s="1"/>
  <c r="AJ27" i="6"/>
  <c r="AM27" i="6" s="1"/>
  <c r="AJ19" i="6"/>
  <c r="AM19" i="6" s="1"/>
  <c r="AJ12" i="6"/>
  <c r="AM12" i="6" s="1"/>
  <c r="AM115" i="6" s="1"/>
  <c r="U266" i="1" l="1"/>
  <c r="U487" i="1"/>
  <c r="J55" i="3"/>
  <c r="E49" i="18"/>
  <c r="E50" i="18" s="1"/>
  <c r="AH311" i="1"/>
  <c r="AC314" i="1"/>
  <c r="G36" i="18"/>
  <c r="G40" i="18" s="1"/>
  <c r="G52" i="18" s="1"/>
  <c r="U493" i="1"/>
  <c r="H23" i="4"/>
  <c r="H26" i="4" s="1"/>
  <c r="N137" i="6"/>
  <c r="N145" i="6" s="1"/>
  <c r="N154" i="6" s="1"/>
  <c r="M149" i="6" s="1"/>
  <c r="AJ17" i="6"/>
  <c r="AM17" i="6" s="1"/>
  <c r="AC300" i="1"/>
  <c r="AH300" i="1" s="1"/>
  <c r="AC301" i="1"/>
  <c r="AH301" i="1" s="1"/>
  <c r="AC302" i="1"/>
  <c r="AH302" i="1" s="1"/>
  <c r="AC343" i="1"/>
  <c r="AC345" i="1" s="1"/>
  <c r="AC347" i="1" s="1"/>
  <c r="AC349" i="1" s="1"/>
  <c r="AH341" i="1"/>
  <c r="AC354" i="1"/>
  <c r="AC356" i="1" s="1"/>
  <c r="AH352" i="1"/>
  <c r="AC299" i="1"/>
  <c r="AA304" i="1"/>
  <c r="AA305" i="1" s="1"/>
  <c r="AA306" i="1" s="1"/>
  <c r="AJ15" i="6"/>
  <c r="AJ16" i="6"/>
  <c r="AM16" i="6" s="1"/>
  <c r="AJ18" i="6"/>
  <c r="AM18" i="6" s="1"/>
  <c r="AM49" i="6"/>
  <c r="J20" i="8"/>
  <c r="AM67" i="6"/>
  <c r="J18" i="8"/>
  <c r="AK95" i="6"/>
  <c r="AM95" i="6" s="1"/>
  <c r="AM93" i="6"/>
  <c r="K110" i="6" l="1"/>
  <c r="AH314" i="1"/>
  <c r="H31" i="4"/>
  <c r="P56" i="31"/>
  <c r="G53" i="18"/>
  <c r="G54" i="18" s="1"/>
  <c r="U495" i="1"/>
  <c r="AH354" i="1"/>
  <c r="AH356" i="1" s="1"/>
  <c r="S16" i="6" s="1"/>
  <c r="V16" i="6" s="1"/>
  <c r="I27" i="30"/>
  <c r="AH343" i="1"/>
  <c r="AH345" i="1" s="1"/>
  <c r="AH347" i="1" s="1"/>
  <c r="AH349" i="1" s="1"/>
  <c r="S15" i="6" s="1"/>
  <c r="I10" i="30"/>
  <c r="AA326" i="1"/>
  <c r="AC324" i="1"/>
  <c r="AH299" i="1"/>
  <c r="AH304" i="1" s="1"/>
  <c r="AH305" i="1" s="1"/>
  <c r="AC304" i="1"/>
  <c r="AC305" i="1" s="1"/>
  <c r="AC306" i="1" s="1"/>
  <c r="AH367" i="1"/>
  <c r="AH373" i="1" s="1"/>
  <c r="AC373" i="1"/>
  <c r="AC399" i="1" s="1"/>
  <c r="AC400" i="1" s="1"/>
  <c r="AC467" i="1" s="1"/>
  <c r="AC487" i="1" s="1"/>
  <c r="AC495" i="1" s="1"/>
  <c r="J17" i="8"/>
  <c r="AK103" i="6"/>
  <c r="AK105" i="6" s="1"/>
  <c r="AK109" i="6" s="1"/>
  <c r="AJ94" i="6"/>
  <c r="AM94" i="6" s="1"/>
  <c r="AJ90" i="6"/>
  <c r="AJ42" i="6"/>
  <c r="AM42" i="6" s="1"/>
  <c r="AJ26" i="6"/>
  <c r="AJ21" i="6"/>
  <c r="AL15" i="6"/>
  <c r="AM15" i="6" s="1"/>
  <c r="AM21" i="6" s="1"/>
  <c r="AJ11" i="6"/>
  <c r="AM11" i="6" s="1"/>
  <c r="U503" i="1" l="1"/>
  <c r="U317" i="1"/>
  <c r="T56" i="31"/>
  <c r="H37" i="4"/>
  <c r="I38" i="30"/>
  <c r="Y10" i="30"/>
  <c r="I13" i="30"/>
  <c r="I16" i="30" s="1"/>
  <c r="I20" i="30" s="1"/>
  <c r="I24" i="30" s="1"/>
  <c r="U15" i="6"/>
  <c r="V15" i="6" s="1"/>
  <c r="Y27" i="30"/>
  <c r="I30" i="30"/>
  <c r="I33" i="30" s="1"/>
  <c r="Y33" i="30" s="1"/>
  <c r="AC503" i="1"/>
  <c r="AC505" i="1" s="1"/>
  <c r="AC317" i="1"/>
  <c r="AC326" i="1"/>
  <c r="AH324" i="1"/>
  <c r="AH326" i="1" s="1"/>
  <c r="AM117" i="6"/>
  <c r="AM118" i="6" s="1"/>
  <c r="AJ125" i="6" s="1"/>
  <c r="AM23" i="6"/>
  <c r="AJ23" i="6"/>
  <c r="AJ86" i="6"/>
  <c r="AK26" i="6"/>
  <c r="AM26" i="6" s="1"/>
  <c r="AM86" i="6" s="1"/>
  <c r="AL90" i="6"/>
  <c r="AM90" i="6" s="1"/>
  <c r="AM103" i="6" s="1"/>
  <c r="AJ103" i="6"/>
  <c r="AE152" i="6"/>
  <c r="AE151" i="6"/>
  <c r="AE150" i="6"/>
  <c r="AC107" i="6"/>
  <c r="AE101" i="6"/>
  <c r="AA100" i="6"/>
  <c r="AA99" i="6"/>
  <c r="AA98" i="6"/>
  <c r="AA97" i="6"/>
  <c r="AA96" i="6"/>
  <c r="AA95" i="6"/>
  <c r="AA94" i="6"/>
  <c r="AA93" i="6"/>
  <c r="AA92" i="6"/>
  <c r="AA91" i="6"/>
  <c r="AA90" i="6"/>
  <c r="AE38" i="6"/>
  <c r="K56" i="5"/>
  <c r="H56" i="5"/>
  <c r="B56" i="5"/>
  <c r="G49" i="5"/>
  <c r="K50" i="5"/>
  <c r="K51" i="5" s="1"/>
  <c r="K52" i="5" s="1"/>
  <c r="K53" i="5" s="1"/>
  <c r="B50" i="5"/>
  <c r="B51" i="5" s="1"/>
  <c r="B52" i="5" s="1"/>
  <c r="B53" i="5" s="1"/>
  <c r="K47" i="5"/>
  <c r="K44" i="5"/>
  <c r="K41" i="5"/>
  <c r="K38" i="5"/>
  <c r="K35" i="5"/>
  <c r="B47" i="5"/>
  <c r="H44" i="5"/>
  <c r="B44" i="5"/>
  <c r="B41" i="5"/>
  <c r="G40" i="5"/>
  <c r="H38" i="5"/>
  <c r="B38" i="5"/>
  <c r="H35" i="5"/>
  <c r="B35" i="5"/>
  <c r="B32" i="5"/>
  <c r="K32" i="5"/>
  <c r="J32" i="5"/>
  <c r="K28" i="5"/>
  <c r="K29" i="5" s="1"/>
  <c r="J29" i="5"/>
  <c r="B28" i="5"/>
  <c r="J93" i="3" l="1"/>
  <c r="K111" i="6"/>
  <c r="Y24" i="30"/>
  <c r="S17" i="6"/>
  <c r="AH399" i="1"/>
  <c r="Y38" i="30"/>
  <c r="I45" i="30"/>
  <c r="Y45" i="30" s="1"/>
  <c r="J27" i="8"/>
  <c r="J30" i="8" s="1"/>
  <c r="AL103" i="6"/>
  <c r="AL105" i="6" s="1"/>
  <c r="AL109" i="6" s="1"/>
  <c r="AK110" i="6" s="1"/>
  <c r="AJ87" i="6"/>
  <c r="AJ105" i="6" s="1"/>
  <c r="AJ109" i="6" s="1"/>
  <c r="AM87" i="6"/>
  <c r="AM105" i="6" s="1"/>
  <c r="AM109" i="6" s="1"/>
  <c r="AM120" i="6" s="1"/>
  <c r="AM121" i="6" s="1"/>
  <c r="B29" i="5"/>
  <c r="B21" i="5"/>
  <c r="I20" i="5"/>
  <c r="K21" i="5"/>
  <c r="K22" i="5" s="1"/>
  <c r="K23" i="5" s="1"/>
  <c r="K24" i="5" s="1"/>
  <c r="K25" i="5" s="1"/>
  <c r="K10" i="5"/>
  <c r="K11" i="5" s="1"/>
  <c r="K12" i="5" s="1"/>
  <c r="K13" i="5" s="1"/>
  <c r="K14" i="5" s="1"/>
  <c r="K15" i="5" s="1"/>
  <c r="K16" i="5" s="1"/>
  <c r="K17" i="5" s="1"/>
  <c r="K18" i="5" s="1"/>
  <c r="B10" i="5"/>
  <c r="B7" i="5"/>
  <c r="K7" i="5"/>
  <c r="H7" i="5"/>
  <c r="AJ110" i="6" l="1"/>
  <c r="I58" i="30"/>
  <c r="I61" i="30"/>
  <c r="AH400" i="1"/>
  <c r="AH467" i="1" s="1"/>
  <c r="AH487" i="1" s="1"/>
  <c r="J11" i="4"/>
  <c r="J13" i="4" s="1"/>
  <c r="V17" i="6"/>
  <c r="V21" i="6" s="1"/>
  <c r="V23" i="6" s="1"/>
  <c r="V87" i="6" s="1"/>
  <c r="V105" i="6" s="1"/>
  <c r="V109" i="6" s="1"/>
  <c r="V120" i="6" s="1"/>
  <c r="V121" i="6" s="1"/>
  <c r="S21" i="6"/>
  <c r="S23" i="6" s="1"/>
  <c r="S87" i="6" s="1"/>
  <c r="S105" i="6" s="1"/>
  <c r="S109" i="6" s="1"/>
  <c r="J5" i="8"/>
  <c r="J33" i="8" s="1"/>
  <c r="AJ111" i="6"/>
  <c r="AJ128" i="6"/>
  <c r="AL124" i="6"/>
  <c r="AM124" i="6" s="1"/>
  <c r="B11" i="5"/>
  <c r="B22" i="5"/>
  <c r="J21" i="4" l="1"/>
  <c r="Z10" i="4"/>
  <c r="S128" i="6"/>
  <c r="U124" i="6"/>
  <c r="V124" i="6" s="1"/>
  <c r="F5" i="8"/>
  <c r="F33" i="8" s="1"/>
  <c r="F35" i="8" s="1"/>
  <c r="F37" i="8" s="1"/>
  <c r="F48" i="8" s="1"/>
  <c r="H70" i="32" s="1"/>
  <c r="I67" i="32" s="1"/>
  <c r="N237" i="1"/>
  <c r="N287" i="1" s="1"/>
  <c r="N306" i="1" s="1"/>
  <c r="AL132" i="6"/>
  <c r="AM132" i="6" s="1"/>
  <c r="AL128" i="6"/>
  <c r="AM128" i="6" s="1"/>
  <c r="AL135" i="6" s="1"/>
  <c r="AM135" i="6" s="1"/>
  <c r="B23" i="5"/>
  <c r="B24" i="5" s="1"/>
  <c r="B12" i="5"/>
  <c r="AG256" i="1" l="1"/>
  <c r="AH256" i="1" s="1"/>
  <c r="AH266" i="1" s="1"/>
  <c r="AH287" i="1" s="1"/>
  <c r="AH306" i="1" s="1"/>
  <c r="AE489" i="1"/>
  <c r="AH489" i="1" s="1"/>
  <c r="U132" i="6"/>
  <c r="V132" i="6" s="1"/>
  <c r="U128" i="6"/>
  <c r="V128" i="6" s="1"/>
  <c r="U135" i="6" s="1"/>
  <c r="V135" i="6" s="1"/>
  <c r="U235" i="1"/>
  <c r="P237" i="1"/>
  <c r="P287" i="1" s="1"/>
  <c r="P306" i="1" s="1"/>
  <c r="AM137" i="6"/>
  <c r="AM145" i="6" s="1"/>
  <c r="AM154" i="6" s="1"/>
  <c r="AL149" i="6" s="1"/>
  <c r="B13" i="5"/>
  <c r="B25" i="5"/>
  <c r="P24" i="4"/>
  <c r="P28" i="4"/>
  <c r="P27" i="4"/>
  <c r="P23" i="4"/>
  <c r="P10" i="4"/>
  <c r="N28" i="4"/>
  <c r="N27" i="4"/>
  <c r="N24" i="4"/>
  <c r="N23" i="4"/>
  <c r="N10" i="4"/>
  <c r="L24" i="4"/>
  <c r="AH6" i="35" s="1"/>
  <c r="AH8" i="35" s="1"/>
  <c r="AH12" i="35" s="1"/>
  <c r="AH53" i="35" s="1"/>
  <c r="L23" i="4"/>
  <c r="AI6" i="35" s="1"/>
  <c r="AI8" i="35" s="1"/>
  <c r="P35" i="4"/>
  <c r="AI20" i="35" l="1"/>
  <c r="B20" i="35" s="1"/>
  <c r="H22" i="34" s="1"/>
  <c r="AI53" i="35"/>
  <c r="AH493" i="1"/>
  <c r="AH495" i="1" s="1"/>
  <c r="J23" i="4"/>
  <c r="J26" i="4" s="1"/>
  <c r="V137" i="6"/>
  <c r="V145" i="6" s="1"/>
  <c r="V154" i="6" s="1"/>
  <c r="U149" i="6" s="1"/>
  <c r="U237" i="1"/>
  <c r="G54" i="26"/>
  <c r="G56" i="26" s="1"/>
  <c r="G62" i="26" s="1"/>
  <c r="B14" i="5"/>
  <c r="N35" i="4"/>
  <c r="J49" i="3" l="1"/>
  <c r="J63" i="3" s="1"/>
  <c r="J75" i="3" s="1"/>
  <c r="J31" i="4"/>
  <c r="P45" i="31"/>
  <c r="AH503" i="1"/>
  <c r="S110" i="6" s="1"/>
  <c r="S111" i="6" s="1"/>
  <c r="AH317" i="1"/>
  <c r="G63" i="26"/>
  <c r="G64" i="26" s="1"/>
  <c r="U287" i="1"/>
  <c r="B15" i="5"/>
  <c r="L87" i="3"/>
  <c r="L91" i="3"/>
  <c r="L69" i="3"/>
  <c r="L59" i="3"/>
  <c r="L52" i="3"/>
  <c r="L35" i="3"/>
  <c r="L21" i="3"/>
  <c r="L20" i="3"/>
  <c r="L60" i="3"/>
  <c r="AB100" i="6"/>
  <c r="AE100" i="6" s="1"/>
  <c r="AB99" i="6"/>
  <c r="AE99" i="6" s="1"/>
  <c r="AB98" i="6"/>
  <c r="AE98" i="6" s="1"/>
  <c r="AB97" i="6"/>
  <c r="AE97" i="6" s="1"/>
  <c r="AB96" i="6"/>
  <c r="AE96" i="6" s="1"/>
  <c r="AB95" i="6"/>
  <c r="AB94" i="6"/>
  <c r="AE94" i="6" s="1"/>
  <c r="AB93" i="6"/>
  <c r="AE93" i="6" s="1"/>
  <c r="AB92" i="6"/>
  <c r="AE92" i="6" s="1"/>
  <c r="AB91" i="6"/>
  <c r="AE91" i="6" s="1"/>
  <c r="AB84" i="6"/>
  <c r="AE84" i="6" s="1"/>
  <c r="AB83" i="6"/>
  <c r="AE83" i="6" s="1"/>
  <c r="AB80" i="6"/>
  <c r="AE80" i="6" s="1"/>
  <c r="AB79" i="6"/>
  <c r="AE79" i="6" s="1"/>
  <c r="AB78" i="6"/>
  <c r="AE78" i="6" s="1"/>
  <c r="AB77" i="6"/>
  <c r="AE77" i="6" s="1"/>
  <c r="AB76" i="6"/>
  <c r="AE76" i="6" s="1"/>
  <c r="AB75" i="6"/>
  <c r="AE75" i="6" s="1"/>
  <c r="AB72" i="6"/>
  <c r="AE72" i="6" s="1"/>
  <c r="AB71" i="6"/>
  <c r="AE71" i="6" s="1"/>
  <c r="AB70" i="6"/>
  <c r="AE70" i="6" s="1"/>
  <c r="AB69" i="6"/>
  <c r="AE69" i="6" s="1"/>
  <c r="AB68" i="6"/>
  <c r="AE68" i="6" s="1"/>
  <c r="AB67" i="6"/>
  <c r="AC67" i="6" s="1"/>
  <c r="AB66" i="6"/>
  <c r="AE66" i="6" s="1"/>
  <c r="AB65" i="6"/>
  <c r="AE65" i="6" s="1"/>
  <c r="AB64" i="6"/>
  <c r="AE64" i="6" s="1"/>
  <c r="AB63" i="6"/>
  <c r="AE63" i="6" s="1"/>
  <c r="AB62" i="6"/>
  <c r="AE62" i="6" s="1"/>
  <c r="AB61" i="6"/>
  <c r="AE61" i="6" s="1"/>
  <c r="AB60" i="6"/>
  <c r="AE60" i="6" s="1"/>
  <c r="AB59" i="6"/>
  <c r="AE59" i="6" s="1"/>
  <c r="AB58" i="6"/>
  <c r="AE58" i="6" s="1"/>
  <c r="AB57" i="6"/>
  <c r="AE57" i="6" s="1"/>
  <c r="AB56" i="6"/>
  <c r="AE56" i="6" s="1"/>
  <c r="AB55" i="6"/>
  <c r="AE55" i="6" s="1"/>
  <c r="AB54" i="6"/>
  <c r="AE54" i="6" s="1"/>
  <c r="AB53" i="6"/>
  <c r="AE53" i="6" s="1"/>
  <c r="AB52" i="6"/>
  <c r="AE52" i="6" s="1"/>
  <c r="AB51" i="6"/>
  <c r="AE51" i="6" s="1"/>
  <c r="AB50" i="6"/>
  <c r="AE50" i="6" s="1"/>
  <c r="AB49" i="6"/>
  <c r="AC49" i="6" s="1"/>
  <c r="AB46" i="6"/>
  <c r="AE46" i="6" s="1"/>
  <c r="AB45" i="6"/>
  <c r="AE45" i="6" s="1"/>
  <c r="AB44" i="6"/>
  <c r="AE44" i="6" s="1"/>
  <c r="AB43" i="6"/>
  <c r="AE43" i="6" s="1"/>
  <c r="AB42" i="6"/>
  <c r="AE42" i="6" s="1"/>
  <c r="AB37" i="6"/>
  <c r="AC37" i="6" s="1"/>
  <c r="AE37" i="6" s="1"/>
  <c r="AB36" i="6"/>
  <c r="AE36" i="6" s="1"/>
  <c r="AB35" i="6"/>
  <c r="AE35" i="6" s="1"/>
  <c r="AB34" i="6"/>
  <c r="AE34" i="6" s="1"/>
  <c r="AB33" i="6"/>
  <c r="AE33" i="6" s="1"/>
  <c r="AB32" i="6"/>
  <c r="AE32" i="6" s="1"/>
  <c r="AB31" i="6"/>
  <c r="AE31" i="6" s="1"/>
  <c r="AB30" i="6"/>
  <c r="AE30" i="6" s="1"/>
  <c r="AB29" i="6"/>
  <c r="AE29" i="6" s="1"/>
  <c r="AB28" i="6"/>
  <c r="AE28" i="6" s="1"/>
  <c r="AB27" i="6"/>
  <c r="AE27" i="6" s="1"/>
  <c r="AB26" i="6"/>
  <c r="AB19" i="6"/>
  <c r="AB16" i="6"/>
  <c r="AE16" i="6" s="1"/>
  <c r="W501" i="1"/>
  <c r="W498" i="1"/>
  <c r="W354" i="1"/>
  <c r="AB15" i="6"/>
  <c r="W345" i="1"/>
  <c r="W347" i="1" s="1"/>
  <c r="W349" i="1" s="1"/>
  <c r="W338" i="1"/>
  <c r="H6" i="35" l="1"/>
  <c r="H8" i="35" s="1"/>
  <c r="H12" i="35" s="1"/>
  <c r="H53" i="35" s="1"/>
  <c r="H7" i="36"/>
  <c r="I6" i="35"/>
  <c r="I8" i="35" s="1"/>
  <c r="I12" i="35" s="1"/>
  <c r="I53" i="35" s="1"/>
  <c r="I7" i="36"/>
  <c r="L6" i="35"/>
  <c r="L8" i="35" s="1"/>
  <c r="L7" i="36"/>
  <c r="L8" i="36" s="1"/>
  <c r="S6" i="35"/>
  <c r="S8" i="35" s="1"/>
  <c r="S7" i="36"/>
  <c r="S8" i="36" s="1"/>
  <c r="T6" i="35"/>
  <c r="T8" i="35" s="1"/>
  <c r="T7" i="36"/>
  <c r="T8" i="36" s="1"/>
  <c r="Y6" i="35"/>
  <c r="Y8" i="35" s="1"/>
  <c r="Y53" i="35" s="1"/>
  <c r="Y7" i="36"/>
  <c r="L27" i="4"/>
  <c r="L35" i="4" s="1"/>
  <c r="Y498" i="1"/>
  <c r="L28" i="4"/>
  <c r="Y501" i="1"/>
  <c r="L10" i="4"/>
  <c r="AB6" i="35" s="1"/>
  <c r="AB8" i="35" s="1"/>
  <c r="AB11" i="35" s="1"/>
  <c r="AB53" i="35" s="1"/>
  <c r="Y338" i="1"/>
  <c r="W356" i="1"/>
  <c r="Y356" i="1" s="1"/>
  <c r="Y354" i="1"/>
  <c r="AA24" i="30"/>
  <c r="AA33" i="30"/>
  <c r="U306" i="1"/>
  <c r="L14" i="35"/>
  <c r="L53" i="35"/>
  <c r="S42" i="35"/>
  <c r="B42" i="35" s="1"/>
  <c r="H61" i="34" s="1"/>
  <c r="S53" i="35"/>
  <c r="T39" i="35"/>
  <c r="B39" i="35" s="1"/>
  <c r="H52" i="34" s="1"/>
  <c r="H66" i="34" s="1"/>
  <c r="T53" i="35"/>
  <c r="T45" i="31"/>
  <c r="T47" i="31" s="1"/>
  <c r="P47" i="31"/>
  <c r="J37" i="4"/>
  <c r="W399" i="1"/>
  <c r="AB17" i="6"/>
  <c r="AE17" i="6" s="1"/>
  <c r="AE49" i="6"/>
  <c r="H20" i="8"/>
  <c r="AE67" i="6"/>
  <c r="H18" i="8"/>
  <c r="AB11" i="6"/>
  <c r="AE11" i="6" s="1"/>
  <c r="AE117" i="6" s="1"/>
  <c r="B16" i="5"/>
  <c r="B17" i="5" s="1"/>
  <c r="AB18" i="6"/>
  <c r="AE18" i="6" s="1"/>
  <c r="AE19" i="6"/>
  <c r="AB86" i="6"/>
  <c r="AC26" i="6"/>
  <c r="AE26" i="6" s="1"/>
  <c r="AB90" i="6"/>
  <c r="AC95" i="6"/>
  <c r="AE95" i="6" s="1"/>
  <c r="AB21" i="6"/>
  <c r="AD15" i="6"/>
  <c r="AE15" i="6" s="1"/>
  <c r="Y6" i="36" l="1"/>
  <c r="Y8" i="36" s="1"/>
  <c r="Y58" i="36" s="1"/>
  <c r="H8" i="36"/>
  <c r="H12" i="36" s="1"/>
  <c r="H58" i="36" s="1"/>
  <c r="T39" i="36"/>
  <c r="B39" i="36" s="1"/>
  <c r="F52" i="34" s="1"/>
  <c r="T58" i="36"/>
  <c r="S47" i="36"/>
  <c r="B47" i="36" s="1"/>
  <c r="F61" i="34" s="1"/>
  <c r="S58" i="36"/>
  <c r="L14" i="36"/>
  <c r="L58" i="36"/>
  <c r="K61" i="30"/>
  <c r="Y399" i="1"/>
  <c r="AE86" i="6"/>
  <c r="AE21" i="6"/>
  <c r="AC103" i="6"/>
  <c r="AC105" i="6" s="1"/>
  <c r="AC109" i="6" s="1"/>
  <c r="H17" i="8"/>
  <c r="B18" i="5"/>
  <c r="AB12" i="6"/>
  <c r="AE12" i="6" s="1"/>
  <c r="AE115" i="6" s="1"/>
  <c r="AE118" i="6" s="1"/>
  <c r="AB125" i="6" s="1"/>
  <c r="AB23" i="6"/>
  <c r="AB87" i="6" s="1"/>
  <c r="AB103" i="6"/>
  <c r="AD90" i="6"/>
  <c r="AE90" i="6"/>
  <c r="AE103" i="6" s="1"/>
  <c r="AE23" i="6" l="1"/>
  <c r="AE87" i="6" s="1"/>
  <c r="AE105" i="6" s="1"/>
  <c r="AE109" i="6" s="1"/>
  <c r="AE120" i="6" s="1"/>
  <c r="AE121" i="6" s="1"/>
  <c r="AD103" i="6"/>
  <c r="AD105" i="6" s="1"/>
  <c r="AD109" i="6" s="1"/>
  <c r="AC110" i="6" s="1"/>
  <c r="H27" i="8"/>
  <c r="H30" i="8"/>
  <c r="AB105" i="6"/>
  <c r="AB109" i="6" s="1"/>
  <c r="AB110" i="6" l="1"/>
  <c r="AB111" i="6"/>
  <c r="AB128" i="6"/>
  <c r="AD124" i="6"/>
  <c r="AE124" i="6" s="1"/>
  <c r="AD132" i="6" l="1"/>
  <c r="AE132" i="6" s="1"/>
  <c r="AD128" i="6"/>
  <c r="AE128" i="6" s="1"/>
  <c r="AD135" i="6" s="1"/>
  <c r="AE135" i="6" s="1"/>
  <c r="H5" i="8" l="1"/>
  <c r="H33" i="8" s="1"/>
  <c r="AE137" i="6"/>
  <c r="AE145" i="6" s="1"/>
  <c r="AE154" i="6" s="1"/>
  <c r="AD149" i="6" s="1"/>
  <c r="AN493" i="1"/>
  <c r="AJ493" i="1"/>
  <c r="W493" i="1"/>
  <c r="Y493" i="1" s="1"/>
  <c r="AN485" i="1"/>
  <c r="P17" i="4" s="1"/>
  <c r="AJ485" i="1"/>
  <c r="N17" i="4" s="1"/>
  <c r="W485" i="1"/>
  <c r="Y485" i="1" s="1"/>
  <c r="AN474" i="1"/>
  <c r="AJ474" i="1"/>
  <c r="W474" i="1"/>
  <c r="Y474" i="1" s="1"/>
  <c r="AN465" i="1"/>
  <c r="P15" i="4" s="1"/>
  <c r="AJ465" i="1"/>
  <c r="L15" i="4"/>
  <c r="AN416" i="1"/>
  <c r="AJ416" i="1"/>
  <c r="AL416" i="1" s="1"/>
  <c r="W416" i="1"/>
  <c r="Y416" i="1" s="1"/>
  <c r="AN398" i="1"/>
  <c r="AN399" i="1" s="1"/>
  <c r="AJ398" i="1"/>
  <c r="AN326" i="1"/>
  <c r="AJ326" i="1"/>
  <c r="AL326" i="1" s="1"/>
  <c r="W326" i="1"/>
  <c r="Y326" i="1" s="1"/>
  <c r="AN304" i="1"/>
  <c r="AJ304" i="1"/>
  <c r="AL304" i="1" s="1"/>
  <c r="W304" i="1"/>
  <c r="L68" i="3" s="1"/>
  <c r="AN292" i="1"/>
  <c r="AJ292" i="1"/>
  <c r="W292" i="1"/>
  <c r="AN285" i="1"/>
  <c r="AJ285" i="1"/>
  <c r="W285" i="1"/>
  <c r="AN278" i="1"/>
  <c r="AJ278" i="1"/>
  <c r="W278" i="1"/>
  <c r="AN266" i="1"/>
  <c r="AJ266" i="1"/>
  <c r="W266" i="1"/>
  <c r="Y266" i="1" s="1"/>
  <c r="AN248" i="1"/>
  <c r="AJ248" i="1"/>
  <c r="AL248" i="1" s="1"/>
  <c r="W248" i="1"/>
  <c r="Y248" i="1" s="1"/>
  <c r="AN241" i="1"/>
  <c r="AJ241" i="1"/>
  <c r="AL241" i="1" s="1"/>
  <c r="W241" i="1"/>
  <c r="Y241" i="1" s="1"/>
  <c r="AN237" i="1"/>
  <c r="AJ237" i="1"/>
  <c r="AL237" i="1" s="1"/>
  <c r="W237" i="1"/>
  <c r="Y237" i="1" s="1"/>
  <c r="AN175" i="1"/>
  <c r="AJ175" i="1"/>
  <c r="AL175" i="1" s="1"/>
  <c r="W175" i="1"/>
  <c r="Y175" i="1" s="1"/>
  <c r="AN149" i="1"/>
  <c r="W149" i="1"/>
  <c r="AN143" i="1"/>
  <c r="AJ143" i="1"/>
  <c r="AL143" i="1" s="1"/>
  <c r="W143" i="1"/>
  <c r="Y143" i="1" s="1"/>
  <c r="AN138" i="1"/>
  <c r="AJ138" i="1"/>
  <c r="W138" i="1"/>
  <c r="AN134" i="1"/>
  <c r="AJ134" i="1"/>
  <c r="AL134" i="1" s="1"/>
  <c r="W134" i="1"/>
  <c r="Y134" i="1" s="1"/>
  <c r="AN124" i="1"/>
  <c r="AJ124" i="1"/>
  <c r="AL124" i="1" s="1"/>
  <c r="W124" i="1"/>
  <c r="Y124" i="1" s="1"/>
  <c r="W112" i="1"/>
  <c r="Y112" i="1" s="1"/>
  <c r="AJ112" i="1"/>
  <c r="AL112" i="1" s="1"/>
  <c r="AN112" i="1"/>
  <c r="AN97" i="1"/>
  <c r="AJ97" i="1"/>
  <c r="AL97" i="1" s="1"/>
  <c r="W97" i="1"/>
  <c r="Y97" i="1" s="1"/>
  <c r="AN90" i="1"/>
  <c r="AJ90" i="1"/>
  <c r="AL90" i="1" s="1"/>
  <c r="W90" i="1"/>
  <c r="Y90" i="1" s="1"/>
  <c r="AN79" i="1"/>
  <c r="AJ79" i="1"/>
  <c r="AL79" i="1" s="1"/>
  <c r="W79" i="1"/>
  <c r="Y79" i="1" s="1"/>
  <c r="AN75" i="1"/>
  <c r="AJ75" i="1"/>
  <c r="AL75" i="1" s="1"/>
  <c r="W75" i="1"/>
  <c r="Y75" i="1" s="1"/>
  <c r="W70" i="1"/>
  <c r="Y70" i="1" s="1"/>
  <c r="AJ70" i="1"/>
  <c r="AL70" i="1" s="1"/>
  <c r="AN70" i="1"/>
  <c r="W42" i="1"/>
  <c r="Y42" i="1" s="1"/>
  <c r="AJ42" i="1"/>
  <c r="AL42" i="1" s="1"/>
  <c r="AN42" i="1"/>
  <c r="AN21" i="1"/>
  <c r="AJ21" i="1"/>
  <c r="AL21" i="1" s="1"/>
  <c r="W21" i="1"/>
  <c r="N15" i="4" l="1"/>
  <c r="AL465" i="1"/>
  <c r="AJ399" i="1"/>
  <c r="AL399" i="1" s="1"/>
  <c r="AL398" i="1"/>
  <c r="L70" i="3"/>
  <c r="Y292" i="1"/>
  <c r="K17" i="27"/>
  <c r="K18" i="27" s="1"/>
  <c r="Y149" i="1"/>
  <c r="I9" i="9"/>
  <c r="Y21" i="1"/>
  <c r="L16" i="3"/>
  <c r="L34" i="3"/>
  <c r="L48" i="3"/>
  <c r="L51" i="3"/>
  <c r="L58" i="3"/>
  <c r="L14" i="4"/>
  <c r="K16" i="24"/>
  <c r="K17" i="24" s="1"/>
  <c r="K53" i="18"/>
  <c r="K54" i="18" s="1"/>
  <c r="AA14" i="4"/>
  <c r="AD6" i="35"/>
  <c r="AD8" i="35" s="1"/>
  <c r="AD14" i="35" s="1"/>
  <c r="AA15" i="4"/>
  <c r="AE6" i="35"/>
  <c r="AE8" i="35" s="1"/>
  <c r="AE12" i="35" s="1"/>
  <c r="AE53" i="35" s="1"/>
  <c r="L89" i="3"/>
  <c r="K74" i="31" s="1"/>
  <c r="D25" i="28"/>
  <c r="D26" i="28" s="1"/>
  <c r="L55" i="3"/>
  <c r="G49" i="18"/>
  <c r="G50" i="18" s="1"/>
  <c r="K49" i="18"/>
  <c r="K50" i="18" s="1"/>
  <c r="K41" i="9"/>
  <c r="I32" i="9"/>
  <c r="L18" i="3"/>
  <c r="K19" i="12"/>
  <c r="K20" i="12" s="1"/>
  <c r="L17" i="3"/>
  <c r="I51" i="11"/>
  <c r="I52" i="11" s="1"/>
  <c r="L17" i="4"/>
  <c r="AG6" i="35" s="1"/>
  <c r="AG8" i="35" s="1"/>
  <c r="AG19" i="35" s="1"/>
  <c r="B19" i="35" s="1"/>
  <c r="H24" i="34" s="1"/>
  <c r="K22" i="25"/>
  <c r="K23" i="25" s="1"/>
  <c r="L53" i="3"/>
  <c r="K22" i="19"/>
  <c r="L19" i="3"/>
  <c r="K18" i="13"/>
  <c r="K19" i="13" s="1"/>
  <c r="L49" i="3"/>
  <c r="K63" i="26"/>
  <c r="K64" i="26" s="1"/>
  <c r="L54" i="3"/>
  <c r="K20" i="21"/>
  <c r="K21" i="21" s="1"/>
  <c r="AN43" i="1"/>
  <c r="W139" i="1"/>
  <c r="Y139" i="1" s="1"/>
  <c r="L33" i="3"/>
  <c r="K7" i="36" s="1"/>
  <c r="AJ139" i="1"/>
  <c r="AN139" i="1"/>
  <c r="AN158" i="1" s="1"/>
  <c r="L73" i="3"/>
  <c r="W400" i="1"/>
  <c r="Y400" i="1" s="1"/>
  <c r="L11" i="4"/>
  <c r="AJ400" i="1"/>
  <c r="AL400" i="1" s="1"/>
  <c r="N11" i="4"/>
  <c r="N13" i="4" s="1"/>
  <c r="AN400" i="1"/>
  <c r="P11" i="4"/>
  <c r="P13" i="4" s="1"/>
  <c r="W466" i="1"/>
  <c r="Y466" i="1" s="1"/>
  <c r="AJ466" i="1"/>
  <c r="AL466" i="1" s="1"/>
  <c r="N14" i="4"/>
  <c r="AN466" i="1"/>
  <c r="P14" i="4"/>
  <c r="W486" i="1"/>
  <c r="Y486" i="1" s="1"/>
  <c r="L16" i="4"/>
  <c r="AF6" i="35" s="1"/>
  <c r="AF8" i="35" s="1"/>
  <c r="AF12" i="35" s="1"/>
  <c r="AF53" i="35" s="1"/>
  <c r="AJ486" i="1"/>
  <c r="N16" i="4"/>
  <c r="AN486" i="1"/>
  <c r="P16" i="4"/>
  <c r="W287" i="1"/>
  <c r="Y287" i="1" s="1"/>
  <c r="AJ287" i="1"/>
  <c r="AN287" i="1"/>
  <c r="W305" i="1"/>
  <c r="Y305" i="1" s="1"/>
  <c r="AJ305" i="1"/>
  <c r="AL305" i="1" s="1"/>
  <c r="AN305" i="1"/>
  <c r="AN113" i="1"/>
  <c r="AN159" i="1" s="1"/>
  <c r="AN7" i="1" s="1"/>
  <c r="AJ43" i="1"/>
  <c r="W43" i="1"/>
  <c r="K8" i="36" l="1"/>
  <c r="K12" i="36" s="1"/>
  <c r="K58" i="36" s="1"/>
  <c r="AL43" i="1"/>
  <c r="H74" i="34"/>
  <c r="R6" i="35"/>
  <c r="R8" i="35" s="1"/>
  <c r="R12" i="35" s="1"/>
  <c r="R53" i="35" s="1"/>
  <c r="R7" i="36"/>
  <c r="Q6" i="35"/>
  <c r="Q8" i="35" s="1"/>
  <c r="Q12" i="35" s="1"/>
  <c r="Q53" i="35" s="1"/>
  <c r="Q7" i="36"/>
  <c r="G6" i="35"/>
  <c r="G8" i="35" s="1"/>
  <c r="G12" i="35" s="1"/>
  <c r="G53" i="35" s="1"/>
  <c r="G7" i="36"/>
  <c r="N6" i="35"/>
  <c r="N8" i="35" s="1"/>
  <c r="N7" i="36"/>
  <c r="N8" i="36" s="1"/>
  <c r="D6" i="35"/>
  <c r="D8" i="35" s="1"/>
  <c r="D7" i="36"/>
  <c r="D8" i="36" s="1"/>
  <c r="F6" i="35"/>
  <c r="F8" i="35" s="1"/>
  <c r="F7" i="36"/>
  <c r="F8" i="36" s="1"/>
  <c r="V6" i="35"/>
  <c r="V8" i="35" s="1"/>
  <c r="V14" i="35" s="1"/>
  <c r="V7" i="36"/>
  <c r="Z6" i="35"/>
  <c r="Z8" i="35" s="1"/>
  <c r="Z12" i="35" s="1"/>
  <c r="Z53" i="35" s="1"/>
  <c r="AC7" i="36"/>
  <c r="P6" i="35"/>
  <c r="P8" i="35" s="1"/>
  <c r="P12" i="35" s="1"/>
  <c r="P53" i="35" s="1"/>
  <c r="P7" i="36"/>
  <c r="J6" i="35"/>
  <c r="J8" i="35" s="1"/>
  <c r="J28" i="35" s="1"/>
  <c r="B28" i="35" s="1"/>
  <c r="J7" i="36"/>
  <c r="E6" i="35"/>
  <c r="E8" i="35" s="1"/>
  <c r="E11" i="35" s="1"/>
  <c r="E53" i="35" s="1"/>
  <c r="E7" i="36"/>
  <c r="W6" i="35"/>
  <c r="W8" i="35" s="1"/>
  <c r="W14" i="35" s="1"/>
  <c r="W53" i="35" s="1"/>
  <c r="W7" i="36"/>
  <c r="AJ158" i="1"/>
  <c r="AL158" i="1" s="1"/>
  <c r="AL139" i="1"/>
  <c r="K42" i="9"/>
  <c r="Y43" i="1"/>
  <c r="W158" i="1"/>
  <c r="Y158" i="1" s="1"/>
  <c r="L13" i="4"/>
  <c r="AA10" i="4" s="1"/>
  <c r="AC6" i="35"/>
  <c r="AC8" i="35" s="1"/>
  <c r="AC12" i="35" s="1"/>
  <c r="AC53" i="35" s="1"/>
  <c r="L37" i="3"/>
  <c r="K6" i="35"/>
  <c r="K8" i="35" s="1"/>
  <c r="K12" i="35" s="1"/>
  <c r="K53" i="35" s="1"/>
  <c r="N36" i="35"/>
  <c r="B36" i="35" s="1"/>
  <c r="B43" i="35" s="1"/>
  <c r="N53" i="35"/>
  <c r="D11" i="35"/>
  <c r="B11" i="35" s="1"/>
  <c r="H11" i="34" s="1"/>
  <c r="D53" i="35"/>
  <c r="F12" i="35"/>
  <c r="B12" i="35" s="1"/>
  <c r="H13" i="34" s="1"/>
  <c r="F53" i="35"/>
  <c r="V53" i="35"/>
  <c r="B14" i="35"/>
  <c r="H16" i="34" s="1"/>
  <c r="K43" i="9"/>
  <c r="L63" i="3"/>
  <c r="AJ306" i="1"/>
  <c r="AL306" i="1" s="1"/>
  <c r="W306" i="1"/>
  <c r="Y306" i="1" s="1"/>
  <c r="AN306" i="1"/>
  <c r="W113" i="1"/>
  <c r="Y113" i="1" s="1"/>
  <c r="L14" i="3"/>
  <c r="AJ113" i="1"/>
  <c r="P19" i="4"/>
  <c r="P21" i="4" s="1"/>
  <c r="P26" i="4" s="1"/>
  <c r="P31" i="4" s="1"/>
  <c r="P37" i="4" s="1"/>
  <c r="N19" i="4"/>
  <c r="L19" i="4"/>
  <c r="L21" i="4" s="1"/>
  <c r="L26" i="4" s="1"/>
  <c r="AN467" i="1"/>
  <c r="AN487" i="1" s="1"/>
  <c r="AN495" i="1" s="1"/>
  <c r="N21" i="4"/>
  <c r="N26" i="4" s="1"/>
  <c r="N31" i="4" s="1"/>
  <c r="N37" i="4" s="1"/>
  <c r="AJ467" i="1"/>
  <c r="W467" i="1"/>
  <c r="Y467" i="1" s="1"/>
  <c r="L75" i="3"/>
  <c r="W8" i="36" l="1"/>
  <c r="W14" i="36" s="1"/>
  <c r="W58" i="36" s="1"/>
  <c r="E8" i="36"/>
  <c r="E11" i="36" s="1"/>
  <c r="E58" i="36" s="1"/>
  <c r="J8" i="36"/>
  <c r="J28" i="36" s="1"/>
  <c r="B28" i="36" s="1"/>
  <c r="F35" i="34" s="1"/>
  <c r="P8" i="36"/>
  <c r="P12" i="36" s="1"/>
  <c r="P58" i="36" s="1"/>
  <c r="AC8" i="36"/>
  <c r="AC12" i="36" s="1"/>
  <c r="AC58" i="36" s="1"/>
  <c r="V8" i="36"/>
  <c r="V14" i="36" s="1"/>
  <c r="B14" i="36" s="1"/>
  <c r="G8" i="36"/>
  <c r="G12" i="36" s="1"/>
  <c r="G58" i="36" s="1"/>
  <c r="R8" i="36"/>
  <c r="R12" i="36" s="1"/>
  <c r="R58" i="36" s="1"/>
  <c r="L31" i="4"/>
  <c r="P42" i="31"/>
  <c r="AJ487" i="1"/>
  <c r="AJ495" i="1" s="1"/>
  <c r="AL467" i="1"/>
  <c r="H81" i="34"/>
  <c r="C7" i="36"/>
  <c r="C1" i="36" s="1"/>
  <c r="H35" i="34"/>
  <c r="H43" i="34" s="1"/>
  <c r="B33" i="35"/>
  <c r="V58" i="36"/>
  <c r="F16" i="34"/>
  <c r="F12" i="36"/>
  <c r="F58" i="36"/>
  <c r="D11" i="36"/>
  <c r="B11" i="36" s="1"/>
  <c r="D58" i="36"/>
  <c r="AJ159" i="1"/>
  <c r="AL113" i="1"/>
  <c r="W487" i="1"/>
  <c r="Y487" i="1" s="1"/>
  <c r="W159" i="1"/>
  <c r="L23" i="3"/>
  <c r="L39" i="3" s="1"/>
  <c r="C6" i="35"/>
  <c r="AK53" i="35"/>
  <c r="H20" i="34"/>
  <c r="B21" i="35"/>
  <c r="B48" i="35"/>
  <c r="B52" i="35" s="1"/>
  <c r="AJ503" i="1"/>
  <c r="AJ317" i="1"/>
  <c r="AL317" i="1" s="1"/>
  <c r="AN503" i="1"/>
  <c r="AN317" i="1"/>
  <c r="AN319" i="1" s="1"/>
  <c r="AN328" i="1" s="1"/>
  <c r="T42" i="31" l="1"/>
  <c r="T49" i="31" s="1"/>
  <c r="P49" i="31"/>
  <c r="N36" i="36"/>
  <c r="B36" i="36" s="1"/>
  <c r="N58" i="36"/>
  <c r="F11" i="34"/>
  <c r="B55" i="36"/>
  <c r="C8" i="36"/>
  <c r="H29" i="34"/>
  <c r="H70" i="34" s="1"/>
  <c r="H78" i="34" s="1"/>
  <c r="H82" i="34"/>
  <c r="F74" i="34"/>
  <c r="AJ7" i="1"/>
  <c r="AL159" i="1"/>
  <c r="W7" i="1"/>
  <c r="Y159" i="1"/>
  <c r="W495" i="1"/>
  <c r="Y495" i="1" s="1"/>
  <c r="B56" i="35"/>
  <c r="B57" i="35" s="1"/>
  <c r="C8" i="35"/>
  <c r="AK6" i="35"/>
  <c r="AL4" i="35" s="1"/>
  <c r="AA317" i="1"/>
  <c r="AJ316" i="1"/>
  <c r="AL316" i="1" s="1"/>
  <c r="AN329" i="1"/>
  <c r="AN8" i="1" s="1"/>
  <c r="AN9" i="1" s="1"/>
  <c r="C58" i="36" l="1"/>
  <c r="P69" i="31"/>
  <c r="P77" i="31"/>
  <c r="P59" i="31"/>
  <c r="T69" i="31"/>
  <c r="T77" i="31"/>
  <c r="T59" i="31"/>
  <c r="F49" i="34"/>
  <c r="F66" i="34" s="1"/>
  <c r="W503" i="1"/>
  <c r="Y503" i="1" s="1"/>
  <c r="W317" i="1"/>
  <c r="Y317" i="1" s="1"/>
  <c r="C53" i="35"/>
  <c r="AK8" i="35"/>
  <c r="AL8" i="35" s="1"/>
  <c r="AM8" i="35" s="1"/>
  <c r="AA316" i="1"/>
  <c r="AJ319" i="1"/>
  <c r="AJ328" i="1" l="1"/>
  <c r="AL328" i="1" s="1"/>
  <c r="AL319" i="1"/>
  <c r="L93" i="3"/>
  <c r="C317" i="1"/>
  <c r="N317" i="1"/>
  <c r="L37" i="4"/>
  <c r="W316" i="1"/>
  <c r="Y316" i="1" s="1"/>
  <c r="AJ329" i="1"/>
  <c r="N316" i="1"/>
  <c r="N319" i="1" s="1"/>
  <c r="N328" i="1" s="1"/>
  <c r="AA319" i="1"/>
  <c r="AA328" i="1" s="1"/>
  <c r="W319" i="1"/>
  <c r="P74" i="31" s="1"/>
  <c r="AJ8" i="1" l="1"/>
  <c r="AJ9" i="1" s="1"/>
  <c r="AL329" i="1"/>
  <c r="W328" i="1"/>
  <c r="Y319" i="1"/>
  <c r="L92" i="3"/>
  <c r="AD7" i="36" s="1"/>
  <c r="C316" i="1"/>
  <c r="C319" i="1" s="1"/>
  <c r="L94" i="3"/>
  <c r="L96" i="3" s="1"/>
  <c r="L98" i="3" s="1"/>
  <c r="L102" i="3" s="1"/>
  <c r="P316" i="1"/>
  <c r="P319" i="1" s="1"/>
  <c r="P328" i="1" s="1"/>
  <c r="N329" i="1"/>
  <c r="N8" i="1" s="1"/>
  <c r="N9" i="1" s="1"/>
  <c r="AC316" i="1"/>
  <c r="AA329" i="1"/>
  <c r="AA8" i="1" s="1"/>
  <c r="AA9" i="1" s="1"/>
  <c r="U316" i="1"/>
  <c r="W329" i="1"/>
  <c r="C2" i="36" l="1"/>
  <c r="AD6" i="36"/>
  <c r="AD8" i="36" s="1"/>
  <c r="AD40" i="36" s="1"/>
  <c r="B40" i="36" s="1"/>
  <c r="B48" i="36" s="1"/>
  <c r="Y328" i="1"/>
  <c r="T74" i="31"/>
  <c r="W8" i="1"/>
  <c r="W9" i="1" s="1"/>
  <c r="Y329" i="1"/>
  <c r="E316" i="1"/>
  <c r="C328" i="1"/>
  <c r="C329" i="1" s="1"/>
  <c r="C8" i="1" s="1"/>
  <c r="C9" i="1" s="1"/>
  <c r="J92" i="3"/>
  <c r="P329" i="1"/>
  <c r="P8" i="1" s="1"/>
  <c r="P9" i="1" s="1"/>
  <c r="U319" i="1"/>
  <c r="V319" i="1"/>
  <c r="AH316" i="1"/>
  <c r="AH319" i="1" s="1"/>
  <c r="AH328" i="1" s="1"/>
  <c r="AC319" i="1"/>
  <c r="AC328" i="1" s="1"/>
  <c r="J316" i="1" l="1"/>
  <c r="E319" i="1"/>
  <c r="E328" i="1" s="1"/>
  <c r="E329" i="1" s="1"/>
  <c r="E8" i="1" s="1"/>
  <c r="E9" i="1" s="1"/>
  <c r="J94" i="3"/>
  <c r="J96" i="3" s="1"/>
  <c r="U328" i="1"/>
  <c r="U329" i="1" s="1"/>
  <c r="U8" i="1" s="1"/>
  <c r="U9" i="1" s="1"/>
  <c r="AC329" i="1"/>
  <c r="AC8" i="1" s="1"/>
  <c r="AC9" i="1" s="1"/>
  <c r="H92" i="3" l="1"/>
  <c r="M319" i="1"/>
  <c r="J319" i="1"/>
  <c r="AH329" i="1"/>
  <c r="AH8" i="1" s="1"/>
  <c r="AH9" i="1" s="1"/>
  <c r="J328" i="1" l="1"/>
  <c r="H96" i="3"/>
  <c r="P72" i="31"/>
  <c r="J98" i="3"/>
  <c r="J102" i="3" s="1"/>
  <c r="C3" i="36"/>
  <c r="AN7" i="36"/>
  <c r="AO7" i="36" s="1"/>
  <c r="T72" i="31" l="1"/>
  <c r="B27" i="36"/>
  <c r="AD58" i="36"/>
  <c r="B33" i="36" l="1"/>
  <c r="F38" i="34"/>
  <c r="F43" i="34" s="1"/>
  <c r="G110" i="1"/>
  <c r="J110" i="1"/>
  <c r="H21" i="3"/>
  <c r="I6" i="36" s="1"/>
  <c r="I8" i="36" s="1"/>
  <c r="H23" i="3"/>
  <c r="H39" i="3" s="1"/>
  <c r="I229" i="1"/>
  <c r="J229" i="1"/>
  <c r="J237" i="1"/>
  <c r="E67" i="26"/>
  <c r="E68" i="26" s="1"/>
  <c r="J112" i="1" l="1"/>
  <c r="J287" i="1"/>
  <c r="H49" i="3"/>
  <c r="E63" i="26"/>
  <c r="E64" i="26" s="1"/>
  <c r="J306" i="1" l="1"/>
  <c r="J113" i="1"/>
  <c r="I12" i="36"/>
  <c r="I58" i="36"/>
  <c r="H63" i="3"/>
  <c r="H75" i="3" s="1"/>
  <c r="H98" i="3" s="1"/>
  <c r="H102" i="3" s="1"/>
  <c r="Q6" i="36"/>
  <c r="Q8" i="36" s="1"/>
  <c r="AN8" i="36" s="1"/>
  <c r="J159" i="1" l="1"/>
  <c r="J329" i="1"/>
  <c r="AN6" i="36"/>
  <c r="AO4" i="36" s="1"/>
  <c r="J8" i="1" l="1"/>
  <c r="J7" i="1"/>
  <c r="Q12" i="36"/>
  <c r="B12" i="36" s="1"/>
  <c r="Q58" i="36"/>
  <c r="AN58" i="36" s="1"/>
  <c r="AO8" i="36"/>
  <c r="AP8" i="36" s="1"/>
  <c r="J9" i="1" l="1"/>
  <c r="B21" i="36"/>
  <c r="B53" i="36" s="1"/>
  <c r="B57" i="36" s="1"/>
  <c r="B62" i="36" s="1"/>
  <c r="F13" i="34"/>
  <c r="F20" i="34" s="1"/>
  <c r="F29" i="34" s="1"/>
  <c r="F70" i="34" s="1"/>
  <c r="F78" i="34" s="1"/>
  <c r="F8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82" authorId="0" shapeId="0" xr:uid="{5251B6C6-D9F6-4931-8DBA-B4DC3A3499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Info Management tidak perlu diakui Piutang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X11" authorId="0" shapeId="0" xr:uid="{CEE813A3-DB2F-4AFA-A127-802B0F78DB9E}">
      <text>
        <r>
          <rPr>
            <b/>
            <sz val="9"/>
            <color indexed="81"/>
            <rFont val="Tahoma"/>
            <family val="2"/>
          </rPr>
          <t>Angka Audit yang diberikan ke Management utk IAS saja</t>
        </r>
      </text>
    </comment>
    <comment ref="B88" authorId="0" shapeId="0" xr:uid="{E2BF5CAB-8650-425E-9019-45554F6E4C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Piutang Lain-Lain atas Dinas Pak Ibnu &amp; Pak Yazid ke Jepang
</t>
        </r>
      </text>
    </comment>
    <comment ref="D235" authorId="0" shapeId="0" xr:uid="{FC467F8A-E861-4321-84A8-103F172C901A}">
      <text>
        <r>
          <rPr>
            <b/>
            <sz val="9"/>
            <color indexed="81"/>
            <rFont val="Tahoma"/>
            <family val="2"/>
          </rPr>
          <t xml:space="preserve">Plus Pajak Pasal 28A
</t>
        </r>
      </text>
    </comment>
    <comment ref="J442" authorId="0" shapeId="0" xr:uid="{79D10D79-56BE-4E3E-B046-10DA04687884}">
      <text>
        <r>
          <rPr>
            <b/>
            <sz val="9"/>
            <color indexed="81"/>
            <rFont val="Tahoma"/>
            <family val="2"/>
          </rPr>
          <t xml:space="preserve">Atas perizinan IPO dan BPOM
</t>
        </r>
      </text>
    </comment>
    <comment ref="W489" authorId="0" shapeId="0" xr:uid="{BBDD4ACA-F0C6-41D8-B3E6-49C8CD7FC767}">
      <text>
        <r>
          <rPr>
            <sz val="9"/>
            <color indexed="81"/>
            <rFont val="Tahoma"/>
            <family val="2"/>
          </rPr>
          <t>di WBS update IAS tersendiri, ada perbedaan sebesar, karena ada Adj</t>
        </r>
        <r>
          <rPr>
            <b/>
            <sz val="9"/>
            <color indexed="81"/>
            <rFont val="Tahoma"/>
            <family val="2"/>
          </rPr>
          <t xml:space="preserve">
26.246.894</t>
        </r>
      </text>
    </comment>
    <comment ref="W492" authorId="0" shapeId="0" xr:uid="{8771620A-EE17-4634-B124-A14666B20575}">
      <text>
        <r>
          <rPr>
            <sz val="9"/>
            <color indexed="81"/>
            <rFont val="Tahoma"/>
            <family val="2"/>
          </rPr>
          <t xml:space="preserve">di WBS update IAS tersendiri, ada perbedaan sebesar, karena ada Adj </t>
        </r>
        <r>
          <rPr>
            <b/>
            <sz val="9"/>
            <color indexed="81"/>
            <rFont val="Tahoma"/>
            <family val="2"/>
          </rPr>
          <t xml:space="preserve">
26.246.894</t>
        </r>
      </text>
    </comment>
  </commentList>
</comments>
</file>

<file path=xl/sharedStrings.xml><?xml version="1.0" encoding="utf-8"?>
<sst xmlns="http://schemas.openxmlformats.org/spreadsheetml/2006/main" count="3126" uniqueCount="1298">
  <si>
    <t>KONSOLIDASI PT INDO AMERICAN SEAFOODS &amp; PT INDOKOM SAMUDRA PERSADA</t>
  </si>
  <si>
    <t>WORKING BALANCE SHEETS AND PROFIT OR LOSS</t>
  </si>
  <si>
    <t>UNTUK TAHUN YANG BERAKHIR 31 DES 2023, 2022 &amp; 31 DES 2021</t>
  </si>
  <si>
    <t>No Account</t>
  </si>
  <si>
    <t>Description</t>
  </si>
  <si>
    <t>Audited PT IAS</t>
  </si>
  <si>
    <t>31 Desember 2023</t>
  </si>
  <si>
    <t>ASSETS</t>
  </si>
  <si>
    <t>Cash</t>
  </si>
  <si>
    <t>Kas Besar</t>
  </si>
  <si>
    <t xml:space="preserve">Kas in Lampung </t>
  </si>
  <si>
    <t>Kas in Lampung (Petty Cash)</t>
  </si>
  <si>
    <t xml:space="preserve">BANK </t>
  </si>
  <si>
    <t>Total Cash</t>
  </si>
  <si>
    <t xml:space="preserve">Kas Kecil </t>
  </si>
  <si>
    <t>Bank BRI Rp A/c 0285-01-220000-30-7</t>
  </si>
  <si>
    <t xml:space="preserve">Bank Mega Syariah (1000236601) </t>
  </si>
  <si>
    <t>Bank JTRUST (1100024149)</t>
  </si>
  <si>
    <t>PT Bank Mega Syariah</t>
  </si>
  <si>
    <t>Bank IDR</t>
  </si>
  <si>
    <t xml:space="preserve">PT Bank BTPN </t>
  </si>
  <si>
    <t>Bank BRI (0285-02-000022-30-5) USD</t>
  </si>
  <si>
    <t>Bank Mandiri Rp A/c 114.0031009999</t>
  </si>
  <si>
    <t>Bank USD</t>
  </si>
  <si>
    <t>Bank JTRUST Rp  A/c 1100024132</t>
  </si>
  <si>
    <t>Bank Mandiri Rp  A/c 114.0004692854</t>
  </si>
  <si>
    <t>Bank JTRUST Rp  A/c 2100596827</t>
  </si>
  <si>
    <t>PT Bank Mandiri (Persero) Tbk</t>
  </si>
  <si>
    <t>PT Bank Negara Indonesia (Persero) Tbk $</t>
  </si>
  <si>
    <t>Current Assets</t>
  </si>
  <si>
    <t>Total Bank</t>
  </si>
  <si>
    <t>Total Cash and Cash Equivalents</t>
  </si>
  <si>
    <t>Trade Receivable</t>
  </si>
  <si>
    <t>Piutang Usaha - IDR</t>
  </si>
  <si>
    <t>CV Kanian Persada</t>
  </si>
  <si>
    <t>Mochamad Riduwan</t>
  </si>
  <si>
    <t>UD, Slamet</t>
  </si>
  <si>
    <t>Roda Jaya, Toko</t>
  </si>
  <si>
    <t xml:space="preserve">Piutang Karyawan </t>
  </si>
  <si>
    <t>Jaduk Prayogi</t>
  </si>
  <si>
    <t>Piutang Usaha - USD</t>
  </si>
  <si>
    <t>Alpha Trading Co. Ltd</t>
  </si>
  <si>
    <t>Censea Inc</t>
  </si>
  <si>
    <t>Crystal Cove Seafoods Corp</t>
  </si>
  <si>
    <t>Ael Seafood Enterprises, LLC</t>
  </si>
  <si>
    <t>Eastern Fish Company LLC</t>
  </si>
  <si>
    <t>Eiger Co. Ltd</t>
  </si>
  <si>
    <t>Export Packer Co., Ltd</t>
  </si>
  <si>
    <t>Monarch Trading, LLC</t>
  </si>
  <si>
    <t>San Sugar Co, , Ltd</t>
  </si>
  <si>
    <t>Slade Gorton,,Inc</t>
  </si>
  <si>
    <t>Yachiyo Corporation</t>
  </si>
  <si>
    <t>Hohsui Corporation</t>
  </si>
  <si>
    <t>Total Trade Receivable</t>
  </si>
  <si>
    <t>Related Receivable</t>
  </si>
  <si>
    <t>PT Irian Marine Product Development</t>
  </si>
  <si>
    <t>PT Indokom Samudra Persada</t>
  </si>
  <si>
    <t xml:space="preserve">Total Related Receivable </t>
  </si>
  <si>
    <t>CKPN</t>
  </si>
  <si>
    <t>Cadangan Kerugian Penurunan Nilai</t>
  </si>
  <si>
    <t>Total CKPN</t>
  </si>
  <si>
    <t>Other Receivable</t>
  </si>
  <si>
    <t xml:space="preserve">  </t>
  </si>
  <si>
    <t>PT Indokom Samudra Persada (Keuangan)</t>
  </si>
  <si>
    <t>PT Indo American Food</t>
  </si>
  <si>
    <t>TBC</t>
  </si>
  <si>
    <t>Piutang Lain-Lain (PPN Jasa LN)</t>
  </si>
  <si>
    <t>Total Other Receivable</t>
  </si>
  <si>
    <t>Inventory</t>
  </si>
  <si>
    <t>Bahan Pembantu</t>
  </si>
  <si>
    <t>Bahan Bakar</t>
  </si>
  <si>
    <t>Total Inventory</t>
  </si>
  <si>
    <t>Prepaid Tax</t>
  </si>
  <si>
    <t>PPN Masukan</t>
  </si>
  <si>
    <t>PPN KMS</t>
  </si>
  <si>
    <t>Prepaid PPh 25</t>
  </si>
  <si>
    <t>Prepaid PPh 22</t>
  </si>
  <si>
    <t>Prepaid PPh 23</t>
  </si>
  <si>
    <t>Prepaid Expense</t>
  </si>
  <si>
    <t>Asuransi Dibayar Dimuka</t>
  </si>
  <si>
    <t>Uang Muka Pembelian</t>
  </si>
  <si>
    <t>Biaya Pra IPO</t>
  </si>
  <si>
    <t>Total</t>
  </si>
  <si>
    <t>TOTAL CURRENT ASSETS</t>
  </si>
  <si>
    <t>FIXED ASSETS</t>
  </si>
  <si>
    <t xml:space="preserve">Tanah </t>
  </si>
  <si>
    <t xml:space="preserve">Bangunan </t>
  </si>
  <si>
    <t xml:space="preserve">Mesin </t>
  </si>
  <si>
    <t xml:space="preserve">Kendaraan </t>
  </si>
  <si>
    <t xml:space="preserve">Kendaraan Alat Berat </t>
  </si>
  <si>
    <t xml:space="preserve">Peralatan Kantor </t>
  </si>
  <si>
    <t xml:space="preserve">Peralatan Produksi </t>
  </si>
  <si>
    <t>Sumur Bor</t>
  </si>
  <si>
    <t xml:space="preserve">Peralatan Labolatorium </t>
  </si>
  <si>
    <t>Total Fixed Assets</t>
  </si>
  <si>
    <t>Accumulated Depreciation</t>
  </si>
  <si>
    <t xml:space="preserve">Akum Peny. Bangunan </t>
  </si>
  <si>
    <t>Akum. Peny. Mesin</t>
  </si>
  <si>
    <t xml:space="preserve">Akum. Peny. Kendaraan </t>
  </si>
  <si>
    <t>Akum. Peny. Kendaraan Alat Berat</t>
  </si>
  <si>
    <t>Akum. Peny. Peralatan Kantor</t>
  </si>
  <si>
    <t>Akum. Peny. Peralatan Produksi</t>
  </si>
  <si>
    <t>Akum. Peny. Sumur Bor</t>
  </si>
  <si>
    <t xml:space="preserve">Akum. Peny. Peralatan Labolatorium </t>
  </si>
  <si>
    <t>Total Accumulated Depreciation</t>
  </si>
  <si>
    <t>Assets Under Construction</t>
  </si>
  <si>
    <t xml:space="preserve">Aset dalam Pembangunan </t>
  </si>
  <si>
    <t xml:space="preserve">Mesin Dalam Pelaksanaan </t>
  </si>
  <si>
    <t xml:space="preserve">Total Assets Under Construction </t>
  </si>
  <si>
    <t>Total Fixed Assets - Net</t>
  </si>
  <si>
    <t>Long Term Investment</t>
  </si>
  <si>
    <t>Indokom Samudra Persada, PT (Investasi)</t>
  </si>
  <si>
    <t>Total Long Term Investment</t>
  </si>
  <si>
    <t>Deferred Tax Assets</t>
  </si>
  <si>
    <t xml:space="preserve">Imbalan Kerja </t>
  </si>
  <si>
    <t xml:space="preserve">Depreciation </t>
  </si>
  <si>
    <t xml:space="preserve">Penyusutan </t>
  </si>
  <si>
    <t xml:space="preserve">Total Deferred Tax Assets - Net </t>
  </si>
  <si>
    <t xml:space="preserve">Cash Advances </t>
  </si>
  <si>
    <t xml:space="preserve">Uang Muka Pembelian Aset Tetap </t>
  </si>
  <si>
    <t xml:space="preserve">Total Cash Advances </t>
  </si>
  <si>
    <t xml:space="preserve">Other Non-Current Assets </t>
  </si>
  <si>
    <t xml:space="preserve">Aset Tidak Lancar Lainnya </t>
  </si>
  <si>
    <t xml:space="preserve">Total Other Non-Current Assets </t>
  </si>
  <si>
    <t>TOTAL NON CURRENT ASSETS</t>
  </si>
  <si>
    <t>TOTAL ASSETS</t>
  </si>
  <si>
    <t>LIABILITY</t>
  </si>
  <si>
    <t>SHORT TERM LIABILITY</t>
  </si>
  <si>
    <t>Short-Term Bank Loans</t>
  </si>
  <si>
    <t>PT Bank Jtrust Indonesia Tbk</t>
  </si>
  <si>
    <t>Kredit atas Permintaan 1 (KAP 1) - USD</t>
  </si>
  <si>
    <t>Kredit atas Permintaan 2 (KAP 2) - IDR</t>
  </si>
  <si>
    <t>Kredit Rekening Koran</t>
  </si>
  <si>
    <t>Kredit Investasi</t>
  </si>
  <si>
    <t>Bank Mandiri KI Ref 2897</t>
  </si>
  <si>
    <t>Utang Pembiayaan Bank</t>
  </si>
  <si>
    <t>APF IDR BTPN</t>
  </si>
  <si>
    <t>APF IDR BTPN TO</t>
  </si>
  <si>
    <t>APF USD BTPN TO</t>
  </si>
  <si>
    <t>ARF BTPN</t>
  </si>
  <si>
    <t>PSF USD BTPN</t>
  </si>
  <si>
    <t>RCF IDR BTPN</t>
  </si>
  <si>
    <t>Total Short-Term Bank Loans</t>
  </si>
  <si>
    <t xml:space="preserve">Trade Payable </t>
  </si>
  <si>
    <t>Sumatra Motor Teknindo, PT</t>
  </si>
  <si>
    <t xml:space="preserve"> </t>
  </si>
  <si>
    <t xml:space="preserve">PT Anesta Agung </t>
  </si>
  <si>
    <t>Choice Canning Company Inc,</t>
  </si>
  <si>
    <t>PT Anugerah Berkah Usaha</t>
  </si>
  <si>
    <t>PT Delos Rantai Maritim</t>
  </si>
  <si>
    <t>PT International Packaging Manufacturing</t>
  </si>
  <si>
    <t xml:space="preserve">Tn. Agus Sujono </t>
  </si>
  <si>
    <t>PT Konverta Mitra Abadi</t>
  </si>
  <si>
    <t>CV Mekar Karya Mulia</t>
  </si>
  <si>
    <t>Prima Larvae, PT</t>
  </si>
  <si>
    <t xml:space="preserve">PT RBFood Supply Indonesia </t>
  </si>
  <si>
    <t>Mitra Lestari Mandiri</t>
  </si>
  <si>
    <t>PT CJ Cheiljedang Feed Lampung</t>
  </si>
  <si>
    <t>Grahamakmur Ciptapratama</t>
  </si>
  <si>
    <t xml:space="preserve">Tn. Ismanto </t>
  </si>
  <si>
    <t>Yeremia Sukamto</t>
  </si>
  <si>
    <t xml:space="preserve">PT Sumber Energy </t>
  </si>
  <si>
    <t>PT Indojaya Sukses Makmur</t>
  </si>
  <si>
    <t>PT Gemilang Primajaya Trimandiri</t>
  </si>
  <si>
    <t>PT Indonesia Makan Udang</t>
  </si>
  <si>
    <t>Putra Widjaja Marine, CV</t>
  </si>
  <si>
    <t>PT SAEIKI TANGGUH COOLER</t>
  </si>
  <si>
    <t>Utomo Print</t>
  </si>
  <si>
    <t>PT Sinergy Indopack Makmur</t>
  </si>
  <si>
    <t>Prima Sari Indotama, PT</t>
  </si>
  <si>
    <t>Sumatraco Langgeng Abadi, PT</t>
  </si>
  <si>
    <t>R &amp; R COLECTION</t>
  </si>
  <si>
    <t xml:space="preserve">CV Beltraco </t>
  </si>
  <si>
    <t xml:space="preserve">PT Jodabo Sukses </t>
  </si>
  <si>
    <t>Lima Pendawa, CV</t>
  </si>
  <si>
    <t>Indonesia Nisshin Technomic, PT</t>
  </si>
  <si>
    <t>Lumina Packaging, PT</t>
  </si>
  <si>
    <t>Prima Akuakultur Lestari, PT</t>
  </si>
  <si>
    <t>Serbaguna Karya Mandiri, CV</t>
  </si>
  <si>
    <t>Nusa Jaya</t>
  </si>
  <si>
    <t>Persahabatan Electric</t>
  </si>
  <si>
    <t>Indoplast Jaya Sukses Makmur, PT</t>
  </si>
  <si>
    <t>Masatu Putra, CV</t>
  </si>
  <si>
    <t>Lain-lain (masing-masing di bawah Rp 20.000.000)</t>
  </si>
  <si>
    <t>Total Trade Payable</t>
  </si>
  <si>
    <t xml:space="preserve">Related Payable </t>
  </si>
  <si>
    <t xml:space="preserve">Hutang Usaha </t>
  </si>
  <si>
    <t xml:space="preserve">Total Related Payable </t>
  </si>
  <si>
    <t>OTHER PAYABLE</t>
  </si>
  <si>
    <t xml:space="preserve">Hutang atas Pembelian Aset Tetap </t>
  </si>
  <si>
    <t>PPh Pasal 28A</t>
  </si>
  <si>
    <t xml:space="preserve">Pihak Berelasi </t>
  </si>
  <si>
    <t>Ibnu Syena Alfitra,, - Pinjaman</t>
  </si>
  <si>
    <t>Total Other Payable</t>
  </si>
  <si>
    <t>TAX PAYABLE</t>
  </si>
  <si>
    <t xml:space="preserve">Utang Pph 21 </t>
  </si>
  <si>
    <t>Utang PPN</t>
  </si>
  <si>
    <t>Utang Pph 22</t>
  </si>
  <si>
    <t>Utang Pph 23</t>
  </si>
  <si>
    <t>Utang Pph 25</t>
  </si>
  <si>
    <t>Utang PPh Pasal 4(2)</t>
  </si>
  <si>
    <t>Utang Pph 29</t>
  </si>
  <si>
    <t>Total Tax Payable</t>
  </si>
  <si>
    <t>Accrued Expenses</t>
  </si>
  <si>
    <t>Angkut</t>
  </si>
  <si>
    <t>Utilitas</t>
  </si>
  <si>
    <t>Analisa/Uji</t>
  </si>
  <si>
    <t xml:space="preserve">Biaya Profesional </t>
  </si>
  <si>
    <t>Angsuran Kendaraan</t>
  </si>
  <si>
    <t xml:space="preserve">Pemeliharaan &amp; Perbaikan </t>
  </si>
  <si>
    <t xml:space="preserve">Lain-Lain </t>
  </si>
  <si>
    <t xml:space="preserve">Total Biaya yang masih harus dibayar </t>
  </si>
  <si>
    <t>Lease Liabilities from Related Parties</t>
  </si>
  <si>
    <t xml:space="preserve">Short Term Lease Liabilities </t>
  </si>
  <si>
    <t>Total Current Maturities of Long-Term Debts</t>
  </si>
  <si>
    <t>Current Maturities of Long-Term Debts:</t>
  </si>
  <si>
    <t xml:space="preserve">Utang Bank </t>
  </si>
  <si>
    <t xml:space="preserve">Utang Pembiayaan Konsumen </t>
  </si>
  <si>
    <t>TOTAL UTANG JANGKA PENDEK</t>
  </si>
  <si>
    <t>LONG TERM LIABILITY</t>
  </si>
  <si>
    <t>Employee Benefits Liability</t>
  </si>
  <si>
    <t>Liabilitas imbalan pasca kerja</t>
  </si>
  <si>
    <t>Total Employee Benefits Liability</t>
  </si>
  <si>
    <t>Long-Term Debts - Net of Current Maturities:</t>
  </si>
  <si>
    <t>Utang Pembelian Aset Tetap</t>
  </si>
  <si>
    <t>Kredit Investasi Ekspor  I</t>
  </si>
  <si>
    <t>Kredit Modal Kerja Ekspor III</t>
  </si>
  <si>
    <t>Utang Jangka Panjang Yang akan jatuh tempo dalam satuhun</t>
  </si>
  <si>
    <t xml:space="preserve">Total Hutang Bank </t>
  </si>
  <si>
    <t>TOTAL HUTANG JANGKA PANJANG</t>
  </si>
  <si>
    <t>TOTAL HUTANG</t>
  </si>
  <si>
    <t>EQUITY</t>
  </si>
  <si>
    <t>Modal Disetor</t>
  </si>
  <si>
    <t>RETAINED EARNINGS</t>
  </si>
  <si>
    <t>LABA DITAHAN</t>
  </si>
  <si>
    <t>LABA TAHUN BERJALAN</t>
  </si>
  <si>
    <t>Total Retained Earning</t>
  </si>
  <si>
    <t>Dividen</t>
  </si>
  <si>
    <t>DEVIDEN</t>
  </si>
  <si>
    <t>Total Dividen</t>
  </si>
  <si>
    <t xml:space="preserve">Other Comprehensive Income </t>
  </si>
  <si>
    <t>Penghasilan Komprehensif Lain Surplus Revaluasi Aset Tetap</t>
  </si>
  <si>
    <t>Pengukuran Kembali Program Imbalan Pasti</t>
  </si>
  <si>
    <t xml:space="preserve">Total Other Comprehensive Income </t>
  </si>
  <si>
    <t>Total Equity</t>
  </si>
  <si>
    <t>TOTAL LIABILITY AND EQUITY</t>
  </si>
  <si>
    <t>PENJUALAN</t>
  </si>
  <si>
    <t>Ekspor</t>
  </si>
  <si>
    <t>Udang</t>
  </si>
  <si>
    <t xml:space="preserve">Lokal </t>
  </si>
  <si>
    <t xml:space="preserve">Retur Penjualan </t>
  </si>
  <si>
    <t>TOTAL REVENUE</t>
  </si>
  <si>
    <t xml:space="preserve">COGS </t>
  </si>
  <si>
    <t xml:space="preserve">COGS Udang </t>
  </si>
  <si>
    <t xml:space="preserve">Saldo Awal Udang </t>
  </si>
  <si>
    <t xml:space="preserve">Pembelian Udang </t>
  </si>
  <si>
    <t xml:space="preserve">Barang Tersedia untuk dijual </t>
  </si>
  <si>
    <t>Barang Tersedia untuk Produksi (Breaded)</t>
  </si>
  <si>
    <t xml:space="preserve">Subtotal </t>
  </si>
  <si>
    <t xml:space="preserve">Persediaan Akhir Udang </t>
  </si>
  <si>
    <t xml:space="preserve">Cost of Production </t>
  </si>
  <si>
    <t>Tersedia untuk Barang Jadi (Udang)</t>
  </si>
  <si>
    <t xml:space="preserve">Total COGS Udang </t>
  </si>
  <si>
    <t>COGS Breaded</t>
  </si>
  <si>
    <t>Saldo Awal Breaded</t>
  </si>
  <si>
    <t xml:space="preserve">Transfer dari Udang </t>
  </si>
  <si>
    <t>Persediaan Akhir Breaded</t>
  </si>
  <si>
    <t xml:space="preserve">Pembelian </t>
  </si>
  <si>
    <t>Bahan Baku &amp; Pembantunya</t>
  </si>
  <si>
    <t xml:space="preserve">Ongkos Angkut Pembelian </t>
  </si>
  <si>
    <t>Potongan Pembelian</t>
  </si>
  <si>
    <t>Retur Pembelian</t>
  </si>
  <si>
    <t>Solar</t>
  </si>
  <si>
    <t xml:space="preserve">Saldo Awal </t>
  </si>
  <si>
    <t>Saldo Akhir</t>
  </si>
  <si>
    <t xml:space="preserve">COGS Bahan Pembantu </t>
  </si>
  <si>
    <t>Beban Langsung</t>
  </si>
  <si>
    <t>Beban Bahan Pembantu</t>
  </si>
  <si>
    <t>Packing Suplies, Biaya</t>
  </si>
  <si>
    <t>Bahan Pembantu Produksi, Biaya</t>
  </si>
  <si>
    <t>Biaya tenaga kerja langsung</t>
  </si>
  <si>
    <t>Bonus</t>
  </si>
  <si>
    <t>Gaji Karyawan Harian</t>
  </si>
  <si>
    <t>Insentive Karyawan</t>
  </si>
  <si>
    <t>Konsumsi Karyawan</t>
  </si>
  <si>
    <t>Lembur</t>
  </si>
  <si>
    <t>Panen</t>
  </si>
  <si>
    <t>Seragam</t>
  </si>
  <si>
    <t>Upah Bongkar &amp; Muat</t>
  </si>
  <si>
    <t>Upah Borongan</t>
  </si>
  <si>
    <t>Biaya Overhead Pabrik</t>
  </si>
  <si>
    <t>BBM Kendaraan Pabrik,</t>
  </si>
  <si>
    <t>Depreciation</t>
  </si>
  <si>
    <t>BBM Solar/ Oli</t>
  </si>
  <si>
    <t>Gas Elpiji</t>
  </si>
  <si>
    <t>Listrik</t>
  </si>
  <si>
    <t>Perbaikan &amp; Pemeliharaan Sarana Produksi</t>
  </si>
  <si>
    <t>Perlengkapan Sarana Produksi</t>
  </si>
  <si>
    <t>Sewa IPAL</t>
  </si>
  <si>
    <t>Others</t>
  </si>
  <si>
    <t>Total Beban Pendukung</t>
  </si>
  <si>
    <t>TOTAL COGS</t>
  </si>
  <si>
    <t>GROSS PROFIT</t>
  </si>
  <si>
    <t>OPERATING EXPENSES</t>
  </si>
  <si>
    <t xml:space="preserve">Beban Penjualan </t>
  </si>
  <si>
    <t xml:space="preserve">Pengiriman </t>
  </si>
  <si>
    <t xml:space="preserve">Klaim </t>
  </si>
  <si>
    <t xml:space="preserve">Administrasi </t>
  </si>
  <si>
    <t>Analisis dan tes</t>
  </si>
  <si>
    <t>Keanggotaan</t>
  </si>
  <si>
    <t>Beban Bongkar Muat Eskpor</t>
  </si>
  <si>
    <t>Beban Dokumen Ekspor</t>
  </si>
  <si>
    <t>Beban EMKL</t>
  </si>
  <si>
    <t>Beban Komisi</t>
  </si>
  <si>
    <t>Beban Sample</t>
  </si>
  <si>
    <t>Surveyor</t>
  </si>
  <si>
    <t xml:space="preserve">Pameran </t>
  </si>
  <si>
    <t xml:space="preserve">Total Beban Penjualan </t>
  </si>
  <si>
    <t xml:space="preserve">Beban Umum dan Administrasi </t>
  </si>
  <si>
    <t>Gaji dan Tunjangan Karyawan</t>
  </si>
  <si>
    <t>BPJS/ Jamsostek</t>
  </si>
  <si>
    <t>Gaji Karyawan Kantor</t>
  </si>
  <si>
    <t>Tunjangan Hari Raya</t>
  </si>
  <si>
    <t>Tunjangan Karyawan</t>
  </si>
  <si>
    <t xml:space="preserve">Pesangon </t>
  </si>
  <si>
    <t>Beban Administrasi Dan Umum</t>
  </si>
  <si>
    <t>Administrasi &amp; Umum Lainnya</t>
  </si>
  <si>
    <t>Alat Tulis Kantor</t>
  </si>
  <si>
    <t>Asuransi</t>
  </si>
  <si>
    <t>BBM Kendaraan Kantor</t>
  </si>
  <si>
    <t>Entertainment &amp; Sumbangan</t>
  </si>
  <si>
    <t>Keamanan/Outsourcing</t>
  </si>
  <si>
    <t>Materai, Koran &amp; Majalah</t>
  </si>
  <si>
    <t>Meals Traveling</t>
  </si>
  <si>
    <t>Ongkos Angkut</t>
  </si>
  <si>
    <t>Pajak Lain-Lain</t>
  </si>
  <si>
    <t>Parkir Tol Fee Dll</t>
  </si>
  <si>
    <t>Pendidikan &amp; Pelatihan</t>
  </si>
  <si>
    <t>Pengobatan</t>
  </si>
  <si>
    <t>Peralatan &amp; Perlengkapan Kantor</t>
  </si>
  <si>
    <t>Perdin, Hotel, Tiket, Akomodasi</t>
  </si>
  <si>
    <t>Rumah Tangga Kantor</t>
  </si>
  <si>
    <t>Surat-Surat Kendaraan Kantor</t>
  </si>
  <si>
    <t>Surat-Surat Perizinan</t>
  </si>
  <si>
    <t>Telephone</t>
  </si>
  <si>
    <t>Tenaga Ahli / Konsultan</t>
  </si>
  <si>
    <t>Imbalan Pasca Kerja</t>
  </si>
  <si>
    <t>Transportasi, Akomodasi</t>
  </si>
  <si>
    <t>Biaya Lain-lain</t>
  </si>
  <si>
    <t>Beban Perbaikan Dan Pemeliharaan</t>
  </si>
  <si>
    <t>Perbaikan &amp; Pemeliharaan Bangunan</t>
  </si>
  <si>
    <t>Perbaikan &amp; Pemeliharaan Infrastruktur</t>
  </si>
  <si>
    <t>Perbaikan &amp; Pemeliharaan Kendaraan Kantor</t>
  </si>
  <si>
    <t>Perbaikan &amp; Pemeliharaan Kendaraan Pabrik</t>
  </si>
  <si>
    <t>Perbaikan &amp; Pemeliharaan Mesin</t>
  </si>
  <si>
    <t xml:space="preserve">Perbaikan &amp; Pemeliharaan Peralatan Kantor </t>
  </si>
  <si>
    <t>Beban Depresiasi Dan Amortisasi</t>
  </si>
  <si>
    <t>Penyusutan Peralatan Kantor</t>
  </si>
  <si>
    <t xml:space="preserve">Penyusutan Bangunan </t>
  </si>
  <si>
    <t>Penyusutan Electricity Instalasi</t>
  </si>
  <si>
    <t>Penyusutan Infrastruktur</t>
  </si>
  <si>
    <t xml:space="preserve">Penyusutan Kendaraan </t>
  </si>
  <si>
    <t>Penyusutan Mesin-Mesin</t>
  </si>
  <si>
    <t xml:space="preserve">Penyusutan Peralatan Produksi </t>
  </si>
  <si>
    <t>Penyusutan Sumur Bor</t>
  </si>
  <si>
    <t>Penyusutan Peralatan LAB</t>
  </si>
  <si>
    <t xml:space="preserve">Total Beban Umum dan Administrasi </t>
  </si>
  <si>
    <t>Total Operating Expenses</t>
  </si>
  <si>
    <t>OPERATING INCOME (LOSS)</t>
  </si>
  <si>
    <t>OTHER INCOME (EXPENSES)</t>
  </si>
  <si>
    <t>OTHER INCOME</t>
  </si>
  <si>
    <t>Pendapatan Bunga</t>
  </si>
  <si>
    <t>Laba (Rugi) Selisih Kurs - Neto</t>
  </si>
  <si>
    <t>Beban Cadangan kerugian Penurunan Nilai</t>
  </si>
  <si>
    <t>Pendapatan Lain-Lain</t>
  </si>
  <si>
    <t>Total Other Income</t>
  </si>
  <si>
    <t>OTHER EXPENSES</t>
  </si>
  <si>
    <t>Beban Administrasi Bank</t>
  </si>
  <si>
    <t xml:space="preserve">Beban Pajak Jasa Giro </t>
  </si>
  <si>
    <t xml:space="preserve">Beban Provisi Bank </t>
  </si>
  <si>
    <t>Denda</t>
  </si>
  <si>
    <t>Estimasi Denda Pajak</t>
  </si>
  <si>
    <t xml:space="preserve">Beban Bunga/Keuangan </t>
  </si>
  <si>
    <t xml:space="preserve">Beban Bunga Leasing </t>
  </si>
  <si>
    <t>Lain-Lain - Neto</t>
  </si>
  <si>
    <t>Total Other Expenses</t>
  </si>
  <si>
    <t>TOTAL PENDAPATAN (BEBAN) LAIN-LAIN</t>
  </si>
  <si>
    <t>GAIN (LOSS) BEFORE TAX</t>
  </si>
  <si>
    <t>TAX INCOME</t>
  </si>
  <si>
    <t xml:space="preserve">Beban Pajak Kini </t>
  </si>
  <si>
    <t>Income (Benefit) Tax Expense</t>
  </si>
  <si>
    <t>Deferred Tax</t>
  </si>
  <si>
    <t xml:space="preserve">Beban Pajak Tangguhan </t>
  </si>
  <si>
    <t>TOTAL TAX</t>
  </si>
  <si>
    <t>NET PROFIT (LOSS)</t>
  </si>
  <si>
    <t>Keuntungan (kerugian) aktuaria atas imbalan kerja pasti</t>
  </si>
  <si>
    <t>Total Keuntungan (kerugian) aktuaria atas imbalan kerja pasti</t>
  </si>
  <si>
    <t>Deferred Tax (OCI)</t>
  </si>
  <si>
    <t>Other comprehensive income</t>
  </si>
  <si>
    <r>
      <t xml:space="preserve">Tambahan Modal Disetor </t>
    </r>
    <r>
      <rPr>
        <i/>
        <sz val="11"/>
        <color theme="1"/>
        <rFont val="Calibri"/>
        <family val="2"/>
        <scheme val="minor"/>
      </rPr>
      <t>(Tax Amnesty)</t>
    </r>
  </si>
  <si>
    <t>31 Desember 2022</t>
  </si>
  <si>
    <t>31 Desember 2021</t>
  </si>
  <si>
    <t>Bank Mandiri $ (114.002.744.8284) USD</t>
  </si>
  <si>
    <t>Persediaan Udang (Barang Jadi)</t>
  </si>
  <si>
    <t>Gaji &amp; Biaya yang Masih Harus di Bayar</t>
  </si>
  <si>
    <t xml:space="preserve">Unaudited </t>
  </si>
  <si>
    <t>Auditor AJE/ RJE/ CAJE</t>
  </si>
  <si>
    <t>Audited</t>
  </si>
  <si>
    <t>Reff</t>
  </si>
  <si>
    <t>Dr</t>
  </si>
  <si>
    <t>Cr</t>
  </si>
  <si>
    <t xml:space="preserve">PT INDO AMERICAN SEAFOODS </t>
  </si>
  <si>
    <t xml:space="preserve">LAPORAN POSISI KEUANGAN </t>
  </si>
  <si>
    <t>(Disajikan dalam Rupiah, kecuali dinyatakan lain)</t>
  </si>
  <si>
    <t>Catatan/</t>
  </si>
  <si>
    <t>CATATAN</t>
  </si>
  <si>
    <t>Notes</t>
  </si>
  <si>
    <t>2021*)</t>
  </si>
  <si>
    <t>ASET</t>
  </si>
  <si>
    <t>ASET LANCAR</t>
  </si>
  <si>
    <t>CURRENT ASSETS</t>
  </si>
  <si>
    <t>Kas dan Bank</t>
  </si>
  <si>
    <t>Cash on Hand and in Banks</t>
  </si>
  <si>
    <t>Piutang Usaha</t>
  </si>
  <si>
    <t>Trade Accounts Receivable</t>
  </si>
  <si>
    <t>Pihak Berelasi</t>
  </si>
  <si>
    <t>Related Parties</t>
  </si>
  <si>
    <t>Pihak Ketiga</t>
  </si>
  <si>
    <t>Third Parties</t>
  </si>
  <si>
    <t>Piutang Lain-lain dari Pihak Berelasi</t>
  </si>
  <si>
    <t>Other Receivables from Related Parties</t>
  </si>
  <si>
    <t>Persediaan</t>
  </si>
  <si>
    <t>Inventories</t>
  </si>
  <si>
    <t>Pajak Dibayar Dimuka</t>
  </si>
  <si>
    <t>14a</t>
  </si>
  <si>
    <t>Prepaid Taxes</t>
  </si>
  <si>
    <t>Biaya Dibayar Dimuka</t>
  </si>
  <si>
    <t>Prepaid Expenses</t>
  </si>
  <si>
    <t>Jumlah Aset Lancar</t>
  </si>
  <si>
    <t>Total Current Assets</t>
  </si>
  <si>
    <t>ASET TIDAK LANCAR</t>
  </si>
  <si>
    <t>Non-Current Assets</t>
  </si>
  <si>
    <t>Aset Tetap</t>
  </si>
  <si>
    <t>Property, Plant and Equipment</t>
  </si>
  <si>
    <t>Aset Dalam Proses</t>
  </si>
  <si>
    <t>Work in Process</t>
  </si>
  <si>
    <t xml:space="preserve">(Setelah dikurangi akumulasi </t>
  </si>
  <si>
    <t>(Net of accumulated</t>
  </si>
  <si>
    <t xml:space="preserve">penyusutan sebesar </t>
  </si>
  <si>
    <t xml:space="preserve">depreciation of </t>
  </si>
  <si>
    <t>masing-masing pada</t>
  </si>
  <si>
    <t>Investasi</t>
  </si>
  <si>
    <t>Investment</t>
  </si>
  <si>
    <t>Aset Pajak Tangguhan</t>
  </si>
  <si>
    <t>14d</t>
  </si>
  <si>
    <t>Jumlah Aset Tidak Lancar</t>
  </si>
  <si>
    <t>Total Non-Current Assets</t>
  </si>
  <si>
    <t>JUMLAH ASET</t>
  </si>
  <si>
    <t>*) Disajikan Kembali (Catatan 35)</t>
  </si>
  <si>
    <t>*) As Restated (Note 35)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</si>
  <si>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</si>
  <si>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</si>
  <si>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</si>
  <si>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</si>
  <si>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</si>
  <si>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</si>
  <si>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Usaha</t>
  </si>
  <si>
    <t>Trade Accounts Payable</t>
  </si>
  <si>
    <t>Utang Lain-lain</t>
  </si>
  <si>
    <t>Other Payables</t>
  </si>
  <si>
    <t>Utang Bank</t>
  </si>
  <si>
    <t>Bank Loans</t>
  </si>
  <si>
    <t>Beban Akrual</t>
  </si>
  <si>
    <t>Utang Pajak</t>
  </si>
  <si>
    <t>14b</t>
  </si>
  <si>
    <t>Taxes Payable</t>
  </si>
  <si>
    <t>Bagian Lancar</t>
  </si>
  <si>
    <t>Current Portion of</t>
  </si>
  <si>
    <t>Utang Jangka Panjang</t>
  </si>
  <si>
    <t xml:space="preserve">Current Liabilities  </t>
  </si>
  <si>
    <t>Purchase of Fixed Assets Liabilities</t>
  </si>
  <si>
    <t>Consumer Financing Debt</t>
  </si>
  <si>
    <t>Jumlah Liabilitas Jangka Pendek</t>
  </si>
  <si>
    <t>Total Current Liabilities</t>
  </si>
  <si>
    <t>LIABILITAS JANGKA PANJANG</t>
  </si>
  <si>
    <t>NON-CURRENT LIABILITIES</t>
  </si>
  <si>
    <t xml:space="preserve">Liabiltas Jangka Panjang - Setelah </t>
  </si>
  <si>
    <t>Long-Term Liabilities</t>
  </si>
  <si>
    <t>Dikurangi Bagian Lancar</t>
  </si>
  <si>
    <t>Less Cureent Portion</t>
  </si>
  <si>
    <t>Liabilitas Imbalan Pascakerja</t>
  </si>
  <si>
    <t>Post-Employment Benefits Liabilities</t>
  </si>
  <si>
    <t xml:space="preserve">Other Liability </t>
  </si>
  <si>
    <t>Jumlah Liabilitas Jangka Panjang</t>
  </si>
  <si>
    <t>Total Non-Current Liabilities</t>
  </si>
  <si>
    <t>JUMLAH LIABILITAS</t>
  </si>
  <si>
    <t>TOTAL LIABILITIES</t>
  </si>
  <si>
    <t>EKUITAS</t>
  </si>
  <si>
    <t>Modal Saham - Nilai Nominal</t>
  </si>
  <si>
    <t>Share capital</t>
  </si>
  <si>
    <t xml:space="preserve">Rp 50,- per Saham </t>
  </si>
  <si>
    <t>Par value Rp 50 per share,</t>
  </si>
  <si>
    <t>17a</t>
  </si>
  <si>
    <t>Tambahan Modal Disetor</t>
  </si>
  <si>
    <t>Additional paid-in capital</t>
  </si>
  <si>
    <t>Deviden</t>
  </si>
  <si>
    <t>Penghasilan Komprehensif lain</t>
  </si>
  <si>
    <t>Saldo Laba</t>
  </si>
  <si>
    <t>Retained earnings</t>
  </si>
  <si>
    <t>Ditentukan Penggunaannya</t>
  </si>
  <si>
    <t>17b</t>
  </si>
  <si>
    <t xml:space="preserve"> Appropriated </t>
  </si>
  <si>
    <t>Tidak Ditentukan Penggunaannya</t>
  </si>
  <si>
    <t xml:space="preserve"> Unappropriated </t>
  </si>
  <si>
    <t>JUMLAH EKUITAS</t>
  </si>
  <si>
    <t>TOTAL EQUITY</t>
  </si>
  <si>
    <t>JUMLAH LIABILITAS DAN EKUITAS</t>
  </si>
  <si>
    <t>TOTAL LIABILITIES AND EQUITY</t>
  </si>
  <si>
    <t>Ctrl</t>
  </si>
  <si>
    <t xml:space="preserve">LAPORAN LABA RUGI DAN PENGHASILAN KOMPREHENSIF LAIN </t>
  </si>
  <si>
    <t>UNTUK TAHUN YANG BERAKHIR PADA TANGGAL-TANGGAL</t>
  </si>
  <si>
    <t>Gross Margin</t>
  </si>
  <si>
    <t>SALES</t>
  </si>
  <si>
    <t>BEBAN POKOK PENJUALAN</t>
  </si>
  <si>
    <t>COST OF GOODS SOLD</t>
  </si>
  <si>
    <t>LABA KOTOR</t>
  </si>
  <si>
    <t>Beban Penjualan</t>
  </si>
  <si>
    <t>Selling Expenses</t>
  </si>
  <si>
    <t>Beban Umum dan Administrasi</t>
  </si>
  <si>
    <t>General and Administration Expenses</t>
  </si>
  <si>
    <t>Pendapatan (Beban) Lain-lain - Bersih</t>
  </si>
  <si>
    <t>Other Income (Charges) - Net</t>
  </si>
  <si>
    <t>Beban Bunga dan Keuangan</t>
  </si>
  <si>
    <t>Interest and Finance Cost</t>
  </si>
  <si>
    <t>Sub Jumlah</t>
  </si>
  <si>
    <t>Sub Total</t>
  </si>
  <si>
    <t>LABA SEBELUM PAJAK PENGHASILAN</t>
  </si>
  <si>
    <t>PROFIT INCOME BEFORE TAX</t>
  </si>
  <si>
    <t xml:space="preserve">Manfaat (Beban) Pajak Penghasilan: </t>
  </si>
  <si>
    <t>Income Tax Benefit (Expenses)</t>
  </si>
  <si>
    <t xml:space="preserve">Pajak Kini </t>
  </si>
  <si>
    <t>14c</t>
  </si>
  <si>
    <t>Current Income Tax</t>
  </si>
  <si>
    <t xml:space="preserve">Pajak Tangguhan </t>
  </si>
  <si>
    <t>LABA BERSIH TAHUN BERJALAN</t>
  </si>
  <si>
    <t>NET INCOME FOR THE YEAR</t>
  </si>
  <si>
    <t>Pengukuran Kembali Imbalan Pasti</t>
  </si>
  <si>
    <t>Remeasurement of Defined Benefit</t>
  </si>
  <si>
    <t>Pajak Penghasilan Terkait</t>
  </si>
  <si>
    <t>Income Tax Related</t>
  </si>
  <si>
    <t xml:space="preserve">LABA KOMPREHENSIF </t>
  </si>
  <si>
    <t>COMPREHENSIVE INCOME</t>
  </si>
  <si>
    <t>TAHUN BERJALAN</t>
  </si>
  <si>
    <t>FOR THE YEAR</t>
  </si>
  <si>
    <t>LABA PER SAHAM DASAR</t>
  </si>
  <si>
    <t>BASIC EARNINGS PER SHARE</t>
  </si>
  <si>
    <t>Penghasilan Komprehensif Lain</t>
  </si>
  <si>
    <t>Bank BNI Rp A/c 111-559-9552</t>
  </si>
  <si>
    <t>Bank BNI Rp A/c 115-599-4474</t>
  </si>
  <si>
    <t>Dinamika Lubsindo Utama, PT</t>
  </si>
  <si>
    <t>RBFood Manufaktur Indonesia, PT</t>
  </si>
  <si>
    <t>Nerimo Ing Pandum, CV</t>
  </si>
  <si>
    <t>Account No.</t>
  </si>
  <si>
    <t>Date</t>
  </si>
  <si>
    <t>Account Name</t>
  </si>
  <si>
    <t>WP Reff</t>
  </si>
  <si>
    <t>Balance Sheet</t>
  </si>
  <si>
    <t>PL</t>
  </si>
  <si>
    <t>Debit</t>
  </si>
  <si>
    <t>Credit</t>
  </si>
  <si>
    <t xml:space="preserve">Adj menyamakan nilai Peny </t>
  </si>
  <si>
    <t>CAJE 1</t>
  </si>
  <si>
    <t>CAJE 2</t>
  </si>
  <si>
    <t>RKLS 1</t>
  </si>
  <si>
    <t>Reklas Beban Peny GA ke COGS</t>
  </si>
  <si>
    <t>CAJE 3</t>
  </si>
  <si>
    <t>Udang-Exp</t>
  </si>
  <si>
    <t>Adj Penj exp dari bulan selanjutnya</t>
  </si>
  <si>
    <t>Biaya yang masih dibayar</t>
  </si>
  <si>
    <t>Biaya Sewa IPAL</t>
  </si>
  <si>
    <t>Adj atas Beban Sewa yang sdh di akui di 2023</t>
  </si>
  <si>
    <t>CAJE 4</t>
  </si>
  <si>
    <t xml:space="preserve">PT Indokom Samudra Persada - Utang </t>
  </si>
  <si>
    <t xml:space="preserve">PT Indokom Samudra Persada - Piutang </t>
  </si>
  <si>
    <t>CAJE 5</t>
  </si>
  <si>
    <t>Utang PPh 21</t>
  </si>
  <si>
    <t>CAJE 6</t>
  </si>
  <si>
    <t>CAJE 7</t>
  </si>
  <si>
    <t>CAJE 8</t>
  </si>
  <si>
    <t>Prepaid 25</t>
  </si>
  <si>
    <t>CAJE 9</t>
  </si>
  <si>
    <t>Adj atas Pemb Pajak PPh 21</t>
  </si>
  <si>
    <t>Adj Menyamakan Utang Piutang Afiliasi IAS-ISP Jun 24</t>
  </si>
  <si>
    <t>Adj atas Pemb Pajak PPh 22</t>
  </si>
  <si>
    <t>Adj atas Pemb Pajak PPh 25</t>
  </si>
  <si>
    <t>Adj atas Pemb Pajak PPh 23</t>
  </si>
  <si>
    <t>BYMH</t>
  </si>
  <si>
    <t>CAJE 10</t>
  </si>
  <si>
    <t>CAJE 7 &amp; 10</t>
  </si>
  <si>
    <t>CAJE 8 &amp; 10</t>
  </si>
  <si>
    <t xml:space="preserve">Reklas atas utang Pajak </t>
  </si>
  <si>
    <t>Gaji</t>
  </si>
  <si>
    <t>CAJE 11</t>
  </si>
  <si>
    <t>Reklas atas utang Gaji</t>
  </si>
  <si>
    <t>Lampiran II</t>
  </si>
  <si>
    <t>PT INDO AMERICAN SEAFOODS</t>
  </si>
  <si>
    <t>Laporan Laba Rugi Fiskal</t>
  </si>
  <si>
    <t>(dalam Rupiah)</t>
  </si>
  <si>
    <t>KETERANGAN</t>
  </si>
  <si>
    <t>KOMERSIAL</t>
  </si>
  <si>
    <t>KOREKSI FISKAL</t>
  </si>
  <si>
    <t>FISKAL</t>
  </si>
  <si>
    <t>POSITIF</t>
  </si>
  <si>
    <t>NEGATIF</t>
  </si>
  <si>
    <t>Pendapatan</t>
  </si>
  <si>
    <t>Harga Pokok Penjualan</t>
  </si>
  <si>
    <t xml:space="preserve">HPP Udang </t>
  </si>
  <si>
    <t xml:space="preserve">HPP Breaded </t>
  </si>
  <si>
    <t xml:space="preserve">HPP Bahan Pembantu </t>
  </si>
  <si>
    <t xml:space="preserve">HPP Produksi </t>
  </si>
  <si>
    <t>Jumlah Harga Pokok Penjualan</t>
  </si>
  <si>
    <t>Laba Kotor</t>
  </si>
  <si>
    <t>Umum dan Administrasi</t>
  </si>
  <si>
    <t>TOTAL BEBAN USAHA</t>
  </si>
  <si>
    <t>Laba (Rugi) Usaha</t>
  </si>
  <si>
    <t>Pendapatan (Biaya) Lain-lain</t>
  </si>
  <si>
    <t>Jumlah Pendapatan (Biaya) Lain-lain</t>
  </si>
  <si>
    <t>Laba (Rugi) Bersih Sebelum Pajak</t>
  </si>
  <si>
    <t>Pajak Penghasilan</t>
  </si>
  <si>
    <t>LABA (RUGI) SETELAH PAJAK TANGGUHAN</t>
  </si>
  <si>
    <t xml:space="preserve">1. </t>
  </si>
  <si>
    <t>Peredaran Bruto</t>
  </si>
  <si>
    <t>a. Dari Kegiatan Usaha</t>
  </si>
  <si>
    <t>b. Dari Luar Kegiatan Usaha</t>
  </si>
  <si>
    <t>c. Dari Luar Negeri</t>
  </si>
  <si>
    <t>d. Jumlah Peredaran Bruto</t>
  </si>
  <si>
    <t xml:space="preserve">2. </t>
  </si>
  <si>
    <t xml:space="preserve">Penghasilan Kena Pajak </t>
  </si>
  <si>
    <t>Pembulatan PKP</t>
  </si>
  <si>
    <t>a. Penghasilan kena Pajak dari peredaran bruto yang memperoleh fasilitas :</t>
  </si>
  <si>
    <t>X</t>
  </si>
  <si>
    <t>b. Penghasilan kena Pajak dari peredaran bruto yang tidak memperoleh fasilitas :</t>
  </si>
  <si>
    <t>-</t>
  </si>
  <si>
    <t xml:space="preserve">3. </t>
  </si>
  <si>
    <t>PPh Terutang</t>
  </si>
  <si>
    <t>a. PPh Terutang dari Penghasilan Kena Pajak dari bagian peredaran bruto yang memperoleh fasilitas :</t>
  </si>
  <si>
    <t xml:space="preserve">50% x 22% </t>
  </si>
  <si>
    <t>b. PPh Terutang dari Penghasilan Kena Pajak dari bagian peredara bruto yang tidak memperoleh fasilitas :</t>
  </si>
  <si>
    <t xml:space="preserve">Jumlah PPh Terutang </t>
  </si>
  <si>
    <t>Prepaid PPh 4 (2)</t>
  </si>
  <si>
    <t>Hutang Pajak PPh 29</t>
  </si>
  <si>
    <t>Jurnal</t>
  </si>
  <si>
    <t>Prepaid PPh 22-Impor</t>
  </si>
  <si>
    <t>Prepaid PPh 26</t>
  </si>
  <si>
    <t>Untuk Tahun Yang Berakhir Pada 30 Juni 2024</t>
  </si>
  <si>
    <t>Purchase bill to come</t>
  </si>
  <si>
    <t>Lainnya</t>
  </si>
  <si>
    <t>Maju Tambak Sumur, PT</t>
  </si>
  <si>
    <t>Mekar Karya Mulia, CV</t>
  </si>
  <si>
    <t>Multi Daya Teknologi Nusantara, PT</t>
  </si>
  <si>
    <t>Optimis Group, CV</t>
  </si>
  <si>
    <t>Sedulur Bertiga Jaya, PT</t>
  </si>
  <si>
    <t>Global Babel Maritim, PT</t>
  </si>
  <si>
    <t>Ahmad Heriyadi</t>
  </si>
  <si>
    <t>Adj Menyamakan Utang Piutang Afiliasi IAS-ISP Jun 23</t>
  </si>
  <si>
    <t>Utang PPh 23</t>
  </si>
  <si>
    <t>Adj atas Pemb Pajak PPh 21 &amp; 23</t>
  </si>
  <si>
    <t>Adj angka minus</t>
  </si>
  <si>
    <t>(Adj Aset dalam Proses ke Piutang CV Kanian)</t>
  </si>
  <si>
    <t>Untuk Tahun Yang Berakhir Pada 30 Juni 2023</t>
  </si>
  <si>
    <t>Beban Lain-lain</t>
  </si>
  <si>
    <t>Biaya PPh 21</t>
  </si>
  <si>
    <t>Denda Angsuran Bank, Biaya</t>
  </si>
  <si>
    <t>Entitas Induk</t>
  </si>
  <si>
    <t>Laba sebelum pajak</t>
  </si>
  <si>
    <t>Beda Temporer:</t>
  </si>
  <si>
    <t>Imbalan kerja</t>
  </si>
  <si>
    <t>Penyusutan aset tetap</t>
  </si>
  <si>
    <t xml:space="preserve">Beban Kerugian </t>
  </si>
  <si>
    <t xml:space="preserve">Penurunan Piutang </t>
  </si>
  <si>
    <t>Usaha</t>
  </si>
  <si>
    <t>Beda Permanen:</t>
  </si>
  <si>
    <t xml:space="preserve">Penyusutan aset </t>
  </si>
  <si>
    <t>Pengampunan pajak</t>
  </si>
  <si>
    <r>
      <t>Beban Pajak</t>
    </r>
    <r>
      <rPr>
        <sz val="9"/>
        <color theme="1"/>
        <rFont val="Arial"/>
        <family val="2"/>
      </rPr>
      <t xml:space="preserve"> Jasa Giro</t>
    </r>
  </si>
  <si>
    <t xml:space="preserve">Administrasi dan Umum </t>
  </si>
  <si>
    <t>Pendapatan yang telah</t>
  </si>
  <si>
    <t xml:space="preserve">dikenakan pajak </t>
  </si>
  <si>
    <t>bersifat Final</t>
  </si>
  <si>
    <t>Pendapatan Lain-lain</t>
  </si>
  <si>
    <t>Jumlah Koreksi</t>
  </si>
  <si>
    <t>Fiskal - Bersih</t>
  </si>
  <si>
    <t>Taksiran penghasilan</t>
  </si>
  <si>
    <t>kena pajak</t>
  </si>
  <si>
    <t>Pembulatan</t>
  </si>
  <si>
    <t>Beban pajak kini (22%)</t>
  </si>
  <si>
    <t xml:space="preserve">Dikurangi - pajak </t>
  </si>
  <si>
    <t>dibayar di muka :</t>
  </si>
  <si>
    <t>Pasal 22</t>
  </si>
  <si>
    <t>Pasal 25</t>
  </si>
  <si>
    <t xml:space="preserve">Jumlah Pajak </t>
  </si>
  <si>
    <t xml:space="preserve">Penghasilan Dibayar </t>
  </si>
  <si>
    <t>Dimuka</t>
  </si>
  <si>
    <t>Taksiran utang pajak</t>
  </si>
  <si>
    <t>penghasilan pasal 29</t>
  </si>
  <si>
    <t>Juni-2024</t>
  </si>
  <si>
    <t>CAJE 12</t>
  </si>
  <si>
    <t>Perhitungan Pajak Badan Juni 2024</t>
  </si>
  <si>
    <t>Perhitungan Pajak Badan Juni 2023</t>
  </si>
  <si>
    <t>CAJE 13</t>
  </si>
  <si>
    <t>Chensea</t>
  </si>
  <si>
    <t>Eastern fish</t>
  </si>
  <si>
    <t>Adj Piutang ke Hutang Bank</t>
  </si>
  <si>
    <t>Mutasi (Jan-Sept)</t>
  </si>
  <si>
    <t>31 Sept 2023</t>
  </si>
  <si>
    <t>September, 30 2024</t>
  </si>
  <si>
    <t>31 Desember 2023 /</t>
  </si>
  <si>
    <t>30 September 2024 /</t>
  </si>
  <si>
    <t>December, 31 2023</t>
  </si>
  <si>
    <t>Kas</t>
  </si>
  <si>
    <t>Bank</t>
  </si>
  <si>
    <t>Rupiah</t>
  </si>
  <si>
    <t xml:space="preserve">Bank Mandiri </t>
  </si>
  <si>
    <t>Bank Mega Syariah</t>
  </si>
  <si>
    <t>Bank BTPN</t>
  </si>
  <si>
    <t>Bank Negara Indonesia</t>
  </si>
  <si>
    <t>Bank Rakyat Indonesia</t>
  </si>
  <si>
    <t>Bank Jtrust Indonesia</t>
  </si>
  <si>
    <t>Bank Mandiri</t>
  </si>
  <si>
    <t>Cash In Bank</t>
  </si>
  <si>
    <t>Dolar Amerika Serikat</t>
  </si>
  <si>
    <t>US Dollar</t>
  </si>
  <si>
    <t>Deposito Berjangka</t>
  </si>
  <si>
    <t>Time Deposit</t>
  </si>
  <si>
    <t>KAS DAN SETARA BANK</t>
  </si>
  <si>
    <t>Related Party (Note 34)</t>
  </si>
  <si>
    <t xml:space="preserve">Sub Jumlah </t>
  </si>
  <si>
    <t xml:space="preserve">Jumlah </t>
  </si>
  <si>
    <t>Cadangan Kerugian</t>
  </si>
  <si>
    <t>Penurunan Nilai</t>
  </si>
  <si>
    <t xml:space="preserve">Jumlah Bersih </t>
  </si>
  <si>
    <t>Jumlah</t>
  </si>
  <si>
    <t>Pihak Berelasi (catatan 34)</t>
  </si>
  <si>
    <t>Dollar Amerika Serikat</t>
  </si>
  <si>
    <t>Jumlah Bersih</t>
  </si>
  <si>
    <t>Allowance For Impaiment Losses</t>
  </si>
  <si>
    <t>Total - Net</t>
  </si>
  <si>
    <t>PIUTANG LAIN-LAIN</t>
  </si>
  <si>
    <t>Jangka Panjang</t>
  </si>
  <si>
    <t>PERSEDIAAN</t>
  </si>
  <si>
    <t>Fuels</t>
  </si>
  <si>
    <t>Supplementary Materials</t>
  </si>
  <si>
    <t>Persediaan Breaded (Barang Jadi)</t>
  </si>
  <si>
    <t>Inventories Shrimp</t>
  </si>
  <si>
    <t>Inventories Breaded</t>
  </si>
  <si>
    <t>PIUTANG USAHA</t>
  </si>
  <si>
    <t>Long - Term</t>
  </si>
  <si>
    <t>PT Indokom Samudra Persada (Finance)</t>
  </si>
  <si>
    <t>PERPAJAKAN</t>
  </si>
  <si>
    <t>a. Pajak Dibayar Dimuka</t>
  </si>
  <si>
    <t xml:space="preserve">Pajak Pertambahan </t>
  </si>
  <si>
    <t>Nilai-Bersih</t>
  </si>
  <si>
    <t>Vallue Added Tax-Net</t>
  </si>
  <si>
    <t>b. Utang Pajak</t>
  </si>
  <si>
    <t>Entitas Induk :</t>
  </si>
  <si>
    <t>Pajak Penghasilan :</t>
  </si>
  <si>
    <t>Parent Entity</t>
  </si>
  <si>
    <t>Income Tax :</t>
  </si>
  <si>
    <t>Pasal 21</t>
  </si>
  <si>
    <t>Pasal 23</t>
  </si>
  <si>
    <t>Pasal 29 :</t>
  </si>
  <si>
    <t>Tahun 2021</t>
  </si>
  <si>
    <t>Tahun 2022</t>
  </si>
  <si>
    <t>Tahun 2023</t>
  </si>
  <si>
    <t>September 2024</t>
  </si>
  <si>
    <t>(Estimasi)</t>
  </si>
  <si>
    <t>Article 29:</t>
  </si>
  <si>
    <t>Year 2021</t>
  </si>
  <si>
    <t>Year 2022</t>
  </si>
  <si>
    <t>Year 2023</t>
  </si>
  <si>
    <t>(Estimate)</t>
  </si>
  <si>
    <t>Article 21</t>
  </si>
  <si>
    <t>Article 22</t>
  </si>
  <si>
    <t>Article 23</t>
  </si>
  <si>
    <t>Article 25</t>
  </si>
  <si>
    <t>UTANG LAIN-LAIN</t>
  </si>
  <si>
    <t>Liabilitas Jangka Panjang</t>
  </si>
  <si>
    <t>Ibnu Syena Alfitra</t>
  </si>
  <si>
    <t>BEBAN AKRUAL</t>
  </si>
  <si>
    <t>Jasa Profesional</t>
  </si>
  <si>
    <t>Pemeliharaan &amp; Perbaikan</t>
  </si>
  <si>
    <t>Lain-lain</t>
  </si>
  <si>
    <t>Freight</t>
  </si>
  <si>
    <t>Salaries Expenses</t>
  </si>
  <si>
    <t>Professional Fees</t>
  </si>
  <si>
    <t>Analysis/Test</t>
  </si>
  <si>
    <t>Maintenance &amp; Repair</t>
  </si>
  <si>
    <t xml:space="preserve">Utilities </t>
  </si>
  <si>
    <t>UTANG BANK</t>
  </si>
  <si>
    <t>a. Utang Bank Jangka Pendek</t>
  </si>
  <si>
    <t>BEBAN UMUM DAN ADMINISTRASI</t>
  </si>
  <si>
    <t>Gaji dan Tunjangan</t>
  </si>
  <si>
    <t>Salaries and benefits</t>
  </si>
  <si>
    <t xml:space="preserve">Alat Tulis Kantor </t>
  </si>
  <si>
    <t>Office Stationery</t>
  </si>
  <si>
    <t>Insurance</t>
  </si>
  <si>
    <t>Office Vehicle Fuel</t>
  </si>
  <si>
    <t>Parking Toll Fees etc</t>
  </si>
  <si>
    <t>Perdin, Hotels, Tickets, Accommodation</t>
  </si>
  <si>
    <t>Transpotration, Acomodation</t>
  </si>
  <si>
    <t>Equipment and Supplies Office</t>
  </si>
  <si>
    <t xml:space="preserve">Freight Costs </t>
  </si>
  <si>
    <t>Others Tax</t>
  </si>
  <si>
    <t>Education and Training</t>
  </si>
  <si>
    <t>Medical</t>
  </si>
  <si>
    <t>Office Vehicle Documents</t>
  </si>
  <si>
    <t>Licensing Office</t>
  </si>
  <si>
    <t>Stamps, Newspapers and Magazines</t>
  </si>
  <si>
    <t>Entertainment and Donations</t>
  </si>
  <si>
    <t>Cost Others</t>
  </si>
  <si>
    <t>Employee Benefits</t>
  </si>
  <si>
    <t>PENDAPATAN</t>
  </si>
  <si>
    <t>Interest Income</t>
  </si>
  <si>
    <t>Other Income</t>
  </si>
  <si>
    <t>BEBAN BUNGA DAN KEUANGAN</t>
  </si>
  <si>
    <t>Bank Administrative</t>
  </si>
  <si>
    <t>Leasing Interest Expense</t>
  </si>
  <si>
    <t>Bank Provision Expenses</t>
  </si>
  <si>
    <t>Interest/Finance Expenses</t>
  </si>
  <si>
    <t>Fine</t>
  </si>
  <si>
    <t>Net Others</t>
  </si>
  <si>
    <t>Allowance for Inventroy Decline to markert Expense</t>
  </si>
  <si>
    <t>Penyusutan</t>
  </si>
  <si>
    <t>Pemeliharaan dan Perbaikan</t>
  </si>
  <si>
    <t>Maintenance and Repair</t>
  </si>
  <si>
    <t>Total Sept 24</t>
  </si>
  <si>
    <t>Total Des 23</t>
  </si>
  <si>
    <t xml:space="preserve">UTANG USAHA </t>
  </si>
  <si>
    <t>INVESTASI PADA ENTITAS ASOSIASI</t>
  </si>
  <si>
    <t>PAJAK TANGGUHAN</t>
  </si>
  <si>
    <t>Imbalan Kerja</t>
  </si>
  <si>
    <t>Cadangan Kerugian Piutanng Penyusutan</t>
  </si>
  <si>
    <t>Liabilitas Imbalan Paska Kerja</t>
  </si>
  <si>
    <t>LIABILITAS IMBALAN PASKA KERJA</t>
  </si>
  <si>
    <t>PENGHASILAN KOMPREHENSIF LAIN</t>
  </si>
  <si>
    <t>c. Beban Pajak Penghasilan - Bersih</t>
  </si>
  <si>
    <t>Beban Pajak Kini</t>
  </si>
  <si>
    <t>Manfaat Pajak</t>
  </si>
  <si>
    <t>Tangguhan</t>
  </si>
  <si>
    <t>Current Tax Expense</t>
  </si>
  <si>
    <t>Deffered Tax</t>
  </si>
  <si>
    <t>Benefit</t>
  </si>
  <si>
    <t>Pasal 4 (2)</t>
  </si>
  <si>
    <t>Total Sept 24 (a)</t>
  </si>
  <si>
    <t>Total Sept 24 (b)</t>
  </si>
  <si>
    <t>Total Sept 24 (c)</t>
  </si>
  <si>
    <t xml:space="preserve">Employee Benefits </t>
  </si>
  <si>
    <t>Allowance for Impairment Losses</t>
  </si>
  <si>
    <t>Office Employee Salaries</t>
  </si>
  <si>
    <t>Holiday Allowance</t>
  </si>
  <si>
    <t>Severance Pay</t>
  </si>
  <si>
    <t>General and Administrative</t>
  </si>
  <si>
    <t>Outsourcing</t>
  </si>
  <si>
    <t>Office Household</t>
  </si>
  <si>
    <t>Estimated Tax Penalties</t>
  </si>
  <si>
    <t>Saldo Akhir Liabilitas</t>
  </si>
  <si>
    <t>Post Employment Benefits Liabilities</t>
  </si>
  <si>
    <t>Ending Balance of Liabilities</t>
  </si>
  <si>
    <t>Article 4(2)</t>
  </si>
  <si>
    <t>Rate Differences - Net</t>
  </si>
  <si>
    <t>Tax Expenses Profit (Loss) from Exchange</t>
  </si>
  <si>
    <t>Other Comprehensive Income Fixed Asset Revaluation Surplus</t>
  </si>
  <si>
    <t>Allowence for Impairment Losses Cost</t>
  </si>
  <si>
    <t>COGS</t>
  </si>
  <si>
    <t>Beban Pokok Penjualan Udang</t>
  </si>
  <si>
    <t>Barang Tersedia Untuk Dijual</t>
  </si>
  <si>
    <t>Barang Tersedia Untuk Produksi (Breaded)</t>
  </si>
  <si>
    <t>Persediaan Akhir Udang</t>
  </si>
  <si>
    <t>Beban Produksi Udang</t>
  </si>
  <si>
    <t>Tersedia untui dijual</t>
  </si>
  <si>
    <t>Total Beban Pokok Penjualan Udang</t>
  </si>
  <si>
    <t>Beban Pokok Breaded</t>
  </si>
  <si>
    <t>Saldo Awal</t>
  </si>
  <si>
    <t>Transfer dari Udang</t>
  </si>
  <si>
    <t>Barang Tersedia untuk dijual</t>
  </si>
  <si>
    <t>Beban Pokok Bahan Pembantu</t>
  </si>
  <si>
    <t>Beban Langsung Biaya Tenaga Kerja Langsung</t>
  </si>
  <si>
    <t>Perbaikan Pemeliharaan Sarana Produksi</t>
  </si>
  <si>
    <t>Total Harga Pokok Produksi</t>
  </si>
  <si>
    <t>Total Harga Pokok Penjualan</t>
  </si>
  <si>
    <t>Cost of Goods Sold Shrimp</t>
  </si>
  <si>
    <t>Beginning Balance</t>
  </si>
  <si>
    <t>Purchase</t>
  </si>
  <si>
    <t>Goods Available for Sale</t>
  </si>
  <si>
    <t>Goods Available for Production (Breaded)</t>
  </si>
  <si>
    <t>Ending Inventory Shrimp</t>
  </si>
  <si>
    <t>Cost of Production Shrimp</t>
  </si>
  <si>
    <t>Available for Sale</t>
  </si>
  <si>
    <t>Total Cost of Goods Sold Shrimp</t>
  </si>
  <si>
    <t>Transfer of Shrimp</t>
  </si>
  <si>
    <t>Goods Available for sale</t>
  </si>
  <si>
    <t>Ending Inventory Breaded</t>
  </si>
  <si>
    <t>Diesel Fuel</t>
  </si>
  <si>
    <t>Ending Balance</t>
  </si>
  <si>
    <t>Cost of Supplementary Materials</t>
  </si>
  <si>
    <t>Cost of Supplementary Direct Labour Cost</t>
  </si>
  <si>
    <t>Direct Labor Cost</t>
  </si>
  <si>
    <t>Electricity</t>
  </si>
  <si>
    <t>Production Supplies</t>
  </si>
  <si>
    <t xml:space="preserve">Repairs and Maintenance </t>
  </si>
  <si>
    <t>Total Cost of Goods Manufactured</t>
  </si>
  <si>
    <t>Total Cost of Goods Sold</t>
  </si>
  <si>
    <t xml:space="preserve">Ctrl </t>
  </si>
  <si>
    <t>Beban Produksi Pembelian Udang (Breaded)</t>
  </si>
  <si>
    <t>Cost of Production Shrimp Purchase (Breaded)</t>
  </si>
  <si>
    <t>30 September 2023 /</t>
  </si>
  <si>
    <t>September, 30 2023</t>
  </si>
  <si>
    <t>LAPORAN PERUBAHAN EKUITAS INTERIM</t>
  </si>
  <si>
    <t xml:space="preserve">UNTUK TAHUN YANG BERAKHIR PADA ENAM BULAN </t>
  </si>
  <si>
    <t>Tambahan</t>
  </si>
  <si>
    <t>Penghasilan</t>
  </si>
  <si>
    <r>
      <t xml:space="preserve">Saldo Laba/ </t>
    </r>
    <r>
      <rPr>
        <b/>
        <i/>
        <sz val="9"/>
        <rFont val="Arial"/>
        <family val="2"/>
      </rPr>
      <t>Retained Earning</t>
    </r>
  </si>
  <si>
    <t xml:space="preserve">Surplus Revaluasi </t>
  </si>
  <si>
    <t xml:space="preserve"> Modal Disetor</t>
  </si>
  <si>
    <t xml:space="preserve"> Komprehensif Lain/</t>
  </si>
  <si>
    <t xml:space="preserve">Ditentukan </t>
  </si>
  <si>
    <t xml:space="preserve">Tidak Ditentukan </t>
  </si>
  <si>
    <t>Aset tetap</t>
  </si>
  <si>
    <t>Modal Saham/</t>
  </si>
  <si>
    <t>Additional</t>
  </si>
  <si>
    <t>Other Comprehensive</t>
  </si>
  <si>
    <t>Penggunaannya/</t>
  </si>
  <si>
    <t>Asset Revalution</t>
  </si>
  <si>
    <t>Jumlah Ekuitas/</t>
  </si>
  <si>
    <t>Share Capital</t>
  </si>
  <si>
    <t>Paid-in-Capital</t>
  </si>
  <si>
    <t xml:space="preserve"> Income</t>
  </si>
  <si>
    <t xml:space="preserve">Surplus </t>
  </si>
  <si>
    <t>Saldo 1 Januari 2020</t>
  </si>
  <si>
    <t>Balance as of January 1, 2020</t>
  </si>
  <si>
    <t xml:space="preserve">Pengukuran Kembali Program </t>
  </si>
  <si>
    <t>Remeasurement of</t>
  </si>
  <si>
    <t>Imbalan Pasti</t>
  </si>
  <si>
    <t>Defined Benefit</t>
  </si>
  <si>
    <t>Laba Tahun Berjalan</t>
  </si>
  <si>
    <t>Profit for The Year</t>
  </si>
  <si>
    <t>Penyajian Kembali sesuai PSAK 26</t>
  </si>
  <si>
    <t>Restatement in accordance with PSAK 26</t>
  </si>
  <si>
    <t>Saldo 31 Desember 2020</t>
  </si>
  <si>
    <t>Balance as of December 31, 2020</t>
  </si>
  <si>
    <t>Saldo 31 Desember 2021</t>
  </si>
  <si>
    <t>Balance as of December 31, 2021</t>
  </si>
  <si>
    <t>Cadangan Umum</t>
  </si>
  <si>
    <t>General Reserves</t>
  </si>
  <si>
    <t xml:space="preserve">Setoran Modal </t>
  </si>
  <si>
    <t>Paid up Capital</t>
  </si>
  <si>
    <t>Catatan atas laporan keuangan merupakan bagian</t>
  </si>
  <si>
    <t>yang tidak terpisahkan dari laporan keuangan secara keseluruhan.</t>
  </si>
  <si>
    <t>30 September 2024 dan 2023</t>
  </si>
  <si>
    <t>Saldo 30 September 2023</t>
  </si>
  <si>
    <t>Balance as of September 30, 2023</t>
  </si>
  <si>
    <t>Saldo 30 September 2024</t>
  </si>
  <si>
    <t>Balance as of September 30, 2024</t>
  </si>
  <si>
    <t>Untuk Tahun Yang Berakhir Pada 30 September 2024</t>
  </si>
  <si>
    <t>Untuk Tahun Yang Berakhir Pada 30 September 2023</t>
  </si>
  <si>
    <t>Juni-2023</t>
  </si>
  <si>
    <t>Indo American Food, PT Piutang</t>
  </si>
  <si>
    <t>Hendro Hariyanto</t>
  </si>
  <si>
    <t>Piutang Lain-Lain</t>
  </si>
  <si>
    <t>RLKS 2</t>
  </si>
  <si>
    <t>Reklas Atas Piutang Irian Marine</t>
  </si>
  <si>
    <t xml:space="preserve">PT Irian Marine Product Development </t>
  </si>
  <si>
    <t>RLKS 3</t>
  </si>
  <si>
    <t xml:space="preserve">Reklas akm penyusutan Aset </t>
  </si>
  <si>
    <t>Adj Akm Penyusutan</t>
  </si>
  <si>
    <t>CAJE 1 &amp; RLKS 1</t>
  </si>
  <si>
    <t>CAJE 3 &amp; CAJE 5</t>
  </si>
  <si>
    <t>CAJE 9 &amp; 5</t>
  </si>
  <si>
    <t>Penjualan Lain-Lain</t>
  </si>
  <si>
    <t>Pendapatan Lainnya</t>
  </si>
  <si>
    <t>Adj Penjualan Lainnya</t>
  </si>
  <si>
    <t>Adj atas Utang Usaha</t>
  </si>
  <si>
    <t>Perhitungan Pajak Badan Sept 2023</t>
  </si>
  <si>
    <t>Bank BRI Rp A/c 0652-01-111111-301</t>
  </si>
  <si>
    <t>H &amp; T SEAFOODS INC</t>
  </si>
  <si>
    <t>Andalan Traiding Mina, CV</t>
  </si>
  <si>
    <t>Gatot Eko Andoyo</t>
  </si>
  <si>
    <t>Sakti Biru Indonesia, PT</t>
  </si>
  <si>
    <t>Shaka Bahari Abadi, PT</t>
  </si>
  <si>
    <t>Indolabel Surya Pratama, PT</t>
  </si>
  <si>
    <t xml:space="preserve">Agio Saham </t>
  </si>
  <si>
    <t>Masyarakat - Saham Baru</t>
  </si>
  <si>
    <t xml:space="preserve">Confirm pak Maurice </t>
  </si>
  <si>
    <t>Duty</t>
  </si>
  <si>
    <r>
      <t xml:space="preserve">Persediaan </t>
    </r>
    <r>
      <rPr>
        <i/>
        <sz val="11"/>
        <color rgb="FF000000"/>
        <rFont val="Calibri"/>
        <family val="2"/>
        <scheme val="minor"/>
      </rPr>
      <t>Breaded</t>
    </r>
    <r>
      <rPr>
        <sz val="11"/>
        <color rgb="FF000000"/>
        <rFont val="Calibri"/>
        <family val="2"/>
        <scheme val="minor"/>
      </rPr>
      <t xml:space="preserve"> (Barang Jadi)</t>
    </r>
  </si>
  <si>
    <t>CAJE 2 &amp; RLKS 1</t>
  </si>
  <si>
    <t xml:space="preserve">Modal Disetor </t>
  </si>
  <si>
    <t>Total Tax Amnesty</t>
  </si>
  <si>
    <t>Biaya Emisi</t>
  </si>
  <si>
    <t>Additional Paid-in Capital</t>
  </si>
  <si>
    <t>Paid-up Capital</t>
  </si>
  <si>
    <t>apakah 1% lgsg disesuaikan dengan Modal nya?</t>
  </si>
  <si>
    <t>Blm dikurangi biaya emisi</t>
  </si>
  <si>
    <t xml:space="preserve">Uang Muka Pembelian Bahan Baku </t>
  </si>
  <si>
    <t xml:space="preserve">Adj atas Uang Muka Pembelian Bahan Baku-Udang </t>
  </si>
  <si>
    <t xml:space="preserve">Bahan Pembantu </t>
  </si>
  <si>
    <t xml:space="preserve">Bahan Baku </t>
  </si>
  <si>
    <t>CAJE 14</t>
  </si>
  <si>
    <t xml:space="preserve">Pembelian Bahan Baku </t>
  </si>
  <si>
    <t xml:space="preserve">Pembelian Bahan Pembantu </t>
  </si>
  <si>
    <t>Saldo Laba Ditahan</t>
  </si>
  <si>
    <t xml:space="preserve">Laba Tahun Berjalan </t>
  </si>
  <si>
    <t>Net Income For The Year</t>
  </si>
  <si>
    <t>atas Anti Dumping (bkn Pajak dlm Negeri)</t>
  </si>
  <si>
    <t xml:space="preserve">Denda Pajak </t>
  </si>
  <si>
    <t>Pajak atas PPH 25 Badan atas pengungkapan ketidak benaran masa Des 2018 atas Surat Nomor: S-II/HPBP/WPJ.28/2024</t>
  </si>
  <si>
    <t>Denda Pajak</t>
  </si>
  <si>
    <t>CAJE 15</t>
  </si>
  <si>
    <t>Udang - Exp</t>
  </si>
  <si>
    <t>Censea (PO. 71389)</t>
  </si>
  <si>
    <t>Censea (PO. 71390)</t>
  </si>
  <si>
    <t>Slade Gorton (PO. 309485)</t>
  </si>
  <si>
    <t>Censea (PO. 71658)</t>
  </si>
  <si>
    <t>(Adj tarik penjualan dari bulan selanjutnya)</t>
  </si>
  <si>
    <t>Perhitungan Pajak Badan September 2024</t>
  </si>
  <si>
    <t>CAJE 16</t>
  </si>
  <si>
    <t>CAJE 4, 10, 11, 16</t>
  </si>
  <si>
    <t>CAJE 17</t>
  </si>
  <si>
    <t>Censea (PO. 71226)</t>
  </si>
  <si>
    <t xml:space="preserve">Biaya Emisi Saham </t>
  </si>
  <si>
    <t>ACJE 18</t>
  </si>
  <si>
    <t>(Adj atas Biaya Pra IPO ke Biaya Emisi Saham)</t>
  </si>
  <si>
    <t>AJE 19</t>
  </si>
  <si>
    <t>(Adj atas Biaya Consultant)</t>
  </si>
  <si>
    <t>ACJE 18 &amp; 19</t>
  </si>
  <si>
    <t>AJE 20</t>
  </si>
  <si>
    <t>CAJE 21</t>
  </si>
  <si>
    <t>CAJE 17 &amp; 19</t>
  </si>
  <si>
    <t>CAJE 22</t>
  </si>
  <si>
    <t xml:space="preserve">pokok yg dibebankan </t>
  </si>
  <si>
    <t>Modal Dasar Sebesar 3.200.000.000 Saham</t>
  </si>
  <si>
    <t xml:space="preserve"> saham pada 31 Desember 2023</t>
  </si>
  <si>
    <t xml:space="preserve">Modal Ditempatkan dan Disetor Penuh </t>
  </si>
  <si>
    <t xml:space="preserve">1.390.000.000 lembar pada </t>
  </si>
  <si>
    <t>27 Juni 2024,</t>
  </si>
  <si>
    <t>1.100.000.000 pada Tahun 2023</t>
  </si>
  <si>
    <t>Authorized Capital 3,200,000,000 shares</t>
  </si>
  <si>
    <t>Shares as of December, 31 2023</t>
  </si>
  <si>
    <t>Subscribed and Paid-up - Capital</t>
  </si>
  <si>
    <t>1,390,000,000 shares</t>
  </si>
  <si>
    <t>as of Juni 27, 2024</t>
  </si>
  <si>
    <t>1,100,000,000 shares as of December 2023</t>
  </si>
  <si>
    <t>Saldo 1 Januari 2023</t>
  </si>
  <si>
    <t>Balance as of January 1, 2023</t>
  </si>
  <si>
    <t>Mutasi (Jan-Des)</t>
  </si>
  <si>
    <t>Tanggal 31 Desember 2024 dan 2023</t>
  </si>
  <si>
    <t>30 Sept 2024</t>
  </si>
  <si>
    <t>Saldo 31 Desember 2024</t>
  </si>
  <si>
    <t>Balance as of December 31, 2024</t>
  </si>
  <si>
    <t>31 Desember 2024 /</t>
  </si>
  <si>
    <t>December, 31 2024</t>
  </si>
  <si>
    <t>Untuk Tahun Yang Berakhir Pada 31 Desember 2024</t>
  </si>
  <si>
    <t>Des-24</t>
  </si>
  <si>
    <t>December, 30 2024</t>
  </si>
  <si>
    <t>31 December 2024 /</t>
  </si>
  <si>
    <t>Total Des 24</t>
  </si>
  <si>
    <t>Total Des 24 (a)</t>
  </si>
  <si>
    <t>Total Des 24 (b)</t>
  </si>
  <si>
    <t>Total Des 24 (c)</t>
  </si>
  <si>
    <t xml:space="preserve">PT INDO AMERICAN SEAFOODS TBK </t>
  </si>
  <si>
    <t>LAPORAN ARUS KAS</t>
  </si>
  <si>
    <t>(Disajikan dalam Rupiah, kecuali Dinyatakan Lain)</t>
  </si>
  <si>
    <t xml:space="preserve">ARUS KAS DARI AKTIVITAS </t>
  </si>
  <si>
    <t xml:space="preserve">CASH FLOWS FROM OPERATING </t>
  </si>
  <si>
    <t>OPERASI</t>
  </si>
  <si>
    <t>ACTIVITIES</t>
  </si>
  <si>
    <t>Penerimaan Kas dari Pelanggan</t>
  </si>
  <si>
    <t>4,5,20</t>
  </si>
  <si>
    <t>Cash Receipts from Customers</t>
  </si>
  <si>
    <t>Pembayaran Kepada Pemasok</t>
  </si>
  <si>
    <t>6,7,10,11,13,15</t>
  </si>
  <si>
    <t>Cash Paid to Supplier</t>
  </si>
  <si>
    <t>Pembayaran Kepada Karyawan</t>
  </si>
  <si>
    <t>Cash Paid to Employees</t>
  </si>
  <si>
    <t>Pembayaran Beban Operasional Lainnya</t>
  </si>
  <si>
    <t>15,17,22,23</t>
  </si>
  <si>
    <t>Cash Paid for Other Operating Expenses</t>
  </si>
  <si>
    <t>Payment to Employees</t>
  </si>
  <si>
    <t>Pembayaran Beban Lainnya</t>
  </si>
  <si>
    <t>Kas Dihasilkan dari Operasi</t>
  </si>
  <si>
    <t>Cash Generated from Operating</t>
  </si>
  <si>
    <t>Penerimaan bunga</t>
  </si>
  <si>
    <t>Interest Received</t>
  </si>
  <si>
    <t>Pembayaran Pajak Penghasilan</t>
  </si>
  <si>
    <t>Cash Paid for Income Taxes Paid</t>
  </si>
  <si>
    <t>Pembayaran Beban Bunga dan Keuangan</t>
  </si>
  <si>
    <t>Payment of Interest and Finance Costs</t>
  </si>
  <si>
    <t xml:space="preserve">Kas Bersih Digunakan untuk </t>
  </si>
  <si>
    <t>Net Cash Used in</t>
  </si>
  <si>
    <t>Aktivitas Operasi</t>
  </si>
  <si>
    <t>Operating Expenses</t>
  </si>
  <si>
    <t>INVESTASI</t>
  </si>
  <si>
    <t>CASH FLOWS FROM INVESTING</t>
  </si>
  <si>
    <t>Hasil Penjualan  Aset Tetap</t>
  </si>
  <si>
    <t>Penempatan Invetasi pada Entitas Asosiasi</t>
  </si>
  <si>
    <t>Placement of Investment in Association Entities</t>
  </si>
  <si>
    <t xml:space="preserve">Acquisition of Property, Plant </t>
  </si>
  <si>
    <t>Penambahan Aset Tetap</t>
  </si>
  <si>
    <t>Acquisition of Fixed Assets</t>
  </si>
  <si>
    <t>Perolehan Aset Hak Guna</t>
  </si>
  <si>
    <t xml:space="preserve">Net Cash Used for Obtained from </t>
  </si>
  <si>
    <t>dari Aktivitas Investasi</t>
  </si>
  <si>
    <t>Investment Activities</t>
  </si>
  <si>
    <t>PENDANAAN</t>
  </si>
  <si>
    <t>CASH FLOWS FROM FINANCING</t>
  </si>
  <si>
    <t xml:space="preserve"> Bank Loan</t>
  </si>
  <si>
    <t xml:space="preserve">  Penerimaan</t>
  </si>
  <si>
    <t xml:space="preserve">   Proceeds</t>
  </si>
  <si>
    <t xml:space="preserve">  Pembayaran</t>
  </si>
  <si>
    <t xml:space="preserve">  Payments</t>
  </si>
  <si>
    <t>Liabilities for Purchase of Fixed Asset</t>
  </si>
  <si>
    <t>Pembayaran</t>
  </si>
  <si>
    <t>Utang Lain-Lain Kepada Pihak Berelasi</t>
  </si>
  <si>
    <t>Other Payable from Related Parties</t>
  </si>
  <si>
    <t xml:space="preserve">Penerimaan </t>
  </si>
  <si>
    <t>Proceed</t>
  </si>
  <si>
    <t>Payments</t>
  </si>
  <si>
    <t>Kas Bersih Diperoleh dari</t>
  </si>
  <si>
    <t>Net Cash Provided by</t>
  </si>
  <si>
    <t>Aktivitas Pendanaan</t>
  </si>
  <si>
    <t>Financing Activities</t>
  </si>
  <si>
    <t>PENURUNAN BERSIH KAS</t>
  </si>
  <si>
    <t>NET DECREASE IN CASH ON HAND</t>
  </si>
  <si>
    <t>DAN BANK</t>
  </si>
  <si>
    <t>AND CASH IN BANKS</t>
  </si>
  <si>
    <t xml:space="preserve">SALDO KAS DAN BANK </t>
  </si>
  <si>
    <t>CASH ON HAND AND IN BANKS</t>
  </si>
  <si>
    <t>AWAL TAHUN</t>
  </si>
  <si>
    <t>AT BEGINNING OF YEAR</t>
  </si>
  <si>
    <t xml:space="preserve">CASH ON HAND AND IN BANK </t>
  </si>
  <si>
    <t xml:space="preserve">AKHIR TAHUN </t>
  </si>
  <si>
    <t>AT END OF YEAR</t>
  </si>
  <si>
    <t xml:space="preserve">CONTROL </t>
  </si>
  <si>
    <t>DIFF</t>
  </si>
  <si>
    <t>Untuk Tahun-tahun yang Berakhir pada 31 Desember 2024 dan 2023</t>
  </si>
  <si>
    <t>Piutang Usaha Kepada Pihak Ketiga</t>
  </si>
  <si>
    <t>Piutang Usaha Kepada Pihak Berelasi</t>
  </si>
  <si>
    <t xml:space="preserve">Piutang Lain-Lain </t>
  </si>
  <si>
    <t xml:space="preserve">Prepaid </t>
  </si>
  <si>
    <t>Investasi pada Entitas Asosias</t>
  </si>
  <si>
    <t xml:space="preserve">Biaya Pra IPO </t>
  </si>
  <si>
    <t>Short Term Bank Loans</t>
  </si>
  <si>
    <t>Bank Loan - Short part of long</t>
  </si>
  <si>
    <t>Utang Usaha Pihak Berelasi</t>
  </si>
  <si>
    <t>Utang Usaha Pihak Ketiga</t>
  </si>
  <si>
    <t>Biaya Yang Masih Harus Dibayar</t>
  </si>
  <si>
    <t>Utang Lain2 Pihak Ketiga</t>
  </si>
  <si>
    <t>Utang Lembaga Pembiayaan</t>
  </si>
  <si>
    <t>Utang Bank &amp; Leasing</t>
  </si>
  <si>
    <t>Modal Saham</t>
  </si>
  <si>
    <t>Penghasilan Komprehensif Lainnya</t>
  </si>
  <si>
    <t>Pendapatan Usaha</t>
  </si>
  <si>
    <t>Beban Pokok Pendapatan Usaha</t>
  </si>
  <si>
    <t>Beban(Pendapatan) Lain-lain</t>
  </si>
  <si>
    <t>Income Tax</t>
  </si>
  <si>
    <t>Other Comprehensive Income</t>
  </si>
  <si>
    <t>December 31, 2023</t>
  </si>
  <si>
    <t>Selisih</t>
  </si>
  <si>
    <t>Movement</t>
  </si>
  <si>
    <t>ARUS KAS DARI AKTIVITAS OPERASI</t>
  </si>
  <si>
    <t>Penerimaan Bunga</t>
  </si>
  <si>
    <t>Deferred tax</t>
  </si>
  <si>
    <t>Employee benefit</t>
  </si>
  <si>
    <t>Pembayaran Deviden</t>
  </si>
  <si>
    <t>Pembayaran Bunga</t>
  </si>
  <si>
    <t>Kas diperoleh dari (digunakan untuk) operasi</t>
  </si>
  <si>
    <t>Kas Bersih Diperoleh dari Aktivitas Operasi</t>
  </si>
  <si>
    <t>ARUS KAS DARI AKTIVITAS INVESTASI</t>
  </si>
  <si>
    <t>Penempatan Investasi pada Ventura Bersama</t>
  </si>
  <si>
    <t>Penambahan  Aset Tersedia untuk dijual</t>
  </si>
  <si>
    <t>Penambahan  PI</t>
  </si>
  <si>
    <t>Penerimaan Piutang lain-lain dari Pihak Berelasi</t>
  </si>
  <si>
    <t>Pinjaman kepada Entitas Berelasi</t>
  </si>
  <si>
    <t>Kas Bersih Diperoleh dari (Digunakan untuk) Aktivitas Investasi</t>
  </si>
  <si>
    <t>ARUS KAS DARI AKTIVITAS PENDANAAN</t>
  </si>
  <si>
    <t>Penerimaan Pinjaman dari Bank</t>
  </si>
  <si>
    <t>Pembayaran Pinjaman Bank</t>
  </si>
  <si>
    <t>Pinjaman kepada Koperasi</t>
  </si>
  <si>
    <t>Lembaga Pembiayaan</t>
  </si>
  <si>
    <t>pembayaran Deviden</t>
  </si>
  <si>
    <t>Pembayaran Pembelian Aset Tetap</t>
  </si>
  <si>
    <t>Penerimaan  dari Pemegang Saham</t>
  </si>
  <si>
    <t>Kas Bersih Diperoleh dari Aktivitas Pendanaan</t>
  </si>
  <si>
    <t>Dampak Kenaikan Selisih Kurs</t>
  </si>
  <si>
    <t>Kenaikan Bersih Kas &amp; Bank</t>
  </si>
  <si>
    <t>Saldo Bank Awal Tahun</t>
  </si>
  <si>
    <t>Saldo Bank Akhir Tahun</t>
  </si>
  <si>
    <t>CONTROL</t>
  </si>
  <si>
    <t>Note</t>
  </si>
  <si>
    <t>Audited Update</t>
  </si>
  <si>
    <t>December 31, 2024</t>
  </si>
  <si>
    <t>Saldo 31 Desember 2023</t>
  </si>
  <si>
    <t>Balance as of December 31, 2023</t>
  </si>
  <si>
    <t>Uang Muka Jaminan Ekspor</t>
  </si>
  <si>
    <t>Marubeni Indonesia, PT</t>
  </si>
  <si>
    <t>Mida Trade Ventures Indonesia, PT</t>
  </si>
  <si>
    <t>Sion Vannamei Raharja, CV</t>
  </si>
  <si>
    <t>Sri Rejeki, CV</t>
  </si>
  <si>
    <t>atas tambahan Modal</t>
  </si>
  <si>
    <t>RLKS 1</t>
  </si>
  <si>
    <t>CAJE 1&amp;2</t>
  </si>
  <si>
    <t>31 Desember 2024 dan 2023</t>
  </si>
  <si>
    <t>PT Rahayu Perdana Trans</t>
  </si>
  <si>
    <t xml:space="preserve">PT Samudera Naga Global </t>
  </si>
  <si>
    <t>Accrued Expanse - Angkut</t>
  </si>
  <si>
    <t>Beban Pengiriman</t>
  </si>
  <si>
    <t>(Adj atas Accrued Beban Pengiriman)</t>
  </si>
  <si>
    <t>New York Custom Brokers, Inc</t>
  </si>
  <si>
    <t xml:space="preserve">Beban Pingiriman </t>
  </si>
  <si>
    <t>CAJE 4&amp;5</t>
  </si>
  <si>
    <t>PT Harmoni Prima Indonesia</t>
  </si>
  <si>
    <t>(Adj atas Accrued Beban Duty)</t>
  </si>
  <si>
    <t>(Reklas atas Uang Muka)</t>
  </si>
  <si>
    <t>Reklas atas Uang Muka</t>
  </si>
  <si>
    <t>Pembelian Bahan Baku</t>
  </si>
  <si>
    <t>(Adj atas Pembelian Baku Udang)</t>
  </si>
  <si>
    <t>ARF BTPN USD</t>
  </si>
  <si>
    <t>Uang Muka Info Pak Nanda</t>
  </si>
  <si>
    <t xml:space="preserve"> 31 Desember 2024 dan 2023)</t>
  </si>
  <si>
    <t>as of December 31, 2024</t>
  </si>
  <si>
    <t>and 2023 respectively)</t>
  </si>
  <si>
    <t>pada 31 Desember 2024 dan 800.000.000</t>
  </si>
  <si>
    <t>as of December 31, 2024 and 800,000,000</t>
  </si>
  <si>
    <t>and Rp 16.681.774.940</t>
  </si>
  <si>
    <t>dan Rp 16.681.774.940</t>
  </si>
  <si>
    <t>Rp 18.960.855.664</t>
  </si>
  <si>
    <t>31 Desember 2024</t>
  </si>
  <si>
    <t>Cek SPT</t>
  </si>
  <si>
    <t>(Adj atas Prepaid PPh 22)</t>
  </si>
  <si>
    <t>(Adj atas Prepaid PPh 25)</t>
  </si>
  <si>
    <t>SUNNYVALE PO 67591</t>
  </si>
  <si>
    <t>CENSEA PO 71246</t>
  </si>
  <si>
    <t>ALPHA TRADING PO IAS ALT/005</t>
  </si>
  <si>
    <t>SUNNYVALE PO 67592</t>
  </si>
  <si>
    <t>CENSEA PO 71857</t>
  </si>
  <si>
    <t>CENSEA PO 71468</t>
  </si>
  <si>
    <t>AEL SEAFOOD</t>
  </si>
  <si>
    <t>CENSEA 72082</t>
  </si>
  <si>
    <t>(Adj Penjualan Exp Sementara)</t>
  </si>
  <si>
    <t>Penjualan Expor</t>
  </si>
  <si>
    <t>Sunnyvale</t>
  </si>
  <si>
    <t>(Adj Kelebihan Pembayaran)</t>
  </si>
  <si>
    <t>SPT Oke</t>
  </si>
  <si>
    <t>CAJE 7 &amp; 12</t>
  </si>
  <si>
    <t>Utang PPh 22</t>
  </si>
  <si>
    <t>(Adj Utang Pajak)</t>
  </si>
  <si>
    <t>Ssc Inc Sunnyvale Seafood,</t>
  </si>
  <si>
    <t>Bukti</t>
  </si>
  <si>
    <t>IDR (Kurs)</t>
  </si>
  <si>
    <t>PT Bank Mandiri (Persero) Tbk - USD</t>
  </si>
  <si>
    <t>PT Bank Negara Indonesia (Persero) Tbk - USD</t>
  </si>
  <si>
    <t>Bank JTRUST (1100024149) - USD</t>
  </si>
  <si>
    <t>Bank Mega Syariah (1000236601) - USD</t>
  </si>
  <si>
    <t>PT Bank BTPN - USD</t>
  </si>
  <si>
    <t>Bank BRI (0285-02-000022-30-5) - USD</t>
  </si>
  <si>
    <t>(Adj Saldo Rek Bank)</t>
  </si>
  <si>
    <t>Prepaid PPh 21</t>
  </si>
  <si>
    <t>Prepaid - SPT Oke</t>
  </si>
  <si>
    <t>Trade Finance, Auto Debit (tidak ada Bukti Pelunasan</t>
  </si>
  <si>
    <t>(Adj Perhitungan CKPN 2024)</t>
  </si>
  <si>
    <t>Beban (Pendapatan) Cadangan kerugian Penurunan Nilai</t>
  </si>
  <si>
    <t>Pajak PPh 21: 52.408.559</t>
  </si>
  <si>
    <t xml:space="preserve">Cadangan Kerugian Piutang </t>
  </si>
  <si>
    <t>(Adj Perhitungan Pajak Kini 2024)</t>
  </si>
  <si>
    <t>Utang Pajak PPh 29</t>
  </si>
  <si>
    <t>Pajak Giro</t>
  </si>
  <si>
    <t>Des-23</t>
  </si>
  <si>
    <t>Penjualan Lokal</t>
  </si>
  <si>
    <t>(Adj Penjualan Polybag CV Kanian)</t>
  </si>
  <si>
    <t xml:space="preserve">Utang Lain-Lain dibawah 20 juta </t>
  </si>
  <si>
    <t>(Adj Jurnal Balik atas Piutang Usaha)</t>
  </si>
  <si>
    <t>Masyarakat Saham Baru</t>
  </si>
  <si>
    <t>Agio Saham</t>
  </si>
  <si>
    <t>Setoran Laba</t>
  </si>
  <si>
    <t xml:space="preserve">Modal Disetor dari Penawaran Umum Perdana Saham </t>
  </si>
  <si>
    <t xml:space="preserve">Agio Saham atas Penawaran Umum Perdana Saham </t>
  </si>
  <si>
    <t xml:space="preserve">Biaya Emisi atas Penawaran Umum Perdana Saham </t>
  </si>
  <si>
    <t>Modal Disetor dari Penawaran Umum</t>
  </si>
  <si>
    <t>Perdana Saham</t>
  </si>
  <si>
    <t>Agio Saham atas Penawaran Umum</t>
  </si>
  <si>
    <t>Saham Perdana</t>
  </si>
  <si>
    <t>Biaya Emisi atas Penawaran Umum</t>
  </si>
  <si>
    <t>Paid-Up Capital from Initial</t>
  </si>
  <si>
    <t>Public Offering of Share</t>
  </si>
  <si>
    <t>Premium on Capital Stock Initial</t>
  </si>
  <si>
    <t>Public Offering</t>
  </si>
  <si>
    <t>Emission Costs for Initial</t>
  </si>
  <si>
    <t>Public Offering of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</si>
</sst>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6" formatCode="&quot;Rp&quot;#,##0;[Red]\-&quot;Rp&quot;#,##0"/>
    <numFmt numFmtId="41" formatCode="_-* #,##0_-;\-* #,##0_-;_-* &quot;-&quot;_-;_-@_-"/>
    <numFmt numFmtId="43" formatCode="_-* #,##0.00_-;\-* #,##0.00_-;_-* &quot;-&quot;??_-;_-@_-"/>
    <numFmt numFmtId="164" formatCode="&quot;Rp&quot;#,##0_);[Red]\(&quot;Rp&quot;#,##0\)"/>
    <numFmt numFmtId="165" formatCode="_(* #,##0_);_(* \(#,##0\);_(* &quot;-&quot;_);_(@_)"/>
    <numFmt numFmtId="166" formatCode="_(* #,##0.00_);_(* \(#,##0.00\);_(* &quot;-&quot;??_);_(@_)"/>
    <numFmt numFmtId="167" formatCode="_-* #,##0_-;\-* #,##0_-;_-* &quot;-&quot;??_-;_-@_-"/>
    <numFmt numFmtId="168" formatCode="_(* #,##0_);_(* \(#,##0\);_(* &quot;-&quot;??_);_(@_)"/>
    <numFmt numFmtId="169" formatCode="#,##0;\(#,##0\);\-\-\ "/>
    <numFmt numFmtId="170" formatCode="_(* #,##0.00_);_(* \(#,##0.00\);_(* &quot;-&quot;_);_(@_)"/>
    <numFmt numFmtId="171" formatCode="#,##0\ &quot;F&quot;;[Red]\-#,##0\ &quot;F&quot;"/>
    <numFmt numFmtId="172" formatCode="_(* #,##0_);_(* \(#,##0\);_(* \-_);_(@_)"/>
    <numFmt numFmtId="173" formatCode="_-* #,##0.00\ _F_-;\-* #,##0.00\ _F_-;_-* &quot;-&quot;??\ _F_-;_-@_-"/>
    <numFmt numFmtId="174" formatCode="#.##0_);\(#.##0\)"/>
    <numFmt numFmtId="175" formatCode="_(* #,##0.000_);_(* \(#,##0.000\);_(* &quot;-&quot;_);_(@_)"/>
    <numFmt numFmtId="176" formatCode="_(* #,##0.0000_);_(* \(#,##0.0000\);_(* &quot;-&quot;_);_(@_)"/>
    <numFmt numFmtId="177" formatCode="[$-409]mmmm\ d\,\ yyyy"/>
    <numFmt numFmtId="178" formatCode="_(* #,##0.000000_);_(* \(#,##0.000000\);_(* &quot;-&quot;_);_(@_)"/>
    <numFmt numFmtId="179" formatCode="[$-F800]dddd\,\ mmmm\ dd\,\ yyyy"/>
    <numFmt numFmtId="180" formatCode="[$-13809]dd\ mmmm\ yyyy;@"/>
    <numFmt numFmtId="181" formatCode="_(* #,##0.000_);_(* \(#,##0.000\);_(* &quot;-&quot;??_);_(@_)"/>
  </numFmts>
  <fonts count="9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charset val="1"/>
      <scheme val="minor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  <charset val="1"/>
    </font>
    <font>
      <i/>
      <sz val="9"/>
      <name val="Arial"/>
      <family val="2"/>
      <charset val="1"/>
    </font>
    <font>
      <b/>
      <i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  <charset val="1"/>
    </font>
    <font>
      <b/>
      <sz val="9"/>
      <color rgb="FFFF0000"/>
      <name val="Arial"/>
      <family val="2"/>
      <charset val="1"/>
    </font>
    <font>
      <b/>
      <sz val="11"/>
      <color rgb="FFFF0000"/>
      <name val="Calibri"/>
      <family val="2"/>
      <charset val="1"/>
      <scheme val="minor"/>
    </font>
    <font>
      <b/>
      <i/>
      <sz val="9"/>
      <color rgb="FFFF0000"/>
      <name val="Arial"/>
      <family val="2"/>
      <charset val="1"/>
    </font>
    <font>
      <i/>
      <sz val="9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i/>
      <sz val="11"/>
      <color rgb="FFFF0000"/>
      <name val="Calibri"/>
      <family val="2"/>
      <charset val="1"/>
      <scheme val="minor"/>
    </font>
    <font>
      <sz val="11"/>
      <color indexed="8"/>
      <name val="Arial Narrow"/>
      <family val="2"/>
      <charset val="1"/>
    </font>
    <font>
      <sz val="11"/>
      <color theme="1"/>
      <name val="Arial Narrow"/>
      <family val="2"/>
      <charset val="1"/>
    </font>
    <font>
      <sz val="9"/>
      <color indexed="8"/>
      <name val="Arial"/>
      <family val="2"/>
    </font>
    <font>
      <i/>
      <sz val="9"/>
      <color theme="1"/>
      <name val="Arial"/>
      <family val="2"/>
    </font>
    <font>
      <sz val="9"/>
      <color indexed="9"/>
      <name val="Arial"/>
      <family val="2"/>
    </font>
    <font>
      <sz val="9"/>
      <color indexed="10"/>
      <name val="Arial"/>
      <family val="2"/>
    </font>
    <font>
      <i/>
      <sz val="9"/>
      <color indexed="9"/>
      <name val="Arial"/>
      <family val="2"/>
      <charset val="1"/>
    </font>
    <font>
      <b/>
      <i/>
      <sz val="9"/>
      <color rgb="FFFF0000"/>
      <name val="Arial"/>
      <family val="2"/>
    </font>
    <font>
      <b/>
      <i/>
      <sz val="9"/>
      <color indexed="8"/>
      <name val="Arial"/>
      <family val="2"/>
      <charset val="1"/>
    </font>
    <font>
      <i/>
      <sz val="9"/>
      <color indexed="8"/>
      <name val="Arial"/>
      <family val="2"/>
      <charset val="1"/>
    </font>
    <font>
      <b/>
      <sz val="9"/>
      <color theme="1"/>
      <name val="Arial"/>
      <family val="2"/>
    </font>
    <font>
      <sz val="9"/>
      <color indexed="8"/>
      <name val="Arial"/>
      <family val="2"/>
      <charset val="1"/>
    </font>
    <font>
      <i/>
      <sz val="9"/>
      <color indexed="8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  <charset val="1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i/>
      <sz val="11"/>
      <color rgb="FFFF0000"/>
      <name val="Calibri"/>
      <family val="2"/>
      <scheme val="minor"/>
    </font>
    <font>
      <sz val="3"/>
      <color rgb="FF000000"/>
      <name val="Arial"/>
      <family val="2"/>
    </font>
    <font>
      <sz val="3"/>
      <color theme="1"/>
      <name val="Arial"/>
      <family val="2"/>
    </font>
    <font>
      <u/>
      <sz val="9"/>
      <color theme="1"/>
      <name val="Arial"/>
      <family val="2"/>
    </font>
    <font>
      <sz val="4"/>
      <color rgb="FF000000"/>
      <name val="Arial"/>
      <family val="2"/>
    </font>
    <font>
      <b/>
      <sz val="4"/>
      <color theme="1"/>
      <name val="Arial"/>
      <family val="2"/>
    </font>
    <font>
      <sz val="4"/>
      <color theme="1"/>
      <name val="Arial"/>
      <family val="2"/>
    </font>
    <font>
      <b/>
      <sz val="9"/>
      <color rgb="FF000000"/>
      <name val="Arial"/>
      <family val="2"/>
    </font>
    <font>
      <b/>
      <sz val="4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0"/>
      <name val="Helv"/>
    </font>
    <font>
      <sz val="12"/>
      <name val="Helv"/>
    </font>
    <font>
      <i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color indexed="8"/>
      <name val="Arial"/>
      <family val="2"/>
    </font>
    <font>
      <i/>
      <sz val="10"/>
      <color rgb="FF000000"/>
      <name val="Arial"/>
      <family val="2"/>
    </font>
    <font>
      <b/>
      <i/>
      <sz val="9"/>
      <color theme="1"/>
      <name val="Arial"/>
      <family val="2"/>
    </font>
    <font>
      <b/>
      <sz val="9"/>
      <color rgb="FF00B0F0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theme="1"/>
      <name val="Arial Narrow"/>
      <family val="2"/>
    </font>
    <font>
      <b/>
      <sz val="10"/>
      <color rgb="FFFF0000"/>
      <name val="Arial Narrow"/>
      <family val="2"/>
    </font>
    <font>
      <sz val="10"/>
      <name val="Arial Narrow"/>
      <family val="2"/>
    </font>
    <font>
      <i/>
      <sz val="10"/>
      <name val="Arial Narrow"/>
      <family val="2"/>
    </font>
    <font>
      <sz val="10"/>
      <color rgb="FFFF0000"/>
      <name val="Arial Narrow"/>
      <family val="2"/>
    </font>
    <font>
      <b/>
      <sz val="10"/>
      <name val="Arial Narrow"/>
      <family val="2"/>
    </font>
    <font>
      <b/>
      <sz val="9"/>
      <color theme="1" tint="4.9989318521683403E-2"/>
      <name val="Arial"/>
      <family val="2"/>
      <charset val="1"/>
    </font>
    <font>
      <b/>
      <sz val="10"/>
      <color theme="1" tint="4.9989318521683403E-2"/>
      <name val="Arial Narrow"/>
      <family val="2"/>
    </font>
  </fonts>
  <fills count="60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FFFFFF"/>
        <bgColor rgb="FFFFFFFF"/>
      </patternFill>
    </fill>
    <fill>
      <patternFill patternType="solid">
        <fgColor rgb="FFA6A6A6"/>
        <bgColor rgb="FFA6A6A6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5B3D7"/>
        <bgColor rgb="FF95B3D7"/>
      </patternFill>
    </fill>
    <fill>
      <patternFill patternType="solid">
        <fgColor rgb="FFFFFF00"/>
        <bgColor indexed="64"/>
      </patternFill>
    </fill>
    <fill>
      <patternFill patternType="solid">
        <fgColor rgb="FFE6B8B7"/>
        <bgColor rgb="FFE6B8B7"/>
      </patternFill>
    </fill>
    <fill>
      <patternFill patternType="solid">
        <fgColor rgb="FF963634"/>
        <bgColor rgb="FF963634"/>
      </patternFill>
    </fill>
    <fill>
      <patternFill patternType="solid">
        <fgColor rgb="FFDA9694"/>
        <bgColor rgb="FFDA9694"/>
      </patternFill>
    </fill>
    <fill>
      <patternFill patternType="solid">
        <fgColor rgb="FFA6A6A6"/>
        <bgColor indexed="64"/>
      </patternFill>
    </fill>
    <fill>
      <patternFill patternType="solid">
        <fgColor rgb="FFB4E9B1"/>
        <bgColor indexed="64"/>
      </patternFill>
    </fill>
    <fill>
      <patternFill patternType="solid">
        <fgColor rgb="FFE6B8B7"/>
        <bgColor rgb="FF95B3D7"/>
      </patternFill>
    </fill>
    <fill>
      <patternFill patternType="solid">
        <fgColor rgb="FFE6B8B7"/>
        <bgColor rgb="FFDA9694"/>
      </patternFill>
    </fill>
    <fill>
      <patternFill patternType="solid">
        <fgColor rgb="FF31869B"/>
        <bgColor rgb="FF31869B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FEDEFC"/>
        <bgColor indexed="64"/>
      </patternFill>
    </fill>
    <fill>
      <patternFill patternType="solid">
        <fgColor rgb="FFB4E9B1"/>
        <bgColor rgb="FF0000FF"/>
      </patternFill>
    </fill>
    <fill>
      <patternFill patternType="solid">
        <fgColor rgb="FFC8D7EA"/>
        <bgColor rgb="FF0000FF"/>
      </patternFill>
    </fill>
    <fill>
      <patternFill patternType="solid">
        <fgColor rgb="FFC8D7EA"/>
        <bgColor indexed="64"/>
      </patternFill>
    </fill>
    <fill>
      <patternFill patternType="solid">
        <fgColor rgb="FFEAC5C4"/>
        <bgColor rgb="FF0000FF"/>
      </patternFill>
    </fill>
    <fill>
      <patternFill patternType="solid">
        <fgColor rgb="FFEAC5C4"/>
        <bgColor indexed="64"/>
      </patternFill>
    </fill>
    <fill>
      <patternFill patternType="solid">
        <fgColor rgb="FFC4E96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rgb="FF990033"/>
      </patternFill>
    </fill>
    <fill>
      <patternFill patternType="solid">
        <fgColor theme="7" tint="0.79998168889431442"/>
        <bgColor rgb="FFA6A6A6"/>
      </patternFill>
    </fill>
    <fill>
      <patternFill patternType="solid">
        <fgColor theme="7" tint="0.79998168889431442"/>
        <bgColor rgb="FF95B3D7"/>
      </patternFill>
    </fill>
    <fill>
      <patternFill patternType="solid">
        <fgColor theme="7" tint="0.79998168889431442"/>
        <bgColor rgb="FFE6B8B7"/>
      </patternFill>
    </fill>
    <fill>
      <patternFill patternType="solid">
        <fgColor theme="7" tint="0.79998168889431442"/>
        <bgColor rgb="FF963634"/>
      </patternFill>
    </fill>
    <fill>
      <patternFill patternType="solid">
        <fgColor theme="7" tint="0.79998168889431442"/>
        <bgColor rgb="FFDA9694"/>
      </patternFill>
    </fill>
    <fill>
      <patternFill patternType="solid">
        <fgColor rgb="FF9DD8F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rgb="FF00CCFF"/>
      </patternFill>
    </fill>
    <fill>
      <patternFill patternType="solid">
        <fgColor theme="5"/>
        <bgColor rgb="FF0066CC"/>
      </patternFill>
    </fill>
    <fill>
      <patternFill patternType="solid">
        <fgColor theme="5"/>
        <bgColor rgb="FFFF0000"/>
      </patternFill>
    </fill>
    <fill>
      <patternFill patternType="solid">
        <fgColor theme="5"/>
        <bgColor rgb="FFFFFF00"/>
      </patternFill>
    </fill>
    <fill>
      <patternFill patternType="solid">
        <fgColor theme="5"/>
        <bgColor rgb="FF99CCFF"/>
      </patternFill>
    </fill>
    <fill>
      <patternFill patternType="solid">
        <fgColor theme="5"/>
        <bgColor rgb="FF666699"/>
      </patternFill>
    </fill>
    <fill>
      <patternFill patternType="solid">
        <fgColor theme="5"/>
        <bgColor indexed="64"/>
      </patternFill>
    </fill>
    <fill>
      <patternFill patternType="solid">
        <fgColor theme="7"/>
        <bgColor rgb="FF95B3D7"/>
      </patternFill>
    </fill>
    <fill>
      <patternFill patternType="solid">
        <fgColor theme="0"/>
        <bgColor rgb="FF95B3D7"/>
      </patternFill>
    </fill>
    <fill>
      <patternFill patternType="solid">
        <fgColor rgb="FFA6A6A6"/>
        <bgColor rgb="FF95B3D7"/>
      </patternFill>
    </fill>
    <fill>
      <patternFill patternType="solid">
        <fgColor theme="7"/>
        <bgColor rgb="FFE6B8B7"/>
      </patternFill>
    </fill>
    <fill>
      <patternFill patternType="solid">
        <fgColor theme="1"/>
        <bgColor rgb="FF990033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BF541"/>
        <bgColor indexed="64"/>
      </patternFill>
    </fill>
    <fill>
      <patternFill patternType="solid">
        <fgColor rgb="FFFFFF00"/>
        <bgColor rgb="FF0066CC"/>
      </patternFill>
    </fill>
    <fill>
      <patternFill patternType="solid">
        <fgColor rgb="FFFFFF00"/>
        <bgColor rgb="FFFF0000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</borders>
  <cellStyleXfs count="37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" fontId="11" fillId="0" borderId="0">
      <alignment horizontal="left" vertical="top"/>
    </xf>
    <xf numFmtId="0" fontId="1" fillId="0" borderId="0"/>
    <xf numFmtId="165" fontId="7" fillId="0" borderId="0" applyFont="0" applyFill="0" applyBorder="0" applyAlignment="0" applyProtection="0"/>
    <xf numFmtId="0" fontId="15" fillId="0" borderId="0"/>
    <xf numFmtId="0" fontId="15" fillId="0" borderId="0"/>
    <xf numFmtId="166" fontId="1" fillId="0" borderId="0" applyFont="0" applyFill="0" applyBorder="0" applyAlignment="0" applyProtection="0"/>
    <xf numFmtId="0" fontId="30" fillId="0" borderId="0"/>
    <xf numFmtId="165" fontId="33" fillId="0" borderId="0" applyFont="0" applyFill="0" applyBorder="0" applyAlignment="0" applyProtection="0"/>
    <xf numFmtId="0" fontId="34" fillId="0" borderId="0"/>
    <xf numFmtId="9" fontId="1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165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15" fillId="0" borderId="0"/>
    <xf numFmtId="171" fontId="15" fillId="0" borderId="0" applyFill="0" applyBorder="0" applyAlignment="0" applyProtection="0"/>
    <xf numFmtId="172" fontId="15" fillId="0" borderId="0" applyFill="0" applyBorder="0" applyAlignment="0" applyProtection="0"/>
    <xf numFmtId="173" fontId="69" fillId="0" borderId="0"/>
    <xf numFmtId="0" fontId="15" fillId="0" borderId="0"/>
    <xf numFmtId="0" fontId="1" fillId="0" borderId="0"/>
    <xf numFmtId="37" fontId="70" fillId="0" borderId="0"/>
    <xf numFmtId="173" fontId="15" fillId="0" borderId="0"/>
    <xf numFmtId="0" fontId="51" fillId="0" borderId="0"/>
    <xf numFmtId="0" fontId="51" fillId="0" borderId="0"/>
    <xf numFmtId="0" fontId="51" fillId="0" borderId="0"/>
    <xf numFmtId="165" fontId="33" fillId="0" borderId="0" applyFont="0" applyFill="0" applyBorder="0" applyAlignment="0" applyProtection="0"/>
    <xf numFmtId="0" fontId="15" fillId="0" borderId="0"/>
    <xf numFmtId="0" fontId="7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5" fillId="0" borderId="0" applyFont="0" applyFill="0" applyBorder="0" applyAlignment="0" applyProtection="0"/>
  </cellStyleXfs>
  <cellXfs count="999">
    <xf numFmtId="0" fontId="0" fillId="0" borderId="0" xfId="0"/>
    <xf numFmtId="0" fontId="5" fillId="0" borderId="0" xfId="3" applyFont="1" applyAlignment="1">
      <alignment vertical="center"/>
    </xf>
    <xf numFmtId="0" fontId="6" fillId="0" borderId="0" xfId="3" applyFont="1" applyAlignment="1">
      <alignment horizontal="left" vertical="center"/>
    </xf>
    <xf numFmtId="165" fontId="5" fillId="0" borderId="0" xfId="1" applyNumberFormat="1" applyFont="1" applyAlignment="1">
      <alignment horizontal="right" vertical="center"/>
    </xf>
    <xf numFmtId="0" fontId="5" fillId="0" borderId="0" xfId="3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165" fontId="1" fillId="0" borderId="1" xfId="1" applyNumberFormat="1" applyFont="1" applyFill="1" applyBorder="1" applyAlignment="1">
      <alignment horizontal="left"/>
    </xf>
    <xf numFmtId="165" fontId="5" fillId="0" borderId="1" xfId="1" applyNumberFormat="1" applyFont="1" applyBorder="1" applyAlignment="1">
      <alignment horizontal="right" vertical="center"/>
    </xf>
    <xf numFmtId="165" fontId="1" fillId="0" borderId="1" xfId="1" applyNumberFormat="1" applyFont="1" applyFill="1" applyBorder="1" applyAlignment="1">
      <alignment horizontal="left" vertical="center"/>
    </xf>
    <xf numFmtId="165" fontId="5" fillId="0" borderId="0" xfId="1" applyNumberFormat="1" applyFont="1" applyFill="1" applyAlignment="1">
      <alignment horizontal="left" vertical="center"/>
    </xf>
    <xf numFmtId="165" fontId="8" fillId="2" borderId="2" xfId="1" applyNumberFormat="1" applyFont="1" applyFill="1" applyBorder="1" applyAlignment="1">
      <alignment horizontal="center" vertical="center"/>
    </xf>
    <xf numFmtId="165" fontId="8" fillId="2" borderId="2" xfId="4" quotePrefix="1" applyFont="1" applyFill="1" applyBorder="1" applyAlignment="1">
      <alignment horizontal="center" vertical="center"/>
    </xf>
    <xf numFmtId="0" fontId="4" fillId="0" borderId="1" xfId="3" applyFont="1" applyBorder="1" applyAlignment="1">
      <alignment horizontal="left" vertical="center"/>
    </xf>
    <xf numFmtId="165" fontId="4" fillId="0" borderId="1" xfId="1" applyNumberFormat="1" applyFont="1" applyBorder="1" applyAlignment="1">
      <alignment horizontal="left" vertical="center"/>
    </xf>
    <xf numFmtId="0" fontId="1" fillId="0" borderId="1" xfId="3" applyBorder="1" applyAlignment="1">
      <alignment horizontal="left" vertical="center"/>
    </xf>
    <xf numFmtId="165" fontId="1" fillId="0" borderId="1" xfId="1" applyNumberFormat="1" applyFont="1" applyBorder="1" applyAlignment="1">
      <alignment horizontal="left" vertical="center"/>
    </xf>
    <xf numFmtId="0" fontId="4" fillId="0" borderId="1" xfId="3" applyFont="1" applyBorder="1" applyAlignment="1">
      <alignment horizontal="right" vertical="center"/>
    </xf>
    <xf numFmtId="0" fontId="1" fillId="0" borderId="1" xfId="3" quotePrefix="1" applyBorder="1" applyAlignment="1">
      <alignment horizontal="center" vertical="center"/>
    </xf>
    <xf numFmtId="0" fontId="4" fillId="0" borderId="1" xfId="3" quotePrefix="1" applyFont="1" applyBorder="1" applyAlignment="1">
      <alignment horizontal="right" vertical="center"/>
    </xf>
    <xf numFmtId="0" fontId="6" fillId="4" borderId="1" xfId="3" applyFont="1" applyFill="1" applyBorder="1" applyAlignment="1">
      <alignment horizontal="left" vertical="center"/>
    </xf>
    <xf numFmtId="0" fontId="4" fillId="4" borderId="1" xfId="3" applyFont="1" applyFill="1" applyBorder="1" applyAlignment="1">
      <alignment horizontal="left" vertical="center"/>
    </xf>
    <xf numFmtId="165" fontId="4" fillId="4" borderId="1" xfId="1" applyNumberFormat="1" applyFont="1" applyFill="1" applyBorder="1" applyAlignment="1">
      <alignment horizontal="right" vertical="center"/>
    </xf>
    <xf numFmtId="0" fontId="4" fillId="0" borderId="3" xfId="3" applyFont="1" applyBorder="1" applyAlignment="1">
      <alignment horizontal="left" vertical="center"/>
    </xf>
    <xf numFmtId="165" fontId="4" fillId="3" borderId="1" xfId="1" applyNumberFormat="1" applyFont="1" applyFill="1" applyBorder="1" applyAlignment="1">
      <alignment horizontal="left" vertical="center"/>
    </xf>
    <xf numFmtId="0" fontId="4" fillId="0" borderId="1" xfId="3" applyFont="1" applyBorder="1" applyAlignment="1">
      <alignment horizontal="left" vertical="center" indent="2"/>
    </xf>
    <xf numFmtId="165" fontId="4" fillId="0" borderId="1" xfId="1" applyNumberFormat="1" applyFont="1" applyFill="1" applyBorder="1" applyAlignment="1">
      <alignment horizontal="left" vertical="center"/>
    </xf>
    <xf numFmtId="0" fontId="5" fillId="0" borderId="1" xfId="3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horizontal="right" vertical="center"/>
    </xf>
    <xf numFmtId="0" fontId="4" fillId="0" borderId="1" xfId="3" quotePrefix="1" applyFont="1" applyBorder="1" applyAlignment="1">
      <alignment horizontal="left" vertical="center" indent="2"/>
    </xf>
    <xf numFmtId="165" fontId="1" fillId="0" borderId="1" xfId="1" applyNumberFormat="1" applyFont="1" applyBorder="1" applyAlignment="1">
      <alignment horizontal="right" vertical="center"/>
    </xf>
    <xf numFmtId="0" fontId="1" fillId="4" borderId="1" xfId="3" applyFill="1" applyBorder="1" applyAlignment="1">
      <alignment horizontal="left" vertical="center"/>
    </xf>
    <xf numFmtId="0" fontId="4" fillId="6" borderId="1" xfId="3" applyFont="1" applyFill="1" applyBorder="1" applyAlignment="1">
      <alignment horizontal="left" vertical="center"/>
    </xf>
    <xf numFmtId="165" fontId="4" fillId="6" borderId="1" xfId="1" applyNumberFormat="1" applyFont="1" applyFill="1" applyBorder="1" applyAlignment="1">
      <alignment horizontal="right" vertical="center"/>
    </xf>
    <xf numFmtId="0" fontId="6" fillId="0" borderId="1" xfId="3" applyFont="1" applyBorder="1" applyAlignment="1">
      <alignment horizontal="left" vertical="center"/>
    </xf>
    <xf numFmtId="0" fontId="1" fillId="0" borderId="1" xfId="3" applyBorder="1" applyAlignment="1">
      <alignment horizontal="center" vertical="center"/>
    </xf>
    <xf numFmtId="0" fontId="5" fillId="5" borderId="1" xfId="3" applyFont="1" applyFill="1" applyBorder="1" applyAlignment="1">
      <alignment horizontal="left" vertical="center"/>
    </xf>
    <xf numFmtId="165" fontId="4" fillId="0" borderId="1" xfId="1" applyNumberFormat="1" applyFont="1" applyFill="1" applyBorder="1" applyAlignment="1">
      <alignment horizontal="right" vertical="center"/>
    </xf>
    <xf numFmtId="0" fontId="1" fillId="5" borderId="1" xfId="3" applyFill="1" applyBorder="1" applyAlignment="1">
      <alignment horizontal="left" vertical="center"/>
    </xf>
    <xf numFmtId="165" fontId="1" fillId="0" borderId="1" xfId="1" applyNumberFormat="1" applyFont="1" applyFill="1" applyBorder="1" applyAlignment="1">
      <alignment horizontal="right" vertical="center"/>
    </xf>
    <xf numFmtId="4" fontId="5" fillId="0" borderId="1" xfId="5" quotePrefix="1" applyFont="1" applyBorder="1" applyAlignment="1">
      <alignment vertical="top" wrapText="1"/>
    </xf>
    <xf numFmtId="0" fontId="4" fillId="0" borderId="1" xfId="6" applyFont="1" applyBorder="1" applyAlignment="1">
      <alignment horizontal="left" vertical="center"/>
    </xf>
    <xf numFmtId="0" fontId="4" fillId="4" borderId="1" xfId="6" applyFont="1" applyFill="1" applyBorder="1" applyAlignment="1">
      <alignment horizontal="left" vertical="center"/>
    </xf>
    <xf numFmtId="165" fontId="4" fillId="4" borderId="1" xfId="3" applyNumberFormat="1" applyFont="1" applyFill="1" applyBorder="1" applyAlignment="1">
      <alignment horizontal="left" vertical="center"/>
    </xf>
    <xf numFmtId="0" fontId="4" fillId="8" borderId="1" xfId="3" applyFont="1" applyFill="1" applyBorder="1" applyAlignment="1">
      <alignment horizontal="left" vertical="center"/>
    </xf>
    <xf numFmtId="165" fontId="4" fillId="8" borderId="1" xfId="1" applyNumberFormat="1" applyFont="1" applyFill="1" applyBorder="1" applyAlignment="1">
      <alignment horizontal="right" vertical="center"/>
    </xf>
    <xf numFmtId="0" fontId="2" fillId="9" borderId="1" xfId="3" applyFont="1" applyFill="1" applyBorder="1" applyAlignment="1">
      <alignment horizontal="left" vertical="center"/>
    </xf>
    <xf numFmtId="165" fontId="2" fillId="9" borderId="1" xfId="1" applyNumberFormat="1" applyFont="1" applyFill="1" applyBorder="1" applyAlignment="1">
      <alignment horizontal="right" vertical="center"/>
    </xf>
    <xf numFmtId="165" fontId="6" fillId="0" borderId="1" xfId="1" applyNumberFormat="1" applyFont="1" applyBorder="1" applyAlignment="1">
      <alignment horizontal="right" vertical="center"/>
    </xf>
    <xf numFmtId="167" fontId="4" fillId="0" borderId="1" xfId="3" applyNumberFormat="1" applyFont="1" applyBorder="1" applyAlignment="1">
      <alignment horizontal="left" vertical="center"/>
    </xf>
    <xf numFmtId="0" fontId="12" fillId="0" borderId="1" xfId="3" applyFont="1" applyBorder="1" applyAlignment="1">
      <alignment horizontal="left" vertical="center"/>
    </xf>
    <xf numFmtId="165" fontId="12" fillId="0" borderId="1" xfId="1" applyNumberFormat="1" applyFont="1" applyBorder="1" applyAlignment="1">
      <alignment horizontal="right" vertical="center"/>
    </xf>
    <xf numFmtId="165" fontId="5" fillId="0" borderId="1" xfId="7" applyFont="1" applyBorder="1" applyAlignment="1">
      <alignment horizontal="right" vertical="center"/>
    </xf>
    <xf numFmtId="0" fontId="1" fillId="0" borderId="1" xfId="3" applyBorder="1" applyAlignment="1">
      <alignment horizontal="left" vertical="center" indent="1"/>
    </xf>
    <xf numFmtId="165" fontId="5" fillId="7" borderId="1" xfId="1" applyNumberFormat="1" applyFont="1" applyFill="1" applyBorder="1" applyAlignment="1">
      <alignment horizontal="right" vertical="center"/>
    </xf>
    <xf numFmtId="166" fontId="1" fillId="0" borderId="1" xfId="3" applyNumberFormat="1" applyBorder="1" applyAlignment="1">
      <alignment horizontal="left" vertical="center"/>
    </xf>
    <xf numFmtId="166" fontId="3" fillId="0" borderId="1" xfId="3" applyNumberFormat="1" applyFont="1" applyBorder="1" applyAlignment="1">
      <alignment horizontal="left" vertical="center"/>
    </xf>
    <xf numFmtId="166" fontId="12" fillId="0" borderId="1" xfId="3" applyNumberFormat="1" applyFont="1" applyBorder="1" applyAlignment="1">
      <alignment horizontal="left" vertical="center"/>
    </xf>
    <xf numFmtId="166" fontId="1" fillId="0" borderId="1" xfId="6" applyNumberFormat="1" applyBorder="1" applyAlignment="1">
      <alignment horizontal="left" vertical="center"/>
    </xf>
    <xf numFmtId="0" fontId="4" fillId="10" borderId="1" xfId="3" applyFont="1" applyFill="1" applyBorder="1" applyAlignment="1">
      <alignment horizontal="left" vertical="center"/>
    </xf>
    <xf numFmtId="165" fontId="4" fillId="10" borderId="1" xfId="1" applyNumberFormat="1" applyFont="1" applyFill="1" applyBorder="1" applyAlignment="1">
      <alignment horizontal="right" vertical="center"/>
    </xf>
    <xf numFmtId="166" fontId="6" fillId="0" borderId="1" xfId="3" applyNumberFormat="1" applyFont="1" applyBorder="1" applyAlignment="1">
      <alignment horizontal="left" vertical="center"/>
    </xf>
    <xf numFmtId="0" fontId="13" fillId="0" borderId="1" xfId="3" applyFont="1" applyBorder="1" applyAlignment="1">
      <alignment horizontal="left" vertical="center"/>
    </xf>
    <xf numFmtId="165" fontId="9" fillId="0" borderId="1" xfId="1" applyNumberFormat="1" applyFont="1" applyFill="1" applyBorder="1" applyAlignment="1">
      <alignment horizontal="right" vertical="center"/>
    </xf>
    <xf numFmtId="165" fontId="13" fillId="0" borderId="1" xfId="1" applyNumberFormat="1" applyFont="1" applyFill="1" applyBorder="1" applyAlignment="1">
      <alignment horizontal="right" vertical="center"/>
    </xf>
    <xf numFmtId="0" fontId="4" fillId="0" borderId="1" xfId="3" applyFont="1" applyBorder="1" applyAlignment="1">
      <alignment vertical="center"/>
    </xf>
    <xf numFmtId="0" fontId="1" fillId="0" borderId="1" xfId="3" applyBorder="1" applyAlignment="1">
      <alignment vertical="center"/>
    </xf>
    <xf numFmtId="0" fontId="1" fillId="0" borderId="1" xfId="3" applyBorder="1" applyAlignment="1">
      <alignment horizontal="left" vertical="center" indent="2"/>
    </xf>
    <xf numFmtId="165" fontId="1" fillId="0" borderId="1" xfId="3" applyNumberFormat="1" applyBorder="1" applyAlignment="1">
      <alignment horizontal="left" vertical="center"/>
    </xf>
    <xf numFmtId="165" fontId="4" fillId="0" borderId="1" xfId="1" applyNumberFormat="1" applyFont="1" applyBorder="1" applyAlignment="1">
      <alignment horizontal="right" vertical="center"/>
    </xf>
    <xf numFmtId="0" fontId="5" fillId="7" borderId="1" xfId="3" applyFont="1" applyFill="1" applyBorder="1" applyAlignment="1">
      <alignment horizontal="left" vertical="center"/>
    </xf>
    <xf numFmtId="0" fontId="4" fillId="11" borderId="1" xfId="3" applyFont="1" applyFill="1" applyBorder="1" applyAlignment="1">
      <alignment horizontal="center" vertical="center"/>
    </xf>
    <xf numFmtId="0" fontId="6" fillId="11" borderId="1" xfId="3" applyFont="1" applyFill="1" applyBorder="1" applyAlignment="1">
      <alignment horizontal="left" vertical="center"/>
    </xf>
    <xf numFmtId="165" fontId="4" fillId="11" borderId="1" xfId="1" applyNumberFormat="1" applyFont="1" applyFill="1" applyBorder="1" applyAlignment="1">
      <alignment horizontal="right" vertical="center"/>
    </xf>
    <xf numFmtId="0" fontId="4" fillId="11" borderId="1" xfId="3" applyFont="1" applyFill="1" applyBorder="1" applyAlignment="1">
      <alignment horizontal="right" vertical="center"/>
    </xf>
    <xf numFmtId="165" fontId="4" fillId="0" borderId="1" xfId="2" applyFont="1" applyFill="1" applyBorder="1" applyAlignment="1">
      <alignment horizontal="right" vertical="center"/>
    </xf>
    <xf numFmtId="165" fontId="6" fillId="0" borderId="1" xfId="2" applyFont="1" applyFill="1" applyBorder="1" applyAlignment="1">
      <alignment horizontal="left" vertical="center"/>
    </xf>
    <xf numFmtId="165" fontId="6" fillId="0" borderId="1" xfId="2" applyFont="1" applyFill="1" applyBorder="1" applyAlignment="1">
      <alignment horizontal="right" vertical="center"/>
    </xf>
    <xf numFmtId="165" fontId="6" fillId="0" borderId="1" xfId="7" applyFont="1" applyFill="1" applyBorder="1" applyAlignment="1">
      <alignment horizontal="right" vertical="center"/>
    </xf>
    <xf numFmtId="165" fontId="5" fillId="0" borderId="1" xfId="3" applyNumberFormat="1" applyFont="1" applyBorder="1" applyAlignment="1">
      <alignment horizontal="left" vertical="center"/>
    </xf>
    <xf numFmtId="165" fontId="6" fillId="11" borderId="1" xfId="1" applyNumberFormat="1" applyFont="1" applyFill="1" applyBorder="1" applyAlignment="1">
      <alignment horizontal="right" vertical="center"/>
    </xf>
    <xf numFmtId="0" fontId="6" fillId="0" borderId="1" xfId="3" applyFont="1" applyBorder="1" applyAlignment="1">
      <alignment horizontal="left" vertical="center" indent="2"/>
    </xf>
    <xf numFmtId="0" fontId="6" fillId="0" borderId="1" xfId="3" applyFont="1" applyBorder="1" applyAlignment="1">
      <alignment horizontal="left" vertical="center" wrapText="1"/>
    </xf>
    <xf numFmtId="165" fontId="6" fillId="0" borderId="1" xfId="1" applyNumberFormat="1" applyFont="1" applyFill="1" applyBorder="1" applyAlignment="1">
      <alignment horizontal="right" vertical="center"/>
    </xf>
    <xf numFmtId="0" fontId="5" fillId="0" borderId="1" xfId="3" applyFont="1" applyBorder="1" applyAlignment="1">
      <alignment horizontal="left" vertical="center" wrapText="1"/>
    </xf>
    <xf numFmtId="165" fontId="5" fillId="0" borderId="1" xfId="4" applyFont="1" applyBorder="1" applyAlignment="1">
      <alignment horizontal="left" vertical="center"/>
    </xf>
    <xf numFmtId="0" fontId="5" fillId="0" borderId="1" xfId="6" applyFont="1" applyBorder="1" applyAlignment="1">
      <alignment horizontal="left" vertical="center" wrapText="1"/>
    </xf>
    <xf numFmtId="165" fontId="5" fillId="0" borderId="1" xfId="7" applyFont="1" applyBorder="1" applyAlignment="1">
      <alignment horizontal="left" vertical="center" wrapText="1"/>
    </xf>
    <xf numFmtId="0" fontId="6" fillId="6" borderId="1" xfId="3" applyFont="1" applyFill="1" applyBorder="1" applyAlignment="1">
      <alignment horizontal="left" vertical="center"/>
    </xf>
    <xf numFmtId="0" fontId="1" fillId="10" borderId="1" xfId="3" applyFill="1" applyBorder="1" applyAlignment="1">
      <alignment horizontal="left" vertical="center"/>
    </xf>
    <xf numFmtId="165" fontId="4" fillId="0" borderId="1" xfId="3" applyNumberFormat="1" applyFont="1" applyBorder="1" applyAlignment="1">
      <alignment horizontal="left" vertical="center"/>
    </xf>
    <xf numFmtId="0" fontId="8" fillId="9" borderId="4" xfId="3" applyFont="1" applyFill="1" applyBorder="1" applyAlignment="1">
      <alignment horizontal="left" vertical="center"/>
    </xf>
    <xf numFmtId="165" fontId="2" fillId="9" borderId="4" xfId="1" applyNumberFormat="1" applyFont="1" applyFill="1" applyBorder="1" applyAlignment="1">
      <alignment horizontal="right" vertical="center"/>
    </xf>
    <xf numFmtId="0" fontId="4" fillId="0" borderId="1" xfId="3" applyFont="1" applyBorder="1" applyAlignment="1">
      <alignment horizontal="left" vertical="top"/>
    </xf>
    <xf numFmtId="0" fontId="9" fillId="0" borderId="1" xfId="3" applyFont="1" applyBorder="1" applyAlignment="1">
      <alignment horizontal="left" vertical="center"/>
    </xf>
    <xf numFmtId="0" fontId="0" fillId="12" borderId="0" xfId="0" applyFill="1"/>
    <xf numFmtId="0" fontId="0" fillId="12" borderId="1" xfId="0" applyFill="1" applyBorder="1"/>
    <xf numFmtId="0" fontId="4" fillId="13" borderId="1" xfId="3" applyFont="1" applyFill="1" applyBorder="1" applyAlignment="1">
      <alignment horizontal="left" vertical="center"/>
    </xf>
    <xf numFmtId="165" fontId="4" fillId="13" borderId="1" xfId="1" applyNumberFormat="1" applyFont="1" applyFill="1" applyBorder="1" applyAlignment="1">
      <alignment horizontal="right" vertical="center"/>
    </xf>
    <xf numFmtId="165" fontId="4" fillId="14" borderId="1" xfId="1" applyNumberFormat="1" applyFont="1" applyFill="1" applyBorder="1" applyAlignment="1">
      <alignment horizontal="right" vertical="center"/>
    </xf>
    <xf numFmtId="0" fontId="4" fillId="14" borderId="1" xfId="3" applyFont="1" applyFill="1" applyBorder="1" applyAlignment="1">
      <alignment horizontal="left" vertical="center"/>
    </xf>
    <xf numFmtId="165" fontId="8" fillId="2" borderId="8" xfId="1" applyNumberFormat="1" applyFont="1" applyFill="1" applyBorder="1" applyAlignment="1">
      <alignment horizontal="center" vertical="center" wrapText="1"/>
    </xf>
    <xf numFmtId="165" fontId="6" fillId="0" borderId="0" xfId="3" applyNumberFormat="1" applyFont="1" applyAlignment="1">
      <alignment horizontal="left" vertical="center"/>
    </xf>
    <xf numFmtId="0" fontId="6" fillId="0" borderId="0" xfId="3" applyFont="1" applyAlignment="1">
      <alignment horizontal="right" vertical="center"/>
    </xf>
    <xf numFmtId="165" fontId="1" fillId="16" borderId="1" xfId="3" applyNumberFormat="1" applyFill="1" applyBorder="1" applyAlignment="1">
      <alignment horizontal="left" vertical="center"/>
    </xf>
    <xf numFmtId="165" fontId="6" fillId="16" borderId="1" xfId="2" applyFont="1" applyFill="1" applyBorder="1" applyAlignment="1">
      <alignment horizontal="left" vertical="center"/>
    </xf>
    <xf numFmtId="165" fontId="5" fillId="16" borderId="1" xfId="3" applyNumberFormat="1" applyFont="1" applyFill="1" applyBorder="1" applyAlignment="1">
      <alignment horizontal="left" vertical="center"/>
    </xf>
    <xf numFmtId="165" fontId="4" fillId="16" borderId="1" xfId="3" applyNumberFormat="1" applyFont="1" applyFill="1" applyBorder="1" applyAlignment="1">
      <alignment horizontal="left" vertical="center"/>
    </xf>
    <xf numFmtId="165" fontId="5" fillId="0" borderId="0" xfId="1" applyNumberFormat="1" applyFont="1" applyFill="1" applyAlignment="1">
      <alignment horizontal="right" vertical="center"/>
    </xf>
    <xf numFmtId="0" fontId="6" fillId="0" borderId="0" xfId="3" applyFont="1" applyAlignment="1">
      <alignment vertical="center"/>
    </xf>
    <xf numFmtId="165" fontId="1" fillId="0" borderId="0" xfId="1" applyNumberFormat="1" applyFont="1" applyFill="1" applyAlignment="1">
      <alignment horizontal="right" vertical="center"/>
    </xf>
    <xf numFmtId="165" fontId="4" fillId="0" borderId="0" xfId="1" applyNumberFormat="1" applyFont="1" applyFill="1" applyAlignment="1">
      <alignment horizontal="right" vertical="center"/>
    </xf>
    <xf numFmtId="165" fontId="5" fillId="0" borderId="0" xfId="3" applyNumberFormat="1" applyFont="1" applyAlignment="1">
      <alignment horizontal="left" vertical="center"/>
    </xf>
    <xf numFmtId="165" fontId="6" fillId="0" borderId="0" xfId="3" applyNumberFormat="1" applyFont="1" applyAlignment="1">
      <alignment horizontal="right" vertical="center"/>
    </xf>
    <xf numFmtId="165" fontId="5" fillId="0" borderId="0" xfId="3" applyNumberFormat="1" applyFont="1" applyAlignment="1">
      <alignment vertical="center"/>
    </xf>
    <xf numFmtId="165" fontId="8" fillId="2" borderId="11" xfId="2" applyFont="1" applyFill="1" applyBorder="1" applyAlignment="1">
      <alignment horizontal="center" vertical="center"/>
    </xf>
    <xf numFmtId="165" fontId="8" fillId="2" borderId="5" xfId="4" applyFont="1" applyFill="1" applyBorder="1" applyAlignment="1">
      <alignment horizontal="center" vertical="center" wrapText="1"/>
    </xf>
    <xf numFmtId="165" fontId="8" fillId="2" borderId="5" xfId="4" quotePrefix="1" applyFont="1" applyFill="1" applyBorder="1" applyAlignment="1">
      <alignment horizontal="center" vertical="center" wrapText="1"/>
    </xf>
    <xf numFmtId="165" fontId="8" fillId="15" borderId="9" xfId="3" applyNumberFormat="1" applyFont="1" applyFill="1" applyBorder="1" applyAlignment="1">
      <alignment horizontal="center" vertical="center" wrapText="1"/>
    </xf>
    <xf numFmtId="165" fontId="8" fillId="15" borderId="10" xfId="3" applyNumberFormat="1" applyFont="1" applyFill="1" applyBorder="1" applyAlignment="1">
      <alignment horizontal="center" vertical="center" wrapText="1"/>
    </xf>
    <xf numFmtId="165" fontId="4" fillId="6" borderId="1" xfId="3" applyNumberFormat="1" applyFont="1" applyFill="1" applyBorder="1" applyAlignment="1">
      <alignment horizontal="left" vertical="center"/>
    </xf>
    <xf numFmtId="165" fontId="6" fillId="0" borderId="1" xfId="3" applyNumberFormat="1" applyFont="1" applyBorder="1" applyAlignment="1">
      <alignment horizontal="left" vertical="center"/>
    </xf>
    <xf numFmtId="165" fontId="5" fillId="0" borderId="1" xfId="2" applyFont="1" applyBorder="1" applyAlignment="1">
      <alignment horizontal="left" vertical="center"/>
    </xf>
    <xf numFmtId="165" fontId="6" fillId="0" borderId="1" xfId="2" applyFont="1" applyBorder="1" applyAlignment="1">
      <alignment horizontal="left" vertical="center"/>
    </xf>
    <xf numFmtId="165" fontId="5" fillId="0" borderId="1" xfId="5" quotePrefix="1" applyNumberFormat="1" applyFont="1" applyBorder="1" applyAlignment="1">
      <alignment vertical="top" wrapText="1"/>
    </xf>
    <xf numFmtId="165" fontId="4" fillId="13" borderId="1" xfId="3" applyNumberFormat="1" applyFont="1" applyFill="1" applyBorder="1" applyAlignment="1">
      <alignment horizontal="left" vertical="center"/>
    </xf>
    <xf numFmtId="165" fontId="9" fillId="0" borderId="1" xfId="3" applyNumberFormat="1" applyFont="1" applyBorder="1" applyAlignment="1">
      <alignment horizontal="left" vertical="center"/>
    </xf>
    <xf numFmtId="165" fontId="4" fillId="4" borderId="1" xfId="6" applyNumberFormat="1" applyFont="1" applyFill="1" applyBorder="1" applyAlignment="1">
      <alignment horizontal="left" vertical="center"/>
    </xf>
    <xf numFmtId="165" fontId="4" fillId="8" borderId="1" xfId="3" applyNumberFormat="1" applyFont="1" applyFill="1" applyBorder="1" applyAlignment="1">
      <alignment horizontal="left" vertical="center"/>
    </xf>
    <xf numFmtId="165" fontId="2" fillId="9" borderId="1" xfId="3" applyNumberFormat="1" applyFont="1" applyFill="1" applyBorder="1" applyAlignment="1">
      <alignment horizontal="left" vertical="center"/>
    </xf>
    <xf numFmtId="165" fontId="12" fillId="0" borderId="1" xfId="3" applyNumberFormat="1" applyFont="1" applyBorder="1" applyAlignment="1">
      <alignment horizontal="left" vertical="center"/>
    </xf>
    <xf numFmtId="165" fontId="1" fillId="0" borderId="1" xfId="3" applyNumberFormat="1" applyBorder="1" applyAlignment="1">
      <alignment horizontal="left" vertical="center" indent="1"/>
    </xf>
    <xf numFmtId="165" fontId="3" fillId="0" borderId="1" xfId="3" applyNumberFormat="1" applyFont="1" applyBorder="1" applyAlignment="1">
      <alignment horizontal="left" vertical="center"/>
    </xf>
    <xf numFmtId="165" fontId="1" fillId="0" borderId="1" xfId="6" applyNumberFormat="1" applyBorder="1" applyAlignment="1">
      <alignment horizontal="left" vertical="center"/>
    </xf>
    <xf numFmtId="165" fontId="4" fillId="14" borderId="1" xfId="3" applyNumberFormat="1" applyFont="1" applyFill="1" applyBorder="1" applyAlignment="1">
      <alignment horizontal="left" vertical="center"/>
    </xf>
    <xf numFmtId="165" fontId="13" fillId="0" borderId="1" xfId="3" applyNumberFormat="1" applyFont="1" applyBorder="1" applyAlignment="1">
      <alignment horizontal="left" vertical="center"/>
    </xf>
    <xf numFmtId="165" fontId="4" fillId="0" borderId="1" xfId="3" applyNumberFormat="1" applyFont="1" applyBorder="1" applyAlignment="1">
      <alignment vertical="center"/>
    </xf>
    <xf numFmtId="165" fontId="1" fillId="0" borderId="1" xfId="3" applyNumberFormat="1" applyBorder="1" applyAlignment="1">
      <alignment vertical="center"/>
    </xf>
    <xf numFmtId="165" fontId="1" fillId="0" borderId="1" xfId="3" applyNumberFormat="1" applyBorder="1" applyAlignment="1">
      <alignment horizontal="left" vertical="center" indent="2"/>
    </xf>
    <xf numFmtId="165" fontId="4" fillId="10" borderId="1" xfId="3" applyNumberFormat="1" applyFont="1" applyFill="1" applyBorder="1" applyAlignment="1">
      <alignment horizontal="left" vertical="center"/>
    </xf>
    <xf numFmtId="165" fontId="6" fillId="11" borderId="1" xfId="3" applyNumberFormat="1" applyFont="1" applyFill="1" applyBorder="1" applyAlignment="1">
      <alignment horizontal="left" vertical="center"/>
    </xf>
    <xf numFmtId="165" fontId="6" fillId="0" borderId="1" xfId="3" applyNumberFormat="1" applyFont="1" applyBorder="1" applyAlignment="1">
      <alignment horizontal="left" vertical="center" wrapText="1"/>
    </xf>
    <xf numFmtId="165" fontId="5" fillId="0" borderId="1" xfId="3" applyNumberFormat="1" applyFont="1" applyBorder="1" applyAlignment="1">
      <alignment horizontal="left" vertical="center" wrapText="1"/>
    </xf>
    <xf numFmtId="165" fontId="5" fillId="0" borderId="1" xfId="6" applyNumberFormat="1" applyFont="1" applyBorder="1" applyAlignment="1">
      <alignment horizontal="left" vertical="center" wrapText="1"/>
    </xf>
    <xf numFmtId="165" fontId="6" fillId="6" borderId="1" xfId="3" applyNumberFormat="1" applyFont="1" applyFill="1" applyBorder="1" applyAlignment="1">
      <alignment horizontal="left" vertical="center"/>
    </xf>
    <xf numFmtId="165" fontId="8" fillId="9" borderId="4" xfId="3" applyNumberFormat="1" applyFont="1" applyFill="1" applyBorder="1" applyAlignment="1">
      <alignment horizontal="left" vertical="center"/>
    </xf>
    <xf numFmtId="165" fontId="2" fillId="17" borderId="0" xfId="3" applyNumberFormat="1" applyFont="1" applyFill="1" applyAlignment="1">
      <alignment horizontal="center" vertical="center"/>
    </xf>
    <xf numFmtId="0" fontId="16" fillId="18" borderId="0" xfId="8" applyFont="1" applyFill="1" applyAlignment="1">
      <alignment horizontal="center" vertical="top"/>
    </xf>
    <xf numFmtId="0" fontId="0" fillId="18" borderId="0" xfId="0" applyFill="1"/>
    <xf numFmtId="0" fontId="17" fillId="18" borderId="0" xfId="0" applyFont="1" applyFill="1"/>
    <xf numFmtId="165" fontId="0" fillId="18" borderId="0" xfId="7" applyFont="1" applyFill="1"/>
    <xf numFmtId="167" fontId="16" fillId="18" borderId="0" xfId="8" applyNumberFormat="1" applyFont="1" applyFill="1" applyAlignment="1">
      <alignment horizontal="center" vertical="top"/>
    </xf>
    <xf numFmtId="0" fontId="18" fillId="18" borderId="0" xfId="9" applyFont="1" applyFill="1"/>
    <xf numFmtId="0" fontId="19" fillId="18" borderId="0" xfId="9" applyFont="1" applyFill="1"/>
    <xf numFmtId="0" fontId="19" fillId="18" borderId="0" xfId="9" applyFont="1" applyFill="1" applyAlignment="1">
      <alignment horizontal="center"/>
    </xf>
    <xf numFmtId="0" fontId="18" fillId="18" borderId="0" xfId="9" applyFont="1" applyFill="1" applyAlignment="1">
      <alignment horizontal="center"/>
    </xf>
    <xf numFmtId="16" fontId="18" fillId="18" borderId="0" xfId="9" applyNumberFormat="1" applyFont="1" applyFill="1" applyAlignment="1">
      <alignment horizontal="center"/>
    </xf>
    <xf numFmtId="0" fontId="20" fillId="18" borderId="0" xfId="9" applyFont="1" applyFill="1"/>
    <xf numFmtId="0" fontId="21" fillId="18" borderId="0" xfId="9" applyFont="1" applyFill="1"/>
    <xf numFmtId="0" fontId="18" fillId="18" borderId="12" xfId="9" applyFont="1" applyFill="1" applyBorder="1" applyAlignment="1">
      <alignment horizontal="center"/>
    </xf>
    <xf numFmtId="167" fontId="19" fillId="18" borderId="0" xfId="1" applyNumberFormat="1" applyFont="1" applyFill="1" applyAlignment="1">
      <alignment horizontal="center"/>
    </xf>
    <xf numFmtId="0" fontId="22" fillId="18" borderId="12" xfId="9" applyFont="1" applyFill="1" applyBorder="1" applyAlignment="1">
      <alignment horizontal="center"/>
    </xf>
    <xf numFmtId="1" fontId="18" fillId="18" borderId="12" xfId="9" quotePrefix="1" applyNumberFormat="1" applyFont="1" applyFill="1" applyBorder="1" applyAlignment="1">
      <alignment horizontal="center"/>
    </xf>
    <xf numFmtId="167" fontId="19" fillId="18" borderId="0" xfId="1" applyNumberFormat="1" applyFont="1" applyFill="1" applyBorder="1" applyAlignment="1"/>
    <xf numFmtId="167" fontId="19" fillId="18" borderId="0" xfId="1" applyNumberFormat="1" applyFont="1" applyFill="1" applyBorder="1" applyAlignment="1">
      <alignment horizontal="center"/>
    </xf>
    <xf numFmtId="167" fontId="19" fillId="19" borderId="0" xfId="1" applyNumberFormat="1" applyFont="1" applyFill="1" applyBorder="1" applyAlignment="1"/>
    <xf numFmtId="167" fontId="19" fillId="7" borderId="0" xfId="1" applyNumberFormat="1" applyFont="1" applyFill="1" applyBorder="1" applyAlignment="1"/>
    <xf numFmtId="167" fontId="23" fillId="18" borderId="12" xfId="1" applyNumberFormat="1" applyFont="1" applyFill="1" applyBorder="1" applyAlignment="1"/>
    <xf numFmtId="0" fontId="24" fillId="18" borderId="0" xfId="9" applyFont="1" applyFill="1"/>
    <xf numFmtId="0" fontId="24" fillId="18" borderId="0" xfId="9" applyFont="1" applyFill="1" applyAlignment="1">
      <alignment horizontal="center"/>
    </xf>
    <xf numFmtId="167" fontId="24" fillId="18" borderId="0" xfId="1" applyNumberFormat="1" applyFont="1" applyFill="1" applyAlignment="1">
      <alignment horizontal="center"/>
    </xf>
    <xf numFmtId="0" fontId="25" fillId="18" borderId="0" xfId="9" applyFont="1" applyFill="1"/>
    <xf numFmtId="0" fontId="25" fillId="18" borderId="0" xfId="9" applyFont="1" applyFill="1" applyAlignment="1">
      <alignment horizontal="center"/>
    </xf>
    <xf numFmtId="167" fontId="25" fillId="18" borderId="0" xfId="1" applyNumberFormat="1" applyFont="1" applyFill="1" applyAlignment="1">
      <alignment horizontal="center"/>
    </xf>
    <xf numFmtId="0" fontId="26" fillId="18" borderId="0" xfId="0" applyFont="1" applyFill="1"/>
    <xf numFmtId="0" fontId="27" fillId="18" borderId="0" xfId="9" applyFont="1" applyFill="1"/>
    <xf numFmtId="0" fontId="28" fillId="18" borderId="0" xfId="9" applyFont="1" applyFill="1"/>
    <xf numFmtId="0" fontId="28" fillId="18" borderId="0" xfId="0" applyFont="1" applyFill="1"/>
    <xf numFmtId="0" fontId="28" fillId="18" borderId="0" xfId="9" quotePrefix="1" applyFont="1" applyFill="1"/>
    <xf numFmtId="164" fontId="19" fillId="18" borderId="0" xfId="9" applyNumberFormat="1" applyFont="1" applyFill="1"/>
    <xf numFmtId="0" fontId="29" fillId="18" borderId="0" xfId="9" applyFont="1" applyFill="1"/>
    <xf numFmtId="165" fontId="19" fillId="18" borderId="0" xfId="7" applyFont="1" applyFill="1" applyAlignment="1">
      <alignment horizontal="center"/>
    </xf>
    <xf numFmtId="167" fontId="24" fillId="18" borderId="12" xfId="1" applyNumberFormat="1" applyFont="1" applyFill="1" applyBorder="1" applyAlignment="1">
      <alignment horizontal="center"/>
    </xf>
    <xf numFmtId="167" fontId="18" fillId="18" borderId="13" xfId="1" applyNumberFormat="1" applyFont="1" applyFill="1" applyBorder="1" applyAlignment="1"/>
    <xf numFmtId="0" fontId="31" fillId="18" borderId="0" xfId="9" applyFont="1" applyFill="1"/>
    <xf numFmtId="167" fontId="19" fillId="19" borderId="0" xfId="1" applyNumberFormat="1" applyFont="1" applyFill="1" applyAlignment="1">
      <alignment horizontal="center"/>
    </xf>
    <xf numFmtId="168" fontId="19" fillId="18" borderId="0" xfId="1" applyNumberFormat="1" applyFont="1" applyFill="1" applyBorder="1" applyAlignment="1">
      <alignment horizontal="center"/>
    </xf>
    <xf numFmtId="167" fontId="19" fillId="18" borderId="12" xfId="1" applyNumberFormat="1" applyFont="1" applyFill="1" applyBorder="1" applyAlignment="1">
      <alignment horizontal="center"/>
    </xf>
    <xf numFmtId="0" fontId="29" fillId="18" borderId="0" xfId="9" applyFont="1" applyFill="1" applyAlignment="1">
      <alignment horizontal="center"/>
    </xf>
    <xf numFmtId="165" fontId="29" fillId="18" borderId="0" xfId="7" applyFont="1" applyFill="1" applyAlignment="1">
      <alignment horizontal="center"/>
    </xf>
    <xf numFmtId="0" fontId="32" fillId="18" borderId="0" xfId="0" applyFont="1" applyFill="1"/>
    <xf numFmtId="167" fontId="18" fillId="18" borderId="12" xfId="1" applyNumberFormat="1" applyFont="1" applyFill="1" applyBorder="1" applyAlignment="1"/>
    <xf numFmtId="0" fontId="28" fillId="18" borderId="0" xfId="12" applyNumberFormat="1" applyFont="1" applyFill="1"/>
    <xf numFmtId="3" fontId="0" fillId="18" borderId="0" xfId="0" applyNumberFormat="1" applyFill="1"/>
    <xf numFmtId="0" fontId="31" fillId="18" borderId="0" xfId="9" applyFont="1" applyFill="1" applyAlignment="1">
      <alignment horizontal="center"/>
    </xf>
    <xf numFmtId="168" fontId="35" fillId="18" borderId="0" xfId="13" applyNumberFormat="1" applyFont="1" applyFill="1"/>
    <xf numFmtId="0" fontId="30" fillId="18" borderId="0" xfId="9" applyFont="1" applyFill="1"/>
    <xf numFmtId="0" fontId="36" fillId="18" borderId="0" xfId="9" applyFont="1" applyFill="1"/>
    <xf numFmtId="165" fontId="35" fillId="18" borderId="12" xfId="1" applyNumberFormat="1" applyFont="1" applyFill="1" applyBorder="1" applyAlignment="1"/>
    <xf numFmtId="165" fontId="35" fillId="18" borderId="0" xfId="1" applyNumberFormat="1" applyFont="1" applyFill="1" applyBorder="1" applyAlignment="1"/>
    <xf numFmtId="167" fontId="23" fillId="18" borderId="13" xfId="1" applyNumberFormat="1" applyFont="1" applyFill="1" applyBorder="1" applyAlignment="1"/>
    <xf numFmtId="0" fontId="37" fillId="18" borderId="0" xfId="9" applyFont="1" applyFill="1"/>
    <xf numFmtId="0" fontId="38" fillId="18" borderId="0" xfId="9" applyFont="1" applyFill="1"/>
    <xf numFmtId="0" fontId="38" fillId="18" borderId="0" xfId="9" applyFont="1" applyFill="1" applyAlignment="1">
      <alignment horizontal="center"/>
    </xf>
    <xf numFmtId="167" fontId="38" fillId="18" borderId="0" xfId="1" applyNumberFormat="1" applyFont="1" applyFill="1" applyAlignment="1">
      <alignment horizontal="center"/>
    </xf>
    <xf numFmtId="0" fontId="39" fillId="18" borderId="0" xfId="9" applyFont="1" applyFill="1"/>
    <xf numFmtId="0" fontId="40" fillId="18" borderId="0" xfId="9" applyFont="1" applyFill="1" applyAlignment="1">
      <alignment horizontal="right"/>
    </xf>
    <xf numFmtId="167" fontId="29" fillId="18" borderId="0" xfId="1" applyNumberFormat="1" applyFont="1" applyFill="1" applyBorder="1" applyAlignment="1">
      <alignment horizontal="center"/>
    </xf>
    <xf numFmtId="17" fontId="18" fillId="18" borderId="12" xfId="9" applyNumberFormat="1" applyFont="1" applyFill="1" applyBorder="1" applyAlignment="1">
      <alignment horizontal="center"/>
    </xf>
    <xf numFmtId="17" fontId="18" fillId="18" borderId="12" xfId="9" quotePrefix="1" applyNumberFormat="1" applyFont="1" applyFill="1" applyBorder="1" applyAlignment="1">
      <alignment horizontal="center"/>
    </xf>
    <xf numFmtId="0" fontId="16" fillId="18" borderId="0" xfId="15" applyFont="1" applyFill="1" applyAlignment="1">
      <alignment horizontal="center" vertical="center"/>
    </xf>
    <xf numFmtId="0" fontId="16" fillId="18" borderId="0" xfId="15" applyFont="1" applyFill="1" applyAlignment="1">
      <alignment vertical="center"/>
    </xf>
    <xf numFmtId="168" fontId="0" fillId="18" borderId="0" xfId="0" applyNumberFormat="1" applyFill="1"/>
    <xf numFmtId="0" fontId="4" fillId="18" borderId="0" xfId="0" applyFont="1" applyFill="1"/>
    <xf numFmtId="0" fontId="35" fillId="18" borderId="0" xfId="13" applyFont="1" applyFill="1"/>
    <xf numFmtId="0" fontId="35" fillId="18" borderId="0" xfId="13" applyFont="1" applyFill="1" applyAlignment="1">
      <alignment horizontal="center"/>
    </xf>
    <xf numFmtId="0" fontId="23" fillId="18" borderId="0" xfId="13" applyFont="1" applyFill="1"/>
    <xf numFmtId="168" fontId="23" fillId="18" borderId="0" xfId="13" applyNumberFormat="1" applyFont="1" applyFill="1"/>
    <xf numFmtId="0" fontId="18" fillId="18" borderId="0" xfId="15" applyFont="1" applyFill="1" applyAlignment="1">
      <alignment horizontal="center"/>
    </xf>
    <xf numFmtId="16" fontId="18" fillId="18" borderId="0" xfId="16" quotePrefix="1" applyNumberFormat="1" applyFont="1" applyFill="1" applyBorder="1" applyAlignment="1">
      <alignment horizontal="center"/>
    </xf>
    <xf numFmtId="0" fontId="18" fillId="18" borderId="0" xfId="16" quotePrefix="1" applyNumberFormat="1" applyFont="1" applyFill="1" applyBorder="1" applyAlignment="1">
      <alignment horizontal="center"/>
    </xf>
    <xf numFmtId="0" fontId="19" fillId="18" borderId="0" xfId="15" applyFont="1" applyFill="1"/>
    <xf numFmtId="0" fontId="18" fillId="18" borderId="12" xfId="15" applyFont="1" applyFill="1" applyBorder="1" applyAlignment="1">
      <alignment horizontal="center"/>
    </xf>
    <xf numFmtId="0" fontId="18" fillId="18" borderId="12" xfId="16" quotePrefix="1" applyNumberFormat="1" applyFont="1" applyFill="1" applyBorder="1" applyAlignment="1">
      <alignment horizontal="center"/>
    </xf>
    <xf numFmtId="168" fontId="30" fillId="18" borderId="0" xfId="17" applyNumberFormat="1" applyFont="1" applyFill="1" applyBorder="1" applyAlignment="1">
      <alignment horizontal="right"/>
    </xf>
    <xf numFmtId="0" fontId="41" fillId="18" borderId="0" xfId="13" applyFont="1" applyFill="1"/>
    <xf numFmtId="9" fontId="0" fillId="21" borderId="0" xfId="14" applyFont="1" applyFill="1"/>
    <xf numFmtId="168" fontId="30" fillId="18" borderId="12" xfId="17" applyNumberFormat="1" applyFont="1" applyFill="1" applyBorder="1" applyAlignment="1">
      <alignment horizontal="right"/>
    </xf>
    <xf numFmtId="0" fontId="42" fillId="18" borderId="0" xfId="13" applyFont="1" applyFill="1"/>
    <xf numFmtId="168" fontId="43" fillId="18" borderId="12" xfId="17" applyNumberFormat="1" applyFont="1" applyFill="1" applyBorder="1" applyAlignment="1">
      <alignment horizontal="right"/>
    </xf>
    <xf numFmtId="168" fontId="43" fillId="18" borderId="0" xfId="17" applyNumberFormat="1" applyFont="1" applyFill="1" applyBorder="1" applyAlignment="1">
      <alignment horizontal="right"/>
    </xf>
    <xf numFmtId="9" fontId="35" fillId="18" borderId="0" xfId="14" applyFont="1" applyFill="1"/>
    <xf numFmtId="0" fontId="44" fillId="18" borderId="0" xfId="13" applyFont="1" applyFill="1"/>
    <xf numFmtId="0" fontId="44" fillId="18" borderId="0" xfId="13" applyFont="1" applyFill="1" applyAlignment="1">
      <alignment horizontal="center"/>
    </xf>
    <xf numFmtId="168" fontId="44" fillId="18" borderId="0" xfId="13" applyNumberFormat="1" applyFont="1" applyFill="1"/>
    <xf numFmtId="9" fontId="0" fillId="22" borderId="0" xfId="14" applyFont="1" applyFill="1"/>
    <xf numFmtId="168" fontId="35" fillId="18" borderId="0" xfId="17" applyNumberFormat="1" applyFont="1" applyFill="1" applyAlignment="1"/>
    <xf numFmtId="0" fontId="35" fillId="18" borderId="0" xfId="0" applyFont="1" applyFill="1" applyAlignment="1">
      <alignment vertical="center"/>
    </xf>
    <xf numFmtId="168" fontId="35" fillId="18" borderId="0" xfId="18" applyNumberFormat="1" applyFont="1" applyFill="1" applyBorder="1" applyAlignment="1"/>
    <xf numFmtId="0" fontId="45" fillId="18" borderId="0" xfId="0" applyFont="1" applyFill="1" applyAlignment="1">
      <alignment vertical="center"/>
    </xf>
    <xf numFmtId="165" fontId="35" fillId="18" borderId="0" xfId="7" applyFont="1" applyFill="1"/>
    <xf numFmtId="168" fontId="35" fillId="18" borderId="14" xfId="18" applyNumberFormat="1" applyFont="1" applyFill="1" applyBorder="1" applyAlignment="1"/>
    <xf numFmtId="168" fontId="23" fillId="18" borderId="12" xfId="17" applyNumberFormat="1" applyFont="1" applyFill="1" applyBorder="1"/>
    <xf numFmtId="168" fontId="23" fillId="18" borderId="0" xfId="17" applyNumberFormat="1" applyFont="1" applyFill="1" applyBorder="1"/>
    <xf numFmtId="168" fontId="23" fillId="18" borderId="0" xfId="17" applyNumberFormat="1" applyFont="1" applyFill="1" applyBorder="1" applyAlignment="1"/>
    <xf numFmtId="0" fontId="23" fillId="18" borderId="0" xfId="13" applyFont="1" applyFill="1" applyAlignment="1">
      <alignment horizontal="center"/>
    </xf>
    <xf numFmtId="168" fontId="23" fillId="18" borderId="12" xfId="17" applyNumberFormat="1" applyFont="1" applyFill="1" applyBorder="1" applyAlignment="1">
      <alignment horizontal="right"/>
    </xf>
    <xf numFmtId="168" fontId="23" fillId="18" borderId="0" xfId="17" applyNumberFormat="1" applyFont="1" applyFill="1" applyBorder="1" applyAlignment="1">
      <alignment horizontal="right"/>
    </xf>
    <xf numFmtId="169" fontId="23" fillId="18" borderId="0" xfId="13" applyNumberFormat="1" applyFont="1" applyFill="1" applyAlignment="1">
      <alignment horizontal="right"/>
    </xf>
    <xf numFmtId="0" fontId="46" fillId="18" borderId="0" xfId="13" applyFont="1" applyFill="1"/>
    <xf numFmtId="169" fontId="35" fillId="18" borderId="0" xfId="13" applyNumberFormat="1" applyFont="1" applyFill="1" applyAlignment="1">
      <alignment horizontal="right"/>
    </xf>
    <xf numFmtId="0" fontId="47" fillId="18" borderId="0" xfId="13" applyFont="1" applyFill="1"/>
    <xf numFmtId="168" fontId="35" fillId="18" borderId="14" xfId="13" applyNumberFormat="1" applyFont="1" applyFill="1" applyBorder="1"/>
    <xf numFmtId="168" fontId="23" fillId="18" borderId="12" xfId="13" applyNumberFormat="1" applyFont="1" applyFill="1" applyBorder="1" applyAlignment="1">
      <alignment horizontal="right"/>
    </xf>
    <xf numFmtId="168" fontId="23" fillId="18" borderId="0" xfId="13" applyNumberFormat="1" applyFont="1" applyFill="1" applyAlignment="1">
      <alignment horizontal="right"/>
    </xf>
    <xf numFmtId="0" fontId="41" fillId="18" borderId="0" xfId="13" applyFont="1" applyFill="1" applyAlignment="1">
      <alignment wrapText="1"/>
    </xf>
    <xf numFmtId="168" fontId="23" fillId="18" borderId="13" xfId="13" applyNumberFormat="1" applyFont="1" applyFill="1" applyBorder="1" applyAlignment="1">
      <alignment horizontal="right"/>
    </xf>
    <xf numFmtId="0" fontId="23" fillId="18" borderId="0" xfId="0" applyFont="1" applyFill="1"/>
    <xf numFmtId="168" fontId="19" fillId="18" borderId="0" xfId="13" applyNumberFormat="1" applyFont="1" applyFill="1"/>
    <xf numFmtId="0" fontId="19" fillId="18" borderId="0" xfId="13" applyFont="1" applyFill="1"/>
    <xf numFmtId="0" fontId="41" fillId="18" borderId="0" xfId="0" applyFont="1" applyFill="1"/>
    <xf numFmtId="166" fontId="18" fillId="18" borderId="0" xfId="13" applyNumberFormat="1" applyFont="1" applyFill="1"/>
    <xf numFmtId="166" fontId="48" fillId="18" borderId="0" xfId="0" applyNumberFormat="1" applyFont="1" applyFill="1"/>
    <xf numFmtId="168" fontId="35" fillId="18" borderId="0" xfId="13" applyNumberFormat="1" applyFont="1" applyFill="1" applyAlignment="1">
      <alignment horizontal="center"/>
    </xf>
    <xf numFmtId="167" fontId="29" fillId="18" borderId="0" xfId="1" applyNumberFormat="1" applyFont="1" applyFill="1"/>
    <xf numFmtId="170" fontId="29" fillId="18" borderId="0" xfId="13" applyNumberFormat="1" applyFont="1" applyFill="1"/>
    <xf numFmtId="168" fontId="19" fillId="18" borderId="0" xfId="18" applyNumberFormat="1" applyFont="1" applyFill="1" applyAlignment="1"/>
    <xf numFmtId="0" fontId="40" fillId="18" borderId="0" xfId="13" applyFont="1" applyFill="1" applyAlignment="1">
      <alignment horizontal="right"/>
    </xf>
    <xf numFmtId="165" fontId="4" fillId="0" borderId="1" xfId="2" applyFont="1" applyFill="1" applyBorder="1" applyAlignment="1">
      <alignment horizontal="left" vertical="center"/>
    </xf>
    <xf numFmtId="165" fontId="0" fillId="0" borderId="0" xfId="2" applyFont="1"/>
    <xf numFmtId="165" fontId="5" fillId="0" borderId="0" xfId="3" applyNumberFormat="1" applyFont="1" applyAlignment="1">
      <alignment horizontal="right" vertical="center"/>
    </xf>
    <xf numFmtId="17" fontId="4" fillId="20" borderId="0" xfId="0" applyNumberFormat="1" applyFont="1" applyFill="1"/>
    <xf numFmtId="0" fontId="0" fillId="0" borderId="1" xfId="0" applyBorder="1"/>
    <xf numFmtId="165" fontId="0" fillId="0" borderId="1" xfId="2" applyFont="1" applyBorder="1"/>
    <xf numFmtId="165" fontId="2" fillId="15" borderId="9" xfId="3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165" fontId="4" fillId="26" borderId="16" xfId="2" applyFont="1" applyFill="1" applyBorder="1" applyAlignment="1">
      <alignment horizontal="center" vertical="center"/>
    </xf>
    <xf numFmtId="165" fontId="4" fillId="23" borderId="16" xfId="2" applyFont="1" applyFill="1" applyBorder="1" applyAlignment="1">
      <alignment horizontal="center" vertical="center"/>
    </xf>
    <xf numFmtId="165" fontId="0" fillId="0" borderId="0" xfId="2" applyFont="1" applyBorder="1"/>
    <xf numFmtId="165" fontId="12" fillId="0" borderId="0" xfId="3" applyNumberFormat="1" applyFont="1" applyAlignment="1">
      <alignment horizontal="center" vertical="center"/>
    </xf>
    <xf numFmtId="165" fontId="12" fillId="0" borderId="1" xfId="3" applyNumberFormat="1" applyFont="1" applyBorder="1" applyAlignment="1">
      <alignment horizontal="center" vertical="center"/>
    </xf>
    <xf numFmtId="165" fontId="12" fillId="4" borderId="1" xfId="3" applyNumberFormat="1" applyFont="1" applyFill="1" applyBorder="1" applyAlignment="1">
      <alignment horizontal="center" vertical="center"/>
    </xf>
    <xf numFmtId="165" fontId="12" fillId="6" borderId="1" xfId="3" applyNumberFormat="1" applyFont="1" applyFill="1" applyBorder="1" applyAlignment="1">
      <alignment horizontal="center" vertical="center"/>
    </xf>
    <xf numFmtId="165" fontId="12" fillId="0" borderId="1" xfId="5" quotePrefix="1" applyNumberFormat="1" applyFont="1" applyBorder="1" applyAlignment="1">
      <alignment horizontal="center" vertical="top" wrapText="1"/>
    </xf>
    <xf numFmtId="165" fontId="12" fillId="13" borderId="1" xfId="3" applyNumberFormat="1" applyFont="1" applyFill="1" applyBorder="1" applyAlignment="1">
      <alignment horizontal="center" vertical="center"/>
    </xf>
    <xf numFmtId="165" fontId="12" fillId="4" borderId="1" xfId="6" applyNumberFormat="1" applyFont="1" applyFill="1" applyBorder="1" applyAlignment="1">
      <alignment horizontal="center" vertical="center"/>
    </xf>
    <xf numFmtId="165" fontId="12" fillId="8" borderId="1" xfId="3" applyNumberFormat="1" applyFont="1" applyFill="1" applyBorder="1" applyAlignment="1">
      <alignment horizontal="center" vertical="center"/>
    </xf>
    <xf numFmtId="165" fontId="12" fillId="9" borderId="1" xfId="3" applyNumberFormat="1" applyFont="1" applyFill="1" applyBorder="1" applyAlignment="1">
      <alignment horizontal="center" vertical="center"/>
    </xf>
    <xf numFmtId="165" fontId="12" fillId="0" borderId="1" xfId="6" applyNumberFormat="1" applyFont="1" applyBorder="1" applyAlignment="1">
      <alignment horizontal="center" vertical="center"/>
    </xf>
    <xf numFmtId="165" fontId="12" fillId="14" borderId="1" xfId="3" applyNumberFormat="1" applyFont="1" applyFill="1" applyBorder="1" applyAlignment="1">
      <alignment horizontal="center" vertical="center"/>
    </xf>
    <xf numFmtId="165" fontId="12" fillId="10" borderId="1" xfId="3" applyNumberFormat="1" applyFont="1" applyFill="1" applyBorder="1" applyAlignment="1">
      <alignment horizontal="center" vertical="center"/>
    </xf>
    <xf numFmtId="165" fontId="12" fillId="11" borderId="1" xfId="3" applyNumberFormat="1" applyFont="1" applyFill="1" applyBorder="1" applyAlignment="1">
      <alignment horizontal="center" vertical="center"/>
    </xf>
    <xf numFmtId="165" fontId="12" fillId="0" borderId="1" xfId="2" applyFont="1" applyFill="1" applyBorder="1" applyAlignment="1">
      <alignment horizontal="center" vertical="center"/>
    </xf>
    <xf numFmtId="165" fontId="12" fillId="0" borderId="1" xfId="3" applyNumberFormat="1" applyFont="1" applyBorder="1" applyAlignment="1">
      <alignment horizontal="center" vertical="center" wrapText="1"/>
    </xf>
    <xf numFmtId="165" fontId="12" fillId="0" borderId="1" xfId="6" applyNumberFormat="1" applyFont="1" applyBorder="1" applyAlignment="1">
      <alignment horizontal="center" vertical="center" wrapText="1"/>
    </xf>
    <xf numFmtId="165" fontId="12" fillId="9" borderId="4" xfId="3" applyNumberFormat="1" applyFont="1" applyFill="1" applyBorder="1" applyAlignment="1">
      <alignment horizontal="center" vertical="center"/>
    </xf>
    <xf numFmtId="0" fontId="15" fillId="0" borderId="0" xfId="19"/>
    <xf numFmtId="165" fontId="15" fillId="0" borderId="0" xfId="7" applyFont="1"/>
    <xf numFmtId="165" fontId="15" fillId="0" borderId="15" xfId="19" applyNumberFormat="1" applyBorder="1" applyAlignment="1">
      <alignment horizontal="center"/>
    </xf>
    <xf numFmtId="0" fontId="49" fillId="0" borderId="0" xfId="8" applyFont="1"/>
    <xf numFmtId="165" fontId="49" fillId="0" borderId="0" xfId="7" applyFont="1"/>
    <xf numFmtId="165" fontId="49" fillId="0" borderId="0" xfId="8" applyNumberFormat="1" applyFont="1"/>
    <xf numFmtId="0" fontId="50" fillId="0" borderId="0" xfId="19" applyFont="1"/>
    <xf numFmtId="165" fontId="15" fillId="0" borderId="0" xfId="19" applyNumberFormat="1"/>
    <xf numFmtId="165" fontId="50" fillId="0" borderId="21" xfId="7" applyFont="1" applyBorder="1" applyAlignment="1">
      <alignment horizontal="center"/>
    </xf>
    <xf numFmtId="0" fontId="15" fillId="0" borderId="19" xfId="19" applyBorder="1"/>
    <xf numFmtId="165" fontId="15" fillId="0" borderId="16" xfId="7" applyFont="1" applyBorder="1"/>
    <xf numFmtId="165" fontId="15" fillId="0" borderId="16" xfId="19" applyNumberFormat="1" applyBorder="1"/>
    <xf numFmtId="0" fontId="50" fillId="0" borderId="19" xfId="19" applyFont="1" applyBorder="1"/>
    <xf numFmtId="165" fontId="15" fillId="0" borderId="1" xfId="7" applyFont="1" applyBorder="1"/>
    <xf numFmtId="165" fontId="15" fillId="0" borderId="1" xfId="20" applyNumberFormat="1" applyBorder="1"/>
    <xf numFmtId="165" fontId="15" fillId="0" borderId="1" xfId="7" applyFont="1" applyFill="1" applyBorder="1"/>
    <xf numFmtId="165" fontId="50" fillId="0" borderId="1" xfId="7" applyFont="1" applyFill="1" applyBorder="1"/>
    <xf numFmtId="165" fontId="50" fillId="0" borderId="1" xfId="7" applyFont="1" applyBorder="1"/>
    <xf numFmtId="165" fontId="15" fillId="7" borderId="1" xfId="7" applyFont="1" applyFill="1" applyBorder="1"/>
    <xf numFmtId="165" fontId="50" fillId="0" borderId="15" xfId="7" applyFont="1" applyBorder="1"/>
    <xf numFmtId="165" fontId="50" fillId="0" borderId="15" xfId="7" applyFont="1" applyFill="1" applyBorder="1"/>
    <xf numFmtId="0" fontId="50" fillId="0" borderId="19" xfId="19" applyFont="1" applyBorder="1" applyAlignment="1">
      <alignment horizontal="left"/>
    </xf>
    <xf numFmtId="0" fontId="15" fillId="0" borderId="0" xfId="8"/>
    <xf numFmtId="0" fontId="51" fillId="0" borderId="0" xfId="6" applyFont="1" applyAlignment="1">
      <alignment horizontal="left" vertical="center" wrapText="1"/>
    </xf>
    <xf numFmtId="0" fontId="52" fillId="0" borderId="0" xfId="6" applyFont="1" applyAlignment="1">
      <alignment horizontal="left" vertical="center" wrapText="1"/>
    </xf>
    <xf numFmtId="0" fontId="15" fillId="0" borderId="0" xfId="19" applyAlignment="1">
      <alignment horizontal="left"/>
    </xf>
    <xf numFmtId="165" fontId="15" fillId="0" borderId="21" xfId="7" applyFont="1" applyBorder="1"/>
    <xf numFmtId="165" fontId="50" fillId="0" borderId="16" xfId="7" applyFont="1" applyBorder="1"/>
    <xf numFmtId="165" fontId="15" fillId="0" borderId="20" xfId="7" applyFont="1" applyBorder="1"/>
    <xf numFmtId="0" fontId="50" fillId="0" borderId="22" xfId="19" applyFont="1" applyBorder="1"/>
    <xf numFmtId="0" fontId="15" fillId="0" borderId="23" xfId="19" applyBorder="1"/>
    <xf numFmtId="0" fontId="53" fillId="0" borderId="17" xfId="8" applyFont="1" applyBorder="1"/>
    <xf numFmtId="0" fontId="53" fillId="0" borderId="18" xfId="8" applyFont="1" applyBorder="1"/>
    <xf numFmtId="165" fontId="53" fillId="0" borderId="16" xfId="7" applyFont="1" applyBorder="1"/>
    <xf numFmtId="0" fontId="49" fillId="0" borderId="19" xfId="8" applyFont="1" applyBorder="1"/>
    <xf numFmtId="0" fontId="53" fillId="0" borderId="20" xfId="8" applyFont="1" applyBorder="1"/>
    <xf numFmtId="165" fontId="53" fillId="0" borderId="1" xfId="7" applyFont="1" applyBorder="1"/>
    <xf numFmtId="0" fontId="53" fillId="0" borderId="19" xfId="8" applyFont="1" applyBorder="1"/>
    <xf numFmtId="0" fontId="49" fillId="0" borderId="22" xfId="8" applyFont="1" applyBorder="1"/>
    <xf numFmtId="0" fontId="49" fillId="0" borderId="23" xfId="8" applyFont="1" applyBorder="1"/>
    <xf numFmtId="165" fontId="49" fillId="7" borderId="15" xfId="7" applyFont="1" applyFill="1" applyBorder="1"/>
    <xf numFmtId="165" fontId="49" fillId="0" borderId="15" xfId="7" applyFont="1" applyBorder="1"/>
    <xf numFmtId="0" fontId="53" fillId="0" borderId="0" xfId="8" applyFont="1"/>
    <xf numFmtId="165" fontId="53" fillId="0" borderId="0" xfId="7" applyFont="1"/>
    <xf numFmtId="165" fontId="53" fillId="0" borderId="0" xfId="8" applyNumberFormat="1" applyFont="1"/>
    <xf numFmtId="0" fontId="54" fillId="0" borderId="0" xfId="8" applyFont="1"/>
    <xf numFmtId="165" fontId="54" fillId="0" borderId="0" xfId="7" applyFont="1"/>
    <xf numFmtId="165" fontId="54" fillId="0" borderId="0" xfId="8" applyNumberFormat="1" applyFont="1"/>
    <xf numFmtId="165" fontId="49" fillId="0" borderId="0" xfId="8" applyNumberFormat="1" applyFont="1" applyAlignment="1">
      <alignment horizontal="center"/>
    </xf>
    <xf numFmtId="165" fontId="49" fillId="0" borderId="0" xfId="7" applyFont="1" applyAlignment="1">
      <alignment horizontal="center"/>
    </xf>
    <xf numFmtId="165" fontId="53" fillId="0" borderId="0" xfId="8" applyNumberFormat="1" applyFont="1" applyAlignment="1">
      <alignment horizontal="center"/>
    </xf>
    <xf numFmtId="165" fontId="0" fillId="0" borderId="0" xfId="7" applyFont="1"/>
    <xf numFmtId="165" fontId="49" fillId="0" borderId="0" xfId="7" applyFont="1" applyAlignment="1"/>
    <xf numFmtId="165" fontId="53" fillId="0" borderId="12" xfId="7" applyFont="1" applyBorder="1"/>
    <xf numFmtId="165" fontId="53" fillId="0" borderId="0" xfId="7" applyFont="1" applyAlignment="1">
      <alignment horizontal="center"/>
    </xf>
    <xf numFmtId="0" fontId="53" fillId="0" borderId="0" xfId="8" applyFont="1" applyAlignment="1">
      <alignment horizontal="right"/>
    </xf>
    <xf numFmtId="0" fontId="15" fillId="0" borderId="0" xfId="8" applyAlignment="1">
      <alignment horizontal="left"/>
    </xf>
    <xf numFmtId="165" fontId="53" fillId="0" borderId="0" xfId="8" applyNumberFormat="1" applyFont="1" applyAlignment="1">
      <alignment horizontal="right"/>
    </xf>
    <xf numFmtId="172" fontId="53" fillId="0" borderId="0" xfId="21" applyFont="1" applyAlignment="1">
      <alignment horizontal="right"/>
    </xf>
    <xf numFmtId="165" fontId="53" fillId="0" borderId="0" xfId="7" applyFont="1" applyAlignment="1">
      <alignment horizontal="right"/>
    </xf>
    <xf numFmtId="0" fontId="49" fillId="28" borderId="0" xfId="8" applyFont="1" applyFill="1"/>
    <xf numFmtId="0" fontId="15" fillId="28" borderId="0" xfId="8" applyFill="1"/>
    <xf numFmtId="165" fontId="53" fillId="28" borderId="0" xfId="7" applyFont="1" applyFill="1"/>
    <xf numFmtId="165" fontId="49" fillId="28" borderId="0" xfId="8" applyNumberFormat="1" applyFont="1" applyFill="1"/>
    <xf numFmtId="165" fontId="15" fillId="0" borderId="0" xfId="8" applyNumberFormat="1"/>
    <xf numFmtId="165" fontId="50" fillId="0" borderId="0" xfId="7" applyFont="1"/>
    <xf numFmtId="165" fontId="53" fillId="0" borderId="0" xfId="7" applyFont="1" applyAlignment="1">
      <alignment horizontal="left" indent="2"/>
    </xf>
    <xf numFmtId="165" fontId="15" fillId="0" borderId="0" xfId="7" applyFont="1" applyAlignment="1">
      <alignment horizontal="left" indent="2"/>
    </xf>
    <xf numFmtId="165" fontId="0" fillId="0" borderId="0" xfId="0" applyNumberFormat="1"/>
    <xf numFmtId="0" fontId="15" fillId="0" borderId="0" xfId="19" applyAlignment="1">
      <alignment horizontal="left" indent="2"/>
    </xf>
    <xf numFmtId="9" fontId="53" fillId="0" borderId="0" xfId="14" applyFont="1" applyAlignment="1">
      <alignment horizontal="right"/>
    </xf>
    <xf numFmtId="10" fontId="12" fillId="0" borderId="0" xfId="14" applyNumberFormat="1" applyFont="1" applyAlignment="1">
      <alignment horizontal="center" vertical="center"/>
    </xf>
    <xf numFmtId="165" fontId="8" fillId="0" borderId="1" xfId="1" applyNumberFormat="1" applyFont="1" applyFill="1" applyBorder="1" applyAlignment="1">
      <alignment horizontal="center" vertical="center"/>
    </xf>
    <xf numFmtId="165" fontId="8" fillId="0" borderId="1" xfId="4" quotePrefix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right" vertical="center"/>
    </xf>
    <xf numFmtId="165" fontId="12" fillId="0" borderId="1" xfId="1" applyNumberFormat="1" applyFont="1" applyFill="1" applyBorder="1" applyAlignment="1">
      <alignment horizontal="right" vertical="center"/>
    </xf>
    <xf numFmtId="165" fontId="5" fillId="0" borderId="1" xfId="7" applyFont="1" applyFill="1" applyBorder="1" applyAlignment="1">
      <alignment horizontal="left" vertical="center" wrapText="1"/>
    </xf>
    <xf numFmtId="165" fontId="5" fillId="0" borderId="1" xfId="2" applyFont="1" applyFill="1" applyBorder="1" applyAlignment="1">
      <alignment horizontal="right" vertical="center"/>
    </xf>
    <xf numFmtId="165" fontId="5" fillId="0" borderId="1" xfId="2" applyFont="1" applyFill="1" applyBorder="1" applyAlignment="1">
      <alignment horizontal="left" vertical="center"/>
    </xf>
    <xf numFmtId="17" fontId="18" fillId="18" borderId="12" xfId="15" applyNumberFormat="1" applyFont="1" applyFill="1" applyBorder="1" applyAlignment="1">
      <alignment horizontal="center"/>
    </xf>
    <xf numFmtId="168" fontId="40" fillId="18" borderId="0" xfId="13" applyNumberFormat="1" applyFont="1" applyFill="1" applyAlignment="1">
      <alignment horizontal="right"/>
    </xf>
    <xf numFmtId="165" fontId="4" fillId="0" borderId="1" xfId="7" applyFont="1" applyFill="1" applyBorder="1" applyAlignment="1">
      <alignment horizontal="center" vertical="center"/>
    </xf>
    <xf numFmtId="165" fontId="4" fillId="0" borderId="19" xfId="7" applyFont="1" applyFill="1" applyBorder="1" applyAlignment="1">
      <alignment horizontal="center" vertical="center"/>
    </xf>
    <xf numFmtId="165" fontId="4" fillId="0" borderId="20" xfId="7" applyFont="1" applyFill="1" applyBorder="1" applyAlignment="1">
      <alignment horizontal="center" vertical="center"/>
    </xf>
    <xf numFmtId="165" fontId="4" fillId="0" borderId="1" xfId="7" applyFont="1" applyFill="1" applyBorder="1" applyAlignment="1">
      <alignment vertical="center" wrapText="1"/>
    </xf>
    <xf numFmtId="165" fontId="4" fillId="0" borderId="1" xfId="2" applyFont="1" applyFill="1" applyBorder="1" applyAlignment="1">
      <alignment horizontal="center" vertical="center"/>
    </xf>
    <xf numFmtId="165" fontId="0" fillId="0" borderId="1" xfId="0" applyNumberFormat="1" applyBorder="1"/>
    <xf numFmtId="165" fontId="12" fillId="0" borderId="0" xfId="1" applyNumberFormat="1" applyFont="1" applyAlignment="1">
      <alignment horizontal="left" vertical="center"/>
    </xf>
    <xf numFmtId="165" fontId="12" fillId="0" borderId="0" xfId="1" applyNumberFormat="1" applyFont="1" applyAlignment="1">
      <alignment horizontal="right" vertical="center"/>
    </xf>
    <xf numFmtId="165" fontId="12" fillId="0" borderId="0" xfId="1" applyNumberFormat="1" applyFont="1" applyFill="1" applyAlignment="1">
      <alignment horizontal="right" vertical="center"/>
    </xf>
    <xf numFmtId="165" fontId="12" fillId="0" borderId="1" xfId="1" applyNumberFormat="1" applyFont="1" applyBorder="1" applyAlignment="1">
      <alignment horizontal="left" vertical="center"/>
    </xf>
    <xf numFmtId="165" fontId="12" fillId="4" borderId="1" xfId="1" applyNumberFormat="1" applyFont="1" applyFill="1" applyBorder="1" applyAlignment="1">
      <alignment horizontal="right" vertical="center"/>
    </xf>
    <xf numFmtId="165" fontId="12" fillId="3" borderId="1" xfId="1" applyNumberFormat="1" applyFont="1" applyFill="1" applyBorder="1" applyAlignment="1">
      <alignment horizontal="left" vertical="center"/>
    </xf>
    <xf numFmtId="165" fontId="12" fillId="0" borderId="1" xfId="1" applyNumberFormat="1" applyFont="1" applyFill="1" applyBorder="1" applyAlignment="1">
      <alignment horizontal="left" vertical="center"/>
    </xf>
    <xf numFmtId="165" fontId="12" fillId="6" borderId="1" xfId="1" applyNumberFormat="1" applyFont="1" applyFill="1" applyBorder="1" applyAlignment="1">
      <alignment horizontal="right" vertical="center"/>
    </xf>
    <xf numFmtId="165" fontId="12" fillId="0" borderId="1" xfId="1" applyNumberFormat="1" applyFont="1" applyFill="1" applyBorder="1" applyAlignment="1">
      <alignment horizontal="left"/>
    </xf>
    <xf numFmtId="165" fontId="12" fillId="13" borderId="1" xfId="1" applyNumberFormat="1" applyFont="1" applyFill="1" applyBorder="1" applyAlignment="1">
      <alignment horizontal="right" vertical="center"/>
    </xf>
    <xf numFmtId="165" fontId="12" fillId="4" borderId="1" xfId="3" applyNumberFormat="1" applyFont="1" applyFill="1" applyBorder="1" applyAlignment="1">
      <alignment horizontal="left" vertical="center"/>
    </xf>
    <xf numFmtId="165" fontId="12" fillId="8" borderId="1" xfId="1" applyNumberFormat="1" applyFont="1" applyFill="1" applyBorder="1" applyAlignment="1">
      <alignment horizontal="right" vertical="center"/>
    </xf>
    <xf numFmtId="165" fontId="12" fillId="9" borderId="1" xfId="1" applyNumberFormat="1" applyFont="1" applyFill="1" applyBorder="1" applyAlignment="1">
      <alignment horizontal="right" vertical="center"/>
    </xf>
    <xf numFmtId="165" fontId="12" fillId="7" borderId="1" xfId="1" applyNumberFormat="1" applyFont="1" applyFill="1" applyBorder="1" applyAlignment="1">
      <alignment horizontal="right" vertical="center"/>
    </xf>
    <xf numFmtId="165" fontId="12" fillId="14" borderId="1" xfId="1" applyNumberFormat="1" applyFont="1" applyFill="1" applyBorder="1" applyAlignment="1">
      <alignment horizontal="right" vertical="center"/>
    </xf>
    <xf numFmtId="165" fontId="12" fillId="10" borderId="1" xfId="1" applyNumberFormat="1" applyFont="1" applyFill="1" applyBorder="1" applyAlignment="1">
      <alignment horizontal="right" vertical="center"/>
    </xf>
    <xf numFmtId="165" fontId="12" fillId="11" borderId="1" xfId="1" applyNumberFormat="1" applyFont="1" applyFill="1" applyBorder="1" applyAlignment="1">
      <alignment horizontal="right" vertical="center"/>
    </xf>
    <xf numFmtId="165" fontId="12" fillId="0" borderId="1" xfId="2" applyFont="1" applyFill="1" applyBorder="1" applyAlignment="1">
      <alignment horizontal="right" vertical="center"/>
    </xf>
    <xf numFmtId="165" fontId="12" fillId="0" borderId="1" xfId="7" applyFont="1" applyBorder="1" applyAlignment="1">
      <alignment horizontal="left" vertical="center" wrapText="1"/>
    </xf>
    <xf numFmtId="165" fontId="12" fillId="0" borderId="0" xfId="1" applyNumberFormat="1" applyFont="1" applyFill="1" applyAlignment="1">
      <alignment horizontal="left" vertical="center"/>
    </xf>
    <xf numFmtId="165" fontId="2" fillId="15" borderId="9" xfId="3" applyNumberFormat="1" applyFont="1" applyFill="1" applyBorder="1" applyAlignment="1">
      <alignment horizontal="center" vertical="center" wrapText="1"/>
    </xf>
    <xf numFmtId="165" fontId="2" fillId="15" borderId="10" xfId="3" applyNumberFormat="1" applyFont="1" applyFill="1" applyBorder="1" applyAlignment="1">
      <alignment horizontal="center" vertical="center" wrapText="1"/>
    </xf>
    <xf numFmtId="165" fontId="12" fillId="0" borderId="1" xfId="7" applyFont="1" applyBorder="1" applyAlignment="1">
      <alignment horizontal="left" vertical="center"/>
    </xf>
    <xf numFmtId="3" fontId="0" fillId="0" borderId="1" xfId="0" applyNumberFormat="1" applyBorder="1"/>
    <xf numFmtId="0" fontId="0" fillId="29" borderId="1" xfId="0" applyFill="1" applyBorder="1"/>
    <xf numFmtId="0" fontId="0" fillId="29" borderId="19" xfId="0" applyFill="1" applyBorder="1"/>
    <xf numFmtId="0" fontId="0" fillId="29" borderId="20" xfId="0" applyFill="1" applyBorder="1"/>
    <xf numFmtId="3" fontId="0" fillId="29" borderId="1" xfId="0" applyNumberFormat="1" applyFill="1" applyBorder="1"/>
    <xf numFmtId="165" fontId="0" fillId="29" borderId="1" xfId="2" applyFont="1" applyFill="1" applyBorder="1"/>
    <xf numFmtId="0" fontId="55" fillId="29" borderId="19" xfId="0" applyFont="1" applyFill="1" applyBorder="1"/>
    <xf numFmtId="165" fontId="5" fillId="0" borderId="0" xfId="1" applyNumberFormat="1" applyFont="1" applyBorder="1" applyAlignment="1">
      <alignment horizontal="right" vertical="center"/>
    </xf>
    <xf numFmtId="0" fontId="43" fillId="0" borderId="0" xfId="0" applyFont="1" applyAlignment="1">
      <alignment vertical="center"/>
    </xf>
    <xf numFmtId="0" fontId="56" fillId="0" borderId="0" xfId="0" applyFont="1" applyAlignment="1">
      <alignment horizontal="justify" vertical="center"/>
    </xf>
    <xf numFmtId="0" fontId="58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59" fillId="0" borderId="0" xfId="0" applyFont="1" applyAlignment="1">
      <alignment horizontal="justify" vertical="center"/>
    </xf>
    <xf numFmtId="0" fontId="62" fillId="0" borderId="0" xfId="0" applyFont="1" applyAlignment="1">
      <alignment horizontal="justify" vertical="center"/>
    </xf>
    <xf numFmtId="0" fontId="63" fillId="0" borderId="0" xfId="0" applyFont="1" applyAlignment="1">
      <alignment horizontal="justify" vertical="center"/>
    </xf>
    <xf numFmtId="168" fontId="0" fillId="0" borderId="0" xfId="0" applyNumberFormat="1"/>
    <xf numFmtId="168" fontId="43" fillId="0" borderId="24" xfId="1" applyNumberFormat="1" applyFont="1" applyBorder="1" applyAlignment="1">
      <alignment horizontal="center" vertical="center"/>
    </xf>
    <xf numFmtId="168" fontId="57" fillId="0" borderId="0" xfId="1" applyNumberFormat="1" applyFont="1" applyAlignment="1">
      <alignment horizontal="right" vertical="center"/>
    </xf>
    <xf numFmtId="168" fontId="30" fillId="0" borderId="0" xfId="1" applyNumberFormat="1" applyFont="1" applyAlignment="1">
      <alignment horizontal="right" vertical="center"/>
    </xf>
    <xf numFmtId="168" fontId="43" fillId="0" borderId="0" xfId="1" applyNumberFormat="1" applyFont="1" applyAlignment="1">
      <alignment horizontal="right" vertical="center"/>
    </xf>
    <xf numFmtId="168" fontId="60" fillId="0" borderId="0" xfId="1" applyNumberFormat="1" applyFont="1" applyAlignment="1">
      <alignment horizontal="right" vertical="center"/>
    </xf>
    <xf numFmtId="168" fontId="61" fillId="0" borderId="0" xfId="1" applyNumberFormat="1" applyFont="1" applyAlignment="1">
      <alignment horizontal="right" vertical="center"/>
    </xf>
    <xf numFmtId="168" fontId="61" fillId="0" borderId="25" xfId="1" applyNumberFormat="1" applyFont="1" applyBorder="1" applyAlignment="1">
      <alignment horizontal="right" vertical="center"/>
    </xf>
    <xf numFmtId="168" fontId="43" fillId="0" borderId="24" xfId="1" applyNumberFormat="1" applyFont="1" applyBorder="1" applyAlignment="1">
      <alignment horizontal="right" vertical="center"/>
    </xf>
    <xf numFmtId="168" fontId="43" fillId="0" borderId="24" xfId="0" applyNumberFormat="1" applyFont="1" applyBorder="1" applyAlignment="1">
      <alignment horizontal="right" vertical="center" wrapText="1"/>
    </xf>
    <xf numFmtId="168" fontId="30" fillId="0" borderId="24" xfId="1" applyNumberFormat="1" applyFont="1" applyBorder="1" applyAlignment="1">
      <alignment horizontal="right" vertical="center"/>
    </xf>
    <xf numFmtId="168" fontId="0" fillId="0" borderId="0" xfId="1" applyNumberFormat="1" applyFont="1" applyAlignment="1"/>
    <xf numFmtId="165" fontId="5" fillId="16" borderId="0" xfId="3" applyNumberFormat="1" applyFont="1" applyFill="1" applyAlignment="1">
      <alignment horizontal="left" vertical="center"/>
    </xf>
    <xf numFmtId="165" fontId="6" fillId="16" borderId="0" xfId="3" applyNumberFormat="1" applyFont="1" applyFill="1" applyAlignment="1">
      <alignment horizontal="left" vertical="center"/>
    </xf>
    <xf numFmtId="165" fontId="8" fillId="30" borderId="8" xfId="1" applyNumberFormat="1" applyFont="1" applyFill="1" applyBorder="1" applyAlignment="1">
      <alignment horizontal="center" vertical="center" wrapText="1"/>
    </xf>
    <xf numFmtId="165" fontId="8" fillId="30" borderId="11" xfId="4" quotePrefix="1" applyFont="1" applyFill="1" applyBorder="1" applyAlignment="1">
      <alignment horizontal="center" vertical="center" wrapText="1"/>
    </xf>
    <xf numFmtId="165" fontId="4" fillId="31" borderId="1" xfId="1" applyNumberFormat="1" applyFont="1" applyFill="1" applyBorder="1" applyAlignment="1">
      <alignment horizontal="right" vertical="center"/>
    </xf>
    <xf numFmtId="165" fontId="4" fillId="32" borderId="1" xfId="1" applyNumberFormat="1" applyFont="1" applyFill="1" applyBorder="1" applyAlignment="1">
      <alignment horizontal="right" vertical="center"/>
    </xf>
    <xf numFmtId="165" fontId="6" fillId="16" borderId="1" xfId="3" applyNumberFormat="1" applyFont="1" applyFill="1" applyBorder="1" applyAlignment="1">
      <alignment horizontal="left" vertical="center"/>
    </xf>
    <xf numFmtId="165" fontId="5" fillId="16" borderId="1" xfId="5" quotePrefix="1" applyNumberFormat="1" applyFont="1" applyFill="1" applyBorder="1" applyAlignment="1">
      <alignment vertical="top" wrapText="1"/>
    </xf>
    <xf numFmtId="165" fontId="4" fillId="31" borderId="1" xfId="3" applyNumberFormat="1" applyFont="1" applyFill="1" applyBorder="1" applyAlignment="1">
      <alignment horizontal="left" vertical="center"/>
    </xf>
    <xf numFmtId="165" fontId="4" fillId="33" borderId="1" xfId="1" applyNumberFormat="1" applyFont="1" applyFill="1" applyBorder="1" applyAlignment="1">
      <alignment horizontal="right" vertical="center"/>
    </xf>
    <xf numFmtId="165" fontId="2" fillId="34" borderId="1" xfId="1" applyNumberFormat="1" applyFont="1" applyFill="1" applyBorder="1" applyAlignment="1">
      <alignment horizontal="right" vertical="center"/>
    </xf>
    <xf numFmtId="165" fontId="4" fillId="16" borderId="1" xfId="1" applyNumberFormat="1" applyFont="1" applyFill="1" applyBorder="1" applyAlignment="1">
      <alignment horizontal="right" vertical="center"/>
    </xf>
    <xf numFmtId="165" fontId="4" fillId="35" borderId="1" xfId="1" applyNumberFormat="1" applyFont="1" applyFill="1" applyBorder="1" applyAlignment="1">
      <alignment horizontal="right" vertical="center"/>
    </xf>
    <xf numFmtId="165" fontId="13" fillId="16" borderId="1" xfId="3" applyNumberFormat="1" applyFont="1" applyFill="1" applyBorder="1" applyAlignment="1">
      <alignment horizontal="left" vertical="center"/>
    </xf>
    <xf numFmtId="165" fontId="4" fillId="16" borderId="1" xfId="3" applyNumberFormat="1" applyFont="1" applyFill="1" applyBorder="1" applyAlignment="1">
      <alignment vertical="center"/>
    </xf>
    <xf numFmtId="165" fontId="6" fillId="16" borderId="1" xfId="1" applyNumberFormat="1" applyFont="1" applyFill="1" applyBorder="1" applyAlignment="1">
      <alignment horizontal="right" vertical="center"/>
    </xf>
    <xf numFmtId="165" fontId="6" fillId="16" borderId="1" xfId="3" applyNumberFormat="1" applyFont="1" applyFill="1" applyBorder="1" applyAlignment="1">
      <alignment horizontal="left" vertical="center" wrapText="1"/>
    </xf>
    <xf numFmtId="165" fontId="5" fillId="16" borderId="1" xfId="3" applyNumberFormat="1" applyFont="1" applyFill="1" applyBorder="1" applyAlignment="1">
      <alignment horizontal="left" vertical="center" wrapText="1"/>
    </xf>
    <xf numFmtId="165" fontId="2" fillId="34" borderId="4" xfId="1" applyNumberFormat="1" applyFont="1" applyFill="1" applyBorder="1" applyAlignment="1">
      <alignment horizontal="right" vertical="center"/>
    </xf>
    <xf numFmtId="0" fontId="19" fillId="0" borderId="0" xfId="9" applyFont="1" applyAlignment="1">
      <alignment horizontal="center"/>
    </xf>
    <xf numFmtId="167" fontId="19" fillId="0" borderId="0" xfId="1" applyNumberFormat="1" applyFont="1" applyFill="1" applyBorder="1" applyAlignment="1"/>
    <xf numFmtId="167" fontId="19" fillId="0" borderId="12" xfId="1" applyNumberFormat="1" applyFont="1" applyFill="1" applyBorder="1" applyAlignment="1"/>
    <xf numFmtId="167" fontId="19" fillId="0" borderId="0" xfId="1" applyNumberFormat="1" applyFont="1" applyFill="1" applyAlignment="1">
      <alignment horizontal="center"/>
    </xf>
    <xf numFmtId="0" fontId="0" fillId="7" borderId="1" xfId="0" applyFill="1" applyBorder="1"/>
    <xf numFmtId="0" fontId="0" fillId="7" borderId="19" xfId="0" applyFill="1" applyBorder="1"/>
    <xf numFmtId="0" fontId="0" fillId="7" borderId="20" xfId="0" applyFill="1" applyBorder="1"/>
    <xf numFmtId="165" fontId="0" fillId="7" borderId="1" xfId="2" applyFont="1" applyFill="1" applyBorder="1"/>
    <xf numFmtId="0" fontId="4" fillId="0" borderId="0" xfId="0" applyFont="1"/>
    <xf numFmtId="166" fontId="0" fillId="0" borderId="0" xfId="1" applyFont="1"/>
    <xf numFmtId="166" fontId="4" fillId="0" borderId="0" xfId="1" applyFont="1"/>
    <xf numFmtId="0" fontId="14" fillId="0" borderId="0" xfId="0" applyFont="1"/>
    <xf numFmtId="0" fontId="64" fillId="0" borderId="0" xfId="0" applyFont="1"/>
    <xf numFmtId="166" fontId="65" fillId="0" borderId="0" xfId="1" applyFont="1"/>
    <xf numFmtId="166" fontId="4" fillId="0" borderId="24" xfId="1" applyFont="1" applyBorder="1"/>
    <xf numFmtId="166" fontId="4" fillId="0" borderId="0" xfId="1" applyFont="1" applyBorder="1"/>
    <xf numFmtId="166" fontId="0" fillId="0" borderId="0" xfId="1" applyFont="1" applyBorder="1"/>
    <xf numFmtId="166" fontId="66" fillId="0" borderId="0" xfId="1" applyFont="1"/>
    <xf numFmtId="166" fontId="0" fillId="0" borderId="13" xfId="1" applyFont="1" applyBorder="1"/>
    <xf numFmtId="166" fontId="65" fillId="0" borderId="0" xfId="1" applyFont="1" applyAlignment="1">
      <alignment horizontal="right"/>
    </xf>
    <xf numFmtId="166" fontId="0" fillId="0" borderId="0" xfId="1" applyFont="1" applyAlignment="1">
      <alignment horizontal="right"/>
    </xf>
    <xf numFmtId="166" fontId="1" fillId="0" borderId="0" xfId="1" applyFont="1" applyAlignment="1">
      <alignment horizontal="right"/>
    </xf>
    <xf numFmtId="165" fontId="0" fillId="0" borderId="0" xfId="2" applyFont="1" applyFill="1"/>
    <xf numFmtId="165" fontId="4" fillId="0" borderId="0" xfId="2" applyFont="1"/>
    <xf numFmtId="165" fontId="64" fillId="0" borderId="12" xfId="2" applyFont="1" applyBorder="1"/>
    <xf numFmtId="165" fontId="0" fillId="0" borderId="12" xfId="2" applyFont="1" applyBorder="1"/>
    <xf numFmtId="165" fontId="64" fillId="0" borderId="0" xfId="2" applyFont="1"/>
    <xf numFmtId="0" fontId="4" fillId="36" borderId="0" xfId="0" applyFont="1" applyFill="1"/>
    <xf numFmtId="0" fontId="0" fillId="36" borderId="0" xfId="0" applyFill="1"/>
    <xf numFmtId="165" fontId="0" fillId="36" borderId="0" xfId="2" applyFont="1" applyFill="1"/>
    <xf numFmtId="165" fontId="1" fillId="0" borderId="0" xfId="2" applyFont="1"/>
    <xf numFmtId="165" fontId="65" fillId="0" borderId="0" xfId="2" applyFont="1"/>
    <xf numFmtId="165" fontId="4" fillId="0" borderId="24" xfId="2" applyFont="1" applyBorder="1"/>
    <xf numFmtId="165" fontId="4" fillId="0" borderId="0" xfId="2" applyFont="1" applyBorder="1"/>
    <xf numFmtId="165" fontId="1" fillId="0" borderId="12" xfId="2" applyFont="1" applyBorder="1"/>
    <xf numFmtId="165" fontId="1" fillId="0" borderId="0" xfId="2" applyFont="1" applyBorder="1"/>
    <xf numFmtId="165" fontId="64" fillId="0" borderId="0" xfId="2" applyFont="1" applyBorder="1"/>
    <xf numFmtId="0" fontId="0" fillId="0" borderId="12" xfId="0" applyBorder="1"/>
    <xf numFmtId="0" fontId="14" fillId="0" borderId="12" xfId="0" applyFont="1" applyBorder="1"/>
    <xf numFmtId="17" fontId="0" fillId="0" borderId="0" xfId="0" quotePrefix="1" applyNumberFormat="1"/>
    <xf numFmtId="166" fontId="0" fillId="0" borderId="0" xfId="0" applyNumberFormat="1"/>
    <xf numFmtId="166" fontId="4" fillId="0" borderId="0" xfId="0" applyNumberFormat="1" applyFont="1"/>
    <xf numFmtId="17" fontId="14" fillId="0" borderId="0" xfId="0" quotePrefix="1" applyNumberFormat="1" applyFont="1"/>
    <xf numFmtId="166" fontId="0" fillId="0" borderId="12" xfId="1" applyFont="1" applyBorder="1"/>
    <xf numFmtId="166" fontId="4" fillId="0" borderId="24" xfId="0" applyNumberFormat="1" applyFont="1" applyBorder="1"/>
    <xf numFmtId="166" fontId="0" fillId="0" borderId="24" xfId="0" applyNumberFormat="1" applyBorder="1"/>
    <xf numFmtId="166" fontId="1" fillId="0" borderId="0" xfId="1" applyFont="1"/>
    <xf numFmtId="167" fontId="4" fillId="0" borderId="0" xfId="1" applyNumberFormat="1" applyFont="1"/>
    <xf numFmtId="165" fontId="4" fillId="0" borderId="0" xfId="0" applyNumberFormat="1" applyFont="1"/>
    <xf numFmtId="165" fontId="4" fillId="0" borderId="26" xfId="2" applyFont="1" applyBorder="1"/>
    <xf numFmtId="166" fontId="4" fillId="0" borderId="13" xfId="1" applyFont="1" applyBorder="1"/>
    <xf numFmtId="165" fontId="4" fillId="0" borderId="12" xfId="2" applyFont="1" applyBorder="1"/>
    <xf numFmtId="39" fontId="0" fillId="0" borderId="0" xfId="1" applyNumberFormat="1" applyFont="1"/>
    <xf numFmtId="165" fontId="0" fillId="0" borderId="24" xfId="2" applyFont="1" applyBorder="1"/>
    <xf numFmtId="37" fontId="0" fillId="0" borderId="12" xfId="0" applyNumberFormat="1" applyBorder="1"/>
    <xf numFmtId="165" fontId="0" fillId="0" borderId="12" xfId="0" applyNumberFormat="1" applyBorder="1"/>
    <xf numFmtId="165" fontId="1" fillId="7" borderId="1" xfId="3" applyNumberFormat="1" applyFill="1" applyBorder="1" applyAlignment="1">
      <alignment horizontal="left" vertical="center"/>
    </xf>
    <xf numFmtId="166" fontId="0" fillId="0" borderId="12" xfId="0" applyNumberFormat="1" applyBorder="1"/>
    <xf numFmtId="165" fontId="4" fillId="0" borderId="24" xfId="0" applyNumberFormat="1" applyFont="1" applyBorder="1"/>
    <xf numFmtId="166" fontId="0" fillId="0" borderId="0" xfId="1" applyFont="1" applyAlignment="1">
      <alignment horizontal="right" indent="1"/>
    </xf>
    <xf numFmtId="165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168" fontId="4" fillId="0" borderId="0" xfId="0" applyNumberFormat="1" applyFont="1"/>
    <xf numFmtId="165" fontId="4" fillId="0" borderId="13" xfId="0" applyNumberFormat="1" applyFont="1" applyBorder="1"/>
    <xf numFmtId="17" fontId="4" fillId="0" borderId="0" xfId="0" applyNumberFormat="1" applyFont="1"/>
    <xf numFmtId="0" fontId="4" fillId="12" borderId="0" xfId="0" applyFont="1" applyFill="1"/>
    <xf numFmtId="165" fontId="0" fillId="12" borderId="24" xfId="0" applyNumberFormat="1" applyFill="1" applyBorder="1"/>
    <xf numFmtId="165" fontId="0" fillId="12" borderId="0" xfId="0" applyNumberFormat="1" applyFill="1"/>
    <xf numFmtId="165" fontId="4" fillId="12" borderId="24" xfId="0" applyNumberFormat="1" applyFont="1" applyFill="1" applyBorder="1"/>
    <xf numFmtId="0" fontId="64" fillId="12" borderId="0" xfId="0" applyFont="1" applyFill="1"/>
    <xf numFmtId="165" fontId="4" fillId="12" borderId="0" xfId="0" applyNumberFormat="1" applyFont="1" applyFill="1"/>
    <xf numFmtId="0" fontId="16" fillId="18" borderId="0" xfId="15" applyFont="1" applyFill="1"/>
    <xf numFmtId="0" fontId="67" fillId="18" borderId="0" xfId="15" applyFont="1" applyFill="1"/>
    <xf numFmtId="0" fontId="68" fillId="18" borderId="0" xfId="15" applyFont="1" applyFill="1"/>
    <xf numFmtId="0" fontId="16" fillId="18" borderId="12" xfId="15" applyFont="1" applyFill="1" applyBorder="1"/>
    <xf numFmtId="0" fontId="16" fillId="18" borderId="0" xfId="15" applyFont="1" applyFill="1" applyAlignment="1">
      <alignment horizontal="center"/>
    </xf>
    <xf numFmtId="3" fontId="68" fillId="18" borderId="0" xfId="15" applyNumberFormat="1" applyFont="1" applyFill="1"/>
    <xf numFmtId="3" fontId="67" fillId="18" borderId="0" xfId="15" applyNumberFormat="1" applyFont="1" applyFill="1"/>
    <xf numFmtId="0" fontId="18" fillId="18" borderId="0" xfId="15" applyFont="1" applyFill="1" applyAlignment="1">
      <alignment vertical="center"/>
    </xf>
    <xf numFmtId="165" fontId="68" fillId="18" borderId="0" xfId="15" applyNumberFormat="1" applyFont="1" applyFill="1"/>
    <xf numFmtId="0" fontId="22" fillId="18" borderId="0" xfId="15" applyFont="1" applyFill="1" applyAlignment="1">
      <alignment horizontal="center"/>
    </xf>
    <xf numFmtId="165" fontId="67" fillId="18" borderId="0" xfId="15" applyNumberFormat="1" applyFont="1" applyFill="1"/>
    <xf numFmtId="0" fontId="18" fillId="18" borderId="0" xfId="15" applyFont="1" applyFill="1"/>
    <xf numFmtId="0" fontId="18" fillId="18" borderId="12" xfId="15" applyFont="1" applyFill="1" applyBorder="1"/>
    <xf numFmtId="165" fontId="18" fillId="18" borderId="0" xfId="12" applyFont="1" applyFill="1" applyBorder="1" applyAlignment="1">
      <alignment horizontal="center" vertical="center" wrapText="1"/>
    </xf>
    <xf numFmtId="174" fontId="18" fillId="18" borderId="0" xfId="22" applyNumberFormat="1" applyFont="1" applyFill="1" applyAlignment="1">
      <alignment horizontal="center" wrapText="1"/>
    </xf>
    <xf numFmtId="174" fontId="22" fillId="18" borderId="0" xfId="22" applyNumberFormat="1" applyFont="1" applyFill="1" applyAlignment="1">
      <alignment horizontal="center" wrapText="1"/>
    </xf>
    <xf numFmtId="174" fontId="18" fillId="18" borderId="0" xfId="22" applyNumberFormat="1" applyFont="1" applyFill="1" applyAlignment="1">
      <alignment horizontal="center"/>
    </xf>
    <xf numFmtId="174" fontId="22" fillId="18" borderId="12" xfId="22" applyNumberFormat="1" applyFont="1" applyFill="1" applyBorder="1" applyAlignment="1">
      <alignment horizontal="center" wrapText="1"/>
    </xf>
    <xf numFmtId="0" fontId="18" fillId="18" borderId="0" xfId="23" applyFont="1" applyFill="1"/>
    <xf numFmtId="0" fontId="22" fillId="18" borderId="12" xfId="15" applyFont="1" applyFill="1" applyBorder="1" applyAlignment="1">
      <alignment horizontal="center"/>
    </xf>
    <xf numFmtId="165" fontId="22" fillId="18" borderId="12" xfId="12" applyFont="1" applyFill="1" applyBorder="1" applyAlignment="1">
      <alignment horizontal="center" wrapText="1"/>
    </xf>
    <xf numFmtId="165" fontId="22" fillId="18" borderId="0" xfId="12" applyFont="1" applyFill="1" applyBorder="1" applyAlignment="1">
      <alignment horizontal="center" wrapText="1"/>
    </xf>
    <xf numFmtId="174" fontId="22" fillId="18" borderId="12" xfId="22" applyNumberFormat="1" applyFont="1" applyFill="1" applyBorder="1" applyAlignment="1">
      <alignment horizontal="center"/>
    </xf>
    <xf numFmtId="0" fontId="18" fillId="18" borderId="0" xfId="15" applyFont="1" applyFill="1" applyAlignment="1">
      <alignment vertical="top"/>
    </xf>
    <xf numFmtId="0" fontId="19" fillId="18" borderId="0" xfId="15" applyFont="1" applyFill="1" applyAlignment="1">
      <alignment vertical="top"/>
    </xf>
    <xf numFmtId="0" fontId="19" fillId="18" borderId="0" xfId="15" applyFont="1" applyFill="1" applyAlignment="1">
      <alignment horizontal="center" vertical="top"/>
    </xf>
    <xf numFmtId="165" fontId="18" fillId="18" borderId="0" xfId="7" applyFont="1" applyFill="1"/>
    <xf numFmtId="165" fontId="18" fillId="18" borderId="0" xfId="7" applyFont="1" applyFill="1" applyAlignment="1">
      <alignment horizontal="center"/>
    </xf>
    <xf numFmtId="165" fontId="18" fillId="18" borderId="0" xfId="7" applyFont="1" applyFill="1" applyBorder="1"/>
    <xf numFmtId="165" fontId="18" fillId="18" borderId="0" xfId="15" applyNumberFormat="1" applyFont="1" applyFill="1" applyAlignment="1">
      <alignment horizontal="right" vertical="center" wrapText="1"/>
    </xf>
    <xf numFmtId="0" fontId="22" fillId="37" borderId="0" xfId="24" applyFont="1" applyFill="1" applyAlignment="1">
      <alignment vertical="center"/>
    </xf>
    <xf numFmtId="0" fontId="35" fillId="37" borderId="0" xfId="0" applyFont="1" applyFill="1" applyAlignment="1">
      <alignment vertical="center"/>
    </xf>
    <xf numFmtId="165" fontId="19" fillId="18" borderId="0" xfId="17" applyFont="1" applyFill="1" applyBorder="1" applyAlignment="1">
      <alignment horizontal="right" vertical="center" wrapText="1"/>
    </xf>
    <xf numFmtId="0" fontId="19" fillId="18" borderId="0" xfId="15" applyFont="1" applyFill="1" applyAlignment="1">
      <alignment horizontal="right" vertical="center" wrapText="1"/>
    </xf>
    <xf numFmtId="165" fontId="19" fillId="18" borderId="0" xfId="15" applyNumberFormat="1" applyFont="1" applyFill="1" applyAlignment="1">
      <alignment horizontal="right" vertical="center" wrapText="1"/>
    </xf>
    <xf numFmtId="165" fontId="19" fillId="18" borderId="0" xfId="7" applyFont="1" applyFill="1" applyBorder="1"/>
    <xf numFmtId="0" fontId="45" fillId="37" borderId="0" xfId="0" applyFont="1" applyFill="1" applyAlignment="1">
      <alignment vertical="center"/>
    </xf>
    <xf numFmtId="165" fontId="19" fillId="18" borderId="12" xfId="17" applyFont="1" applyFill="1" applyBorder="1" applyAlignment="1">
      <alignment horizontal="right" vertical="center" wrapText="1"/>
    </xf>
    <xf numFmtId="165" fontId="19" fillId="18" borderId="12" xfId="15" applyNumberFormat="1" applyFont="1" applyFill="1" applyBorder="1" applyAlignment="1">
      <alignment horizontal="right" vertical="center" wrapText="1"/>
    </xf>
    <xf numFmtId="165" fontId="19" fillId="18" borderId="12" xfId="7" applyFont="1" applyFill="1" applyBorder="1"/>
    <xf numFmtId="165" fontId="19" fillId="18" borderId="0" xfId="25" applyNumberFormat="1" applyFont="1" applyFill="1" applyAlignment="1">
      <alignment horizontal="right" vertical="center" wrapText="1"/>
    </xf>
    <xf numFmtId="0" fontId="31" fillId="37" borderId="0" xfId="0" applyFont="1" applyFill="1" applyAlignment="1">
      <alignment vertical="center"/>
    </xf>
    <xf numFmtId="165" fontId="29" fillId="18" borderId="0" xfId="7" applyFont="1" applyFill="1" applyBorder="1"/>
    <xf numFmtId="0" fontId="71" fillId="37" borderId="0" xfId="0" applyFont="1" applyFill="1" applyAlignment="1">
      <alignment vertical="center"/>
    </xf>
    <xf numFmtId="165" fontId="18" fillId="18" borderId="12" xfId="15" applyNumberFormat="1" applyFont="1" applyFill="1" applyBorder="1" applyAlignment="1">
      <alignment horizontal="right" vertical="center" wrapText="1"/>
    </xf>
    <xf numFmtId="0" fontId="18" fillId="18" borderId="0" xfId="15" applyFont="1" applyFill="1" applyAlignment="1">
      <alignment horizontal="right" vertical="center" wrapText="1"/>
    </xf>
    <xf numFmtId="165" fontId="18" fillId="18" borderId="0" xfId="25" applyNumberFormat="1" applyFont="1" applyFill="1" applyAlignment="1">
      <alignment horizontal="right" vertical="center" wrapText="1"/>
    </xf>
    <xf numFmtId="165" fontId="19" fillId="18" borderId="12" xfId="25" applyNumberFormat="1" applyFont="1" applyFill="1" applyBorder="1" applyAlignment="1">
      <alignment horizontal="right" vertical="center" wrapText="1"/>
    </xf>
    <xf numFmtId="165" fontId="19" fillId="18" borderId="12" xfId="7" applyFont="1" applyFill="1" applyBorder="1" applyAlignment="1">
      <alignment horizontal="right" vertical="center" wrapText="1"/>
    </xf>
    <xf numFmtId="165" fontId="18" fillId="18" borderId="13" xfId="15" applyNumberFormat="1" applyFont="1" applyFill="1" applyBorder="1" applyAlignment="1">
      <alignment horizontal="right" vertical="center" wrapText="1"/>
    </xf>
    <xf numFmtId="0" fontId="19" fillId="18" borderId="0" xfId="15" applyFont="1" applyFill="1" applyAlignment="1">
      <alignment horizontal="center"/>
    </xf>
    <xf numFmtId="0" fontId="15" fillId="18" borderId="0" xfId="15" applyFill="1"/>
    <xf numFmtId="0" fontId="18" fillId="0" borderId="0" xfId="15" applyFont="1"/>
    <xf numFmtId="0" fontId="19" fillId="0" borderId="0" xfId="15" applyFont="1" applyAlignment="1">
      <alignment vertical="top"/>
    </xf>
    <xf numFmtId="165" fontId="18" fillId="0" borderId="13" xfId="15" applyNumberFormat="1" applyFont="1" applyBorder="1" applyAlignment="1">
      <alignment horizontal="right" vertical="center" wrapText="1"/>
    </xf>
    <xf numFmtId="165" fontId="18" fillId="0" borderId="0" xfId="15" applyNumberFormat="1" applyFont="1" applyAlignment="1">
      <alignment horizontal="right" vertical="center" wrapText="1"/>
    </xf>
    <xf numFmtId="0" fontId="19" fillId="0" borderId="0" xfId="15" applyFont="1" applyAlignment="1">
      <alignment horizontal="right" vertical="center" wrapText="1"/>
    </xf>
    <xf numFmtId="165" fontId="19" fillId="0" borderId="0" xfId="25" applyNumberFormat="1" applyFont="1" applyAlignment="1">
      <alignment horizontal="right" vertical="center" wrapText="1"/>
    </xf>
    <xf numFmtId="0" fontId="67" fillId="0" borderId="0" xfId="15" applyFont="1"/>
    <xf numFmtId="0" fontId="22" fillId="0" borderId="0" xfId="24" applyFont="1" applyAlignment="1">
      <alignment vertical="center"/>
    </xf>
    <xf numFmtId="0" fontId="35" fillId="0" borderId="0" xfId="0" applyFont="1" applyAlignment="1">
      <alignment vertical="center"/>
    </xf>
    <xf numFmtId="0" fontId="19" fillId="0" borderId="0" xfId="15" applyFont="1"/>
    <xf numFmtId="0" fontId="19" fillId="0" borderId="0" xfId="15" applyFont="1" applyAlignment="1">
      <alignment horizontal="center" vertical="top"/>
    </xf>
    <xf numFmtId="165" fontId="19" fillId="0" borderId="0" xfId="17" applyFont="1" applyFill="1" applyBorder="1" applyAlignment="1">
      <alignment horizontal="right" vertical="center" wrapText="1"/>
    </xf>
    <xf numFmtId="165" fontId="19" fillId="0" borderId="0" xfId="15" applyNumberFormat="1" applyFont="1" applyAlignment="1">
      <alignment horizontal="right" vertical="center" wrapText="1"/>
    </xf>
    <xf numFmtId="165" fontId="19" fillId="0" borderId="0" xfId="7" applyFont="1" applyFill="1" applyBorder="1"/>
    <xf numFmtId="0" fontId="45" fillId="0" borderId="0" xfId="0" applyFont="1" applyAlignment="1">
      <alignment vertical="center"/>
    </xf>
    <xf numFmtId="0" fontId="19" fillId="0" borderId="0" xfId="15" applyFont="1" applyAlignment="1">
      <alignment horizontal="center"/>
    </xf>
    <xf numFmtId="165" fontId="19" fillId="0" borderId="12" xfId="17" applyFont="1" applyFill="1" applyBorder="1" applyAlignment="1">
      <alignment horizontal="right" vertical="center" wrapText="1"/>
    </xf>
    <xf numFmtId="0" fontId="15" fillId="0" borderId="0" xfId="15"/>
    <xf numFmtId="165" fontId="19" fillId="0" borderId="12" xfId="25" applyNumberFormat="1" applyFont="1" applyBorder="1" applyAlignment="1">
      <alignment horizontal="right" vertical="center" wrapText="1"/>
    </xf>
    <xf numFmtId="165" fontId="19" fillId="0" borderId="12" xfId="15" applyNumberFormat="1" applyFont="1" applyBorder="1" applyAlignment="1">
      <alignment horizontal="right" vertical="center" wrapText="1"/>
    </xf>
    <xf numFmtId="0" fontId="16" fillId="18" borderId="0" xfId="15" applyFont="1" applyFill="1" applyAlignment="1">
      <alignment vertical="top"/>
    </xf>
    <xf numFmtId="0" fontId="67" fillId="18" borderId="0" xfId="15" applyFont="1" applyFill="1" applyAlignment="1">
      <alignment vertical="top"/>
    </xf>
    <xf numFmtId="165" fontId="67" fillId="18" borderId="0" xfId="15" applyNumberFormat="1" applyFont="1" applyFill="1" applyAlignment="1">
      <alignment horizontal="right" vertical="top"/>
    </xf>
    <xf numFmtId="0" fontId="67" fillId="18" borderId="0" xfId="15" applyFont="1" applyFill="1" applyAlignment="1">
      <alignment horizontal="right" vertical="top"/>
    </xf>
    <xf numFmtId="165" fontId="67" fillId="18" borderId="0" xfId="25" applyNumberFormat="1" applyFont="1" applyFill="1"/>
    <xf numFmtId="0" fontId="28" fillId="18" borderId="0" xfId="15" applyFont="1" applyFill="1"/>
    <xf numFmtId="165" fontId="67" fillId="0" borderId="0" xfId="25" applyNumberFormat="1" applyFont="1"/>
    <xf numFmtId="37" fontId="67" fillId="18" borderId="0" xfId="26" applyNumberFormat="1" applyFont="1" applyFill="1"/>
    <xf numFmtId="174" fontId="67" fillId="18" borderId="0" xfId="22" applyNumberFormat="1" applyFont="1" applyFill="1"/>
    <xf numFmtId="0" fontId="19" fillId="38" borderId="0" xfId="15" applyFont="1" applyFill="1"/>
    <xf numFmtId="0" fontId="18" fillId="38" borderId="0" xfId="15" applyFont="1" applyFill="1"/>
    <xf numFmtId="0" fontId="19" fillId="38" borderId="0" xfId="15" applyFont="1" applyFill="1" applyAlignment="1">
      <alignment vertical="top"/>
    </xf>
    <xf numFmtId="165" fontId="19" fillId="38" borderId="0" xfId="15" applyNumberFormat="1" applyFont="1" applyFill="1" applyAlignment="1">
      <alignment horizontal="right" vertical="center" wrapText="1"/>
    </xf>
    <xf numFmtId="0" fontId="19" fillId="38" borderId="0" xfId="15" applyFont="1" applyFill="1" applyAlignment="1">
      <alignment horizontal="right" vertical="center" wrapText="1"/>
    </xf>
    <xf numFmtId="165" fontId="19" fillId="38" borderId="0" xfId="25" applyNumberFormat="1" applyFont="1" applyFill="1" applyAlignment="1">
      <alignment horizontal="right" vertical="center" wrapText="1"/>
    </xf>
    <xf numFmtId="0" fontId="67" fillId="38" borderId="0" xfId="15" applyFont="1" applyFill="1"/>
    <xf numFmtId="0" fontId="28" fillId="38" borderId="0" xfId="24" applyFont="1" applyFill="1" applyAlignment="1">
      <alignment vertical="center"/>
    </xf>
    <xf numFmtId="0" fontId="35" fillId="38" borderId="0" xfId="0" applyFont="1" applyFill="1" applyAlignment="1">
      <alignment vertical="center"/>
    </xf>
    <xf numFmtId="0" fontId="19" fillId="38" borderId="0" xfId="15" applyFont="1" applyFill="1" applyAlignment="1">
      <alignment horizontal="center" vertical="top"/>
    </xf>
    <xf numFmtId="165" fontId="19" fillId="38" borderId="0" xfId="17" applyFont="1" applyFill="1" applyBorder="1" applyAlignment="1">
      <alignment horizontal="right" vertical="center" wrapText="1"/>
    </xf>
    <xf numFmtId="165" fontId="19" fillId="38" borderId="0" xfId="7" applyFont="1" applyFill="1" applyBorder="1"/>
    <xf numFmtId="0" fontId="45" fillId="38" borderId="0" xfId="0" applyFont="1" applyFill="1" applyAlignment="1">
      <alignment vertical="center"/>
    </xf>
    <xf numFmtId="165" fontId="18" fillId="38" borderId="0" xfId="15" applyNumberFormat="1" applyFont="1" applyFill="1" applyAlignment="1">
      <alignment horizontal="right" vertical="center" wrapText="1"/>
    </xf>
    <xf numFmtId="0" fontId="19" fillId="38" borderId="0" xfId="15" applyFont="1" applyFill="1" applyAlignment="1">
      <alignment horizontal="center"/>
    </xf>
    <xf numFmtId="165" fontId="19" fillId="38" borderId="12" xfId="17" applyFont="1" applyFill="1" applyBorder="1" applyAlignment="1">
      <alignment horizontal="right" vertical="center" wrapText="1"/>
    </xf>
    <xf numFmtId="0" fontId="15" fillId="38" borderId="0" xfId="15" applyFill="1"/>
    <xf numFmtId="165" fontId="19" fillId="38" borderId="12" xfId="25" applyNumberFormat="1" applyFont="1" applyFill="1" applyBorder="1" applyAlignment="1">
      <alignment horizontal="right" vertical="center" wrapText="1"/>
    </xf>
    <xf numFmtId="165" fontId="19" fillId="38" borderId="12" xfId="15" applyNumberFormat="1" applyFont="1" applyFill="1" applyBorder="1" applyAlignment="1">
      <alignment horizontal="right" vertical="center" wrapText="1"/>
    </xf>
    <xf numFmtId="17" fontId="67" fillId="18" borderId="0" xfId="15" applyNumberFormat="1" applyFont="1" applyFill="1" applyAlignment="1">
      <alignment vertical="top"/>
    </xf>
    <xf numFmtId="165" fontId="53" fillId="0" borderId="0" xfId="8" applyNumberFormat="1" applyFont="1" applyAlignment="1">
      <alignment horizontal="center" vertical="center"/>
    </xf>
    <xf numFmtId="165" fontId="15" fillId="0" borderId="0" xfId="19" applyNumberFormat="1" applyAlignment="1">
      <alignment horizontal="center"/>
    </xf>
    <xf numFmtId="165" fontId="50" fillId="0" borderId="0" xfId="19" applyNumberFormat="1" applyFont="1" applyAlignment="1">
      <alignment horizontal="center" vertical="center"/>
    </xf>
    <xf numFmtId="165" fontId="15" fillId="0" borderId="0" xfId="20" applyNumberFormat="1" applyBorder="1"/>
    <xf numFmtId="165" fontId="15" fillId="0" borderId="0" xfId="7" applyFont="1" applyBorder="1"/>
    <xf numFmtId="165" fontId="50" fillId="0" borderId="0" xfId="7" applyFont="1" applyBorder="1"/>
    <xf numFmtId="165" fontId="15" fillId="7" borderId="0" xfId="7" applyFont="1" applyFill="1" applyBorder="1"/>
    <xf numFmtId="165" fontId="50" fillId="0" borderId="0" xfId="7" applyFont="1" applyFill="1" applyBorder="1"/>
    <xf numFmtId="165" fontId="53" fillId="0" borderId="0" xfId="7" applyFont="1" applyBorder="1"/>
    <xf numFmtId="165" fontId="49" fillId="0" borderId="0" xfId="7" applyFont="1" applyBorder="1"/>
    <xf numFmtId="0" fontId="43" fillId="12" borderId="0" xfId="0" applyFont="1" applyFill="1" applyAlignment="1">
      <alignment vertical="center"/>
    </xf>
    <xf numFmtId="0" fontId="56" fillId="12" borderId="0" xfId="0" applyFont="1" applyFill="1" applyAlignment="1">
      <alignment horizontal="justify" vertical="center"/>
    </xf>
    <xf numFmtId="0" fontId="58" fillId="12" borderId="0" xfId="0" applyFont="1" applyFill="1" applyAlignment="1">
      <alignment vertical="center"/>
    </xf>
    <xf numFmtId="0" fontId="59" fillId="12" borderId="0" xfId="0" applyFont="1" applyFill="1" applyAlignment="1">
      <alignment vertical="center"/>
    </xf>
    <xf numFmtId="0" fontId="30" fillId="12" borderId="0" xfId="0" applyFont="1" applyFill="1" applyAlignment="1">
      <alignment vertical="center"/>
    </xf>
    <xf numFmtId="0" fontId="46" fillId="12" borderId="0" xfId="0" applyFont="1" applyFill="1" applyAlignment="1">
      <alignment vertical="center"/>
    </xf>
    <xf numFmtId="0" fontId="61" fillId="12" borderId="0" xfId="0" applyFont="1" applyFill="1" applyAlignment="1">
      <alignment vertical="center"/>
    </xf>
    <xf numFmtId="0" fontId="62" fillId="12" borderId="0" xfId="0" applyFont="1" applyFill="1" applyAlignment="1">
      <alignment vertical="center"/>
    </xf>
    <xf numFmtId="0" fontId="63" fillId="12" borderId="0" xfId="0" applyFont="1" applyFill="1" applyAlignment="1">
      <alignment vertical="center"/>
    </xf>
    <xf numFmtId="0" fontId="59" fillId="12" borderId="0" xfId="0" applyFont="1" applyFill="1" applyAlignment="1">
      <alignment horizontal="justify" vertical="center"/>
    </xf>
    <xf numFmtId="0" fontId="62" fillId="12" borderId="0" xfId="0" applyFont="1" applyFill="1" applyAlignment="1">
      <alignment horizontal="justify" vertical="center"/>
    </xf>
    <xf numFmtId="0" fontId="63" fillId="12" borderId="0" xfId="0" applyFont="1" applyFill="1" applyAlignment="1">
      <alignment horizontal="justify" vertical="center"/>
    </xf>
    <xf numFmtId="168" fontId="30" fillId="7" borderId="0" xfId="1" applyNumberFormat="1" applyFont="1" applyFill="1" applyAlignment="1">
      <alignment horizontal="right" vertical="center"/>
    </xf>
    <xf numFmtId="0" fontId="0" fillId="7" borderId="0" xfId="0" applyFill="1"/>
    <xf numFmtId="170" fontId="5" fillId="0" borderId="1" xfId="1" applyNumberFormat="1" applyFont="1" applyBorder="1" applyAlignment="1">
      <alignment horizontal="right" vertical="center"/>
    </xf>
    <xf numFmtId="175" fontId="5" fillId="0" borderId="1" xfId="1" applyNumberFormat="1" applyFont="1" applyBorder="1" applyAlignment="1">
      <alignment horizontal="right" vertical="center"/>
    </xf>
    <xf numFmtId="165" fontId="4" fillId="0" borderId="0" xfId="7" applyFont="1" applyFill="1" applyBorder="1" applyAlignment="1">
      <alignment horizontal="center" vertical="center"/>
    </xf>
    <xf numFmtId="165" fontId="1" fillId="4" borderId="1" xfId="3" applyNumberFormat="1" applyFill="1" applyBorder="1" applyAlignment="1">
      <alignment horizontal="left" vertical="center"/>
    </xf>
    <xf numFmtId="0" fontId="0" fillId="0" borderId="0" xfId="0" applyAlignment="1">
      <alignment wrapText="1"/>
    </xf>
    <xf numFmtId="165" fontId="0" fillId="0" borderId="1" xfId="2" applyFont="1" applyFill="1" applyBorder="1"/>
    <xf numFmtId="176" fontId="5" fillId="0" borderId="0" xfId="3" applyNumberFormat="1" applyFont="1" applyAlignment="1">
      <alignment horizontal="left" vertical="center"/>
    </xf>
    <xf numFmtId="165" fontId="19" fillId="7" borderId="0" xfId="15" applyNumberFormat="1" applyFont="1" applyFill="1" applyAlignment="1">
      <alignment horizontal="right" vertical="center" wrapText="1"/>
    </xf>
    <xf numFmtId="165" fontId="19" fillId="7" borderId="12" xfId="25" applyNumberFormat="1" applyFont="1" applyFill="1" applyBorder="1" applyAlignment="1">
      <alignment horizontal="right" vertical="center" wrapText="1"/>
    </xf>
    <xf numFmtId="17" fontId="43" fillId="0" borderId="24" xfId="1" applyNumberFormat="1" applyFont="1" applyBorder="1" applyAlignment="1">
      <alignment horizontal="center" vertical="center"/>
    </xf>
    <xf numFmtId="168" fontId="19" fillId="18" borderId="0" xfId="1" applyNumberFormat="1" applyFont="1" applyFill="1" applyAlignment="1">
      <alignment horizontal="center"/>
    </xf>
    <xf numFmtId="0" fontId="55" fillId="0" borderId="19" xfId="0" applyFont="1" applyBorder="1"/>
    <xf numFmtId="165" fontId="5" fillId="12" borderId="1" xfId="1" applyNumberFormat="1" applyFont="1" applyFill="1" applyBorder="1" applyAlignment="1">
      <alignment horizontal="right" vertical="center"/>
    </xf>
    <xf numFmtId="165" fontId="1" fillId="39" borderId="1" xfId="3" applyNumberFormat="1" applyFill="1" applyBorder="1" applyAlignment="1">
      <alignment horizontal="left" vertical="center"/>
    </xf>
    <xf numFmtId="165" fontId="5" fillId="39" borderId="1" xfId="3" applyNumberFormat="1" applyFont="1" applyFill="1" applyBorder="1" applyAlignment="1">
      <alignment horizontal="left" vertical="center" wrapText="1"/>
    </xf>
    <xf numFmtId="165" fontId="0" fillId="0" borderId="20" xfId="2" applyFont="1" applyBorder="1"/>
    <xf numFmtId="165" fontId="1" fillId="5" borderId="1" xfId="3" applyNumberFormat="1" applyFill="1" applyBorder="1" applyAlignment="1">
      <alignment horizontal="left" vertical="center"/>
    </xf>
    <xf numFmtId="0" fontId="19" fillId="0" borderId="0" xfId="9" applyFont="1"/>
    <xf numFmtId="0" fontId="21" fillId="0" borderId="0" xfId="9" applyFont="1"/>
    <xf numFmtId="167" fontId="0" fillId="0" borderId="1" xfId="0" applyNumberFormat="1" applyBorder="1"/>
    <xf numFmtId="165" fontId="1" fillId="40" borderId="1" xfId="3" applyNumberFormat="1" applyFill="1" applyBorder="1" applyAlignment="1">
      <alignment horizontal="left" vertical="center"/>
    </xf>
    <xf numFmtId="165" fontId="1" fillId="41" borderId="1" xfId="3" applyNumberFormat="1" applyFill="1" applyBorder="1" applyAlignment="1">
      <alignment horizontal="left" vertical="center"/>
    </xf>
    <xf numFmtId="3" fontId="19" fillId="0" borderId="0" xfId="9" applyNumberFormat="1" applyFont="1"/>
    <xf numFmtId="6" fontId="28" fillId="0" borderId="0" xfId="9" applyNumberFormat="1" applyFont="1" applyAlignment="1">
      <alignment horizontal="left" vertical="center"/>
    </xf>
    <xf numFmtId="0" fontId="28" fillId="0" borderId="0" xfId="9" applyFont="1" applyAlignment="1">
      <alignment horizontal="left" vertical="center"/>
    </xf>
    <xf numFmtId="165" fontId="5" fillId="5" borderId="1" xfId="3" applyNumberFormat="1" applyFont="1" applyFill="1" applyBorder="1" applyAlignment="1">
      <alignment horizontal="left" vertical="center"/>
    </xf>
    <xf numFmtId="165" fontId="15" fillId="18" borderId="1" xfId="7" applyFont="1" applyFill="1" applyBorder="1"/>
    <xf numFmtId="166" fontId="64" fillId="0" borderId="0" xfId="1" applyFont="1"/>
    <xf numFmtId="0" fontId="43" fillId="0" borderId="0" xfId="27" applyFont="1" applyAlignment="1">
      <alignment vertical="center"/>
    </xf>
    <xf numFmtId="0" fontId="30" fillId="0" borderId="0" xfId="27" applyFont="1" applyAlignment="1">
      <alignment vertical="center"/>
    </xf>
    <xf numFmtId="0" fontId="30" fillId="0" borderId="0" xfId="27" applyFont="1" applyAlignment="1">
      <alignment horizontal="center" vertical="center"/>
    </xf>
    <xf numFmtId="0" fontId="30" fillId="0" borderId="0" xfId="11" applyAlignment="1">
      <alignment vertical="center"/>
    </xf>
    <xf numFmtId="0" fontId="51" fillId="0" borderId="0" xfId="27" applyAlignment="1">
      <alignment vertical="center"/>
    </xf>
    <xf numFmtId="0" fontId="43" fillId="0" borderId="0" xfId="27" applyFont="1" applyAlignment="1">
      <alignment horizontal="center" vertical="center"/>
    </xf>
    <xf numFmtId="0" fontId="43" fillId="0" borderId="12" xfId="27" applyFont="1" applyBorder="1" applyAlignment="1">
      <alignment horizontal="center" vertical="center"/>
    </xf>
    <xf numFmtId="0" fontId="62" fillId="0" borderId="0" xfId="27" applyFont="1" applyAlignment="1">
      <alignment vertical="center"/>
    </xf>
    <xf numFmtId="0" fontId="74" fillId="0" borderId="0" xfId="28" applyFont="1" applyAlignment="1">
      <alignment vertical="center"/>
    </xf>
    <xf numFmtId="165" fontId="30" fillId="0" borderId="0" xfId="27" applyNumberFormat="1" applyFont="1" applyAlignment="1">
      <alignment vertical="center"/>
    </xf>
    <xf numFmtId="0" fontId="28" fillId="0" borderId="0" xfId="28" applyFont="1" applyAlignment="1">
      <alignment horizontal="left" vertical="center"/>
    </xf>
    <xf numFmtId="0" fontId="30" fillId="0" borderId="0" xfId="11" quotePrefix="1" applyAlignment="1">
      <alignment vertical="center"/>
    </xf>
    <xf numFmtId="165" fontId="46" fillId="0" borderId="0" xfId="27" applyNumberFormat="1" applyFont="1" applyAlignment="1">
      <alignment vertical="center"/>
    </xf>
    <xf numFmtId="168" fontId="30" fillId="0" borderId="0" xfId="27" applyNumberFormat="1" applyFont="1" applyAlignment="1">
      <alignment vertical="center"/>
    </xf>
    <xf numFmtId="168" fontId="30" fillId="18" borderId="0" xfId="27" applyNumberFormat="1" applyFont="1" applyFill="1" applyAlignment="1">
      <alignment vertical="center"/>
    </xf>
    <xf numFmtId="0" fontId="30" fillId="0" borderId="0" xfId="27" applyFont="1"/>
    <xf numFmtId="0" fontId="30" fillId="0" borderId="0" xfId="27" applyFont="1" applyAlignment="1">
      <alignment horizontal="center" vertical="center" wrapText="1"/>
    </xf>
    <xf numFmtId="168" fontId="30" fillId="18" borderId="12" xfId="27" applyNumberFormat="1" applyFont="1" applyFill="1" applyBorder="1" applyAlignment="1">
      <alignment vertical="center"/>
    </xf>
    <xf numFmtId="0" fontId="45" fillId="0" borderId="0" xfId="28" applyFont="1" applyAlignment="1">
      <alignment vertical="center"/>
    </xf>
    <xf numFmtId="168" fontId="30" fillId="0" borderId="12" xfId="27" applyNumberFormat="1" applyFont="1" applyBorder="1" applyAlignment="1">
      <alignment vertical="center"/>
    </xf>
    <xf numFmtId="0" fontId="75" fillId="0" borderId="0" xfId="29" applyFont="1" applyAlignment="1">
      <alignment vertical="center"/>
    </xf>
    <xf numFmtId="165" fontId="35" fillId="0" borderId="0" xfId="30" applyFont="1" applyFill="1" applyAlignment="1">
      <alignment vertical="center"/>
    </xf>
    <xf numFmtId="172" fontId="30" fillId="0" borderId="0" xfId="27" applyNumberFormat="1" applyFont="1" applyAlignment="1">
      <alignment vertical="center"/>
    </xf>
    <xf numFmtId="165" fontId="30" fillId="0" borderId="12" xfId="27" applyNumberFormat="1" applyFont="1" applyBorder="1" applyAlignment="1">
      <alignment vertical="center"/>
    </xf>
    <xf numFmtId="0" fontId="36" fillId="0" borderId="0" xfId="11" applyFont="1" applyAlignment="1">
      <alignment vertical="center"/>
    </xf>
    <xf numFmtId="165" fontId="35" fillId="0" borderId="0" xfId="30" applyFont="1" applyFill="1" applyBorder="1" applyAlignment="1">
      <alignment vertical="center"/>
    </xf>
    <xf numFmtId="0" fontId="62" fillId="0" borderId="0" xfId="27" applyFont="1" applyAlignment="1">
      <alignment horizontal="center" vertical="center"/>
    </xf>
    <xf numFmtId="165" fontId="43" fillId="0" borderId="24" xfId="27" applyNumberFormat="1" applyFont="1" applyBorder="1" applyAlignment="1">
      <alignment vertical="center"/>
    </xf>
    <xf numFmtId="0" fontId="74" fillId="0" borderId="0" xfId="11" applyFont="1" applyAlignment="1">
      <alignment vertical="center"/>
    </xf>
    <xf numFmtId="172" fontId="62" fillId="0" borderId="0" xfId="27" applyNumberFormat="1" applyFont="1" applyAlignment="1">
      <alignment vertical="center"/>
    </xf>
    <xf numFmtId="165" fontId="62" fillId="0" borderId="0" xfId="27" applyNumberFormat="1" applyFont="1" applyAlignment="1">
      <alignment vertical="center"/>
    </xf>
    <xf numFmtId="0" fontId="23" fillId="0" borderId="0" xfId="11" applyFont="1" applyAlignment="1">
      <alignment vertical="center"/>
    </xf>
    <xf numFmtId="0" fontId="19" fillId="0" borderId="0" xfId="27" applyFont="1" applyAlignment="1">
      <alignment vertical="center"/>
    </xf>
    <xf numFmtId="0" fontId="28" fillId="0" borderId="0" xfId="28" applyFont="1" applyAlignment="1">
      <alignment vertical="center"/>
    </xf>
    <xf numFmtId="0" fontId="19" fillId="0" borderId="0" xfId="11" applyFont="1" applyAlignment="1">
      <alignment vertical="center"/>
    </xf>
    <xf numFmtId="165" fontId="30" fillId="0" borderId="0" xfId="2" applyFont="1" applyAlignment="1">
      <alignment vertical="center"/>
    </xf>
    <xf numFmtId="0" fontId="22" fillId="0" borderId="0" xfId="28" applyFont="1" applyAlignment="1">
      <alignment horizontal="left" vertical="center"/>
    </xf>
    <xf numFmtId="0" fontId="76" fillId="0" borderId="0" xfId="11" applyFont="1" applyAlignment="1">
      <alignment vertical="center"/>
    </xf>
    <xf numFmtId="165" fontId="29" fillId="0" borderId="0" xfId="2" applyFont="1" applyAlignment="1">
      <alignment vertical="center"/>
    </xf>
    <xf numFmtId="165" fontId="77" fillId="0" borderId="0" xfId="2" applyFont="1" applyAlignment="1">
      <alignment vertical="center"/>
    </xf>
    <xf numFmtId="0" fontId="19" fillId="18" borderId="0" xfId="31" applyFont="1" applyFill="1" applyAlignment="1">
      <alignment vertical="center"/>
    </xf>
    <xf numFmtId="0" fontId="36" fillId="0" borderId="0" xfId="31" applyFont="1" applyAlignment="1">
      <alignment vertical="center"/>
    </xf>
    <xf numFmtId="0" fontId="36" fillId="18" borderId="0" xfId="31" applyFont="1" applyFill="1" applyAlignment="1">
      <alignment vertical="center"/>
    </xf>
    <xf numFmtId="0" fontId="46" fillId="0" borderId="0" xfId="27" applyFont="1" applyAlignment="1">
      <alignment horizontal="center" vertical="center"/>
    </xf>
    <xf numFmtId="165" fontId="46" fillId="0" borderId="12" xfId="27" applyNumberFormat="1" applyFont="1" applyBorder="1" applyAlignment="1">
      <alignment vertical="center"/>
    </xf>
    <xf numFmtId="0" fontId="46" fillId="0" borderId="0" xfId="27" applyFont="1" applyAlignment="1">
      <alignment vertical="center"/>
    </xf>
    <xf numFmtId="0" fontId="43" fillId="0" borderId="0" xfId="27" applyFont="1" applyAlignment="1">
      <alignment horizontal="left" vertical="center"/>
    </xf>
    <xf numFmtId="0" fontId="18" fillId="0" borderId="0" xfId="27" applyFont="1" applyAlignment="1">
      <alignment vertical="center"/>
    </xf>
    <xf numFmtId="0" fontId="22" fillId="0" borderId="0" xfId="11" applyFont="1" applyAlignment="1">
      <alignment vertical="center"/>
    </xf>
    <xf numFmtId="165" fontId="43" fillId="0" borderId="0" xfId="27" applyNumberFormat="1" applyFont="1" applyAlignment="1">
      <alignment vertical="center"/>
    </xf>
    <xf numFmtId="165" fontId="43" fillId="0" borderId="27" xfId="27" applyNumberFormat="1" applyFont="1" applyBorder="1" applyAlignment="1">
      <alignment vertical="center"/>
    </xf>
    <xf numFmtId="165" fontId="43" fillId="0" borderId="28" xfId="27" applyNumberFormat="1" applyFont="1" applyBorder="1" applyAlignment="1">
      <alignment vertical="center"/>
    </xf>
    <xf numFmtId="0" fontId="31" fillId="0" borderId="0" xfId="27" applyFont="1" applyAlignment="1">
      <alignment vertical="center"/>
    </xf>
    <xf numFmtId="0" fontId="71" fillId="0" borderId="0" xfId="11" applyFont="1" applyAlignment="1">
      <alignment vertical="center"/>
    </xf>
    <xf numFmtId="0" fontId="29" fillId="0" borderId="0" xfId="27" applyFont="1" applyAlignment="1">
      <alignment vertical="center"/>
    </xf>
    <xf numFmtId="165" fontId="29" fillId="0" borderId="0" xfId="27" applyNumberFormat="1" applyFont="1" applyAlignment="1">
      <alignment vertical="center"/>
    </xf>
    <xf numFmtId="0" fontId="51" fillId="0" borderId="0" xfId="27" applyAlignment="1">
      <alignment horizontal="center" vertical="center"/>
    </xf>
    <xf numFmtId="168" fontId="78" fillId="0" borderId="0" xfId="27" applyNumberFormat="1" applyFont="1"/>
    <xf numFmtId="168" fontId="79" fillId="0" borderId="0" xfId="27" applyNumberFormat="1" applyFont="1"/>
    <xf numFmtId="168" fontId="80" fillId="0" borderId="0" xfId="27" applyNumberFormat="1" applyFont="1" applyAlignment="1">
      <alignment horizontal="center" vertical="center" wrapText="1"/>
    </xf>
    <xf numFmtId="0" fontId="78" fillId="0" borderId="0" xfId="27" applyFont="1"/>
    <xf numFmtId="0" fontId="51" fillId="0" borderId="0" xfId="27"/>
    <xf numFmtId="3" fontId="78" fillId="0" borderId="0" xfId="27" applyNumberFormat="1" applyFont="1"/>
    <xf numFmtId="165" fontId="80" fillId="0" borderId="0" xfId="27" applyNumberFormat="1" applyFont="1" applyAlignment="1">
      <alignment horizontal="center" vertical="center" wrapText="1"/>
    </xf>
    <xf numFmtId="0" fontId="78" fillId="0" borderId="5" xfId="27" applyFont="1" applyBorder="1"/>
    <xf numFmtId="167" fontId="78" fillId="0" borderId="0" xfId="1" applyNumberFormat="1" applyFont="1" applyAlignment="1">
      <alignment horizontal="center" vertical="center" wrapText="1"/>
    </xf>
    <xf numFmtId="167" fontId="78" fillId="0" borderId="0" xfId="27" applyNumberFormat="1" applyFont="1"/>
    <xf numFmtId="0" fontId="78" fillId="0" borderId="10" xfId="27" applyFont="1" applyBorder="1"/>
    <xf numFmtId="177" fontId="79" fillId="0" borderId="10" xfId="27" applyNumberFormat="1" applyFont="1" applyBorder="1" applyAlignment="1">
      <alignment horizontal="center"/>
    </xf>
    <xf numFmtId="168" fontId="80" fillId="0" borderId="15" xfId="27" applyNumberFormat="1" applyFont="1" applyBorder="1" applyAlignment="1">
      <alignment horizontal="center" vertical="center" wrapText="1"/>
    </xf>
    <xf numFmtId="168" fontId="78" fillId="0" borderId="10" xfId="27" applyNumberFormat="1" applyFont="1" applyBorder="1"/>
    <xf numFmtId="168" fontId="82" fillId="0" borderId="15" xfId="27" applyNumberFormat="1" applyFont="1" applyBorder="1" applyAlignment="1">
      <alignment horizontal="center" vertical="center" wrapText="1"/>
    </xf>
    <xf numFmtId="168" fontId="78" fillId="0" borderId="0" xfId="27" applyNumberFormat="1" applyFont="1" applyAlignment="1">
      <alignment horizontal="right"/>
    </xf>
    <xf numFmtId="165" fontId="78" fillId="0" borderId="0" xfId="2" applyFont="1" applyFill="1"/>
    <xf numFmtId="0" fontId="79" fillId="0" borderId="9" xfId="27" applyFont="1" applyBorder="1" applyAlignment="1">
      <alignment horizontal="center"/>
    </xf>
    <xf numFmtId="168" fontId="83" fillId="0" borderId="29" xfId="27" applyNumberFormat="1" applyFont="1" applyBorder="1" applyAlignment="1">
      <alignment horizontal="center" vertical="center" wrapText="1"/>
    </xf>
    <xf numFmtId="168" fontId="84" fillId="0" borderId="0" xfId="27" applyNumberFormat="1" applyFont="1" applyAlignment="1">
      <alignment horizontal="right"/>
    </xf>
    <xf numFmtId="0" fontId="78" fillId="0" borderId="30" xfId="27" applyFont="1" applyBorder="1"/>
    <xf numFmtId="0" fontId="79" fillId="0" borderId="29" xfId="27" applyFont="1" applyBorder="1" applyAlignment="1">
      <alignment horizontal="center"/>
    </xf>
    <xf numFmtId="0" fontId="79" fillId="0" borderId="10" xfId="27" applyFont="1" applyBorder="1" applyAlignment="1">
      <alignment horizontal="left" vertical="center"/>
    </xf>
    <xf numFmtId="0" fontId="78" fillId="0" borderId="31" xfId="27" applyFont="1" applyBorder="1"/>
    <xf numFmtId="0" fontId="78" fillId="0" borderId="10" xfId="27" applyFont="1" applyBorder="1" applyAlignment="1">
      <alignment horizontal="left" vertical="center" wrapText="1"/>
    </xf>
    <xf numFmtId="168" fontId="85" fillId="0" borderId="9" xfId="27" applyNumberFormat="1" applyFont="1" applyBorder="1"/>
    <xf numFmtId="165" fontId="78" fillId="0" borderId="0" xfId="27" applyNumberFormat="1" applyFont="1"/>
    <xf numFmtId="0" fontId="86" fillId="0" borderId="10" xfId="27" applyFont="1" applyBorder="1" applyAlignment="1">
      <alignment horizontal="left" vertical="center" wrapText="1" indent="1"/>
    </xf>
    <xf numFmtId="3" fontId="53" fillId="0" borderId="0" xfId="27" applyNumberFormat="1" applyFont="1"/>
    <xf numFmtId="0" fontId="78" fillId="0" borderId="10" xfId="27" applyFont="1" applyBorder="1" applyAlignment="1">
      <alignment horizontal="left" wrapText="1"/>
    </xf>
    <xf numFmtId="168" fontId="79" fillId="0" borderId="31" xfId="27" applyNumberFormat="1" applyFont="1" applyBorder="1"/>
    <xf numFmtId="0" fontId="78" fillId="0" borderId="10" xfId="27" applyFont="1" applyBorder="1" applyAlignment="1">
      <alignment vertical="center" wrapText="1"/>
    </xf>
    <xf numFmtId="168" fontId="78" fillId="0" borderId="9" xfId="27" applyNumberFormat="1" applyFont="1" applyBorder="1"/>
    <xf numFmtId="0" fontId="79" fillId="0" borderId="10" xfId="27" applyFont="1" applyBorder="1" applyAlignment="1">
      <alignment horizontal="left" vertical="center" wrapText="1"/>
    </xf>
    <xf numFmtId="0" fontId="78" fillId="0" borderId="9" xfId="27" applyFont="1" applyBorder="1" applyAlignment="1">
      <alignment horizontal="left" vertical="center" wrapText="1"/>
    </xf>
    <xf numFmtId="168" fontId="87" fillId="0" borderId="9" xfId="27" applyNumberFormat="1" applyFont="1" applyBorder="1"/>
    <xf numFmtId="168" fontId="78" fillId="0" borderId="9" xfId="27" applyNumberFormat="1" applyFont="1" applyBorder="1" applyAlignment="1">
      <alignment horizontal="left"/>
    </xf>
    <xf numFmtId="0" fontId="78" fillId="0" borderId="10" xfId="27" applyFont="1" applyBorder="1" applyAlignment="1">
      <alignment horizontal="left" vertical="center"/>
    </xf>
    <xf numFmtId="0" fontId="78" fillId="0" borderId="9" xfId="27" applyFont="1" applyBorder="1"/>
    <xf numFmtId="0" fontId="79" fillId="0" borderId="30" xfId="27" applyFont="1" applyBorder="1" applyAlignment="1">
      <alignment horizontal="left" vertical="center" wrapText="1"/>
    </xf>
    <xf numFmtId="168" fontId="78" fillId="0" borderId="29" xfId="27" applyNumberFormat="1" applyFont="1" applyBorder="1"/>
    <xf numFmtId="0" fontId="78" fillId="0" borderId="27" xfId="27" applyFont="1" applyBorder="1"/>
    <xf numFmtId="0" fontId="78" fillId="0" borderId="0" xfId="27" applyFont="1" applyAlignment="1">
      <alignment vertical="center"/>
    </xf>
    <xf numFmtId="168" fontId="80" fillId="0" borderId="33" xfId="27" applyNumberFormat="1" applyFont="1" applyBorder="1" applyAlignment="1">
      <alignment horizontal="center" vertical="center" wrapText="1"/>
    </xf>
    <xf numFmtId="168" fontId="88" fillId="0" borderId="0" xfId="27" applyNumberFormat="1" applyFont="1"/>
    <xf numFmtId="168" fontId="88" fillId="0" borderId="31" xfId="27" applyNumberFormat="1" applyFont="1" applyBorder="1"/>
    <xf numFmtId="168" fontId="88" fillId="0" borderId="32" xfId="27" applyNumberFormat="1" applyFont="1" applyBorder="1"/>
    <xf numFmtId="165" fontId="1" fillId="0" borderId="0" xfId="1" applyNumberFormat="1" applyFont="1" applyAlignment="1">
      <alignment horizontal="right" vertical="center"/>
    </xf>
    <xf numFmtId="165" fontId="4" fillId="0" borderId="0" xfId="1" applyNumberFormat="1" applyFont="1" applyAlignment="1">
      <alignment horizontal="right" vertical="center"/>
    </xf>
    <xf numFmtId="165" fontId="6" fillId="0" borderId="0" xfId="1" applyNumberFormat="1" applyFont="1" applyAlignment="1">
      <alignment horizontal="center" vertical="center"/>
    </xf>
    <xf numFmtId="165" fontId="4" fillId="0" borderId="19" xfId="1" applyNumberFormat="1" applyFont="1" applyBorder="1" applyAlignment="1">
      <alignment horizontal="left" vertical="center"/>
    </xf>
    <xf numFmtId="165" fontId="1" fillId="0" borderId="19" xfId="1" applyNumberFormat="1" applyFont="1" applyBorder="1" applyAlignment="1">
      <alignment horizontal="left" vertical="center"/>
    </xf>
    <xf numFmtId="165" fontId="5" fillId="0" borderId="19" xfId="1" applyNumberFormat="1" applyFont="1" applyBorder="1" applyAlignment="1">
      <alignment horizontal="right" vertical="center"/>
    </xf>
    <xf numFmtId="165" fontId="4" fillId="4" borderId="19" xfId="1" applyNumberFormat="1" applyFont="1" applyFill="1" applyBorder="1" applyAlignment="1">
      <alignment horizontal="right" vertical="center"/>
    </xf>
    <xf numFmtId="165" fontId="4" fillId="3" borderId="19" xfId="1" applyNumberFormat="1" applyFont="1" applyFill="1" applyBorder="1" applyAlignment="1">
      <alignment horizontal="left" vertical="center"/>
    </xf>
    <xf numFmtId="165" fontId="4" fillId="0" borderId="19" xfId="1" applyNumberFormat="1" applyFont="1" applyFill="1" applyBorder="1" applyAlignment="1">
      <alignment horizontal="left" vertical="center"/>
    </xf>
    <xf numFmtId="165" fontId="5" fillId="0" borderId="19" xfId="1" applyNumberFormat="1" applyFont="1" applyFill="1" applyBorder="1" applyAlignment="1">
      <alignment horizontal="right" vertical="center"/>
    </xf>
    <xf numFmtId="165" fontId="4" fillId="4" borderId="10" xfId="1" applyNumberFormat="1" applyFont="1" applyFill="1" applyBorder="1" applyAlignment="1">
      <alignment horizontal="right" vertical="center"/>
    </xf>
    <xf numFmtId="165" fontId="4" fillId="6" borderId="10" xfId="1" applyNumberFormat="1" applyFont="1" applyFill="1" applyBorder="1" applyAlignment="1">
      <alignment horizontal="right" vertical="center"/>
    </xf>
    <xf numFmtId="165" fontId="4" fillId="0" borderId="19" xfId="1" applyNumberFormat="1" applyFont="1" applyFill="1" applyBorder="1" applyAlignment="1">
      <alignment horizontal="right" vertical="center"/>
    </xf>
    <xf numFmtId="165" fontId="5" fillId="0" borderId="10" xfId="1" applyNumberFormat="1" applyFont="1" applyBorder="1" applyAlignment="1">
      <alignment horizontal="right" vertical="center"/>
    </xf>
    <xf numFmtId="165" fontId="4" fillId="0" borderId="10" xfId="1" applyNumberFormat="1" applyFont="1" applyFill="1" applyBorder="1" applyAlignment="1">
      <alignment horizontal="right" vertical="center"/>
    </xf>
    <xf numFmtId="165" fontId="1" fillId="0" borderId="19" xfId="1" applyNumberFormat="1" applyFont="1" applyFill="1" applyBorder="1" applyAlignment="1">
      <alignment horizontal="right" vertical="center"/>
    </xf>
    <xf numFmtId="165" fontId="1" fillId="0" borderId="19" xfId="1" applyNumberFormat="1" applyFont="1" applyFill="1" applyBorder="1" applyAlignment="1">
      <alignment horizontal="left"/>
    </xf>
    <xf numFmtId="165" fontId="1" fillId="0" borderId="19" xfId="1" applyNumberFormat="1" applyFont="1" applyBorder="1" applyAlignment="1">
      <alignment horizontal="left"/>
    </xf>
    <xf numFmtId="165" fontId="4" fillId="49" borderId="10" xfId="1" applyNumberFormat="1" applyFont="1" applyFill="1" applyBorder="1" applyAlignment="1">
      <alignment horizontal="right" vertical="center"/>
    </xf>
    <xf numFmtId="165" fontId="4" fillId="50" borderId="0" xfId="1" applyNumberFormat="1" applyFont="1" applyFill="1" applyBorder="1" applyAlignment="1">
      <alignment horizontal="right" vertical="center"/>
    </xf>
    <xf numFmtId="165" fontId="4" fillId="51" borderId="0" xfId="1" applyNumberFormat="1" applyFont="1" applyFill="1" applyBorder="1" applyAlignment="1">
      <alignment horizontal="right" vertical="center"/>
    </xf>
    <xf numFmtId="165" fontId="5" fillId="0" borderId="0" xfId="1" applyNumberFormat="1" applyFont="1" applyFill="1" applyBorder="1" applyAlignment="1">
      <alignment horizontal="right" vertical="center"/>
    </xf>
    <xf numFmtId="165" fontId="4" fillId="4" borderId="0" xfId="1" applyNumberFormat="1" applyFont="1" applyFill="1" applyBorder="1" applyAlignment="1">
      <alignment horizontal="right" vertical="center"/>
    </xf>
    <xf numFmtId="165" fontId="4" fillId="52" borderId="9" xfId="1" applyNumberFormat="1" applyFont="1" applyFill="1" applyBorder="1" applyAlignment="1">
      <alignment horizontal="right" vertical="center"/>
    </xf>
    <xf numFmtId="165" fontId="2" fillId="9" borderId="10" xfId="1" applyNumberFormat="1" applyFont="1" applyFill="1" applyBorder="1" applyAlignment="1">
      <alignment horizontal="right" vertical="center"/>
    </xf>
    <xf numFmtId="165" fontId="6" fillId="0" borderId="19" xfId="1" applyNumberFormat="1" applyFont="1" applyBorder="1" applyAlignment="1">
      <alignment horizontal="right" vertical="center"/>
    </xf>
    <xf numFmtId="165" fontId="1" fillId="0" borderId="10" xfId="1" applyNumberFormat="1" applyFont="1" applyFill="1" applyBorder="1" applyAlignment="1">
      <alignment horizontal="right" vertical="center"/>
    </xf>
    <xf numFmtId="165" fontId="4" fillId="4" borderId="10" xfId="1" applyNumberFormat="1" applyFont="1" applyFill="1" applyBorder="1" applyAlignment="1">
      <alignment horizontal="center" vertical="center"/>
    </xf>
    <xf numFmtId="165" fontId="1" fillId="0" borderId="19" xfId="1" applyNumberFormat="1" applyFont="1" applyBorder="1" applyAlignment="1">
      <alignment horizontal="right" vertical="center"/>
    </xf>
    <xf numFmtId="165" fontId="4" fillId="10" borderId="10" xfId="1" applyNumberFormat="1" applyFont="1" applyFill="1" applyBorder="1" applyAlignment="1">
      <alignment horizontal="right" vertical="center"/>
    </xf>
    <xf numFmtId="165" fontId="4" fillId="0" borderId="0" xfId="1" applyNumberFormat="1" applyFont="1" applyFill="1" applyBorder="1" applyAlignment="1">
      <alignment horizontal="right" vertical="center"/>
    </xf>
    <xf numFmtId="165" fontId="1" fillId="0" borderId="0" xfId="1" applyNumberFormat="1" applyFont="1" applyFill="1" applyBorder="1" applyAlignment="1">
      <alignment horizontal="right" vertical="center"/>
    </xf>
    <xf numFmtId="165" fontId="1" fillId="0" borderId="19" xfId="1" applyNumberFormat="1" applyFont="1" applyFill="1" applyBorder="1" applyAlignment="1">
      <alignment horizontal="left" vertical="center"/>
    </xf>
    <xf numFmtId="165" fontId="4" fillId="0" borderId="19" xfId="1" applyNumberFormat="1" applyFont="1" applyBorder="1" applyAlignment="1">
      <alignment horizontal="right" vertical="center"/>
    </xf>
    <xf numFmtId="165" fontId="6" fillId="11" borderId="19" xfId="1" applyNumberFormat="1" applyFont="1" applyFill="1" applyBorder="1" applyAlignment="1">
      <alignment horizontal="right" vertical="center"/>
    </xf>
    <xf numFmtId="165" fontId="5" fillId="0" borderId="10" xfId="1" applyNumberFormat="1" applyFont="1" applyFill="1" applyBorder="1" applyAlignment="1">
      <alignment horizontal="right" vertical="center"/>
    </xf>
    <xf numFmtId="165" fontId="6" fillId="0" borderId="19" xfId="2" applyFont="1" applyFill="1" applyBorder="1" applyAlignment="1">
      <alignment horizontal="right" vertical="center"/>
    </xf>
    <xf numFmtId="165" fontId="6" fillId="11" borderId="0" xfId="1" applyNumberFormat="1" applyFont="1" applyFill="1" applyBorder="1" applyAlignment="1">
      <alignment horizontal="right" vertical="center"/>
    </xf>
    <xf numFmtId="165" fontId="6" fillId="0" borderId="19" xfId="1" applyNumberFormat="1" applyFont="1" applyFill="1" applyBorder="1" applyAlignment="1">
      <alignment horizontal="right" vertical="center"/>
    </xf>
    <xf numFmtId="165" fontId="4" fillId="6" borderId="19" xfId="1" applyNumberFormat="1" applyFont="1" applyFill="1" applyBorder="1" applyAlignment="1">
      <alignment horizontal="right" vertical="center"/>
    </xf>
    <xf numFmtId="165" fontId="4" fillId="10" borderId="19" xfId="1" applyNumberFormat="1" applyFont="1" applyFill="1" applyBorder="1" applyAlignment="1">
      <alignment horizontal="right" vertical="center"/>
    </xf>
    <xf numFmtId="165" fontId="2" fillId="9" borderId="19" xfId="1" applyNumberFormat="1" applyFont="1" applyFill="1" applyBorder="1" applyAlignment="1">
      <alignment horizontal="right" vertical="center"/>
    </xf>
    <xf numFmtId="165" fontId="2" fillId="9" borderId="34" xfId="1" applyNumberFormat="1" applyFont="1" applyFill="1" applyBorder="1" applyAlignment="1">
      <alignment horizontal="right" vertical="center"/>
    </xf>
    <xf numFmtId="165" fontId="2" fillId="9" borderId="30" xfId="1" applyNumberFormat="1" applyFont="1" applyFill="1" applyBorder="1" applyAlignment="1">
      <alignment horizontal="right" vertical="center"/>
    </xf>
    <xf numFmtId="165" fontId="8" fillId="53" borderId="8" xfId="1" applyNumberFormat="1" applyFont="1" applyFill="1" applyBorder="1" applyAlignment="1">
      <alignment horizontal="center" vertical="center" wrapText="1"/>
    </xf>
    <xf numFmtId="165" fontId="8" fillId="53" borderId="5" xfId="4" quotePrefix="1" applyFont="1" applyFill="1" applyBorder="1" applyAlignment="1">
      <alignment horizontal="center" vertical="center" wrapText="1"/>
    </xf>
    <xf numFmtId="165" fontId="2" fillId="0" borderId="0" xfId="1" applyNumberFormat="1" applyFont="1" applyFill="1" applyBorder="1" applyAlignment="1">
      <alignment horizontal="right" vertical="center"/>
    </xf>
    <xf numFmtId="165" fontId="5" fillId="7" borderId="19" xfId="1" applyNumberFormat="1" applyFont="1" applyFill="1" applyBorder="1" applyAlignment="1">
      <alignment horizontal="right" vertical="center"/>
    </xf>
    <xf numFmtId="165" fontId="5" fillId="39" borderId="1" xfId="1" applyNumberFormat="1" applyFont="1" applyFill="1" applyBorder="1" applyAlignment="1">
      <alignment horizontal="right" vertical="center"/>
    </xf>
    <xf numFmtId="165" fontId="6" fillId="39" borderId="0" xfId="1" applyNumberFormat="1" applyFont="1" applyFill="1" applyAlignment="1">
      <alignment horizontal="right" vertical="center"/>
    </xf>
    <xf numFmtId="165" fontId="4" fillId="0" borderId="35" xfId="1" applyNumberFormat="1" applyFont="1" applyBorder="1" applyAlignment="1">
      <alignment horizontal="left" vertical="center"/>
    </xf>
    <xf numFmtId="165" fontId="1" fillId="0" borderId="35" xfId="1" applyNumberFormat="1" applyFont="1" applyBorder="1" applyAlignment="1">
      <alignment horizontal="left" vertical="center"/>
    </xf>
    <xf numFmtId="165" fontId="5" fillId="0" borderId="35" xfId="1" applyNumberFormat="1" applyFont="1" applyBorder="1" applyAlignment="1">
      <alignment horizontal="right" vertical="center"/>
    </xf>
    <xf numFmtId="165" fontId="4" fillId="4" borderId="35" xfId="1" applyNumberFormat="1" applyFont="1" applyFill="1" applyBorder="1" applyAlignment="1">
      <alignment horizontal="right" vertical="center"/>
    </xf>
    <xf numFmtId="165" fontId="4" fillId="3" borderId="35" xfId="1" applyNumberFormat="1" applyFont="1" applyFill="1" applyBorder="1" applyAlignment="1">
      <alignment horizontal="left" vertical="center"/>
    </xf>
    <xf numFmtId="165" fontId="4" fillId="0" borderId="35" xfId="1" applyNumberFormat="1" applyFont="1" applyFill="1" applyBorder="1" applyAlignment="1">
      <alignment horizontal="left" vertical="center"/>
    </xf>
    <xf numFmtId="165" fontId="5" fillId="0" borderId="35" xfId="1" applyNumberFormat="1" applyFont="1" applyFill="1" applyBorder="1" applyAlignment="1">
      <alignment horizontal="right" vertical="center"/>
    </xf>
    <xf numFmtId="165" fontId="5" fillId="0" borderId="36" xfId="1" applyNumberFormat="1" applyFont="1" applyBorder="1" applyAlignment="1">
      <alignment horizontal="right" vertical="center"/>
    </xf>
    <xf numFmtId="165" fontId="4" fillId="4" borderId="9" xfId="1" applyNumberFormat="1" applyFont="1" applyFill="1" applyBorder="1" applyAlignment="1">
      <alignment horizontal="right" vertical="center"/>
    </xf>
    <xf numFmtId="165" fontId="4" fillId="6" borderId="9" xfId="1" applyNumberFormat="1" applyFont="1" applyFill="1" applyBorder="1" applyAlignment="1">
      <alignment horizontal="right" vertical="center"/>
    </xf>
    <xf numFmtId="165" fontId="4" fillId="0" borderId="35" xfId="1" applyNumberFormat="1" applyFont="1" applyFill="1" applyBorder="1" applyAlignment="1">
      <alignment horizontal="right" vertical="center"/>
    </xf>
    <xf numFmtId="165" fontId="5" fillId="0" borderId="9" xfId="1" applyNumberFormat="1" applyFont="1" applyBorder="1" applyAlignment="1">
      <alignment horizontal="right" vertical="center"/>
    </xf>
    <xf numFmtId="165" fontId="4" fillId="0" borderId="9" xfId="1" applyNumberFormat="1" applyFont="1" applyFill="1" applyBorder="1" applyAlignment="1">
      <alignment horizontal="right" vertical="center"/>
    </xf>
    <xf numFmtId="165" fontId="1" fillId="0" borderId="35" xfId="1" applyNumberFormat="1" applyFont="1" applyFill="1" applyBorder="1" applyAlignment="1">
      <alignment horizontal="right" vertical="center"/>
    </xf>
    <xf numFmtId="165" fontId="4" fillId="50" borderId="36" xfId="1" applyNumberFormat="1" applyFont="1" applyFill="1" applyBorder="1" applyAlignment="1">
      <alignment horizontal="right" vertical="center"/>
    </xf>
    <xf numFmtId="165" fontId="4" fillId="51" borderId="35" xfId="1" applyNumberFormat="1" applyFont="1" applyFill="1" applyBorder="1" applyAlignment="1">
      <alignment horizontal="right" vertical="center"/>
    </xf>
    <xf numFmtId="165" fontId="5" fillId="0" borderId="36" xfId="1" applyNumberFormat="1" applyFont="1" applyFill="1" applyBorder="1" applyAlignment="1">
      <alignment horizontal="right" vertical="center"/>
    </xf>
    <xf numFmtId="165" fontId="4" fillId="4" borderId="36" xfId="1" applyNumberFormat="1" applyFont="1" applyFill="1" applyBorder="1" applyAlignment="1">
      <alignment horizontal="right" vertical="center"/>
    </xf>
    <xf numFmtId="165" fontId="2" fillId="9" borderId="9" xfId="1" applyNumberFormat="1" applyFont="1" applyFill="1" applyBorder="1" applyAlignment="1">
      <alignment horizontal="right" vertical="center"/>
    </xf>
    <xf numFmtId="165" fontId="6" fillId="0" borderId="35" xfId="1" applyNumberFormat="1" applyFont="1" applyBorder="1" applyAlignment="1">
      <alignment horizontal="right" vertical="center"/>
    </xf>
    <xf numFmtId="165" fontId="1" fillId="0" borderId="9" xfId="1" applyNumberFormat="1" applyFont="1" applyFill="1" applyBorder="1" applyAlignment="1">
      <alignment horizontal="right" vertical="center"/>
    </xf>
    <xf numFmtId="165" fontId="1" fillId="0" borderId="35" xfId="1" applyNumberFormat="1" applyFont="1" applyBorder="1" applyAlignment="1">
      <alignment horizontal="right" vertical="center"/>
    </xf>
    <xf numFmtId="165" fontId="4" fillId="10" borderId="9" xfId="1" applyNumberFormat="1" applyFont="1" applyFill="1" applyBorder="1" applyAlignment="1">
      <alignment horizontal="right" vertical="center"/>
    </xf>
    <xf numFmtId="165" fontId="4" fillId="0" borderId="36" xfId="1" applyNumberFormat="1" applyFont="1" applyFill="1" applyBorder="1" applyAlignment="1">
      <alignment horizontal="right" vertical="center"/>
    </xf>
    <xf numFmtId="165" fontId="1" fillId="0" borderId="36" xfId="1" applyNumberFormat="1" applyFont="1" applyFill="1" applyBorder="1" applyAlignment="1">
      <alignment horizontal="right" vertical="center"/>
    </xf>
    <xf numFmtId="165" fontId="5" fillId="0" borderId="9" xfId="1" applyNumberFormat="1" applyFont="1" applyFill="1" applyBorder="1" applyAlignment="1">
      <alignment horizontal="right" vertical="center"/>
    </xf>
    <xf numFmtId="165" fontId="4" fillId="0" borderId="35" xfId="1" applyNumberFormat="1" applyFont="1" applyBorder="1" applyAlignment="1">
      <alignment horizontal="right" vertical="center"/>
    </xf>
    <xf numFmtId="165" fontId="6" fillId="11" borderId="35" xfId="1" applyNumberFormat="1" applyFont="1" applyFill="1" applyBorder="1" applyAlignment="1">
      <alignment horizontal="right" vertical="center"/>
    </xf>
    <xf numFmtId="165" fontId="6" fillId="0" borderId="35" xfId="2" applyFont="1" applyFill="1" applyBorder="1" applyAlignment="1">
      <alignment horizontal="right" vertical="center"/>
    </xf>
    <xf numFmtId="165" fontId="6" fillId="0" borderId="35" xfId="1" applyNumberFormat="1" applyFont="1" applyFill="1" applyBorder="1" applyAlignment="1">
      <alignment horizontal="right" vertical="center"/>
    </xf>
    <xf numFmtId="165" fontId="4" fillId="6" borderId="35" xfId="1" applyNumberFormat="1" applyFont="1" applyFill="1" applyBorder="1" applyAlignment="1">
      <alignment horizontal="right" vertical="center"/>
    </xf>
    <xf numFmtId="165" fontId="4" fillId="10" borderId="35" xfId="1" applyNumberFormat="1" applyFont="1" applyFill="1" applyBorder="1" applyAlignment="1">
      <alignment horizontal="right" vertical="center"/>
    </xf>
    <xf numFmtId="165" fontId="2" fillId="9" borderId="35" xfId="1" applyNumberFormat="1" applyFont="1" applyFill="1" applyBorder="1" applyAlignment="1">
      <alignment horizontal="right" vertical="center"/>
    </xf>
    <xf numFmtId="165" fontId="5" fillId="0" borderId="20" xfId="1" applyNumberFormat="1" applyFont="1" applyFill="1" applyBorder="1" applyAlignment="1">
      <alignment horizontal="right" vertical="center"/>
    </xf>
    <xf numFmtId="165" fontId="2" fillId="9" borderId="37" xfId="1" applyNumberFormat="1" applyFont="1" applyFill="1" applyBorder="1" applyAlignment="1">
      <alignment horizontal="right" vertical="center"/>
    </xf>
    <xf numFmtId="165" fontId="2" fillId="9" borderId="29" xfId="1" applyNumberFormat="1" applyFont="1" applyFill="1" applyBorder="1" applyAlignment="1">
      <alignment horizontal="right" vertical="center"/>
    </xf>
    <xf numFmtId="165" fontId="5" fillId="0" borderId="1" xfId="7" applyFont="1" applyFill="1" applyBorder="1" applyAlignment="1">
      <alignment horizontal="right" vertical="center"/>
    </xf>
    <xf numFmtId="165" fontId="2" fillId="0" borderId="36" xfId="1" applyNumberFormat="1" applyFont="1" applyFill="1" applyBorder="1" applyAlignment="1">
      <alignment horizontal="right" vertical="center"/>
    </xf>
    <xf numFmtId="168" fontId="78" fillId="7" borderId="0" xfId="27" applyNumberFormat="1" applyFont="1" applyFill="1"/>
    <xf numFmtId="0" fontId="28" fillId="0" borderId="0" xfId="24" applyFont="1" applyAlignment="1">
      <alignment vertical="center"/>
    </xf>
    <xf numFmtId="0" fontId="5" fillId="54" borderId="1" xfId="3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78" fontId="0" fillId="0" borderId="1" xfId="2" applyNumberFormat="1" applyFont="1" applyBorder="1"/>
    <xf numFmtId="170" fontId="6" fillId="0" borderId="0" xfId="3" applyNumberFormat="1" applyFont="1" applyAlignment="1">
      <alignment horizontal="right" vertical="center"/>
    </xf>
    <xf numFmtId="4" fontId="5" fillId="54" borderId="1" xfId="5" quotePrefix="1" applyFont="1" applyFill="1" applyBorder="1" applyAlignment="1">
      <alignment vertical="top" wrapText="1"/>
    </xf>
    <xf numFmtId="165" fontId="0" fillId="18" borderId="0" xfId="2" applyFont="1" applyFill="1"/>
    <xf numFmtId="167" fontId="0" fillId="18" borderId="0" xfId="0" applyNumberFormat="1" applyFill="1"/>
    <xf numFmtId="167" fontId="19" fillId="39" borderId="12" xfId="1" applyNumberFormat="1" applyFont="1" applyFill="1" applyBorder="1" applyAlignment="1"/>
    <xf numFmtId="167" fontId="19" fillId="55" borderId="0" xfId="1" applyNumberFormat="1" applyFont="1" applyFill="1" applyAlignment="1">
      <alignment horizontal="center"/>
    </xf>
    <xf numFmtId="168" fontId="30" fillId="56" borderId="12" xfId="17" applyNumberFormat="1" applyFont="1" applyFill="1" applyBorder="1" applyAlignment="1">
      <alignment horizontal="right"/>
    </xf>
    <xf numFmtId="0" fontId="55" fillId="0" borderId="0" xfId="0" applyFont="1"/>
    <xf numFmtId="0" fontId="0" fillId="41" borderId="1" xfId="0" applyFill="1" applyBorder="1" applyAlignment="1">
      <alignment horizontal="center"/>
    </xf>
    <xf numFmtId="0" fontId="0" fillId="41" borderId="1" xfId="0" applyFill="1" applyBorder="1"/>
    <xf numFmtId="0" fontId="0" fillId="41" borderId="19" xfId="0" applyFill="1" applyBorder="1"/>
    <xf numFmtId="0" fontId="0" fillId="41" borderId="20" xfId="0" applyFill="1" applyBorder="1"/>
    <xf numFmtId="165" fontId="0" fillId="41" borderId="1" xfId="2" applyFont="1" applyFill="1" applyBorder="1"/>
    <xf numFmtId="0" fontId="0" fillId="41" borderId="0" xfId="0" applyFill="1"/>
    <xf numFmtId="0" fontId="55" fillId="41" borderId="19" xfId="0" applyFont="1" applyFill="1" applyBorder="1"/>
    <xf numFmtId="0" fontId="0" fillId="56" borderId="1" xfId="0" applyFill="1" applyBorder="1" applyAlignment="1">
      <alignment horizontal="center"/>
    </xf>
    <xf numFmtId="0" fontId="0" fillId="56" borderId="1" xfId="0" applyFill="1" applyBorder="1"/>
    <xf numFmtId="0" fontId="0" fillId="56" borderId="0" xfId="0" applyFill="1"/>
    <xf numFmtId="165" fontId="0" fillId="56" borderId="1" xfId="2" applyFont="1" applyFill="1" applyBorder="1"/>
    <xf numFmtId="0" fontId="55" fillId="56" borderId="19" xfId="0" applyFont="1" applyFill="1" applyBorder="1"/>
    <xf numFmtId="0" fontId="55" fillId="41" borderId="0" xfId="0" applyFont="1" applyFill="1"/>
    <xf numFmtId="0" fontId="0" fillId="41" borderId="19" xfId="0" applyFill="1" applyBorder="1" applyAlignment="1">
      <alignment horizontal="center"/>
    </xf>
    <xf numFmtId="0" fontId="7" fillId="41" borderId="19" xfId="32" applyFill="1" applyBorder="1"/>
    <xf numFmtId="167" fontId="7" fillId="41" borderId="1" xfId="32" applyNumberFormat="1" applyFill="1" applyBorder="1"/>
    <xf numFmtId="165" fontId="0" fillId="41" borderId="20" xfId="2" applyFont="1" applyFill="1" applyBorder="1"/>
    <xf numFmtId="0" fontId="0" fillId="41" borderId="0" xfId="0" applyFill="1" applyAlignment="1">
      <alignment horizontal="center"/>
    </xf>
    <xf numFmtId="0" fontId="7" fillId="41" borderId="0" xfId="32" applyFill="1"/>
    <xf numFmtId="165" fontId="89" fillId="57" borderId="16" xfId="2" applyFont="1" applyFill="1" applyBorder="1" applyAlignment="1">
      <alignment horizontal="center" vertical="center"/>
    </xf>
    <xf numFmtId="165" fontId="89" fillId="0" borderId="0" xfId="2" applyFont="1" applyFill="1" applyBorder="1" applyAlignment="1">
      <alignment vertical="center"/>
    </xf>
    <xf numFmtId="179" fontId="89" fillId="57" borderId="1" xfId="36" applyNumberFormat="1" applyFont="1" applyFill="1" applyBorder="1" applyAlignment="1">
      <alignment horizontal="center" vertical="center"/>
    </xf>
    <xf numFmtId="179" fontId="89" fillId="0" borderId="0" xfId="36" applyNumberFormat="1" applyFont="1" applyFill="1" applyBorder="1" applyAlignment="1">
      <alignment horizontal="center" vertical="center"/>
    </xf>
    <xf numFmtId="0" fontId="90" fillId="0" borderId="0" xfId="3" applyFont="1" applyAlignment="1">
      <alignment horizontal="center" vertical="center"/>
    </xf>
    <xf numFmtId="165" fontId="4" fillId="16" borderId="20" xfId="3" applyNumberFormat="1" applyFont="1" applyFill="1" applyBorder="1" applyAlignment="1">
      <alignment horizontal="left" vertical="center"/>
    </xf>
    <xf numFmtId="165" fontId="1" fillId="16" borderId="20" xfId="3" applyNumberFormat="1" applyFill="1" applyBorder="1" applyAlignment="1">
      <alignment horizontal="left" vertical="center"/>
    </xf>
    <xf numFmtId="165" fontId="4" fillId="31" borderId="20" xfId="1" applyNumberFormat="1" applyFont="1" applyFill="1" applyBorder="1" applyAlignment="1">
      <alignment horizontal="right" vertical="center"/>
    </xf>
    <xf numFmtId="165" fontId="4" fillId="32" borderId="20" xfId="1" applyNumberFormat="1" applyFont="1" applyFill="1" applyBorder="1" applyAlignment="1">
      <alignment horizontal="right" vertical="center"/>
    </xf>
    <xf numFmtId="165" fontId="6" fillId="16" borderId="20" xfId="3" applyNumberFormat="1" applyFont="1" applyFill="1" applyBorder="1" applyAlignment="1">
      <alignment horizontal="left" vertical="center"/>
    </xf>
    <xf numFmtId="165" fontId="1" fillId="0" borderId="20" xfId="3" applyNumberFormat="1" applyBorder="1" applyAlignment="1">
      <alignment horizontal="left" vertical="center"/>
    </xf>
    <xf numFmtId="165" fontId="5" fillId="16" borderId="20" xfId="3" applyNumberFormat="1" applyFont="1" applyFill="1" applyBorder="1" applyAlignment="1">
      <alignment horizontal="left" vertical="center"/>
    </xf>
    <xf numFmtId="165" fontId="1" fillId="7" borderId="20" xfId="3" applyNumberFormat="1" applyFill="1" applyBorder="1" applyAlignment="1">
      <alignment horizontal="left" vertical="center"/>
    </xf>
    <xf numFmtId="165" fontId="5" fillId="16" borderId="20" xfId="5" quotePrefix="1" applyNumberFormat="1" applyFont="1" applyFill="1" applyBorder="1" applyAlignment="1">
      <alignment vertical="top" wrapText="1"/>
    </xf>
    <xf numFmtId="165" fontId="4" fillId="31" borderId="20" xfId="3" applyNumberFormat="1" applyFont="1" applyFill="1" applyBorder="1" applyAlignment="1">
      <alignment horizontal="left" vertical="center"/>
    </xf>
    <xf numFmtId="165" fontId="4" fillId="33" borderId="20" xfId="1" applyNumberFormat="1" applyFont="1" applyFill="1" applyBorder="1" applyAlignment="1">
      <alignment horizontal="right" vertical="center"/>
    </xf>
    <xf numFmtId="165" fontId="2" fillId="34" borderId="20" xfId="1" applyNumberFormat="1" applyFont="1" applyFill="1" applyBorder="1" applyAlignment="1">
      <alignment horizontal="right" vertical="center"/>
    </xf>
    <xf numFmtId="165" fontId="4" fillId="16" borderId="20" xfId="1" applyNumberFormat="1" applyFont="1" applyFill="1" applyBorder="1" applyAlignment="1">
      <alignment horizontal="right" vertical="center"/>
    </xf>
    <xf numFmtId="165" fontId="4" fillId="35" borderId="20" xfId="1" applyNumberFormat="1" applyFont="1" applyFill="1" applyBorder="1" applyAlignment="1">
      <alignment horizontal="right" vertical="center"/>
    </xf>
    <xf numFmtId="165" fontId="13" fillId="16" borderId="20" xfId="3" applyNumberFormat="1" applyFont="1" applyFill="1" applyBorder="1" applyAlignment="1">
      <alignment horizontal="left" vertical="center"/>
    </xf>
    <xf numFmtId="165" fontId="4" fillId="16" borderId="20" xfId="3" applyNumberFormat="1" applyFont="1" applyFill="1" applyBorder="1" applyAlignment="1">
      <alignment vertical="center"/>
    </xf>
    <xf numFmtId="165" fontId="6" fillId="16" borderId="20" xfId="2" applyFont="1" applyFill="1" applyBorder="1" applyAlignment="1">
      <alignment horizontal="left" vertical="center"/>
    </xf>
    <xf numFmtId="165" fontId="6" fillId="16" borderId="20" xfId="1" applyNumberFormat="1" applyFont="1" applyFill="1" applyBorder="1" applyAlignment="1">
      <alignment horizontal="right" vertical="center"/>
    </xf>
    <xf numFmtId="165" fontId="6" fillId="16" borderId="20" xfId="3" applyNumberFormat="1" applyFont="1" applyFill="1" applyBorder="1" applyAlignment="1">
      <alignment horizontal="left" vertical="center" wrapText="1"/>
    </xf>
    <xf numFmtId="165" fontId="5" fillId="16" borderId="20" xfId="3" applyNumberFormat="1" applyFont="1" applyFill="1" applyBorder="1" applyAlignment="1">
      <alignment horizontal="left" vertical="center" wrapText="1"/>
    </xf>
    <xf numFmtId="165" fontId="4" fillId="31" borderId="20" xfId="1" applyNumberFormat="1" applyFont="1" applyFill="1" applyBorder="1" applyAlignment="1">
      <alignment horizontal="left" vertical="center"/>
    </xf>
    <xf numFmtId="165" fontId="2" fillId="34" borderId="38" xfId="1" applyNumberFormat="1" applyFont="1" applyFill="1" applyBorder="1" applyAlignment="1">
      <alignment horizontal="right" vertical="center"/>
    </xf>
    <xf numFmtId="165" fontId="4" fillId="0" borderId="19" xfId="3" applyNumberFormat="1" applyFont="1" applyBorder="1" applyAlignment="1">
      <alignment horizontal="left" vertical="center"/>
    </xf>
    <xf numFmtId="165" fontId="1" fillId="0" borderId="19" xfId="3" applyNumberFormat="1" applyBorder="1" applyAlignment="1">
      <alignment horizontal="left" vertical="center"/>
    </xf>
    <xf numFmtId="165" fontId="6" fillId="0" borderId="19" xfId="3" applyNumberFormat="1" applyFont="1" applyBorder="1" applyAlignment="1">
      <alignment horizontal="left" vertical="center"/>
    </xf>
    <xf numFmtId="165" fontId="5" fillId="0" borderId="19" xfId="3" applyNumberFormat="1" applyFont="1" applyBorder="1" applyAlignment="1">
      <alignment horizontal="left" vertical="center"/>
    </xf>
    <xf numFmtId="165" fontId="2" fillId="0" borderId="19" xfId="1" applyNumberFormat="1" applyFont="1" applyFill="1" applyBorder="1" applyAlignment="1">
      <alignment horizontal="right" vertical="center"/>
    </xf>
    <xf numFmtId="165" fontId="13" fillId="0" borderId="19" xfId="3" applyNumberFormat="1" applyFont="1" applyBorder="1" applyAlignment="1">
      <alignment horizontal="left" vertical="center"/>
    </xf>
    <xf numFmtId="165" fontId="4" fillId="0" borderId="19" xfId="3" applyNumberFormat="1" applyFont="1" applyBorder="1" applyAlignment="1">
      <alignment vertical="center"/>
    </xf>
    <xf numFmtId="165" fontId="6" fillId="0" borderId="19" xfId="2" applyFont="1" applyFill="1" applyBorder="1" applyAlignment="1">
      <alignment horizontal="left" vertical="center"/>
    </xf>
    <xf numFmtId="165" fontId="6" fillId="0" borderId="19" xfId="3" applyNumberFormat="1" applyFont="1" applyBorder="1" applyAlignment="1">
      <alignment horizontal="left" vertical="center" wrapText="1"/>
    </xf>
    <xf numFmtId="165" fontId="5" fillId="0" borderId="19" xfId="3" applyNumberFormat="1" applyFont="1" applyBorder="1" applyAlignment="1">
      <alignment horizontal="left" vertical="center" wrapText="1"/>
    </xf>
    <xf numFmtId="170" fontId="1" fillId="0" borderId="1" xfId="3" applyNumberFormat="1" applyBorder="1" applyAlignment="1">
      <alignment horizontal="left" vertical="center"/>
    </xf>
    <xf numFmtId="180" fontId="6" fillId="0" borderId="0" xfId="3" applyNumberFormat="1" applyFont="1" applyAlignment="1">
      <alignment horizontal="left" vertical="center"/>
    </xf>
    <xf numFmtId="9" fontId="0" fillId="18" borderId="0" xfId="14" applyFont="1" applyFill="1"/>
    <xf numFmtId="9" fontId="0" fillId="18" borderId="0" xfId="0" applyNumberFormat="1" applyFill="1"/>
    <xf numFmtId="3" fontId="0" fillId="0" borderId="0" xfId="0" applyNumberFormat="1"/>
    <xf numFmtId="165" fontId="78" fillId="0" borderId="10" xfId="27" applyNumberFormat="1" applyFont="1" applyBorder="1" applyAlignment="1">
      <alignment horizontal="left" vertical="center" wrapText="1"/>
    </xf>
    <xf numFmtId="181" fontId="78" fillId="0" borderId="0" xfId="27" applyNumberFormat="1" applyFont="1"/>
    <xf numFmtId="165" fontId="4" fillId="24" borderId="15" xfId="7" applyFont="1" applyFill="1" applyBorder="1" applyAlignment="1">
      <alignment horizontal="center" vertical="center"/>
    </xf>
    <xf numFmtId="165" fontId="4" fillId="25" borderId="16" xfId="7" applyFont="1" applyFill="1" applyBorder="1" applyAlignment="1">
      <alignment horizontal="center" vertical="center"/>
    </xf>
    <xf numFmtId="165" fontId="4" fillId="24" borderId="16" xfId="7" applyFont="1" applyFill="1" applyBorder="1" applyAlignment="1">
      <alignment horizontal="center" vertical="center"/>
    </xf>
    <xf numFmtId="165" fontId="4" fillId="24" borderId="17" xfId="7" applyFont="1" applyFill="1" applyBorder="1" applyAlignment="1">
      <alignment horizontal="center" vertical="center"/>
    </xf>
    <xf numFmtId="165" fontId="4" fillId="24" borderId="18" xfId="7" applyFont="1" applyFill="1" applyBorder="1" applyAlignment="1">
      <alignment horizontal="center" vertical="center"/>
    </xf>
    <xf numFmtId="165" fontId="4" fillId="24" borderId="19" xfId="7" applyFont="1" applyFill="1" applyBorder="1" applyAlignment="1">
      <alignment horizontal="center" vertical="center"/>
    </xf>
    <xf numFmtId="165" fontId="4" fillId="24" borderId="20" xfId="7" applyFont="1" applyFill="1" applyBorder="1" applyAlignment="1">
      <alignment horizontal="center" vertical="center"/>
    </xf>
    <xf numFmtId="165" fontId="4" fillId="24" borderId="15" xfId="7" applyFont="1" applyFill="1" applyBorder="1" applyAlignment="1">
      <alignment horizontal="center" vertical="center" wrapText="1"/>
    </xf>
    <xf numFmtId="165" fontId="4" fillId="25" borderId="16" xfId="7" applyFont="1" applyFill="1" applyBorder="1" applyAlignment="1">
      <alignment vertical="center" wrapText="1"/>
    </xf>
    <xf numFmtId="165" fontId="4" fillId="26" borderId="15" xfId="2" applyFont="1" applyFill="1" applyBorder="1" applyAlignment="1">
      <alignment horizontal="center" vertical="center"/>
    </xf>
    <xf numFmtId="165" fontId="4" fillId="27" borderId="15" xfId="2" applyFont="1" applyFill="1" applyBorder="1" applyAlignment="1">
      <alignment horizontal="center" vertical="center"/>
    </xf>
    <xf numFmtId="165" fontId="4" fillId="12" borderId="15" xfId="2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165" fontId="8" fillId="15" borderId="6" xfId="3" applyNumberFormat="1" applyFont="1" applyFill="1" applyBorder="1" applyAlignment="1">
      <alignment horizontal="center" vertical="center" wrapText="1"/>
    </xf>
    <xf numFmtId="165" fontId="8" fillId="15" borderId="7" xfId="3" applyNumberFormat="1" applyFont="1" applyFill="1" applyBorder="1" applyAlignment="1">
      <alignment horizontal="center" vertical="center" wrapText="1"/>
    </xf>
    <xf numFmtId="0" fontId="16" fillId="18" borderId="0" xfId="8" applyFont="1" applyFill="1" applyAlignment="1">
      <alignment horizontal="center" vertical="top"/>
    </xf>
    <xf numFmtId="0" fontId="16" fillId="18" borderId="0" xfId="15" applyFont="1" applyFill="1" applyAlignment="1">
      <alignment horizontal="center" vertical="center"/>
    </xf>
    <xf numFmtId="0" fontId="18" fillId="18" borderId="0" xfId="15" applyFont="1" applyFill="1" applyAlignment="1">
      <alignment horizontal="center"/>
    </xf>
    <xf numFmtId="0" fontId="18" fillId="18" borderId="12" xfId="15" applyFont="1" applyFill="1" applyBorder="1" applyAlignment="1">
      <alignment horizontal="center"/>
    </xf>
    <xf numFmtId="0" fontId="81" fillId="46" borderId="16" xfId="27" applyFont="1" applyFill="1" applyBorder="1" applyAlignment="1">
      <alignment horizontal="center" vertical="center" wrapText="1"/>
    </xf>
    <xf numFmtId="0" fontId="81" fillId="46" borderId="1" xfId="27" applyFont="1" applyFill="1" applyBorder="1" applyAlignment="1">
      <alignment horizontal="center" vertical="center" wrapText="1"/>
    </xf>
    <xf numFmtId="0" fontId="81" fillId="47" borderId="15" xfId="27" applyFont="1" applyFill="1" applyBorder="1" applyAlignment="1">
      <alignment horizontal="center" vertical="center" wrapText="1"/>
    </xf>
    <xf numFmtId="0" fontId="15" fillId="48" borderId="16" xfId="27" applyFont="1" applyFill="1" applyBorder="1"/>
    <xf numFmtId="168" fontId="81" fillId="43" borderId="15" xfId="27" applyNumberFormat="1" applyFont="1" applyFill="1" applyBorder="1" applyAlignment="1">
      <alignment horizontal="center" vertical="center" wrapText="1"/>
    </xf>
    <xf numFmtId="168" fontId="81" fillId="59" borderId="15" xfId="27" applyNumberFormat="1" applyFont="1" applyFill="1" applyBorder="1" applyAlignment="1">
      <alignment horizontal="center" vertical="center" wrapText="1"/>
    </xf>
    <xf numFmtId="0" fontId="15" fillId="7" borderId="16" xfId="27" applyFont="1" applyFill="1" applyBorder="1"/>
    <xf numFmtId="168" fontId="81" fillId="42" borderId="15" xfId="27" applyNumberFormat="1" applyFont="1" applyFill="1" applyBorder="1" applyAlignment="1">
      <alignment horizontal="center" vertical="center" wrapText="1"/>
    </xf>
    <xf numFmtId="168" fontId="81" fillId="45" borderId="15" xfId="27" applyNumberFormat="1" applyFont="1" applyFill="1" applyBorder="1" applyAlignment="1">
      <alignment horizontal="center" vertical="center" wrapText="1"/>
    </xf>
    <xf numFmtId="0" fontId="81" fillId="45" borderId="15" xfId="27" applyFont="1" applyFill="1" applyBorder="1" applyAlignment="1">
      <alignment horizontal="center" vertical="center" wrapText="1"/>
    </xf>
    <xf numFmtId="0" fontId="81" fillId="46" borderId="15" xfId="27" applyFont="1" applyFill="1" applyBorder="1" applyAlignment="1">
      <alignment horizontal="center" vertical="center" wrapText="1"/>
    </xf>
    <xf numFmtId="168" fontId="81" fillId="58" borderId="15" xfId="27" applyNumberFormat="1" applyFont="1" applyFill="1" applyBorder="1" applyAlignment="1">
      <alignment horizontal="center" vertical="center" wrapText="1"/>
    </xf>
    <xf numFmtId="168" fontId="81" fillId="42" borderId="16" xfId="27" applyNumberFormat="1" applyFont="1" applyFill="1" applyBorder="1" applyAlignment="1">
      <alignment horizontal="center" vertical="center" wrapText="1"/>
    </xf>
    <xf numFmtId="168" fontId="81" fillId="58" borderId="16" xfId="27" applyNumberFormat="1" applyFont="1" applyFill="1" applyBorder="1" applyAlignment="1">
      <alignment horizontal="center" vertical="center" wrapText="1"/>
    </xf>
    <xf numFmtId="168" fontId="81" fillId="58" borderId="21" xfId="27" applyNumberFormat="1" applyFont="1" applyFill="1" applyBorder="1" applyAlignment="1">
      <alignment horizontal="center" vertical="center" wrapText="1"/>
    </xf>
    <xf numFmtId="168" fontId="81" fillId="42" borderId="1" xfId="27" applyNumberFormat="1" applyFont="1" applyFill="1" applyBorder="1" applyAlignment="1">
      <alignment horizontal="center" vertical="center" wrapText="1"/>
    </xf>
    <xf numFmtId="168" fontId="81" fillId="42" borderId="21" xfId="27" applyNumberFormat="1" applyFont="1" applyFill="1" applyBorder="1" applyAlignment="1">
      <alignment horizontal="center" vertical="center" wrapText="1"/>
    </xf>
    <xf numFmtId="168" fontId="81" fillId="44" borderId="15" xfId="27" applyNumberFormat="1" applyFont="1" applyFill="1" applyBorder="1" applyAlignment="1">
      <alignment horizontal="center" vertical="center" wrapText="1"/>
    </xf>
    <xf numFmtId="165" fontId="49" fillId="0" borderId="0" xfId="8" applyNumberFormat="1" applyFont="1" applyAlignment="1">
      <alignment horizontal="center"/>
    </xf>
    <xf numFmtId="165" fontId="53" fillId="0" borderId="0" xfId="8" applyNumberFormat="1" applyFont="1" applyAlignment="1">
      <alignment horizontal="center" vertical="center"/>
    </xf>
    <xf numFmtId="165" fontId="50" fillId="0" borderId="16" xfId="7" applyFont="1" applyBorder="1" applyAlignment="1">
      <alignment horizontal="center" vertical="center"/>
    </xf>
    <xf numFmtId="165" fontId="50" fillId="0" borderId="21" xfId="7" applyFont="1" applyBorder="1" applyAlignment="1">
      <alignment horizontal="center" vertical="center"/>
    </xf>
    <xf numFmtId="165" fontId="50" fillId="0" borderId="15" xfId="7" applyFont="1" applyBorder="1" applyAlignment="1">
      <alignment horizontal="center"/>
    </xf>
    <xf numFmtId="165" fontId="50" fillId="0" borderId="16" xfId="19" applyNumberFormat="1" applyFont="1" applyBorder="1" applyAlignment="1">
      <alignment horizontal="center" vertical="center"/>
    </xf>
    <xf numFmtId="165" fontId="50" fillId="0" borderId="21" xfId="19" applyNumberFormat="1" applyFont="1" applyBorder="1" applyAlignment="1">
      <alignment horizontal="center" vertical="center"/>
    </xf>
    <xf numFmtId="0" fontId="50" fillId="0" borderId="16" xfId="19" applyFont="1" applyBorder="1" applyAlignment="1">
      <alignment horizontal="center" vertical="center"/>
    </xf>
    <xf numFmtId="0" fontId="50" fillId="0" borderId="21" xfId="19" applyFont="1" applyBorder="1" applyAlignment="1">
      <alignment horizontal="center" vertical="center"/>
    </xf>
    <xf numFmtId="168" fontId="29" fillId="7" borderId="0" xfId="1" applyNumberFormat="1" applyFont="1" applyFill="1" applyAlignment="1">
      <alignment horizontal="right" vertical="center"/>
    </xf>
    <xf numFmtId="168" fontId="29" fillId="7" borderId="13" xfId="1" applyNumberFormat="1" applyFont="1" applyFill="1" applyBorder="1" applyAlignment="1">
      <alignment horizontal="right" vertical="center"/>
    </xf>
  </cellXfs>
  <cellStyles count="37">
    <cellStyle name="Comma" xfId="1" builtinId="3"/>
    <cellStyle name="Comma [0]" xfId="2" builtinId="6"/>
    <cellStyle name="Comma [0] 10 4 2" xfId="7" xr:uid="{B73CBE23-F835-4012-9592-E9A80E3DE4E2}"/>
    <cellStyle name="Comma [0] 11 2 4 2" xfId="12" xr:uid="{9E0A0A8B-987D-4CA9-BBC9-758791615AC8}"/>
    <cellStyle name="Comma [0] 12" xfId="30" xr:uid="{522E072B-7856-482D-94D2-A51C2F9DEE09}"/>
    <cellStyle name="Comma [0] 12 20" xfId="16" xr:uid="{6B27D933-E351-4390-8E41-C4E31E062863}"/>
    <cellStyle name="Comma [0] 2" xfId="17" xr:uid="{16A6181E-1CC3-4F2D-8A70-E352B540CD2F}"/>
    <cellStyle name="Comma [0] 3" xfId="4" xr:uid="{9D375FD1-2536-4E0F-B1B5-4C025A5FDB80}"/>
    <cellStyle name="Comma [0] 3 2 2 2" xfId="21" xr:uid="{49F928AC-339C-4205-A235-8F6F3E4D14C1}"/>
    <cellStyle name="Comma [0] 3 2 3" xfId="20" xr:uid="{84C790C2-026C-4C89-B85F-ADEACA491E2C}"/>
    <cellStyle name="Comma [0] 4" xfId="34" xr:uid="{48AE632F-2BDD-48B5-BD67-9A7847DDC08E}"/>
    <cellStyle name="Comma [0] 5" xfId="36" xr:uid="{8B431324-03F6-4E21-973A-FD8505C8F9CA}"/>
    <cellStyle name="Comma 2" xfId="18" xr:uid="{38378DB6-CB1A-4B19-AD03-F0E3AF5E0BBF}"/>
    <cellStyle name="Comma 3" xfId="10" xr:uid="{E149E070-F0BD-46D8-976A-4AFA655D5BE4}"/>
    <cellStyle name="Comma 4" xfId="33" xr:uid="{C5E4C83C-6D19-48F9-B33F-4828E56B142E}"/>
    <cellStyle name="Comma 5" xfId="35" xr:uid="{A65C374E-9976-4B75-80C6-B8926FEB953A}"/>
    <cellStyle name="Normal" xfId="0" builtinId="0"/>
    <cellStyle name="Normal 10 1" xfId="15" xr:uid="{45F8CFA9-9421-43CF-8E29-18F5E22D8E52}"/>
    <cellStyle name="Normal 12" xfId="24" xr:uid="{9E3F1555-6C57-4682-A561-96ACF7B43875}"/>
    <cellStyle name="Normal 176" xfId="31" xr:uid="{1896A887-5A0A-47C1-B028-C6AFCB7CFFC9}"/>
    <cellStyle name="Normal 2" xfId="13" xr:uid="{B96CD2BC-C4CB-43D8-A278-8602DF89159E}"/>
    <cellStyle name="Normal 2 1" xfId="8" xr:uid="{87D03015-C178-4DE6-8579-63EF8CF20647}"/>
    <cellStyle name="Normal 2 2" xfId="28" xr:uid="{8137B64F-19C3-4B6F-95A0-F423DC13FC72}"/>
    <cellStyle name="Normal 3" xfId="3" xr:uid="{7B7F3D49-03E7-4DCF-8C77-95B7AA336ABA}"/>
    <cellStyle name="Normal 3 2 2 2" xfId="23" xr:uid="{AC69CB2C-8CD7-481E-A832-22D91765F1F0}"/>
    <cellStyle name="Normal 3 3 2" xfId="6" xr:uid="{7C2BFD7F-9B68-40B6-AE3E-A0B36FCCE803}"/>
    <cellStyle name="Normal 33 2" xfId="11" xr:uid="{490E1FEE-529C-4F59-94ED-4E7454440353}"/>
    <cellStyle name="Normal 4" xfId="32" xr:uid="{78ADF1B3-B08F-4C57-BFB9-885AA1497BED}"/>
    <cellStyle name="Normal 4 2 2" xfId="19" xr:uid="{E6CFBCE3-2D21-4C0F-BE69-B2B203118FD8}"/>
    <cellStyle name="Normal 5 2" xfId="29" xr:uid="{9F3261D8-1AB2-4476-982D-3C69FFB9ADD0}"/>
    <cellStyle name="Normal 7" xfId="27" xr:uid="{74E6DFB8-892A-4ACA-ABEB-C84488D167B5}"/>
    <cellStyle name="Normal_4 Gab" xfId="25" xr:uid="{2FAFD34B-F991-4ECE-9DC4-DB6C78FE674B}"/>
    <cellStyle name="Normal_ABS'07 2" xfId="26" xr:uid="{BEFEF3C9-AD02-4D6D-B0E4-89E92EC4A4C0}"/>
    <cellStyle name="Normal_EKUITAS 4" xfId="22" xr:uid="{F465B82A-5BCC-4AC9-AC17-5677AB3701F9}"/>
    <cellStyle name="Normal_worksheet report updated" xfId="9" xr:uid="{96A9B637-2FA8-47A8-8188-B09B237F5A83}"/>
    <cellStyle name="Percent" xfId="14" builtinId="5"/>
    <cellStyle name="S7" xfId="5" xr:uid="{592D03FE-4873-4B87-8B0A-567E6C9A704F}"/>
  </cellStyles>
  <dxfs count="0"/>
  <tableStyles count="0" defaultTableStyle="TableStyleMedium2" defaultPivotStyle="PivotStyleLight16"/>
  <colors>
    <mruColors>
      <color rgb="FFE6B8B7"/>
      <color rgb="FFB4E9B1"/>
      <color rgb="FFEAC5C4"/>
      <color rgb="FF9DD8FD"/>
      <color rgb="FFC8D7EA"/>
      <color rgb="FF95B3D7"/>
      <color rgb="FF990033"/>
      <color rgb="FFD8BEDC"/>
      <color rgb="FF9B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IA\KONSOLIDASI%20IAS-ISP\01.%20COMFORT%20LETTER\4.%20APRIL%2024\IAS\WS%20PT%20IAS%20GA%2022_FINAL%20-%20Des%2023%20-%20APRIL%2024-V0.3.xlsx" TargetMode="External"/><Relationship Id="rId1" Type="http://schemas.openxmlformats.org/officeDocument/2006/relationships/externalLinkPath" Target="/Users/user/Downloads/RIA/KONSOLIDASI%20IAS-ISP/01.%20COMFORT%20LETTER/4.%20APRIL%2024/IAS/WS%20PT%20IAS%20GA%2022_FINAL%20-%20Des%2023%20-%20APRIL%2024-V0.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IA\KONSOLIDASI%20IAS-ISP\04-1.%20AFTER%20IPO\1.%20Juni%202024\IAS\2024\WS%20PT%20IAS%20GA%2022_FINAL%20-%20Des%2023%20-%20APRIL%2024-V0.3.xlsx" TargetMode="External"/><Relationship Id="rId1" Type="http://schemas.openxmlformats.org/officeDocument/2006/relationships/externalLinkPath" Target="/Users/user/Downloads/RIA/KONSOLIDASI%20IAS-ISP/04-1.%20AFTER%20IPO/1.%20Juni%202024/IAS/2024/WS%20PT%20IAS%20GA%2022_FINAL%20-%20Des%2023%20-%20APRIL%2024-V0.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IA\KONSOLIDASI%20IAS-ISP\04-1.%20AFTER%20IPO\1.%20Juni%202024\IAS\2024\WBS%20IAS%20Juni%202024-V0.2.xlsx" TargetMode="External"/><Relationship Id="rId1" Type="http://schemas.openxmlformats.org/officeDocument/2006/relationships/externalLinkPath" Target="/Users/user/Downloads/RIA/KONSOLIDASI%20IAS-ISP/04-1.%20AFTER%20IPO/1.%20Juni%202024/IAS/2024/WBS%20IAS%20Juni%202024-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A"/>
      <sheetName val="COGS (1)"/>
      <sheetName val="Penjualan Lokal&amp; Eksport"/>
      <sheetName val="WP CF-20"/>
      <sheetName val="SPT-BS"/>
      <sheetName val="SPT-PL"/>
      <sheetName val="Udang-21"/>
      <sheetName val="Pembantu-21"/>
      <sheetName val="PL SPT 21"/>
      <sheetName val="CALK-PPh 29"/>
      <sheetName val="PL SPT 20"/>
      <sheetName val="Perhitungan PPh 20"/>
      <sheetName val="Perhitungan PPh 21"/>
      <sheetName val="DATA MEETING"/>
      <sheetName val="Def Tax 20"/>
      <sheetName val="CIT 20"/>
      <sheetName val="Tax 21"/>
      <sheetName val="EB"/>
      <sheetName val="DTA 2021"/>
      <sheetName val="DTA1"/>
      <sheetName val="DTA 22"/>
      <sheetName val="TAX 22, 21, 20"/>
      <sheetName val="Perhitungan PPh 22"/>
      <sheetName val="Udang-22 (Add Stock)"/>
      <sheetName val="AJE CAJE 2021"/>
      <sheetName val="AJE CAJE 2020"/>
      <sheetName val="Udang-22 "/>
      <sheetName val="Solar &amp; Pembantu-22"/>
      <sheetName val="IPK"/>
      <sheetName val="Korfis IAS 23"/>
      <sheetName val="AJE CAJE 2022"/>
      <sheetName val="AJE CAJE 2023"/>
      <sheetName val="Korfis IAS Jan 23 - 24"/>
      <sheetName val="AJE CAJE Jan 23"/>
      <sheetName val="AJE CAJE Jan 24"/>
      <sheetName val="Korfis IAS Maret 23 - 24"/>
      <sheetName val="AJE CAJE Maret 23"/>
      <sheetName val="AJE CAJE Maret 24"/>
      <sheetName val="Korfis IAS April 23 - 24"/>
      <sheetName val="AJE CAJE April 23"/>
      <sheetName val="AJE CAJE April 24"/>
      <sheetName val="WBS"/>
      <sheetName val="BS"/>
      <sheetName val="PL"/>
      <sheetName val="LPE"/>
      <sheetName val="ARK DIR"/>
      <sheetName val="CF Mar 2023"/>
      <sheetName val="CF Mar 2024"/>
      <sheetName val="CF Des 2023"/>
      <sheetName val="CF Des 2022"/>
      <sheetName val="CF Des 2021"/>
      <sheetName val="CF Des 2020"/>
      <sheetName val="NOTE "/>
      <sheetName val="XX"/>
      <sheetName val="LPS "/>
      <sheetName val="5. Kas dan Bank"/>
      <sheetName val="6. Piutang Usaha"/>
      <sheetName val="7. Piutang Lain-lain"/>
      <sheetName val="8. Persediaan"/>
      <sheetName val="9. Aset Tetap"/>
      <sheetName val="10. Utang Usaha"/>
      <sheetName val="11. Utang Lain-lain"/>
      <sheetName val="12. Biaya YMH Dibayar"/>
      <sheetName val="13. Perpajakan"/>
      <sheetName val="14. Liabilitas IPK"/>
      <sheetName val="15. Utang Bank Jk. Pendek"/>
      <sheetName val="16. Utang Bank Jk. Panjang"/>
      <sheetName val="18. Modal Saham"/>
      <sheetName val="19. Penjualan"/>
      <sheetName val="20. Beban Pokok Penjualan"/>
      <sheetName val="COGS_R"/>
      <sheetName val="21. Beban Usaha"/>
      <sheetName val="22. Pendapatan (Beban) Lainnya"/>
      <sheetName val="COGS"/>
      <sheetName val="OPEX"/>
      <sheetName val="Trans dgn Pihak Berelasi (b)"/>
      <sheetName val="Risiko Likuiditas"/>
      <sheetName val="Instrumen Keuangan"/>
      <sheetName val="Risiko Kredit"/>
      <sheetName val="Other Income (Expense)"/>
      <sheetName val="CF"/>
      <sheetName val="CF 21"/>
      <sheetName val="CF Des 20"/>
      <sheetName val="CF 20"/>
      <sheetName val="TB Pend (Beban) lainnya"/>
      <sheetName val="Disclosure Aset"/>
      <sheetName val="PL SPT 22"/>
      <sheetName val="PPh 22"/>
      <sheetName val="Prepaid 22"/>
      <sheetName val="PPh 25"/>
      <sheetName val="PPh 23"/>
      <sheetName val="PPh 26"/>
      <sheetName val="Rekon gaji PPh 21"/>
      <sheetName val="Rekon pembelian PPN"/>
      <sheetName val="PPN Impor"/>
      <sheetName val="PPN KMS"/>
      <sheetName val="Sheet1"/>
      <sheetName val="Summary Penj 23"/>
      <sheetName val="Summary Penj 22"/>
      <sheetName val="Summary Penj 21"/>
      <sheetName val="Penj. E 23"/>
      <sheetName val="Penj. E 22"/>
      <sheetName val="Penj. L 23"/>
      <sheetName val="Penj. L 22"/>
      <sheetName val="Penj. L 21"/>
      <sheetName val="Penj. E 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324">
          <cell r="AO324"/>
          <cell r="AQ324"/>
          <cell r="AU324">
            <v>0</v>
          </cell>
        </row>
        <row r="500">
          <cell r="C500" t="str">
            <v>Pendapatan Bunga</v>
          </cell>
        </row>
        <row r="501">
          <cell r="C501" t="str">
            <v>Laba (Rugi) Selisih Kurs - Neto</v>
          </cell>
        </row>
        <row r="502">
          <cell r="C502" t="str">
            <v>Pendapatan Lain-Lain</v>
          </cell>
        </row>
        <row r="504">
          <cell r="C504" t="str">
            <v>Beban Cadangan kerugian Penurunan Nilai</v>
          </cell>
        </row>
        <row r="508">
          <cell r="C508" t="str">
            <v>Beban Administrasi Bank</v>
          </cell>
        </row>
        <row r="509">
          <cell r="C509" t="str">
            <v xml:space="preserve">Beban Pajak Jasa Giro </v>
          </cell>
        </row>
        <row r="510">
          <cell r="C510" t="str">
            <v xml:space="preserve">Beban Provisi Bank </v>
          </cell>
        </row>
        <row r="511">
          <cell r="C511" t="str">
            <v>Denda Angsuran Bank, Biaya</v>
          </cell>
        </row>
        <row r="512">
          <cell r="C512" t="str">
            <v>Estimasi Denda Pajak</v>
          </cell>
        </row>
        <row r="513">
          <cell r="C513" t="str">
            <v xml:space="preserve">Beban Bunga/Keuangan </v>
          </cell>
        </row>
        <row r="514">
          <cell r="C514" t="str">
            <v xml:space="preserve">Beban Bunga Leasing </v>
          </cell>
        </row>
        <row r="535">
          <cell r="BX535">
            <v>5333397003.6385536</v>
          </cell>
          <cell r="CE535">
            <v>3356517956.0138569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A"/>
      <sheetName val="COGS (1)"/>
      <sheetName val="Penjualan Lokal&amp; Eksport"/>
      <sheetName val="WP CF-20"/>
      <sheetName val="SPT-BS"/>
      <sheetName val="SPT-PL"/>
      <sheetName val="Udang-21"/>
      <sheetName val="Pembantu-21"/>
      <sheetName val="PL SPT 21"/>
      <sheetName val="CALK-PPh 29"/>
      <sheetName val="PL SPT 20"/>
      <sheetName val="Perhitungan PPh 20"/>
      <sheetName val="Perhitungan PPh 21"/>
      <sheetName val="DATA MEETING"/>
      <sheetName val="Def Tax 20"/>
      <sheetName val="CIT 20"/>
      <sheetName val="Tax 21"/>
      <sheetName val="EB"/>
      <sheetName val="DTA 2021"/>
      <sheetName val="DTA1"/>
      <sheetName val="DTA 22"/>
      <sheetName val="TAX 22, 21, 20"/>
      <sheetName val="Perhitungan PPh 22"/>
      <sheetName val="Udang-22 (Add Stock)"/>
      <sheetName val="AJE CAJE 2021"/>
      <sheetName val="AJE CAJE 2020"/>
      <sheetName val="Udang-22 "/>
      <sheetName val="Solar &amp; Pembantu-22"/>
      <sheetName val="IPK"/>
      <sheetName val="Korfis IAS 23"/>
      <sheetName val="AJE CAJE 2022"/>
      <sheetName val="AJE CAJE 2023"/>
      <sheetName val="Korfis IAS Jan 23 - 24"/>
      <sheetName val="AJE CAJE Jan 23"/>
      <sheetName val="AJE CAJE Jan 24"/>
      <sheetName val="Korfis IAS Maret 23 - 24"/>
      <sheetName val="AJE CAJE Maret 23"/>
      <sheetName val="AJE CAJE Maret 24"/>
      <sheetName val="Korfis IAS April 23 - 24"/>
      <sheetName val="AJE CAJE April 23"/>
      <sheetName val="AJE CAJE April 24"/>
      <sheetName val="WBS"/>
      <sheetName val="BS"/>
      <sheetName val="PL"/>
      <sheetName val="LPE"/>
      <sheetName val="ARK DIR"/>
      <sheetName val="CF Mar 2023"/>
      <sheetName val="CF Mar 2024"/>
      <sheetName val="CF Des 2023"/>
      <sheetName val="CF Des 2022"/>
      <sheetName val="CF Des 2021"/>
      <sheetName val="CF Des 2020"/>
      <sheetName val="NOTE "/>
      <sheetName val="XX"/>
      <sheetName val="LPS "/>
      <sheetName val="5. Kas dan Bank"/>
      <sheetName val="6. Piutang Usaha"/>
      <sheetName val="7. Piutang Lain-lain"/>
      <sheetName val="8. Persediaan"/>
      <sheetName val="9. Aset Tetap"/>
      <sheetName val="10. Utang Usaha"/>
      <sheetName val="11. Utang Lain-lain"/>
      <sheetName val="12. Biaya YMH Dibayar"/>
      <sheetName val="13. Perpajakan"/>
      <sheetName val="14. Liabilitas IPK"/>
      <sheetName val="15. Utang Bank Jk. Pendek"/>
      <sheetName val="16. Utang Bank Jk. Panjang"/>
      <sheetName val="18. Modal Saham"/>
      <sheetName val="19. Penjualan"/>
      <sheetName val="20. Beban Pokok Penjualan"/>
      <sheetName val="COGS_R"/>
      <sheetName val="21. Beban Usaha"/>
      <sheetName val="22. Pendapatan (Beban) Lainnya"/>
      <sheetName val="COGS"/>
      <sheetName val="OPEX"/>
      <sheetName val="Trans dgn Pihak Berelasi (b)"/>
      <sheetName val="Risiko Likuiditas"/>
      <sheetName val="Instrumen Keuangan"/>
      <sheetName val="Risiko Kredit"/>
      <sheetName val="Other Income (Expense)"/>
      <sheetName val="CF"/>
      <sheetName val="CF 21"/>
      <sheetName val="CF Des 20"/>
      <sheetName val="CF 20"/>
      <sheetName val="TB Pend (Beban) lainnya"/>
      <sheetName val="Disclosure Aset"/>
      <sheetName val="PL SPT 22"/>
      <sheetName val="PPh 22"/>
      <sheetName val="Prepaid 22"/>
      <sheetName val="PPh 25"/>
      <sheetName val="PPh 23"/>
      <sheetName val="PPh 26"/>
      <sheetName val="Rekon gaji PPh 21"/>
      <sheetName val="Rekon pembelian PPN"/>
      <sheetName val="PPN Impor"/>
      <sheetName val="PPN KMS"/>
      <sheetName val="Sheet1"/>
      <sheetName val="Summary Penj 23"/>
      <sheetName val="Summary Penj 22"/>
      <sheetName val="Summary Penj 21"/>
      <sheetName val="Penj. E 23"/>
      <sheetName val="Penj. E 22"/>
      <sheetName val="Penj. L 23"/>
      <sheetName val="Penj. L 22"/>
      <sheetName val="Penj. L 21"/>
      <sheetName val="Penj. E 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6">
          <cell r="G46">
            <v>1563407201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346">
          <cell r="AU346">
            <v>40000000000</v>
          </cell>
          <cell r="CL346">
            <v>40000000000</v>
          </cell>
        </row>
        <row r="347">
          <cell r="AU347">
            <v>25871690669</v>
          </cell>
          <cell r="CL347">
            <v>25871690669</v>
          </cell>
        </row>
        <row r="354">
          <cell r="CK354"/>
        </row>
        <row r="361">
          <cell r="AU361">
            <v>-482786190.74000007</v>
          </cell>
        </row>
      </sheetData>
      <sheetData sheetId="42">
        <row r="90">
          <cell r="AL90">
            <v>0</v>
          </cell>
        </row>
        <row r="92">
          <cell r="AF92">
            <v>-600818480.18000007</v>
          </cell>
          <cell r="AL92">
            <v>-622084465.18000007</v>
          </cell>
        </row>
        <row r="94">
          <cell r="T94">
            <v>400000000</v>
          </cell>
        </row>
        <row r="95">
          <cell r="AF95">
            <v>13426333849.186987</v>
          </cell>
          <cell r="AL95">
            <v>10091081878.17313</v>
          </cell>
        </row>
        <row r="97">
          <cell r="AL97">
            <v>75340688081.993134</v>
          </cell>
        </row>
      </sheetData>
      <sheetData sheetId="43">
        <row r="1">
          <cell r="A1" t="str">
            <v xml:space="preserve">PT INDO AMERICAN SEAFOODS </v>
          </cell>
        </row>
      </sheetData>
      <sheetData sheetId="44">
        <row r="25">
          <cell r="T25">
            <v>75340688082.274384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JE CAJE Juni 23"/>
      <sheetName val="AJE CAJE Juni 24"/>
      <sheetName val="WS"/>
      <sheetName val="Korfis IAS JUNI 23 - 24"/>
      <sheetName val="SPT Badan"/>
      <sheetName val="BS"/>
      <sheetName val="PL"/>
      <sheetName val="LPE"/>
    </sheetNames>
    <sheetDataSet>
      <sheetData sheetId="0"/>
      <sheetData sheetId="1"/>
      <sheetData sheetId="2"/>
      <sheetData sheetId="3"/>
      <sheetData sheetId="4"/>
      <sheetData sheetId="5">
        <row r="88">
          <cell r="J88">
            <v>19637443173.907543</v>
          </cell>
        </row>
        <row r="90">
          <cell r="J90">
            <v>85426347652.167542</v>
          </cell>
        </row>
      </sheetData>
      <sheetData sheetId="6">
        <row r="26">
          <cell r="N26">
            <v>3335251970.8913269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A9B48-DA75-46AC-83C8-59CC1904BDC0}">
  <sheetPr>
    <tabColor theme="7" tint="0.39997558519241921"/>
  </sheetPr>
  <dimension ref="B2:K75"/>
  <sheetViews>
    <sheetView showGridLines="0" workbookViewId="0">
      <pane xSplit="6" ySplit="3" topLeftCell="G47" activePane="bottomRight" state="frozen"/>
      <selection pane="topRight" activeCell="G1" sqref="G1"/>
      <selection pane="bottomLeft" activeCell="A4" sqref="A4"/>
      <selection pane="bottomRight" activeCell="H52" sqref="H52"/>
    </sheetView>
  </sheetViews>
  <sheetFormatPr defaultRowHeight="14.5"/>
  <cols>
    <col min="2" max="2" width="12.26953125" bestFit="1" customWidth="1"/>
    <col min="3" max="3" width="6.1796875" bestFit="1" customWidth="1"/>
    <col min="4" max="4" width="3.54296875" customWidth="1"/>
    <col min="5" max="5" width="34.453125" bestFit="1" customWidth="1"/>
    <col min="6" max="6" width="8" bestFit="1" customWidth="1"/>
    <col min="7" max="8" width="14.26953125" customWidth="1"/>
    <col min="9" max="10" width="14.26953125" style="268" customWidth="1"/>
    <col min="11" max="11" width="37.54296875" customWidth="1"/>
  </cols>
  <sheetData>
    <row r="2" spans="2:11">
      <c r="B2" s="950" t="s">
        <v>562</v>
      </c>
      <c r="C2" s="950" t="s">
        <v>563</v>
      </c>
      <c r="D2" s="953" t="s">
        <v>564</v>
      </c>
      <c r="E2" s="954"/>
      <c r="F2" s="957" t="s">
        <v>565</v>
      </c>
      <c r="G2" s="959" t="s">
        <v>566</v>
      </c>
      <c r="H2" s="960"/>
      <c r="I2" s="961" t="s">
        <v>567</v>
      </c>
      <c r="J2" s="961"/>
      <c r="K2" s="950" t="s">
        <v>4</v>
      </c>
    </row>
    <row r="3" spans="2:11">
      <c r="B3" s="952"/>
      <c r="C3" s="952"/>
      <c r="D3" s="955"/>
      <c r="E3" s="956"/>
      <c r="F3" s="958"/>
      <c r="G3" s="276" t="s">
        <v>568</v>
      </c>
      <c r="H3" s="276" t="s">
        <v>569</v>
      </c>
      <c r="I3" s="277" t="s">
        <v>568</v>
      </c>
      <c r="J3" s="277" t="s">
        <v>569</v>
      </c>
      <c r="K3" s="951"/>
    </row>
    <row r="4" spans="2:11">
      <c r="B4" s="377"/>
      <c r="C4" s="377"/>
      <c r="D4" s="378"/>
      <c r="E4" s="379"/>
      <c r="F4" s="380"/>
      <c r="G4" s="381"/>
      <c r="H4" s="381"/>
      <c r="I4" s="381"/>
      <c r="J4" s="381"/>
      <c r="K4" s="377"/>
    </row>
    <row r="5" spans="2:11">
      <c r="B5" s="271" t="s">
        <v>571</v>
      </c>
      <c r="C5" s="271"/>
      <c r="D5" s="274" t="s">
        <v>97</v>
      </c>
      <c r="E5" s="275"/>
      <c r="F5" s="271"/>
      <c r="G5" s="382">
        <f>J9</f>
        <v>2999996</v>
      </c>
      <c r="H5" s="271"/>
      <c r="I5" s="272"/>
      <c r="J5" s="272"/>
      <c r="K5" s="271" t="s">
        <v>570</v>
      </c>
    </row>
    <row r="6" spans="2:11">
      <c r="B6" s="271" t="s">
        <v>571</v>
      </c>
      <c r="C6" s="271"/>
      <c r="D6" t="s">
        <v>100</v>
      </c>
      <c r="E6" s="275"/>
      <c r="F6" s="271"/>
      <c r="G6" s="382">
        <f>J10</f>
        <v>33313.229166667901</v>
      </c>
      <c r="H6" s="271"/>
      <c r="I6" s="278"/>
      <c r="J6" s="272"/>
      <c r="K6" s="271" t="str">
        <f>K5</f>
        <v xml:space="preserve">Adj menyamakan nilai Peny </v>
      </c>
    </row>
    <row r="7" spans="2:11">
      <c r="B7" s="271" t="s">
        <v>571</v>
      </c>
      <c r="C7" s="271"/>
      <c r="D7" s="275" t="s">
        <v>358</v>
      </c>
      <c r="E7" s="275"/>
      <c r="F7" s="271"/>
      <c r="G7" s="271"/>
      <c r="H7" s="271"/>
      <c r="I7" s="268">
        <v>9784354.4000000954</v>
      </c>
      <c r="J7" s="272"/>
      <c r="K7" s="271" t="str">
        <f t="shared" ref="K7:K15" si="0">K6</f>
        <v xml:space="preserve">Adj menyamakan nilai Peny </v>
      </c>
    </row>
    <row r="8" spans="2:11">
      <c r="B8" s="271" t="s">
        <v>571</v>
      </c>
      <c r="C8" s="271"/>
      <c r="E8" s="275" t="s">
        <v>102</v>
      </c>
      <c r="F8" s="271"/>
      <c r="G8" s="271"/>
      <c r="H8" s="271">
        <f>I11</f>
        <v>3</v>
      </c>
      <c r="J8" s="272"/>
      <c r="K8" s="271" t="str">
        <f t="shared" si="0"/>
        <v xml:space="preserve">Adj menyamakan nilai Peny </v>
      </c>
    </row>
    <row r="9" spans="2:11">
      <c r="B9" s="271" t="str">
        <f>B7</f>
        <v>CAJE 1</v>
      </c>
      <c r="C9" s="271"/>
      <c r="D9" s="274"/>
      <c r="E9" s="275" t="s">
        <v>362</v>
      </c>
      <c r="F9" s="271"/>
      <c r="G9" s="271"/>
      <c r="H9" s="271"/>
      <c r="I9" s="272"/>
      <c r="J9" s="272">
        <v>2999996</v>
      </c>
      <c r="K9" s="271" t="str">
        <f t="shared" si="0"/>
        <v xml:space="preserve">Adj menyamakan nilai Peny </v>
      </c>
    </row>
    <row r="10" spans="2:11">
      <c r="B10" s="271" t="str">
        <f t="shared" ref="B10:B15" si="1">B9</f>
        <v>CAJE 1</v>
      </c>
      <c r="C10" s="271"/>
      <c r="D10" s="274"/>
      <c r="E10" s="275" t="s">
        <v>357</v>
      </c>
      <c r="F10" s="271"/>
      <c r="G10" s="271"/>
      <c r="H10" s="271"/>
      <c r="I10" s="272"/>
      <c r="J10" s="272">
        <v>33313.229166667901</v>
      </c>
      <c r="K10" s="271" t="str">
        <f t="shared" si="0"/>
        <v xml:space="preserve">Adj menyamakan nilai Peny </v>
      </c>
    </row>
    <row r="11" spans="2:11">
      <c r="B11" s="271" t="str">
        <f t="shared" si="1"/>
        <v>CAJE 1</v>
      </c>
      <c r="C11" s="271"/>
      <c r="D11" s="275" t="s">
        <v>364</v>
      </c>
      <c r="E11" s="275"/>
      <c r="F11" s="271"/>
      <c r="G11" s="271"/>
      <c r="H11" s="271"/>
      <c r="I11" s="272">
        <v>3</v>
      </c>
      <c r="J11" s="272"/>
      <c r="K11" s="271" t="str">
        <f t="shared" si="0"/>
        <v xml:space="preserve">Adj menyamakan nilai Peny </v>
      </c>
    </row>
    <row r="12" spans="2:11">
      <c r="B12" s="271" t="str">
        <f t="shared" si="1"/>
        <v>CAJE 1</v>
      </c>
      <c r="C12" s="271"/>
      <c r="D12" s="274"/>
      <c r="E12" s="275" t="s">
        <v>96</v>
      </c>
      <c r="F12" s="271"/>
      <c r="G12" s="272">
        <v>4090645.91666603</v>
      </c>
      <c r="H12" s="382"/>
      <c r="I12" s="272"/>
      <c r="J12" s="272"/>
      <c r="K12" s="271" t="str">
        <f t="shared" si="0"/>
        <v xml:space="preserve">Adj menyamakan nilai Peny </v>
      </c>
    </row>
    <row r="13" spans="2:11">
      <c r="B13" s="271" t="str">
        <f t="shared" si="1"/>
        <v>CAJE 1</v>
      </c>
      <c r="C13" s="271"/>
      <c r="D13" s="274"/>
      <c r="E13" s="275" t="s">
        <v>98</v>
      </c>
      <c r="F13" s="271"/>
      <c r="G13" s="271"/>
      <c r="H13" s="271">
        <v>2</v>
      </c>
      <c r="I13" s="272"/>
      <c r="J13" s="272"/>
      <c r="K13" s="271" t="str">
        <f t="shared" si="0"/>
        <v xml:space="preserve">Adj menyamakan nilai Peny </v>
      </c>
    </row>
    <row r="14" spans="2:11">
      <c r="B14" s="271" t="str">
        <f t="shared" si="1"/>
        <v>CAJE 1</v>
      </c>
      <c r="C14" s="271"/>
      <c r="D14" s="274" t="s">
        <v>101</v>
      </c>
      <c r="E14" s="275"/>
      <c r="F14" s="271"/>
      <c r="G14" s="271">
        <v>1</v>
      </c>
      <c r="H14" s="271"/>
      <c r="I14" s="272"/>
      <c r="J14" s="272"/>
      <c r="K14" s="271" t="str">
        <f t="shared" si="0"/>
        <v xml:space="preserve">Adj menyamakan nilai Peny </v>
      </c>
    </row>
    <row r="15" spans="2:11">
      <c r="B15" s="271" t="str">
        <f t="shared" si="1"/>
        <v>CAJE 1</v>
      </c>
      <c r="C15" s="271"/>
      <c r="D15" s="274" t="s">
        <v>341</v>
      </c>
      <c r="E15" s="275"/>
      <c r="F15" s="271"/>
      <c r="G15" s="272"/>
      <c r="H15" s="271"/>
      <c r="I15" s="272"/>
      <c r="J15" s="272">
        <v>13874999</v>
      </c>
      <c r="K15" s="271" t="str">
        <f t="shared" si="0"/>
        <v xml:space="preserve">Adj menyamakan nilai Peny </v>
      </c>
    </row>
    <row r="16" spans="2:11">
      <c r="B16" s="271"/>
      <c r="C16" s="271"/>
      <c r="D16" s="274"/>
      <c r="E16" s="275"/>
      <c r="F16" s="271"/>
      <c r="G16" s="271"/>
      <c r="H16" s="271"/>
      <c r="I16" s="272"/>
      <c r="J16" s="272"/>
      <c r="K16" s="271"/>
    </row>
    <row r="17" spans="2:11">
      <c r="B17" s="271" t="s">
        <v>573</v>
      </c>
      <c r="C17" s="271"/>
      <c r="D17" s="274" t="s">
        <v>292</v>
      </c>
      <c r="E17" s="275"/>
      <c r="F17" s="271"/>
      <c r="G17" s="271"/>
      <c r="H17" s="271"/>
      <c r="I17" s="272">
        <f>SUM(J18:J23)</f>
        <v>1157140334.25</v>
      </c>
      <c r="J17" s="272"/>
      <c r="K17" s="271" t="s">
        <v>574</v>
      </c>
    </row>
    <row r="18" spans="2:11">
      <c r="B18" s="271" t="str">
        <f>B17</f>
        <v>RKLS 1</v>
      </c>
      <c r="C18" s="271"/>
      <c r="D18" s="274"/>
      <c r="E18" s="275" t="s">
        <v>358</v>
      </c>
      <c r="F18" s="271"/>
      <c r="G18" s="271"/>
      <c r="H18" s="271"/>
      <c r="I18" s="272"/>
      <c r="J18" s="272">
        <v>616777705</v>
      </c>
      <c r="K18" s="271" t="str">
        <f>K17</f>
        <v>Reklas Beban Peny GA ke COGS</v>
      </c>
    </row>
    <row r="19" spans="2:11">
      <c r="B19" s="271" t="str">
        <f t="shared" ref="B19:B22" si="2">B18</f>
        <v>RKLS 1</v>
      </c>
      <c r="C19" s="271"/>
      <c r="D19" s="274"/>
      <c r="E19" s="275" t="s">
        <v>362</v>
      </c>
      <c r="F19" s="271"/>
      <c r="G19" s="271"/>
      <c r="H19" s="271"/>
      <c r="I19" s="272"/>
      <c r="J19" s="272">
        <v>389528236</v>
      </c>
      <c r="K19" s="271" t="str">
        <f t="shared" ref="K19:K23" si="3">K18</f>
        <v>Reklas Beban Peny GA ke COGS</v>
      </c>
    </row>
    <row r="20" spans="2:11">
      <c r="B20" s="271" t="str">
        <f t="shared" si="2"/>
        <v>RKLS 1</v>
      </c>
      <c r="C20" s="271"/>
      <c r="D20" s="274"/>
      <c r="E20" s="275" t="s">
        <v>361</v>
      </c>
      <c r="F20" s="271"/>
      <c r="G20" s="271"/>
      <c r="H20" s="271"/>
      <c r="I20" s="272"/>
      <c r="J20" s="272">
        <v>101889924.25</v>
      </c>
      <c r="K20" s="271" t="str">
        <f t="shared" si="3"/>
        <v>Reklas Beban Peny GA ke COGS</v>
      </c>
    </row>
    <row r="21" spans="2:11">
      <c r="B21" s="271" t="str">
        <f t="shared" si="2"/>
        <v>RKLS 1</v>
      </c>
      <c r="C21" s="271"/>
      <c r="D21" s="274"/>
      <c r="E21" s="275" t="s">
        <v>363</v>
      </c>
      <c r="F21" s="271"/>
      <c r="G21" s="271"/>
      <c r="H21" s="271"/>
      <c r="I21" s="272"/>
      <c r="J21" s="272">
        <v>22060056</v>
      </c>
      <c r="K21" s="271" t="str">
        <f t="shared" si="3"/>
        <v>Reklas Beban Peny GA ke COGS</v>
      </c>
    </row>
    <row r="22" spans="2:11">
      <c r="B22" s="271" t="str">
        <f t="shared" si="2"/>
        <v>RKLS 1</v>
      </c>
      <c r="C22" s="271"/>
      <c r="D22" s="274"/>
      <c r="E22" s="275" t="s">
        <v>364</v>
      </c>
      <c r="F22" s="271"/>
      <c r="G22" s="271"/>
      <c r="H22" s="271"/>
      <c r="I22" s="272"/>
      <c r="J22" s="272">
        <v>13009413</v>
      </c>
      <c r="K22" s="271" t="str">
        <f t="shared" si="3"/>
        <v>Reklas Beban Peny GA ke COGS</v>
      </c>
    </row>
    <row r="23" spans="2:11">
      <c r="B23" s="271"/>
      <c r="C23" s="271"/>
      <c r="D23" s="274"/>
      <c r="E23" s="275" t="s">
        <v>359</v>
      </c>
      <c r="F23" s="271"/>
      <c r="G23" s="271"/>
      <c r="H23" s="271"/>
      <c r="I23" s="272"/>
      <c r="J23" s="272">
        <v>13875000</v>
      </c>
      <c r="K23" s="271" t="str">
        <f t="shared" si="3"/>
        <v>Reklas Beban Peny GA ke COGS</v>
      </c>
    </row>
    <row r="24" spans="2:11">
      <c r="B24" s="271"/>
      <c r="C24" s="271"/>
      <c r="D24" s="274"/>
      <c r="E24" s="275"/>
      <c r="F24" s="271"/>
      <c r="G24" s="271"/>
      <c r="H24" s="271"/>
      <c r="I24" s="272"/>
      <c r="J24" s="272"/>
      <c r="K24" s="271"/>
    </row>
    <row r="25" spans="2:11">
      <c r="B25" s="271" t="s">
        <v>572</v>
      </c>
      <c r="C25" s="271"/>
      <c r="D25" s="275" t="s">
        <v>582</v>
      </c>
      <c r="E25" s="275"/>
      <c r="F25" s="271"/>
      <c r="G25" s="272">
        <v>7919262741</v>
      </c>
      <c r="H25" s="272"/>
      <c r="I25" s="272"/>
      <c r="J25" s="272"/>
      <c r="K25" s="271" t="s">
        <v>664</v>
      </c>
    </row>
    <row r="26" spans="2:11">
      <c r="B26" s="271" t="str">
        <f>B25</f>
        <v>CAJE 2</v>
      </c>
      <c r="C26" s="271"/>
      <c r="D26" s="274"/>
      <c r="E26" s="275" t="s">
        <v>583</v>
      </c>
      <c r="F26" s="271"/>
      <c r="G26" s="272"/>
      <c r="H26" s="272">
        <f>G25</f>
        <v>7919262741</v>
      </c>
      <c r="I26" s="272"/>
      <c r="J26" s="272"/>
      <c r="K26" s="271" t="str">
        <f>K25</f>
        <v>Adj Menyamakan Utang Piutang Afiliasi IAS-ISP Jun 23</v>
      </c>
    </row>
    <row r="27" spans="2:11">
      <c r="B27" s="271"/>
      <c r="C27" s="271"/>
      <c r="D27" s="274"/>
      <c r="E27" s="275"/>
      <c r="F27" s="271"/>
      <c r="G27" s="271"/>
      <c r="H27" s="271"/>
      <c r="I27" s="272"/>
      <c r="J27" s="272"/>
      <c r="K27" s="271"/>
    </row>
    <row r="28" spans="2:11">
      <c r="B28" s="271" t="s">
        <v>575</v>
      </c>
      <c r="C28" s="271"/>
      <c r="D28" s="274" t="s">
        <v>335</v>
      </c>
      <c r="E28" s="275"/>
      <c r="F28" s="271"/>
      <c r="G28" s="271"/>
      <c r="H28" s="271"/>
      <c r="I28" s="272">
        <f>H29-G30</f>
        <v>10621125</v>
      </c>
      <c r="J28" s="272"/>
      <c r="K28" s="271" t="s">
        <v>666</v>
      </c>
    </row>
    <row r="29" spans="2:11">
      <c r="B29" s="271" t="str">
        <f>B28</f>
        <v>CAJE 3</v>
      </c>
      <c r="C29" s="271"/>
      <c r="D29" s="274"/>
      <c r="E29" s="275" t="s">
        <v>585</v>
      </c>
      <c r="F29" s="271"/>
      <c r="G29" s="271"/>
      <c r="H29" s="272">
        <v>10621147</v>
      </c>
      <c r="I29" s="272"/>
      <c r="J29" s="272"/>
      <c r="K29" s="271" t="str">
        <f>K28</f>
        <v>Adj atas Pemb Pajak PPh 21 &amp; 23</v>
      </c>
    </row>
    <row r="30" spans="2:11">
      <c r="B30" s="271" t="s">
        <v>575</v>
      </c>
      <c r="C30" s="271"/>
      <c r="D30" s="274"/>
      <c r="E30" s="275" t="s">
        <v>665</v>
      </c>
      <c r="F30" s="271"/>
      <c r="G30" s="271">
        <v>22</v>
      </c>
      <c r="H30" s="271"/>
      <c r="I30" s="272"/>
      <c r="J30" s="272"/>
      <c r="K30" s="271" t="str">
        <f>K29</f>
        <v>Adj atas Pemb Pajak PPh 21 &amp; 23</v>
      </c>
    </row>
    <row r="31" spans="2:11">
      <c r="B31" s="271"/>
      <c r="C31" s="271"/>
      <c r="D31" s="274"/>
      <c r="E31" s="275"/>
      <c r="F31" s="271"/>
      <c r="G31" s="271"/>
      <c r="H31" s="271"/>
      <c r="I31" s="272"/>
      <c r="J31" s="272"/>
      <c r="K31" s="271"/>
    </row>
    <row r="32" spans="2:11">
      <c r="B32" s="271" t="s">
        <v>581</v>
      </c>
      <c r="C32" s="271"/>
      <c r="D32" s="275" t="s">
        <v>332</v>
      </c>
      <c r="E32" s="275"/>
      <c r="F32" s="271"/>
      <c r="G32" s="271"/>
      <c r="H32" s="271"/>
      <c r="I32" s="272">
        <v>2335000</v>
      </c>
      <c r="J32" s="272"/>
      <c r="K32" s="271" t="s">
        <v>667</v>
      </c>
    </row>
    <row r="33" spans="2:11">
      <c r="B33" s="271" t="str">
        <f>B32</f>
        <v>CAJE 4</v>
      </c>
      <c r="C33" s="271"/>
      <c r="D33" s="274" t="s">
        <v>343</v>
      </c>
      <c r="E33" s="275"/>
      <c r="F33" s="271"/>
      <c r="G33" s="271"/>
      <c r="H33" s="271"/>
      <c r="I33" s="272">
        <v>873540</v>
      </c>
      <c r="J33" s="272"/>
      <c r="K33" s="271" t="str">
        <f>K32</f>
        <v>Adj angka minus</v>
      </c>
    </row>
    <row r="34" spans="2:11">
      <c r="B34" s="271" t="str">
        <f>B33</f>
        <v>CAJE 4</v>
      </c>
      <c r="C34" s="271"/>
      <c r="D34" s="274"/>
      <c r="E34" s="275" t="s">
        <v>596</v>
      </c>
      <c r="F34" s="271"/>
      <c r="G34" s="271"/>
      <c r="H34" s="382">
        <f>SUM(I32:I33)</f>
        <v>3208540</v>
      </c>
      <c r="I34" s="272"/>
      <c r="J34" s="272"/>
      <c r="K34" s="271" t="str">
        <f>K33</f>
        <v>Adj angka minus</v>
      </c>
    </row>
    <row r="35" spans="2:11">
      <c r="B35" s="271"/>
      <c r="C35" s="271"/>
      <c r="D35" s="274"/>
      <c r="E35" s="275"/>
      <c r="F35" s="271"/>
      <c r="G35" s="271"/>
      <c r="H35" s="271"/>
      <c r="I35" s="272"/>
      <c r="J35" s="272"/>
      <c r="K35" s="271"/>
    </row>
    <row r="36" spans="2:11">
      <c r="B36" s="407" t="s">
        <v>584</v>
      </c>
      <c r="C36" s="407"/>
      <c r="D36" s="408" t="s">
        <v>596</v>
      </c>
      <c r="E36" s="409"/>
      <c r="F36" s="407"/>
      <c r="G36" s="410">
        <f>SUM(H37:H39)</f>
        <v>2443062</v>
      </c>
      <c r="H36" s="407"/>
      <c r="I36" s="411"/>
      <c r="J36" s="411"/>
      <c r="K36" s="407"/>
    </row>
    <row r="37" spans="2:11">
      <c r="B37" s="407" t="str">
        <f>B36</f>
        <v>CAJE 5</v>
      </c>
      <c r="C37" s="407"/>
      <c r="D37" s="408"/>
      <c r="E37" s="409" t="s">
        <v>585</v>
      </c>
      <c r="F37" s="407"/>
      <c r="G37" s="407"/>
      <c r="H37" s="410">
        <v>2443062</v>
      </c>
      <c r="I37" s="411"/>
      <c r="J37" s="411"/>
      <c r="K37" s="407"/>
    </row>
    <row r="38" spans="2:11">
      <c r="B38" s="271" t="str">
        <f t="shared" ref="B38:B39" si="4">B37</f>
        <v>CAJE 5</v>
      </c>
      <c r="C38" s="271"/>
      <c r="D38" s="274"/>
      <c r="E38" s="275" t="s">
        <v>197</v>
      </c>
      <c r="F38" s="271"/>
      <c r="G38" s="271"/>
      <c r="H38" s="272">
        <f>49398282*0</f>
        <v>0</v>
      </c>
      <c r="I38" s="272"/>
      <c r="J38" s="272"/>
      <c r="K38" s="271"/>
    </row>
    <row r="39" spans="2:11">
      <c r="B39" s="271" t="str">
        <f t="shared" si="4"/>
        <v>CAJE 5</v>
      </c>
      <c r="C39" s="271"/>
      <c r="D39" s="274"/>
      <c r="E39" s="275" t="s">
        <v>198</v>
      </c>
      <c r="F39" s="271"/>
      <c r="G39" s="271"/>
      <c r="H39" s="271">
        <f>33436121*0</f>
        <v>0</v>
      </c>
      <c r="I39" s="272"/>
      <c r="J39" s="272"/>
      <c r="K39" s="271"/>
    </row>
    <row r="40" spans="2:11">
      <c r="B40" s="271"/>
      <c r="C40" s="271"/>
      <c r="D40" s="274"/>
      <c r="E40" s="275"/>
      <c r="F40" s="271"/>
      <c r="G40" s="271"/>
      <c r="H40" s="271"/>
      <c r="I40" s="272"/>
      <c r="J40" s="272"/>
      <c r="K40" s="271"/>
    </row>
    <row r="41" spans="2:11">
      <c r="B41" s="271" t="s">
        <v>586</v>
      </c>
      <c r="C41" s="271"/>
      <c r="D41" s="274" t="s">
        <v>596</v>
      </c>
      <c r="E41" s="275"/>
      <c r="F41" s="271"/>
      <c r="G41" s="406"/>
      <c r="H41" s="271"/>
      <c r="I41" s="272"/>
      <c r="J41" s="272"/>
      <c r="K41" s="271"/>
    </row>
    <row r="42" spans="2:11">
      <c r="B42" s="271" t="str">
        <f>B41</f>
        <v>CAJE 6</v>
      </c>
      <c r="C42" s="271"/>
      <c r="D42" s="274"/>
      <c r="E42" s="275" t="s">
        <v>601</v>
      </c>
      <c r="F42" s="271"/>
      <c r="G42" s="271"/>
      <c r="H42" s="406"/>
      <c r="I42" s="272"/>
      <c r="J42" s="272"/>
      <c r="K42" s="271"/>
    </row>
    <row r="43" spans="2:11">
      <c r="B43" s="271"/>
      <c r="C43" s="271"/>
      <c r="D43" s="274"/>
      <c r="E43" s="275"/>
      <c r="F43" s="271"/>
      <c r="G43" s="271"/>
      <c r="H43" s="271"/>
      <c r="I43" s="272"/>
      <c r="J43" s="272"/>
      <c r="K43" s="271"/>
    </row>
    <row r="44" spans="2:11">
      <c r="B44" s="271"/>
      <c r="C44" s="271"/>
      <c r="D44" s="274"/>
      <c r="E44" s="275"/>
      <c r="F44" s="271"/>
      <c r="G44" s="271"/>
      <c r="H44" s="271"/>
      <c r="I44" s="272"/>
      <c r="J44" s="272"/>
      <c r="K44" s="271"/>
    </row>
    <row r="45" spans="2:11">
      <c r="B45" s="407" t="s">
        <v>587</v>
      </c>
      <c r="C45" s="407"/>
      <c r="D45" s="408" t="s">
        <v>106</v>
      </c>
      <c r="E45" s="409"/>
      <c r="F45" s="407"/>
      <c r="G45" s="411">
        <v>168752996</v>
      </c>
      <c r="H45" s="411"/>
      <c r="I45" s="411"/>
      <c r="J45" s="411"/>
      <c r="K45" s="407"/>
    </row>
    <row r="46" spans="2:11">
      <c r="B46" s="407" t="str">
        <f>B45</f>
        <v>CAJE 7</v>
      </c>
      <c r="C46" s="407"/>
      <c r="D46" s="408" t="s">
        <v>107</v>
      </c>
      <c r="E46" s="409"/>
      <c r="F46" s="407"/>
      <c r="G46" s="411">
        <v>192000000</v>
      </c>
      <c r="H46" s="411"/>
      <c r="I46" s="411"/>
      <c r="J46" s="411"/>
      <c r="K46" s="407"/>
    </row>
    <row r="47" spans="2:11">
      <c r="B47" s="407" t="str">
        <f>B46</f>
        <v>CAJE 7</v>
      </c>
      <c r="C47" s="407"/>
      <c r="D47" s="408"/>
      <c r="E47" s="409" t="s">
        <v>34</v>
      </c>
      <c r="F47" s="407"/>
      <c r="G47" s="411"/>
      <c r="H47" s="411">
        <f>SUM(G45:G46)</f>
        <v>360752996</v>
      </c>
      <c r="I47" s="411"/>
      <c r="J47" s="411"/>
      <c r="K47" s="407"/>
    </row>
    <row r="48" spans="2:11">
      <c r="B48" s="407"/>
      <c r="C48" s="407"/>
      <c r="D48" s="412" t="s">
        <v>668</v>
      </c>
      <c r="E48" s="409"/>
      <c r="F48" s="407"/>
      <c r="G48" s="407"/>
      <c r="H48" s="407"/>
      <c r="I48" s="411"/>
      <c r="J48" s="411"/>
      <c r="K48" s="407"/>
    </row>
    <row r="49" spans="2:11">
      <c r="B49" s="271"/>
      <c r="C49" s="271"/>
      <c r="D49" s="274"/>
      <c r="E49" s="275"/>
      <c r="F49" s="271"/>
      <c r="G49" s="271"/>
      <c r="H49" s="271"/>
      <c r="I49" s="272"/>
      <c r="J49" s="272"/>
      <c r="K49" s="271"/>
    </row>
    <row r="50" spans="2:11">
      <c r="B50" s="271" t="s">
        <v>588</v>
      </c>
      <c r="C50" s="271"/>
      <c r="D50" s="274" t="s">
        <v>389</v>
      </c>
      <c r="E50" s="275"/>
      <c r="F50" s="271"/>
      <c r="G50" s="272"/>
      <c r="H50" s="272"/>
      <c r="I50" s="272">
        <f>SUM(H51:H53)</f>
        <v>301219820</v>
      </c>
      <c r="J50" s="272"/>
      <c r="K50" s="271" t="s">
        <v>708</v>
      </c>
    </row>
    <row r="51" spans="2:11">
      <c r="B51" s="271" t="str">
        <f>B50</f>
        <v>CAJE 8</v>
      </c>
      <c r="C51" s="271"/>
      <c r="D51" s="274"/>
      <c r="E51" s="275" t="s">
        <v>75</v>
      </c>
      <c r="F51" s="271"/>
      <c r="G51" s="272"/>
      <c r="H51" s="272">
        <v>55018816</v>
      </c>
      <c r="I51" s="272"/>
      <c r="J51" s="272"/>
      <c r="K51" s="271" t="str">
        <f>K50</f>
        <v>Perhitungan Pajak Badan Juni 2023</v>
      </c>
    </row>
    <row r="52" spans="2:11">
      <c r="B52" s="271" t="str">
        <f t="shared" ref="B52:B53" si="5">B51</f>
        <v>CAJE 8</v>
      </c>
      <c r="C52" s="271"/>
      <c r="D52" s="274"/>
      <c r="E52" s="275" t="s">
        <v>76</v>
      </c>
      <c r="F52" s="271"/>
      <c r="G52" s="272"/>
      <c r="H52" s="272">
        <v>65023075</v>
      </c>
      <c r="I52" s="272"/>
      <c r="J52" s="272"/>
      <c r="K52" s="271" t="str">
        <f t="shared" ref="K52:K53" si="6">K51</f>
        <v>Perhitungan Pajak Badan Juni 2023</v>
      </c>
    </row>
    <row r="53" spans="2:11">
      <c r="B53" s="271" t="str">
        <f t="shared" si="5"/>
        <v>CAJE 8</v>
      </c>
      <c r="C53" s="271"/>
      <c r="D53" s="274"/>
      <c r="E53" s="275" t="s">
        <v>201</v>
      </c>
      <c r="F53" s="271"/>
      <c r="G53" s="272"/>
      <c r="H53" s="272">
        <v>181177929</v>
      </c>
      <c r="I53" s="272"/>
      <c r="J53" s="272"/>
      <c r="K53" s="271" t="str">
        <f t="shared" si="6"/>
        <v>Perhitungan Pajak Badan Juni 2023</v>
      </c>
    </row>
    <row r="54" spans="2:11">
      <c r="B54" s="271"/>
      <c r="C54" s="271"/>
      <c r="D54" s="274"/>
      <c r="E54" s="275"/>
      <c r="F54" s="271"/>
      <c r="G54" s="271"/>
      <c r="H54" s="271"/>
      <c r="I54" s="272"/>
      <c r="J54" s="272"/>
      <c r="K54" s="271"/>
    </row>
    <row r="55" spans="2:11">
      <c r="B55" s="271"/>
      <c r="C55" s="271"/>
      <c r="D55" s="274"/>
      <c r="E55" s="275"/>
      <c r="F55" s="271"/>
      <c r="G55" s="271"/>
      <c r="H55" s="271"/>
      <c r="I55" s="272"/>
      <c r="J55" s="272"/>
      <c r="K55" s="271"/>
    </row>
    <row r="56" spans="2:11">
      <c r="B56" s="271"/>
      <c r="C56" s="271"/>
      <c r="D56" s="274"/>
      <c r="E56" s="275"/>
      <c r="F56" s="271"/>
      <c r="G56" s="271"/>
      <c r="H56" s="271"/>
      <c r="I56" s="272"/>
      <c r="J56" s="272"/>
      <c r="K56" s="271"/>
    </row>
    <row r="57" spans="2:11">
      <c r="B57" s="271"/>
      <c r="C57" s="271"/>
      <c r="D57" s="274"/>
      <c r="E57" s="275"/>
      <c r="F57" s="271"/>
      <c r="G57" s="271"/>
      <c r="H57" s="271"/>
      <c r="I57" s="272"/>
      <c r="J57" s="272"/>
      <c r="K57" s="271"/>
    </row>
    <row r="58" spans="2:11">
      <c r="B58" s="271"/>
      <c r="C58" s="271"/>
      <c r="D58" s="274"/>
      <c r="E58" s="275"/>
      <c r="F58" s="271"/>
      <c r="G58" s="271"/>
      <c r="H58" s="271"/>
      <c r="I58" s="272"/>
      <c r="J58" s="272"/>
      <c r="K58" s="271"/>
    </row>
    <row r="59" spans="2:11">
      <c r="B59" s="271"/>
      <c r="C59" s="271"/>
      <c r="D59" s="274"/>
      <c r="E59" s="275"/>
      <c r="F59" s="271"/>
      <c r="G59" s="271"/>
      <c r="H59" s="271"/>
      <c r="I59" s="272"/>
      <c r="J59" s="272"/>
      <c r="K59" s="271"/>
    </row>
    <row r="60" spans="2:11">
      <c r="B60" s="271"/>
      <c r="C60" s="271"/>
      <c r="D60" s="274"/>
      <c r="E60" s="275"/>
      <c r="F60" s="271"/>
      <c r="G60" s="271"/>
      <c r="H60" s="271"/>
      <c r="I60" s="272"/>
      <c r="J60" s="272"/>
      <c r="K60" s="271"/>
    </row>
    <row r="61" spans="2:11">
      <c r="B61" s="271"/>
      <c r="C61" s="271"/>
      <c r="D61" s="274"/>
      <c r="E61" s="275"/>
      <c r="F61" s="271"/>
      <c r="G61" s="271"/>
      <c r="H61" s="271"/>
      <c r="I61" s="272"/>
      <c r="J61" s="272"/>
      <c r="K61" s="271"/>
    </row>
    <row r="62" spans="2:11">
      <c r="B62" s="271"/>
      <c r="C62" s="271"/>
      <c r="D62" s="274"/>
      <c r="E62" s="275"/>
      <c r="F62" s="271"/>
      <c r="G62" s="271"/>
      <c r="H62" s="271"/>
      <c r="I62" s="272"/>
      <c r="J62" s="272"/>
      <c r="K62" s="271"/>
    </row>
    <row r="63" spans="2:11">
      <c r="B63" s="271"/>
      <c r="C63" s="271"/>
      <c r="D63" s="274"/>
      <c r="E63" s="275"/>
      <c r="F63" s="271"/>
      <c r="G63" s="271"/>
      <c r="H63" s="271"/>
      <c r="I63" s="272"/>
      <c r="J63" s="272"/>
      <c r="K63" s="271"/>
    </row>
    <row r="64" spans="2:11">
      <c r="B64" s="271"/>
      <c r="C64" s="271"/>
      <c r="D64" s="274"/>
      <c r="E64" s="275"/>
      <c r="F64" s="271"/>
      <c r="G64" s="271"/>
      <c r="H64" s="271"/>
      <c r="I64" s="272"/>
      <c r="J64" s="272"/>
      <c r="K64" s="271"/>
    </row>
    <row r="65" spans="2:11">
      <c r="B65" s="271"/>
      <c r="C65" s="271"/>
      <c r="D65" s="274"/>
      <c r="E65" s="275"/>
      <c r="F65" s="271"/>
      <c r="G65" s="271"/>
      <c r="H65" s="271"/>
      <c r="I65" s="272"/>
      <c r="J65" s="272"/>
      <c r="K65" s="271"/>
    </row>
    <row r="66" spans="2:11">
      <c r="B66" s="271"/>
      <c r="C66" s="271"/>
      <c r="D66" s="274"/>
      <c r="E66" s="275"/>
      <c r="F66" s="271"/>
      <c r="G66" s="271"/>
      <c r="H66" s="271"/>
      <c r="I66" s="272"/>
      <c r="J66" s="272"/>
      <c r="K66" s="271"/>
    </row>
    <row r="67" spans="2:11">
      <c r="B67" s="271"/>
      <c r="C67" s="271"/>
      <c r="D67" s="274"/>
      <c r="E67" s="275"/>
      <c r="F67" s="271"/>
      <c r="G67" s="271"/>
      <c r="H67" s="271"/>
      <c r="I67" s="272"/>
      <c r="J67" s="272"/>
      <c r="K67" s="271"/>
    </row>
    <row r="68" spans="2:11">
      <c r="B68" s="271"/>
      <c r="C68" s="271"/>
      <c r="D68" s="274"/>
      <c r="E68" s="275"/>
      <c r="F68" s="271"/>
      <c r="G68" s="271"/>
      <c r="H68" s="271"/>
      <c r="I68" s="272"/>
      <c r="J68" s="272"/>
      <c r="K68" s="271"/>
    </row>
    <row r="69" spans="2:11">
      <c r="B69" s="271"/>
      <c r="C69" s="271"/>
      <c r="D69" s="274"/>
      <c r="E69" s="275"/>
      <c r="F69" s="271"/>
      <c r="G69" s="271"/>
      <c r="H69" s="271"/>
      <c r="I69" s="272"/>
      <c r="J69" s="272"/>
      <c r="K69" s="271"/>
    </row>
    <row r="70" spans="2:11">
      <c r="B70" s="271"/>
      <c r="C70" s="271"/>
      <c r="D70" s="274"/>
      <c r="E70" s="275"/>
      <c r="F70" s="271"/>
      <c r="G70" s="271"/>
      <c r="H70" s="271"/>
      <c r="I70" s="272"/>
      <c r="J70" s="272"/>
      <c r="K70" s="271"/>
    </row>
    <row r="71" spans="2:11">
      <c r="B71" s="271"/>
      <c r="C71" s="271"/>
      <c r="D71" s="274"/>
      <c r="E71" s="275"/>
      <c r="F71" s="271"/>
      <c r="G71" s="271"/>
      <c r="H71" s="271"/>
      <c r="I71" s="272"/>
      <c r="J71" s="272"/>
      <c r="K71" s="271"/>
    </row>
    <row r="72" spans="2:11">
      <c r="B72" s="271"/>
      <c r="C72" s="271"/>
      <c r="D72" s="274"/>
      <c r="E72" s="275"/>
      <c r="F72" s="271"/>
      <c r="G72" s="271"/>
      <c r="H72" s="271"/>
      <c r="I72" s="272"/>
      <c r="J72" s="272"/>
      <c r="K72" s="271"/>
    </row>
    <row r="73" spans="2:11">
      <c r="B73" s="271"/>
      <c r="C73" s="271"/>
      <c r="D73" s="274"/>
      <c r="E73" s="275"/>
      <c r="F73" s="271"/>
      <c r="G73" s="271"/>
      <c r="H73" s="271"/>
      <c r="I73" s="272"/>
      <c r="J73" s="272"/>
      <c r="K73" s="271"/>
    </row>
    <row r="74" spans="2:11">
      <c r="B74" s="271"/>
      <c r="C74" s="271"/>
      <c r="D74" s="274"/>
      <c r="E74" s="275"/>
      <c r="F74" s="271"/>
      <c r="G74" s="271"/>
      <c r="H74" s="271"/>
      <c r="I74" s="272"/>
      <c r="J74" s="272"/>
      <c r="K74" s="271"/>
    </row>
    <row r="75" spans="2:11">
      <c r="B75" s="271"/>
      <c r="C75" s="271"/>
      <c r="D75" s="274"/>
      <c r="E75" s="275"/>
      <c r="F75" s="271"/>
      <c r="G75" s="271"/>
      <c r="H75" s="271"/>
      <c r="I75" s="272"/>
      <c r="J75" s="272"/>
      <c r="K75" s="271"/>
    </row>
  </sheetData>
  <mergeCells count="7">
    <mergeCell ref="K2:K3"/>
    <mergeCell ref="B2:B3"/>
    <mergeCell ref="C2:C3"/>
    <mergeCell ref="D2:E3"/>
    <mergeCell ref="F2:F3"/>
    <mergeCell ref="G2:H2"/>
    <mergeCell ref="I2:J2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1455-A572-4EAC-A5CC-DFB3F7A764DB}">
  <sheetPr>
    <tabColor rgb="FFFFC000"/>
  </sheetPr>
  <dimension ref="B1:K68"/>
  <sheetViews>
    <sheetView showGridLines="0" zoomScale="71" workbookViewId="0">
      <pane xSplit="6" ySplit="4" topLeftCell="G33" activePane="bottomRight" state="frozen"/>
      <selection pane="topRight" activeCell="G1" sqref="G1"/>
      <selection pane="bottomLeft" activeCell="A5" sqref="A5"/>
      <selection pane="bottomRight" activeCell="E53" sqref="E53:H53"/>
    </sheetView>
  </sheetViews>
  <sheetFormatPr defaultRowHeight="14.5"/>
  <cols>
    <col min="2" max="2" width="12.26953125" bestFit="1" customWidth="1"/>
    <col min="3" max="3" width="6.1796875" bestFit="1" customWidth="1"/>
    <col min="4" max="4" width="3.1796875" customWidth="1"/>
    <col min="5" max="5" width="34.81640625" customWidth="1"/>
    <col min="6" max="6" width="9.1796875" customWidth="1"/>
    <col min="7" max="10" width="18.1796875" style="278" customWidth="1"/>
    <col min="11" max="11" width="61.1796875" customWidth="1"/>
  </cols>
  <sheetData>
    <row r="1" spans="2:11">
      <c r="G1" s="268"/>
      <c r="H1" s="268"/>
      <c r="I1" s="268"/>
      <c r="J1" s="268"/>
    </row>
    <row r="2" spans="2:11">
      <c r="G2" s="268"/>
      <c r="H2" s="268"/>
      <c r="I2" s="268"/>
      <c r="J2" s="268"/>
    </row>
    <row r="3" spans="2:11">
      <c r="B3" s="950" t="s">
        <v>562</v>
      </c>
      <c r="C3" s="950" t="s">
        <v>563</v>
      </c>
      <c r="D3" s="953" t="s">
        <v>564</v>
      </c>
      <c r="E3" s="954"/>
      <c r="F3" s="957" t="s">
        <v>565</v>
      </c>
      <c r="G3" s="959" t="s">
        <v>566</v>
      </c>
      <c r="H3" s="960"/>
      <c r="I3" s="961" t="s">
        <v>567</v>
      </c>
      <c r="J3" s="961"/>
      <c r="K3" s="950" t="s">
        <v>4</v>
      </c>
    </row>
    <row r="4" spans="2:11">
      <c r="B4" s="952"/>
      <c r="C4" s="952"/>
      <c r="D4" s="955"/>
      <c r="E4" s="956"/>
      <c r="F4" s="958"/>
      <c r="G4" s="276" t="s">
        <v>568</v>
      </c>
      <c r="H4" s="276" t="s">
        <v>569</v>
      </c>
      <c r="I4" s="277" t="s">
        <v>568</v>
      </c>
      <c r="J4" s="277" t="s">
        <v>569</v>
      </c>
      <c r="K4" s="951"/>
    </row>
    <row r="5" spans="2:11">
      <c r="B5" s="271"/>
      <c r="C5" s="271"/>
      <c r="D5" s="274"/>
      <c r="E5" s="275"/>
      <c r="F5" s="271"/>
      <c r="G5" s="272"/>
      <c r="H5" s="272"/>
      <c r="I5" s="272"/>
      <c r="J5" s="272"/>
      <c r="K5" s="271"/>
    </row>
    <row r="6" spans="2:11">
      <c r="B6" s="271" t="s">
        <v>571</v>
      </c>
      <c r="C6" s="271"/>
      <c r="D6" s="275" t="s">
        <v>98</v>
      </c>
      <c r="F6" s="271"/>
      <c r="G6" s="272">
        <v>12187500</v>
      </c>
      <c r="H6" s="272"/>
      <c r="I6" s="272"/>
      <c r="J6" s="272"/>
      <c r="K6" s="271" t="s">
        <v>570</v>
      </c>
    </row>
    <row r="7" spans="2:11">
      <c r="B7" s="271" t="str">
        <f>B6</f>
        <v>CAJE 1</v>
      </c>
      <c r="C7" s="271"/>
      <c r="D7" s="274"/>
      <c r="E7" s="275" t="s">
        <v>99</v>
      </c>
      <c r="F7" s="271"/>
      <c r="G7" s="272"/>
      <c r="H7" s="272">
        <f>G6</f>
        <v>12187500</v>
      </c>
      <c r="I7" s="272"/>
      <c r="J7" s="272"/>
      <c r="K7" s="271" t="str">
        <f>K6</f>
        <v xml:space="preserve">Adj menyamakan nilai Peny </v>
      </c>
    </row>
    <row r="8" spans="2:11">
      <c r="B8" s="271"/>
      <c r="C8" s="271"/>
      <c r="D8" s="274"/>
      <c r="E8" s="275"/>
      <c r="F8" s="271"/>
      <c r="G8" s="272"/>
      <c r="H8" s="272"/>
      <c r="I8" s="272"/>
      <c r="J8" s="272"/>
      <c r="K8" s="271"/>
    </row>
    <row r="9" spans="2:11">
      <c r="B9" s="461" t="s">
        <v>572</v>
      </c>
      <c r="C9" s="461"/>
      <c r="D9" s="462"/>
      <c r="E9" s="463" t="s">
        <v>96</v>
      </c>
      <c r="F9" s="461"/>
      <c r="G9" s="464"/>
      <c r="H9" s="464">
        <v>2</v>
      </c>
      <c r="I9" s="464"/>
      <c r="J9" s="464"/>
      <c r="K9" s="461" t="s">
        <v>570</v>
      </c>
    </row>
    <row r="10" spans="2:11">
      <c r="B10" s="461" t="str">
        <f>B9</f>
        <v>CAJE 2</v>
      </c>
      <c r="C10" s="461"/>
      <c r="D10" s="463" t="s">
        <v>97</v>
      </c>
      <c r="E10" s="463"/>
      <c r="F10" s="461"/>
      <c r="G10" s="464">
        <v>2</v>
      </c>
      <c r="H10" s="464"/>
      <c r="I10" s="464"/>
      <c r="J10" s="464"/>
      <c r="K10" s="461" t="str">
        <f>K9</f>
        <v xml:space="preserve">Adj menyamakan nilai Peny </v>
      </c>
    </row>
    <row r="11" spans="2:11">
      <c r="B11" s="461" t="str">
        <f t="shared" ref="B11:B18" si="0">B10</f>
        <v>CAJE 2</v>
      </c>
      <c r="C11" s="461"/>
      <c r="D11" s="462"/>
      <c r="E11" s="463" t="s">
        <v>100</v>
      </c>
      <c r="F11" s="461"/>
      <c r="G11" s="464"/>
      <c r="H11" s="464">
        <v>1</v>
      </c>
      <c r="I11" s="464"/>
      <c r="J11" s="464"/>
      <c r="K11" s="461" t="str">
        <f t="shared" ref="K11:K18" si="1">K10</f>
        <v xml:space="preserve">Adj menyamakan nilai Peny </v>
      </c>
    </row>
    <row r="12" spans="2:11">
      <c r="B12" s="461" t="str">
        <f t="shared" si="0"/>
        <v>CAJE 2</v>
      </c>
      <c r="C12" s="461"/>
      <c r="D12" s="462"/>
      <c r="E12" s="463" t="s">
        <v>101</v>
      </c>
      <c r="F12" s="461"/>
      <c r="G12" s="464"/>
      <c r="H12" s="464">
        <v>1</v>
      </c>
      <c r="I12" s="464"/>
      <c r="J12" s="464"/>
      <c r="K12" s="461" t="str">
        <f t="shared" si="1"/>
        <v xml:space="preserve">Adj menyamakan nilai Peny </v>
      </c>
    </row>
    <row r="13" spans="2:11">
      <c r="B13" s="461" t="str">
        <f t="shared" si="0"/>
        <v>CAJE 2</v>
      </c>
      <c r="C13" s="461"/>
      <c r="D13" s="462"/>
      <c r="E13" s="463" t="s">
        <v>102</v>
      </c>
      <c r="F13" s="461"/>
      <c r="G13" s="464"/>
      <c r="H13" s="464">
        <v>3</v>
      </c>
      <c r="I13" s="464"/>
      <c r="J13" s="464"/>
      <c r="K13" s="461" t="str">
        <f t="shared" si="1"/>
        <v xml:space="preserve">Adj menyamakan nilai Peny </v>
      </c>
    </row>
    <row r="14" spans="2:11">
      <c r="B14" s="461" t="str">
        <f t="shared" si="0"/>
        <v>CAJE 2</v>
      </c>
      <c r="C14" s="461"/>
      <c r="D14" s="463" t="s">
        <v>357</v>
      </c>
      <c r="E14" s="463"/>
      <c r="F14" s="461"/>
      <c r="G14" s="464"/>
      <c r="H14" s="464"/>
      <c r="I14" s="464">
        <v>1</v>
      </c>
      <c r="J14" s="464"/>
      <c r="K14" s="461" t="str">
        <f t="shared" si="1"/>
        <v xml:space="preserve">Adj menyamakan nilai Peny </v>
      </c>
    </row>
    <row r="15" spans="2:11">
      <c r="B15" s="461" t="str">
        <f t="shared" si="0"/>
        <v>CAJE 2</v>
      </c>
      <c r="C15" s="461"/>
      <c r="D15" s="463" t="s">
        <v>358</v>
      </c>
      <c r="E15" s="463"/>
      <c r="F15" s="461"/>
      <c r="G15" s="464"/>
      <c r="H15" s="464"/>
      <c r="I15" s="464">
        <v>1</v>
      </c>
      <c r="J15" s="464"/>
      <c r="K15" s="461" t="str">
        <f t="shared" si="1"/>
        <v xml:space="preserve">Adj menyamakan nilai Peny </v>
      </c>
    </row>
    <row r="16" spans="2:11">
      <c r="B16" s="461" t="str">
        <f t="shared" si="0"/>
        <v>CAJE 2</v>
      </c>
      <c r="C16" s="461"/>
      <c r="D16" s="462"/>
      <c r="E16" s="463" t="s">
        <v>362</v>
      </c>
      <c r="F16" s="461"/>
      <c r="G16" s="464"/>
      <c r="H16" s="464"/>
      <c r="I16" s="464"/>
      <c r="J16" s="464">
        <v>2</v>
      </c>
      <c r="K16" s="461" t="str">
        <f t="shared" si="1"/>
        <v xml:space="preserve">Adj menyamakan nilai Peny </v>
      </c>
    </row>
    <row r="17" spans="2:11">
      <c r="B17" s="461" t="str">
        <f t="shared" si="0"/>
        <v>CAJE 2</v>
      </c>
      <c r="C17" s="461"/>
      <c r="D17" s="463" t="s">
        <v>363</v>
      </c>
      <c r="E17" s="463"/>
      <c r="F17" s="461"/>
      <c r="G17" s="464"/>
      <c r="H17" s="464"/>
      <c r="I17" s="464">
        <v>1</v>
      </c>
      <c r="J17" s="464"/>
      <c r="K17" s="461" t="str">
        <f t="shared" si="1"/>
        <v xml:space="preserve">Adj menyamakan nilai Peny </v>
      </c>
    </row>
    <row r="18" spans="2:11">
      <c r="B18" s="461" t="str">
        <f t="shared" si="0"/>
        <v>CAJE 2</v>
      </c>
      <c r="C18" s="461"/>
      <c r="D18" s="463" t="s">
        <v>364</v>
      </c>
      <c r="E18" s="463"/>
      <c r="F18" s="461"/>
      <c r="G18" s="464"/>
      <c r="H18" s="464"/>
      <c r="I18" s="464">
        <v>3</v>
      </c>
      <c r="J18" s="464"/>
      <c r="K18" s="461" t="str">
        <f t="shared" si="1"/>
        <v xml:space="preserve">Adj menyamakan nilai Peny </v>
      </c>
    </row>
    <row r="19" spans="2:11">
      <c r="B19" s="461"/>
      <c r="C19" s="461"/>
      <c r="D19" s="462"/>
      <c r="E19" s="463"/>
      <c r="F19" s="461"/>
      <c r="G19" s="464"/>
      <c r="H19" s="464"/>
      <c r="I19" s="464"/>
      <c r="J19" s="464"/>
      <c r="K19" s="461"/>
    </row>
    <row r="20" spans="2:11">
      <c r="B20" s="461" t="s">
        <v>573</v>
      </c>
      <c r="C20" s="461"/>
      <c r="D20" s="462" t="s">
        <v>292</v>
      </c>
      <c r="E20" s="463"/>
      <c r="F20" s="461"/>
      <c r="G20" s="464"/>
      <c r="H20" s="464"/>
      <c r="I20" s="464">
        <f>SUM(J21:J25)</f>
        <v>1040987145</v>
      </c>
      <c r="J20" s="464"/>
      <c r="K20" s="461" t="s">
        <v>574</v>
      </c>
    </row>
    <row r="21" spans="2:11">
      <c r="B21" s="461" t="str">
        <f>B20</f>
        <v>RKLS 1</v>
      </c>
      <c r="C21" s="461"/>
      <c r="D21" s="462"/>
      <c r="E21" s="463" t="s">
        <v>358</v>
      </c>
      <c r="F21" s="461"/>
      <c r="G21" s="464"/>
      <c r="H21" s="464"/>
      <c r="I21" s="464"/>
      <c r="J21" s="464">
        <v>616777705</v>
      </c>
      <c r="K21" s="461" t="str">
        <f>K20</f>
        <v>Reklas Beban Peny GA ke COGS</v>
      </c>
    </row>
    <row r="22" spans="2:11">
      <c r="B22" s="461" t="str">
        <f t="shared" ref="B22:B25" si="2">B21</f>
        <v>RKLS 1</v>
      </c>
      <c r="C22" s="461"/>
      <c r="D22" s="462"/>
      <c r="E22" s="463" t="s">
        <v>362</v>
      </c>
      <c r="F22" s="461"/>
      <c r="G22" s="464"/>
      <c r="H22" s="464"/>
      <c r="I22" s="464"/>
      <c r="J22" s="464">
        <v>389528236</v>
      </c>
      <c r="K22" s="461" t="str">
        <f t="shared" ref="K22:K25" si="3">K21</f>
        <v>Reklas Beban Peny GA ke COGS</v>
      </c>
    </row>
    <row r="23" spans="2:11">
      <c r="B23" s="461" t="str">
        <f t="shared" si="2"/>
        <v>RKLS 1</v>
      </c>
      <c r="C23" s="461"/>
      <c r="D23" s="462"/>
      <c r="E23" s="463" t="s">
        <v>361</v>
      </c>
      <c r="F23" s="461"/>
      <c r="G23" s="464"/>
      <c r="H23" s="464"/>
      <c r="I23" s="464"/>
      <c r="J23" s="464">
        <v>12187500</v>
      </c>
      <c r="K23" s="461" t="str">
        <f t="shared" si="3"/>
        <v>Reklas Beban Peny GA ke COGS</v>
      </c>
    </row>
    <row r="24" spans="2:11">
      <c r="B24" s="461" t="str">
        <f t="shared" si="2"/>
        <v>RKLS 1</v>
      </c>
      <c r="C24" s="461"/>
      <c r="D24" s="462"/>
      <c r="E24" s="463" t="s">
        <v>363</v>
      </c>
      <c r="F24" s="461"/>
      <c r="G24" s="464"/>
      <c r="H24" s="464"/>
      <c r="I24" s="464"/>
      <c r="J24" s="464">
        <v>9484291</v>
      </c>
      <c r="K24" s="461" t="str">
        <f t="shared" si="3"/>
        <v>Reklas Beban Peny GA ke COGS</v>
      </c>
    </row>
    <row r="25" spans="2:11">
      <c r="B25" s="461" t="str">
        <f t="shared" si="2"/>
        <v>RKLS 1</v>
      </c>
      <c r="C25" s="461"/>
      <c r="D25" s="462"/>
      <c r="E25" s="463" t="s">
        <v>364</v>
      </c>
      <c r="F25" s="461"/>
      <c r="G25" s="464"/>
      <c r="H25" s="464"/>
      <c r="I25" s="464"/>
      <c r="J25" s="464">
        <v>13009413</v>
      </c>
      <c r="K25" s="461" t="str">
        <f t="shared" si="3"/>
        <v>Reklas Beban Peny GA ke COGS</v>
      </c>
    </row>
    <row r="26" spans="2:11">
      <c r="B26" s="461"/>
      <c r="C26" s="461"/>
      <c r="D26" s="462"/>
      <c r="E26" s="463"/>
      <c r="F26" s="461"/>
      <c r="G26" s="464"/>
      <c r="H26" s="464"/>
      <c r="I26" s="464"/>
      <c r="J26" s="464"/>
      <c r="K26" s="461"/>
    </row>
    <row r="27" spans="2:11">
      <c r="B27" s="461" t="s">
        <v>575</v>
      </c>
      <c r="C27" s="461"/>
      <c r="D27" s="462" t="s">
        <v>45</v>
      </c>
      <c r="E27" s="463"/>
      <c r="F27" s="461"/>
      <c r="G27" s="464">
        <v>1451616400</v>
      </c>
      <c r="H27" s="464"/>
      <c r="I27" s="464"/>
      <c r="J27" s="464"/>
      <c r="K27" s="461" t="s">
        <v>577</v>
      </c>
    </row>
    <row r="28" spans="2:11">
      <c r="B28" s="461" t="str">
        <f>B27</f>
        <v>CAJE 3</v>
      </c>
      <c r="C28" s="461"/>
      <c r="D28" s="462" t="s">
        <v>42</v>
      </c>
      <c r="E28" s="463"/>
      <c r="F28" s="461"/>
      <c r="G28" s="464">
        <v>19756663414</v>
      </c>
      <c r="H28" s="464"/>
      <c r="I28" s="464"/>
      <c r="J28" s="464"/>
      <c r="K28" s="461" t="str">
        <f>K27</f>
        <v>Adj Penj exp dari bulan selanjutnya</v>
      </c>
    </row>
    <row r="29" spans="2:11">
      <c r="B29" s="461" t="str">
        <f>B28</f>
        <v>CAJE 3</v>
      </c>
      <c r="C29" s="461"/>
      <c r="D29" s="462"/>
      <c r="E29" s="463" t="s">
        <v>576</v>
      </c>
      <c r="F29" s="461"/>
      <c r="G29" s="464"/>
      <c r="H29" s="464"/>
      <c r="I29" s="464"/>
      <c r="J29" s="464">
        <f>SUM(G27:G28)</f>
        <v>21208279814</v>
      </c>
      <c r="K29" s="461" t="str">
        <f>K28</f>
        <v>Adj Penj exp dari bulan selanjutnya</v>
      </c>
    </row>
    <row r="30" spans="2:11">
      <c r="B30" s="271"/>
      <c r="C30" s="271"/>
      <c r="D30" s="274"/>
      <c r="E30" s="275"/>
      <c r="F30" s="271"/>
      <c r="G30" s="272"/>
      <c r="H30" s="272"/>
      <c r="I30" s="272"/>
      <c r="J30" s="272"/>
      <c r="K30" s="271"/>
    </row>
    <row r="31" spans="2:11">
      <c r="B31" s="271" t="s">
        <v>581</v>
      </c>
      <c r="C31" s="271"/>
      <c r="D31" s="274" t="s">
        <v>578</v>
      </c>
      <c r="E31" s="275"/>
      <c r="F31" s="271"/>
      <c r="G31" s="272">
        <v>15000000</v>
      </c>
      <c r="H31" s="272"/>
      <c r="I31" s="272"/>
      <c r="J31" s="272"/>
      <c r="K31" s="271" t="s">
        <v>580</v>
      </c>
    </row>
    <row r="32" spans="2:11">
      <c r="B32" s="271" t="str">
        <f>B31</f>
        <v>CAJE 4</v>
      </c>
      <c r="C32" s="271"/>
      <c r="D32" s="274"/>
      <c r="E32" s="275" t="s">
        <v>579</v>
      </c>
      <c r="F32" s="271"/>
      <c r="G32" s="272"/>
      <c r="H32" s="272"/>
      <c r="I32" s="272"/>
      <c r="J32" s="272">
        <f>G31</f>
        <v>15000000</v>
      </c>
      <c r="K32" s="271" t="str">
        <f>K31</f>
        <v>Adj atas Beban Sewa yang sdh di akui di 2023</v>
      </c>
    </row>
    <row r="33" spans="2:11">
      <c r="B33" s="271"/>
      <c r="C33" s="271"/>
      <c r="D33" s="274"/>
      <c r="E33" s="275"/>
      <c r="F33" s="271"/>
      <c r="G33" s="272"/>
      <c r="H33" s="272"/>
      <c r="I33" s="272"/>
      <c r="J33" s="272"/>
      <c r="K33" s="271"/>
    </row>
    <row r="34" spans="2:11">
      <c r="B34" s="271" t="s">
        <v>584</v>
      </c>
      <c r="C34" s="271"/>
      <c r="D34" s="275" t="s">
        <v>582</v>
      </c>
      <c r="E34" s="275"/>
      <c r="F34" s="271"/>
      <c r="G34" s="272">
        <v>4045423564</v>
      </c>
      <c r="H34" s="272"/>
      <c r="I34" s="272"/>
      <c r="J34" s="272"/>
      <c r="K34" s="271" t="s">
        <v>592</v>
      </c>
    </row>
    <row r="35" spans="2:11">
      <c r="B35" s="271" t="str">
        <f>B34</f>
        <v>CAJE 5</v>
      </c>
      <c r="C35" s="271"/>
      <c r="D35" s="274"/>
      <c r="E35" s="275" t="s">
        <v>583</v>
      </c>
      <c r="F35" s="271"/>
      <c r="G35" s="272"/>
      <c r="H35" s="272">
        <f>G34</f>
        <v>4045423564</v>
      </c>
      <c r="I35" s="272"/>
      <c r="J35" s="272"/>
      <c r="K35" s="271" t="str">
        <f>K34</f>
        <v>Adj Menyamakan Utang Piutang Afiliasi IAS-ISP Jun 24</v>
      </c>
    </row>
    <row r="36" spans="2:11">
      <c r="B36" s="271"/>
      <c r="C36" s="271"/>
      <c r="D36" s="274"/>
      <c r="E36" s="275"/>
      <c r="F36" s="271"/>
      <c r="G36" s="272"/>
      <c r="H36" s="272"/>
      <c r="I36" s="272"/>
      <c r="J36" s="272"/>
      <c r="K36" s="271"/>
    </row>
    <row r="37" spans="2:11">
      <c r="B37" s="271" t="s">
        <v>586</v>
      </c>
      <c r="C37" s="271"/>
      <c r="D37" s="274" t="s">
        <v>335</v>
      </c>
      <c r="E37" s="275"/>
      <c r="F37" s="271"/>
      <c r="H37" s="272"/>
      <c r="I37" s="272">
        <v>26704968</v>
      </c>
      <c r="J37" s="272"/>
      <c r="K37" s="271" t="s">
        <v>591</v>
      </c>
    </row>
    <row r="38" spans="2:11">
      <c r="B38" s="271" t="str">
        <f>B37</f>
        <v>CAJE 6</v>
      </c>
      <c r="C38" s="271"/>
      <c r="D38" s="274"/>
      <c r="E38" s="275" t="s">
        <v>585</v>
      </c>
      <c r="F38" s="271"/>
      <c r="G38" s="272"/>
      <c r="H38" s="272">
        <f>I37</f>
        <v>26704968</v>
      </c>
      <c r="I38" s="272"/>
      <c r="J38" s="272"/>
      <c r="K38" s="271" t="str">
        <f>K37</f>
        <v>Adj atas Pemb Pajak PPh 21</v>
      </c>
    </row>
    <row r="39" spans="2:11">
      <c r="B39" s="271"/>
      <c r="C39" s="271"/>
      <c r="D39" s="274"/>
      <c r="E39" s="275"/>
      <c r="F39" s="271"/>
      <c r="G39" s="272"/>
      <c r="H39" s="272"/>
      <c r="I39" s="272"/>
      <c r="J39" s="272"/>
      <c r="K39" s="271"/>
    </row>
    <row r="40" spans="2:11">
      <c r="B40" s="271" t="s">
        <v>587</v>
      </c>
      <c r="C40" s="271"/>
      <c r="D40" s="274" t="s">
        <v>76</v>
      </c>
      <c r="E40" s="275"/>
      <c r="F40" s="271"/>
      <c r="G40" s="272">
        <f>H41</f>
        <v>15505370.24</v>
      </c>
      <c r="H40" s="272"/>
      <c r="I40" s="272"/>
      <c r="J40" s="272"/>
      <c r="K40" s="271" t="s">
        <v>593</v>
      </c>
    </row>
    <row r="41" spans="2:11">
      <c r="B41" s="271" t="str">
        <f>B40</f>
        <v>CAJE 7</v>
      </c>
      <c r="C41" s="271"/>
      <c r="D41" s="274"/>
      <c r="E41" s="275" t="s">
        <v>197</v>
      </c>
      <c r="F41" s="271"/>
      <c r="G41" s="272"/>
      <c r="H41" s="272">
        <v>15505370.24</v>
      </c>
      <c r="I41" s="272"/>
      <c r="J41" s="272"/>
      <c r="K41" s="271" t="str">
        <f>K40</f>
        <v>Adj atas Pemb Pajak PPh 22</v>
      </c>
    </row>
    <row r="42" spans="2:11">
      <c r="B42" s="271"/>
      <c r="C42" s="271"/>
      <c r="D42" s="274"/>
      <c r="E42" s="275"/>
      <c r="F42" s="271"/>
      <c r="G42" s="272"/>
      <c r="H42" s="272"/>
      <c r="I42" s="272"/>
      <c r="J42" s="272"/>
      <c r="K42" s="271"/>
    </row>
    <row r="43" spans="2:11">
      <c r="B43" s="271" t="s">
        <v>588</v>
      </c>
      <c r="C43" s="271"/>
      <c r="D43" s="274" t="s">
        <v>589</v>
      </c>
      <c r="E43" s="275"/>
      <c r="F43" s="271"/>
      <c r="G43" s="272">
        <v>158105967</v>
      </c>
      <c r="H43" s="272"/>
      <c r="I43" s="272"/>
      <c r="J43" s="272"/>
      <c r="K43" s="271" t="s">
        <v>594</v>
      </c>
    </row>
    <row r="44" spans="2:11">
      <c r="B44" s="271" t="str">
        <f>B43</f>
        <v>CAJE 8</v>
      </c>
      <c r="C44" s="271"/>
      <c r="D44" s="274"/>
      <c r="E44" s="275" t="s">
        <v>199</v>
      </c>
      <c r="F44" s="271"/>
      <c r="G44" s="272"/>
      <c r="H44" s="272">
        <f>G43</f>
        <v>158105967</v>
      </c>
      <c r="I44" s="272"/>
      <c r="J44" s="272"/>
      <c r="K44" s="271" t="str">
        <f>K43</f>
        <v>Adj atas Pemb Pajak PPh 25</v>
      </c>
    </row>
    <row r="45" spans="2:11">
      <c r="B45" s="271"/>
      <c r="C45" s="271"/>
      <c r="D45" s="274"/>
      <c r="E45" s="275"/>
      <c r="F45" s="271"/>
      <c r="G45" s="272"/>
      <c r="H45" s="272"/>
      <c r="I45" s="272"/>
      <c r="J45" s="272"/>
      <c r="K45" s="271"/>
    </row>
    <row r="46" spans="2:11">
      <c r="B46" s="271" t="s">
        <v>590</v>
      </c>
      <c r="C46" s="271"/>
      <c r="D46" s="274" t="s">
        <v>198</v>
      </c>
      <c r="E46" s="275"/>
      <c r="F46" s="271"/>
      <c r="G46" s="272">
        <v>1</v>
      </c>
      <c r="H46" s="272"/>
      <c r="I46" s="272"/>
      <c r="J46" s="272"/>
      <c r="K46" s="271" t="s">
        <v>595</v>
      </c>
    </row>
    <row r="47" spans="2:11">
      <c r="B47" s="271" t="str">
        <f>B46</f>
        <v>CAJE 9</v>
      </c>
      <c r="C47" s="271"/>
      <c r="D47" s="274"/>
      <c r="E47" s="275" t="s">
        <v>335</v>
      </c>
      <c r="F47" s="271"/>
      <c r="G47" s="272"/>
      <c r="H47" s="272"/>
      <c r="I47" s="272"/>
      <c r="J47" s="272">
        <v>1</v>
      </c>
      <c r="K47" s="271" t="str">
        <f>K46</f>
        <v>Adj atas Pemb Pajak PPh 23</v>
      </c>
    </row>
    <row r="48" spans="2:11">
      <c r="B48" s="271"/>
      <c r="C48" s="271"/>
      <c r="D48" s="274"/>
      <c r="E48" s="275"/>
      <c r="F48" s="271"/>
      <c r="G48" s="272"/>
      <c r="H48" s="272"/>
      <c r="I48" s="272"/>
      <c r="J48" s="272"/>
      <c r="K48" s="271"/>
    </row>
    <row r="49" spans="2:11">
      <c r="B49" s="271" t="s">
        <v>597</v>
      </c>
      <c r="C49" s="271"/>
      <c r="D49" s="274" t="s">
        <v>596</v>
      </c>
      <c r="E49" s="275"/>
      <c r="F49" s="271"/>
      <c r="G49" s="272">
        <f>SUM(H50:H53)</f>
        <v>90033000</v>
      </c>
      <c r="H49" s="272"/>
      <c r="I49" s="272"/>
      <c r="J49" s="272"/>
      <c r="K49" s="271" t="s">
        <v>600</v>
      </c>
    </row>
    <row r="50" spans="2:11">
      <c r="B50" s="271" t="str">
        <f>B49</f>
        <v>CAJE 10</v>
      </c>
      <c r="C50" s="271"/>
      <c r="D50" s="274"/>
      <c r="E50" s="275" t="s">
        <v>199</v>
      </c>
      <c r="F50" s="271"/>
      <c r="G50" s="272"/>
      <c r="H50" s="272">
        <v>52701989</v>
      </c>
      <c r="I50" s="272"/>
      <c r="J50" s="272"/>
      <c r="K50" s="271" t="str">
        <f>K49</f>
        <v xml:space="preserve">Reklas atas utang Pajak </v>
      </c>
    </row>
    <row r="51" spans="2:11">
      <c r="B51" s="271" t="str">
        <f t="shared" ref="B51:B53" si="4">B50</f>
        <v>CAJE 10</v>
      </c>
      <c r="C51" s="271"/>
      <c r="D51" s="274"/>
      <c r="E51" s="275" t="s">
        <v>585</v>
      </c>
      <c r="F51" s="271"/>
      <c r="G51" s="272"/>
      <c r="H51" s="272">
        <v>3477203</v>
      </c>
      <c r="I51" s="272"/>
      <c r="J51" s="272"/>
      <c r="K51" s="271" t="str">
        <f t="shared" ref="K51:K53" si="5">K50</f>
        <v xml:space="preserve">Reklas atas utang Pajak </v>
      </c>
    </row>
    <row r="52" spans="2:11">
      <c r="B52" s="271" t="str">
        <f t="shared" si="4"/>
        <v>CAJE 10</v>
      </c>
      <c r="C52" s="271"/>
      <c r="D52" s="274"/>
      <c r="E52" s="275" t="s">
        <v>197</v>
      </c>
      <c r="F52" s="271"/>
      <c r="G52" s="272"/>
      <c r="H52" s="272">
        <v>13312446</v>
      </c>
      <c r="I52" s="272"/>
      <c r="J52" s="272"/>
      <c r="K52" s="271" t="str">
        <f t="shared" si="5"/>
        <v xml:space="preserve">Reklas atas utang Pajak </v>
      </c>
    </row>
    <row r="53" spans="2:11">
      <c r="B53" s="271" t="str">
        <f t="shared" si="4"/>
        <v>CAJE 10</v>
      </c>
      <c r="C53" s="271"/>
      <c r="D53" s="274"/>
      <c r="E53" s="275" t="s">
        <v>198</v>
      </c>
      <c r="F53" s="271"/>
      <c r="G53" s="272"/>
      <c r="H53" s="272">
        <v>20541362</v>
      </c>
      <c r="I53" s="272"/>
      <c r="J53" s="272"/>
      <c r="K53" s="271" t="str">
        <f t="shared" si="5"/>
        <v xml:space="preserve">Reklas atas utang Pajak </v>
      </c>
    </row>
    <row r="54" spans="2:11">
      <c r="B54" s="271"/>
      <c r="C54" s="271"/>
      <c r="D54" s="274"/>
      <c r="E54" s="275"/>
      <c r="F54" s="271"/>
      <c r="G54" s="272"/>
      <c r="H54" s="272"/>
      <c r="I54" s="272"/>
      <c r="J54" s="272"/>
      <c r="K54" s="271"/>
    </row>
    <row r="55" spans="2:11">
      <c r="B55" s="271" t="s">
        <v>602</v>
      </c>
      <c r="C55" s="271"/>
      <c r="D55" s="274" t="s">
        <v>596</v>
      </c>
      <c r="E55" s="275"/>
      <c r="F55" s="271"/>
      <c r="G55" s="272">
        <v>19982271</v>
      </c>
      <c r="H55" s="272"/>
      <c r="I55" s="272"/>
      <c r="J55" s="272"/>
      <c r="K55" s="271" t="s">
        <v>603</v>
      </c>
    </row>
    <row r="56" spans="2:11">
      <c r="B56" s="271" t="str">
        <f>B55</f>
        <v>CAJE 11</v>
      </c>
      <c r="C56" s="271"/>
      <c r="D56" s="274"/>
      <c r="E56" s="275" t="s">
        <v>601</v>
      </c>
      <c r="F56" s="271"/>
      <c r="G56" s="272"/>
      <c r="H56" s="272">
        <f>G55</f>
        <v>19982271</v>
      </c>
      <c r="I56" s="272"/>
      <c r="J56" s="272"/>
      <c r="K56" s="271" t="str">
        <f>K55</f>
        <v>Reklas atas utang Gaji</v>
      </c>
    </row>
    <row r="57" spans="2:11">
      <c r="B57" s="271"/>
      <c r="C57" s="271"/>
      <c r="D57" s="274"/>
      <c r="E57" s="275"/>
      <c r="F57" s="271"/>
      <c r="G57" s="272"/>
      <c r="H57" s="272"/>
      <c r="I57" s="272"/>
      <c r="J57" s="272"/>
      <c r="K57" s="271"/>
    </row>
    <row r="58" spans="2:11">
      <c r="B58" s="271" t="s">
        <v>706</v>
      </c>
      <c r="C58" s="271"/>
      <c r="D58" s="274" t="s">
        <v>389</v>
      </c>
      <c r="E58" s="275"/>
      <c r="F58" s="271"/>
      <c r="G58" s="272"/>
      <c r="H58" s="272"/>
      <c r="I58" s="272">
        <f>SUM(H59:H61)</f>
        <v>301219820</v>
      </c>
      <c r="J58" s="272"/>
      <c r="K58" s="271" t="s">
        <v>707</v>
      </c>
    </row>
    <row r="59" spans="2:11">
      <c r="B59" s="271" t="str">
        <f>B58</f>
        <v>CAJE 12</v>
      </c>
      <c r="C59" s="271"/>
      <c r="D59" s="274"/>
      <c r="E59" s="275" t="s">
        <v>76</v>
      </c>
      <c r="F59" s="271"/>
      <c r="G59" s="272"/>
      <c r="H59" s="272">
        <v>15505370.24</v>
      </c>
      <c r="I59" s="272"/>
      <c r="J59" s="272"/>
      <c r="K59" s="271" t="str">
        <f>K58</f>
        <v>Perhitungan Pajak Badan Juni 2024</v>
      </c>
    </row>
    <row r="60" spans="2:11">
      <c r="B60" s="271" t="str">
        <f t="shared" ref="B60:B61" si="6">B59</f>
        <v>CAJE 12</v>
      </c>
      <c r="C60" s="271"/>
      <c r="D60" s="274"/>
      <c r="E60" s="275" t="s">
        <v>75</v>
      </c>
      <c r="F60" s="271"/>
      <c r="G60" s="272"/>
      <c r="H60" s="272">
        <v>158105967</v>
      </c>
      <c r="I60" s="272"/>
      <c r="J60" s="272"/>
      <c r="K60" s="271" t="str">
        <f t="shared" ref="K60:K61" si="7">K59</f>
        <v>Perhitungan Pajak Badan Juni 2024</v>
      </c>
    </row>
    <row r="61" spans="2:11">
      <c r="B61" s="271" t="str">
        <f t="shared" si="6"/>
        <v>CAJE 12</v>
      </c>
      <c r="C61" s="271"/>
      <c r="D61" s="274"/>
      <c r="E61" s="275" t="s">
        <v>201</v>
      </c>
      <c r="F61" s="271"/>
      <c r="G61" s="272"/>
      <c r="H61" s="272">
        <v>127608482.75999999</v>
      </c>
      <c r="I61" s="272"/>
      <c r="J61" s="272"/>
      <c r="K61" s="271" t="str">
        <f t="shared" si="7"/>
        <v>Perhitungan Pajak Badan Juni 2024</v>
      </c>
    </row>
    <row r="62" spans="2:11">
      <c r="B62" s="271"/>
      <c r="C62" s="271"/>
      <c r="D62" s="274"/>
      <c r="E62" s="275"/>
      <c r="F62" s="271"/>
      <c r="G62" s="272"/>
      <c r="H62" s="272"/>
      <c r="I62" s="272"/>
      <c r="J62" s="272"/>
      <c r="K62" s="271"/>
    </row>
    <row r="63" spans="2:11">
      <c r="B63" s="461" t="s">
        <v>709</v>
      </c>
      <c r="C63" s="461"/>
      <c r="D63" s="462" t="s">
        <v>139</v>
      </c>
      <c r="E63" s="463"/>
      <c r="F63" s="461"/>
      <c r="G63" s="464">
        <f>SUM(H64:H65)</f>
        <v>11822413897</v>
      </c>
      <c r="H63" s="464"/>
      <c r="I63" s="464"/>
      <c r="J63" s="464"/>
      <c r="K63" s="461" t="s">
        <v>712</v>
      </c>
    </row>
    <row r="64" spans="2:11">
      <c r="B64" s="461" t="str">
        <f>B63</f>
        <v>CAJE 13</v>
      </c>
      <c r="C64" s="461"/>
      <c r="D64" s="462"/>
      <c r="E64" s="463" t="s">
        <v>710</v>
      </c>
      <c r="F64" s="461"/>
      <c r="G64" s="464"/>
      <c r="H64" s="464">
        <v>10370797497</v>
      </c>
      <c r="I64" s="464"/>
      <c r="J64" s="464"/>
      <c r="K64" s="461" t="str">
        <f>K63</f>
        <v>Adj Piutang ke Hutang Bank</v>
      </c>
    </row>
    <row r="65" spans="2:11">
      <c r="B65" s="461" t="str">
        <f>B64</f>
        <v>CAJE 13</v>
      </c>
      <c r="C65" s="461"/>
      <c r="D65" s="462"/>
      <c r="E65" s="463" t="s">
        <v>711</v>
      </c>
      <c r="F65" s="461"/>
      <c r="G65" s="464"/>
      <c r="H65" s="464">
        <v>1451616400</v>
      </c>
      <c r="I65" s="464"/>
      <c r="J65" s="464"/>
      <c r="K65" s="461" t="str">
        <f>K64</f>
        <v>Adj Piutang ke Hutang Bank</v>
      </c>
    </row>
    <row r="66" spans="2:11">
      <c r="B66" s="271"/>
      <c r="C66" s="271"/>
      <c r="D66" s="274"/>
      <c r="E66" s="275"/>
      <c r="F66" s="271"/>
      <c r="G66" s="272"/>
      <c r="H66" s="272"/>
      <c r="I66" s="272"/>
      <c r="J66" s="272"/>
      <c r="K66" s="271"/>
    </row>
    <row r="67" spans="2:11">
      <c r="B67" s="271"/>
      <c r="C67" s="271"/>
      <c r="D67" s="274"/>
      <c r="E67" s="275"/>
      <c r="F67" s="271"/>
      <c r="G67" s="272"/>
      <c r="H67" s="272"/>
      <c r="I67" s="272"/>
      <c r="J67" s="272"/>
      <c r="K67" s="271"/>
    </row>
    <row r="68" spans="2:11">
      <c r="B68" s="271"/>
      <c r="C68" s="271"/>
      <c r="D68" s="274"/>
      <c r="E68" s="275"/>
      <c r="F68" s="271"/>
      <c r="G68" s="272"/>
      <c r="H68" s="272"/>
      <c r="I68" s="272"/>
      <c r="J68" s="272"/>
      <c r="K68" s="271"/>
    </row>
  </sheetData>
  <mergeCells count="7">
    <mergeCell ref="K3:K4"/>
    <mergeCell ref="D3:E4"/>
    <mergeCell ref="B3:B4"/>
    <mergeCell ref="C3:C4"/>
    <mergeCell ref="F3:F4"/>
    <mergeCell ref="G3:H3"/>
    <mergeCell ref="I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5BBA-ABC2-43B6-8D02-9ADF5B4D61E1}">
  <sheetPr>
    <tabColor theme="9" tint="0.39997558519241921"/>
  </sheetPr>
  <dimension ref="B2:K92"/>
  <sheetViews>
    <sheetView showGridLines="0" workbookViewId="0">
      <pane xSplit="5" ySplit="3" topLeftCell="F62" activePane="bottomRight" state="frozen"/>
      <selection pane="topRight" activeCell="F1" sqref="F1"/>
      <selection pane="bottomLeft" activeCell="A4" sqref="A4"/>
      <selection pane="bottomRight" activeCell="I67" sqref="I67"/>
    </sheetView>
  </sheetViews>
  <sheetFormatPr defaultRowHeight="14.5"/>
  <cols>
    <col min="2" max="2" width="12.26953125" bestFit="1" customWidth="1"/>
    <col min="3" max="3" width="6.1796875" bestFit="1" customWidth="1"/>
    <col min="4" max="4" width="3.54296875" customWidth="1"/>
    <col min="5" max="5" width="34.453125" bestFit="1" customWidth="1"/>
    <col min="6" max="6" width="8" bestFit="1" customWidth="1"/>
    <col min="7" max="10" width="14.26953125" style="268" customWidth="1"/>
    <col min="11" max="11" width="37.54296875" customWidth="1"/>
  </cols>
  <sheetData>
    <row r="2" spans="2:11">
      <c r="B2" s="950" t="s">
        <v>562</v>
      </c>
      <c r="C2" s="950" t="s">
        <v>563</v>
      </c>
      <c r="D2" s="953" t="s">
        <v>564</v>
      </c>
      <c r="E2" s="954"/>
      <c r="F2" s="957" t="s">
        <v>565</v>
      </c>
      <c r="G2" s="959" t="s">
        <v>566</v>
      </c>
      <c r="H2" s="960"/>
      <c r="I2" s="961" t="s">
        <v>567</v>
      </c>
      <c r="J2" s="961"/>
      <c r="K2" s="950" t="s">
        <v>4</v>
      </c>
    </row>
    <row r="3" spans="2:11">
      <c r="B3" s="952"/>
      <c r="C3" s="952"/>
      <c r="D3" s="955"/>
      <c r="E3" s="956"/>
      <c r="F3" s="958"/>
      <c r="G3" s="276" t="s">
        <v>568</v>
      </c>
      <c r="H3" s="276" t="s">
        <v>569</v>
      </c>
      <c r="I3" s="277" t="s">
        <v>568</v>
      </c>
      <c r="J3" s="277" t="s">
        <v>569</v>
      </c>
      <c r="K3" s="951"/>
    </row>
    <row r="4" spans="2:11">
      <c r="B4" s="377"/>
      <c r="C4" s="377"/>
      <c r="D4" s="378"/>
      <c r="E4" s="655"/>
      <c r="F4" s="380"/>
      <c r="G4" s="381"/>
      <c r="H4" s="381"/>
      <c r="I4" s="381"/>
      <c r="J4" s="381"/>
      <c r="K4" s="377"/>
    </row>
    <row r="5" spans="2:11">
      <c r="B5" s="271" t="s">
        <v>571</v>
      </c>
      <c r="C5" s="271"/>
      <c r="D5" s="274" t="s">
        <v>97</v>
      </c>
      <c r="E5" s="275"/>
      <c r="F5" s="271"/>
      <c r="G5" s="272">
        <f>J9</f>
        <v>5999994</v>
      </c>
      <c r="H5" s="272"/>
      <c r="I5" s="272"/>
      <c r="J5" s="272"/>
      <c r="K5" s="271" t="s">
        <v>570</v>
      </c>
    </row>
    <row r="6" spans="2:11">
      <c r="B6" s="271" t="s">
        <v>571</v>
      </c>
      <c r="C6" s="271"/>
      <c r="D6" t="s">
        <v>100</v>
      </c>
      <c r="E6" s="275"/>
      <c r="F6" s="271"/>
      <c r="G6" s="272">
        <f>J10</f>
        <v>133252.22916666599</v>
      </c>
      <c r="H6" s="272"/>
      <c r="I6" s="278"/>
      <c r="J6" s="272"/>
      <c r="K6" s="271" t="str">
        <f>K5</f>
        <v xml:space="preserve">Adj menyamakan nilai Peny </v>
      </c>
    </row>
    <row r="7" spans="2:11">
      <c r="B7" s="271" t="s">
        <v>571</v>
      </c>
      <c r="C7" s="271"/>
      <c r="E7" s="275" t="s">
        <v>358</v>
      </c>
      <c r="F7" s="271"/>
      <c r="G7" s="272"/>
      <c r="H7" s="272"/>
      <c r="J7" s="272">
        <v>8181288.8999999799</v>
      </c>
      <c r="K7" s="271" t="str">
        <f t="shared" ref="K7:K14" si="0">K6</f>
        <v xml:space="preserve">Adj menyamakan nilai Peny </v>
      </c>
    </row>
    <row r="8" spans="2:11">
      <c r="B8" s="271" t="s">
        <v>571</v>
      </c>
      <c r="C8" s="271"/>
      <c r="E8" s="275" t="s">
        <v>102</v>
      </c>
      <c r="F8" s="271"/>
      <c r="G8" s="272"/>
      <c r="H8" s="272">
        <f>I11</f>
        <v>3.75</v>
      </c>
      <c r="J8" s="272"/>
      <c r="K8" s="271" t="str">
        <f t="shared" si="0"/>
        <v xml:space="preserve">Adj menyamakan nilai Peny </v>
      </c>
    </row>
    <row r="9" spans="2:11">
      <c r="B9" s="271" t="str">
        <f>B7</f>
        <v>CAJE 1</v>
      </c>
      <c r="C9" s="271"/>
      <c r="D9" s="274"/>
      <c r="E9" s="275" t="s">
        <v>362</v>
      </c>
      <c r="F9" s="271"/>
      <c r="G9" s="272"/>
      <c r="H9" s="272"/>
      <c r="I9" s="272"/>
      <c r="J9" s="272">
        <v>5999994</v>
      </c>
      <c r="K9" s="271" t="str">
        <f t="shared" si="0"/>
        <v xml:space="preserve">Adj menyamakan nilai Peny </v>
      </c>
    </row>
    <row r="10" spans="2:11">
      <c r="B10" s="271" t="str">
        <f t="shared" ref="B10:B14" si="1">B9</f>
        <v>CAJE 1</v>
      </c>
      <c r="C10" s="271"/>
      <c r="D10" s="274"/>
      <c r="E10" s="275" t="s">
        <v>357</v>
      </c>
      <c r="F10" s="271"/>
      <c r="G10" s="272"/>
      <c r="H10" s="272"/>
      <c r="I10" s="272"/>
      <c r="J10" s="272">
        <v>133252.22916666599</v>
      </c>
      <c r="K10" s="271" t="str">
        <f t="shared" si="0"/>
        <v xml:space="preserve">Adj menyamakan nilai Peny </v>
      </c>
    </row>
    <row r="11" spans="2:11">
      <c r="B11" s="271" t="str">
        <f t="shared" si="1"/>
        <v>CAJE 1</v>
      </c>
      <c r="C11" s="271"/>
      <c r="D11" t="s">
        <v>364</v>
      </c>
      <c r="E11" s="275"/>
      <c r="F11" s="271"/>
      <c r="G11" s="272"/>
      <c r="H11" s="272"/>
      <c r="I11" s="272">
        <v>3.75</v>
      </c>
      <c r="J11" s="272"/>
      <c r="K11" s="271" t="str">
        <f t="shared" si="0"/>
        <v xml:space="preserve">Adj menyamakan nilai Peny </v>
      </c>
    </row>
    <row r="12" spans="2:11">
      <c r="B12" s="271" t="str">
        <f t="shared" si="1"/>
        <v>CAJE 1</v>
      </c>
      <c r="C12" s="271"/>
      <c r="D12" s="274"/>
      <c r="E12" s="275" t="s">
        <v>96</v>
      </c>
      <c r="F12" s="271"/>
      <c r="G12" s="272">
        <f>J7</f>
        <v>8181288.8999999799</v>
      </c>
      <c r="H12" s="272"/>
      <c r="I12" s="272"/>
      <c r="J12" s="272"/>
      <c r="K12" s="271" t="str">
        <f t="shared" si="0"/>
        <v xml:space="preserve">Adj menyamakan nilai Peny </v>
      </c>
    </row>
    <row r="13" spans="2:11">
      <c r="B13" s="271" t="str">
        <f t="shared" si="1"/>
        <v>CAJE 1</v>
      </c>
      <c r="C13" s="271"/>
      <c r="D13" s="274" t="s">
        <v>101</v>
      </c>
      <c r="E13" s="275"/>
      <c r="F13" s="271"/>
      <c r="G13" s="272">
        <f>J14</f>
        <v>0.5625</v>
      </c>
      <c r="H13" s="272"/>
      <c r="I13" s="272"/>
      <c r="J13" s="272"/>
      <c r="K13" s="271" t="str">
        <f t="shared" si="0"/>
        <v xml:space="preserve">Adj menyamakan nilai Peny </v>
      </c>
    </row>
    <row r="14" spans="2:11">
      <c r="B14" s="271" t="str">
        <f t="shared" si="1"/>
        <v>CAJE 1</v>
      </c>
      <c r="C14" s="271"/>
      <c r="D14" s="274"/>
      <c r="E14" s="275" t="s">
        <v>363</v>
      </c>
      <c r="F14" s="271"/>
      <c r="G14" s="272"/>
      <c r="H14" s="272"/>
      <c r="I14" s="272"/>
      <c r="J14" s="272">
        <v>0.5625</v>
      </c>
      <c r="K14" s="271" t="str">
        <f t="shared" si="0"/>
        <v xml:space="preserve">Adj menyamakan nilai Peny </v>
      </c>
    </row>
    <row r="15" spans="2:11">
      <c r="B15" s="271"/>
      <c r="C15" s="271"/>
      <c r="D15" s="274"/>
      <c r="E15" s="275"/>
      <c r="F15" s="271"/>
      <c r="G15" s="272"/>
      <c r="H15" s="272"/>
      <c r="I15" s="272"/>
      <c r="J15" s="272"/>
      <c r="K15" s="271"/>
    </row>
    <row r="16" spans="2:11">
      <c r="B16" s="271" t="s">
        <v>573</v>
      </c>
      <c r="C16" s="271"/>
      <c r="D16" s="274" t="s">
        <v>292</v>
      </c>
      <c r="E16" s="275"/>
      <c r="F16" s="271"/>
      <c r="G16" s="272"/>
      <c r="H16" s="272"/>
      <c r="I16" s="272">
        <f>SUM(J17:J22)</f>
        <v>1696263520</v>
      </c>
      <c r="J16" s="272"/>
      <c r="K16" s="271" t="s">
        <v>574</v>
      </c>
    </row>
    <row r="17" spans="2:11">
      <c r="B17" s="271" t="str">
        <f>B16</f>
        <v>RKLS 1</v>
      </c>
      <c r="C17" s="271"/>
      <c r="D17" s="274"/>
      <c r="E17" s="275" t="s">
        <v>358</v>
      </c>
      <c r="F17" s="271"/>
      <c r="G17" s="272"/>
      <c r="H17" s="272"/>
      <c r="I17" s="272"/>
      <c r="J17" s="272">
        <v>904354058</v>
      </c>
      <c r="K17" s="271" t="str">
        <f>K16</f>
        <v>Reklas Beban Peny GA ke COGS</v>
      </c>
    </row>
    <row r="18" spans="2:11">
      <c r="B18" s="271" t="str">
        <f t="shared" ref="B18:B22" si="2">B17</f>
        <v>RKLS 1</v>
      </c>
      <c r="C18" s="271"/>
      <c r="D18" s="274"/>
      <c r="E18" s="275" t="s">
        <v>362</v>
      </c>
      <c r="F18" s="271"/>
      <c r="G18" s="272"/>
      <c r="H18" s="272"/>
      <c r="I18" s="272"/>
      <c r="J18" s="272">
        <v>584292354</v>
      </c>
      <c r="K18" s="271" t="str">
        <f t="shared" ref="K18:K22" si="3">K17</f>
        <v>Reklas Beban Peny GA ke COGS</v>
      </c>
    </row>
    <row r="19" spans="2:11">
      <c r="B19" s="271" t="str">
        <f t="shared" si="2"/>
        <v>RKLS 1</v>
      </c>
      <c r="C19" s="271"/>
      <c r="D19" s="274"/>
      <c r="E19" s="275" t="s">
        <v>361</v>
      </c>
      <c r="F19" s="271"/>
      <c r="G19" s="272"/>
      <c r="H19" s="272"/>
      <c r="I19" s="272"/>
      <c r="J19" s="272">
        <v>134200406</v>
      </c>
      <c r="K19" s="271" t="str">
        <f t="shared" si="3"/>
        <v>Reklas Beban Peny GA ke COGS</v>
      </c>
    </row>
    <row r="20" spans="2:11">
      <c r="B20" s="271" t="str">
        <f t="shared" si="2"/>
        <v>RKLS 1</v>
      </c>
      <c r="C20" s="271"/>
      <c r="D20" s="274"/>
      <c r="E20" s="275" t="s">
        <v>363</v>
      </c>
      <c r="F20" s="271"/>
      <c r="G20" s="272"/>
      <c r="H20" s="272"/>
      <c r="I20" s="272"/>
      <c r="J20" s="272">
        <v>33090083</v>
      </c>
      <c r="K20" s="271" t="str">
        <f t="shared" si="3"/>
        <v>Reklas Beban Peny GA ke COGS</v>
      </c>
    </row>
    <row r="21" spans="2:11">
      <c r="B21" s="271" t="str">
        <f t="shared" si="2"/>
        <v>RKLS 1</v>
      </c>
      <c r="C21" s="271"/>
      <c r="D21" s="274"/>
      <c r="E21" s="275" t="s">
        <v>364</v>
      </c>
      <c r="F21" s="271"/>
      <c r="G21" s="272"/>
      <c r="H21" s="272"/>
      <c r="I21" s="272"/>
      <c r="J21" s="272">
        <v>19514119</v>
      </c>
      <c r="K21" s="271" t="str">
        <f t="shared" si="3"/>
        <v>Reklas Beban Peny GA ke COGS</v>
      </c>
    </row>
    <row r="22" spans="2:11">
      <c r="B22" s="271" t="str">
        <f t="shared" si="2"/>
        <v>RKLS 1</v>
      </c>
      <c r="C22" s="271"/>
      <c r="D22" s="274"/>
      <c r="E22" s="275" t="s">
        <v>359</v>
      </c>
      <c r="F22" s="271"/>
      <c r="G22" s="272"/>
      <c r="H22" s="272"/>
      <c r="I22" s="272"/>
      <c r="J22" s="272">
        <v>20812500</v>
      </c>
      <c r="K22" s="271" t="str">
        <f t="shared" si="3"/>
        <v>Reklas Beban Peny GA ke COGS</v>
      </c>
    </row>
    <row r="23" spans="2:11">
      <c r="B23" s="271"/>
      <c r="C23" s="271"/>
      <c r="D23" s="274"/>
      <c r="E23" s="275"/>
      <c r="F23" s="271"/>
      <c r="G23" s="272"/>
      <c r="H23" s="272"/>
      <c r="I23" s="272"/>
      <c r="J23" s="272"/>
      <c r="K23" s="271"/>
    </row>
    <row r="24" spans="2:11">
      <c r="B24" s="271" t="s">
        <v>572</v>
      </c>
      <c r="C24" s="271"/>
      <c r="D24" s="275" t="s">
        <v>582</v>
      </c>
      <c r="E24" s="275"/>
      <c r="F24" s="271"/>
      <c r="G24" s="272">
        <v>8985620290.9300003</v>
      </c>
      <c r="H24" s="272"/>
      <c r="I24" s="272"/>
      <c r="J24" s="272"/>
      <c r="K24" s="271" t="s">
        <v>664</v>
      </c>
    </row>
    <row r="25" spans="2:11">
      <c r="B25" s="271" t="str">
        <f>B24</f>
        <v>CAJE 2</v>
      </c>
      <c r="C25" s="271"/>
      <c r="D25" s="274"/>
      <c r="E25" s="275" t="s">
        <v>583</v>
      </c>
      <c r="F25" s="271"/>
      <c r="G25" s="272"/>
      <c r="H25" s="272">
        <f>G24</f>
        <v>8985620290.9300003</v>
      </c>
      <c r="I25" s="272"/>
      <c r="J25" s="272"/>
      <c r="K25" s="271" t="str">
        <f>K24</f>
        <v>Adj Menyamakan Utang Piutang Afiliasi IAS-ISP Jun 23</v>
      </c>
    </row>
    <row r="26" spans="2:11">
      <c r="B26" s="271"/>
      <c r="C26" s="271"/>
      <c r="D26" s="274"/>
      <c r="E26" s="275"/>
      <c r="F26" s="271"/>
      <c r="G26" s="272"/>
      <c r="H26" s="272"/>
      <c r="I26" s="272"/>
      <c r="J26" s="272"/>
      <c r="K26" s="271"/>
    </row>
    <row r="27" spans="2:11">
      <c r="B27" s="271" t="s">
        <v>575</v>
      </c>
      <c r="C27" s="271"/>
      <c r="D27" s="274" t="s">
        <v>335</v>
      </c>
      <c r="E27" s="275"/>
      <c r="F27" s="271"/>
      <c r="G27" s="272"/>
      <c r="H27" s="272"/>
      <c r="I27" s="272">
        <f>SUM(H28:H29)-G29</f>
        <v>14980428</v>
      </c>
      <c r="J27" s="272"/>
      <c r="K27" s="271" t="s">
        <v>666</v>
      </c>
    </row>
    <row r="28" spans="2:11">
      <c r="B28" s="271" t="str">
        <f>B27</f>
        <v>CAJE 3</v>
      </c>
      <c r="C28" s="271"/>
      <c r="D28" s="274"/>
      <c r="E28" s="275" t="s">
        <v>585</v>
      </c>
      <c r="F28" s="271"/>
      <c r="G28" s="272"/>
      <c r="H28" s="272">
        <v>14980451</v>
      </c>
      <c r="I28" s="272"/>
      <c r="J28" s="272"/>
      <c r="K28" s="271" t="str">
        <f>K27</f>
        <v>Adj atas Pemb Pajak PPh 21 &amp; 23</v>
      </c>
    </row>
    <row r="29" spans="2:11">
      <c r="B29" s="271" t="s">
        <v>575</v>
      </c>
      <c r="C29" s="271"/>
      <c r="D29" s="274"/>
      <c r="E29" s="275" t="s">
        <v>665</v>
      </c>
      <c r="F29" s="271"/>
      <c r="G29" s="272">
        <v>23</v>
      </c>
      <c r="H29" s="272"/>
      <c r="I29" s="272"/>
      <c r="J29" s="272"/>
      <c r="K29" s="271" t="str">
        <f>K28</f>
        <v>Adj atas Pemb Pajak PPh 21 &amp; 23</v>
      </c>
    </row>
    <row r="30" spans="2:11">
      <c r="B30" s="271"/>
      <c r="C30" s="271"/>
      <c r="D30" s="274"/>
      <c r="E30" s="275"/>
      <c r="F30" s="271"/>
      <c r="G30" s="272"/>
      <c r="H30" s="272"/>
      <c r="I30" s="272"/>
      <c r="J30" s="272"/>
      <c r="K30" s="271"/>
    </row>
    <row r="31" spans="2:11">
      <c r="B31" s="271" t="s">
        <v>581</v>
      </c>
      <c r="C31" s="271"/>
      <c r="D31" s="275" t="s">
        <v>332</v>
      </c>
      <c r="E31" s="275"/>
      <c r="F31" s="271"/>
      <c r="G31" s="272"/>
      <c r="H31" s="272"/>
      <c r="I31" s="272">
        <v>3620000</v>
      </c>
      <c r="J31" s="272"/>
      <c r="K31" s="271" t="s">
        <v>667</v>
      </c>
    </row>
    <row r="32" spans="2:11">
      <c r="B32" s="271" t="str">
        <f>B31</f>
        <v>CAJE 4</v>
      </c>
      <c r="C32" s="271"/>
      <c r="D32" s="274" t="s">
        <v>343</v>
      </c>
      <c r="E32" s="275"/>
      <c r="F32" s="271"/>
      <c r="G32" s="272"/>
      <c r="H32" s="272"/>
      <c r="I32" s="272">
        <v>21493790</v>
      </c>
      <c r="J32" s="272"/>
      <c r="K32" s="271" t="str">
        <f>K31</f>
        <v>Adj angka minus</v>
      </c>
    </row>
    <row r="33" spans="2:11">
      <c r="B33" s="271" t="str">
        <f>B32</f>
        <v>CAJE 4</v>
      </c>
      <c r="C33" s="271"/>
      <c r="D33" s="274"/>
      <c r="E33" s="275" t="s">
        <v>596</v>
      </c>
      <c r="F33" s="271"/>
      <c r="G33" s="272"/>
      <c r="H33" s="272">
        <f>SUM(I31:I32)</f>
        <v>25113790</v>
      </c>
      <c r="I33" s="272"/>
      <c r="J33" s="272"/>
      <c r="K33" s="271" t="str">
        <f>K32</f>
        <v>Adj angka minus</v>
      </c>
    </row>
    <row r="34" spans="2:11">
      <c r="B34" s="271"/>
      <c r="C34" s="271"/>
      <c r="D34" s="274"/>
      <c r="E34" s="275"/>
      <c r="F34" s="271"/>
      <c r="G34" s="272"/>
      <c r="H34" s="272"/>
      <c r="I34" s="272"/>
      <c r="J34" s="272"/>
      <c r="K34" s="271"/>
    </row>
    <row r="35" spans="2:11">
      <c r="B35" s="407" t="s">
        <v>584</v>
      </c>
      <c r="C35" s="407"/>
      <c r="D35" s="408" t="s">
        <v>596</v>
      </c>
      <c r="E35" s="409"/>
      <c r="F35" s="407"/>
      <c r="G35" s="411">
        <f>SUM(H36:H38)</f>
        <v>47192104</v>
      </c>
      <c r="H35" s="411"/>
      <c r="I35" s="411"/>
      <c r="J35" s="411"/>
      <c r="K35" s="407" t="s">
        <v>600</v>
      </c>
    </row>
    <row r="36" spans="2:11">
      <c r="B36" s="407" t="str">
        <f>B35</f>
        <v>CAJE 5</v>
      </c>
      <c r="C36" s="407"/>
      <c r="D36" s="408"/>
      <c r="E36" s="409" t="s">
        <v>585</v>
      </c>
      <c r="F36" s="407"/>
      <c r="G36" s="411"/>
      <c r="H36" s="411">
        <v>2479613</v>
      </c>
      <c r="I36" s="411"/>
      <c r="J36" s="411"/>
      <c r="K36" s="407" t="str">
        <f>K35</f>
        <v xml:space="preserve">Reklas atas utang Pajak </v>
      </c>
    </row>
    <row r="37" spans="2:11">
      <c r="B37" s="271" t="str">
        <f t="shared" ref="B37:B38" si="4">B36</f>
        <v>CAJE 5</v>
      </c>
      <c r="C37" s="271"/>
      <c r="D37" s="274"/>
      <c r="E37" s="275" t="s">
        <v>197</v>
      </c>
      <c r="F37" s="271"/>
      <c r="G37" s="272"/>
      <c r="H37" s="272">
        <v>30384164</v>
      </c>
      <c r="I37" s="272"/>
      <c r="J37" s="272"/>
      <c r="K37" s="271" t="str">
        <f>K36</f>
        <v xml:space="preserve">Reklas atas utang Pajak </v>
      </c>
    </row>
    <row r="38" spans="2:11">
      <c r="B38" s="271" t="str">
        <f t="shared" si="4"/>
        <v>CAJE 5</v>
      </c>
      <c r="C38" s="271"/>
      <c r="D38" s="274"/>
      <c r="E38" s="275" t="s">
        <v>198</v>
      </c>
      <c r="F38" s="271"/>
      <c r="G38" s="272"/>
      <c r="H38" s="272">
        <v>14328327</v>
      </c>
      <c r="I38" s="272"/>
      <c r="J38" s="272"/>
      <c r="K38" s="271" t="str">
        <f>K37</f>
        <v xml:space="preserve">Reklas atas utang Pajak </v>
      </c>
    </row>
    <row r="39" spans="2:11">
      <c r="B39" s="271"/>
      <c r="C39" s="271"/>
      <c r="D39" s="274"/>
      <c r="E39" s="275"/>
      <c r="F39" s="271"/>
      <c r="G39" s="272"/>
      <c r="H39" s="272"/>
      <c r="I39" s="272"/>
      <c r="J39" s="272"/>
      <c r="K39" s="271"/>
    </row>
    <row r="40" spans="2:11">
      <c r="B40" s="407" t="s">
        <v>587</v>
      </c>
      <c r="C40" s="407"/>
      <c r="D40" s="408" t="s">
        <v>106</v>
      </c>
      <c r="E40" s="409"/>
      <c r="F40" s="407"/>
      <c r="G40" s="411">
        <v>168752996</v>
      </c>
      <c r="H40" s="411"/>
      <c r="I40" s="411"/>
      <c r="J40" s="411"/>
      <c r="K40" s="407"/>
    </row>
    <row r="41" spans="2:11">
      <c r="B41" s="407" t="str">
        <f>B40</f>
        <v>CAJE 7</v>
      </c>
      <c r="C41" s="407"/>
      <c r="D41" s="408" t="s">
        <v>107</v>
      </c>
      <c r="E41" s="409"/>
      <c r="F41" s="407"/>
      <c r="G41" s="411">
        <v>192000000</v>
      </c>
      <c r="H41" s="411"/>
      <c r="I41" s="411"/>
      <c r="J41" s="411"/>
      <c r="K41" s="407"/>
    </row>
    <row r="42" spans="2:11">
      <c r="B42" s="407" t="str">
        <f>B41</f>
        <v>CAJE 7</v>
      </c>
      <c r="C42" s="407"/>
      <c r="D42" s="408"/>
      <c r="E42" s="409" t="s">
        <v>34</v>
      </c>
      <c r="F42" s="407"/>
      <c r="G42" s="411"/>
      <c r="H42" s="411">
        <f>SUM(G40:G41)</f>
        <v>360752996</v>
      </c>
      <c r="I42" s="411"/>
      <c r="J42" s="411"/>
      <c r="K42" s="407"/>
    </row>
    <row r="43" spans="2:11">
      <c r="B43" s="407"/>
      <c r="C43" s="407"/>
      <c r="D43" s="412" t="s">
        <v>668</v>
      </c>
      <c r="E43" s="409"/>
      <c r="F43" s="407"/>
      <c r="G43" s="411"/>
      <c r="H43" s="411"/>
      <c r="I43" s="411"/>
      <c r="J43" s="411"/>
      <c r="K43" s="407"/>
    </row>
    <row r="44" spans="2:11">
      <c r="B44" s="271"/>
      <c r="C44" s="271"/>
      <c r="D44" s="274"/>
      <c r="E44" s="275"/>
      <c r="F44" s="271"/>
      <c r="G44" s="272"/>
      <c r="H44" s="272"/>
      <c r="I44" s="272"/>
      <c r="J44" s="272"/>
      <c r="K44" s="271"/>
    </row>
    <row r="45" spans="2:11">
      <c r="B45" s="271" t="s">
        <v>969</v>
      </c>
      <c r="C45" s="271"/>
      <c r="D45" s="274" t="s">
        <v>971</v>
      </c>
      <c r="E45" s="275"/>
      <c r="F45" s="271"/>
      <c r="G45" s="272">
        <v>200000000.44868201</v>
      </c>
      <c r="H45" s="272"/>
      <c r="I45" s="272"/>
      <c r="J45" s="272"/>
      <c r="K45" s="271" t="s">
        <v>970</v>
      </c>
    </row>
    <row r="46" spans="2:11">
      <c r="B46" s="271" t="str">
        <f>B45</f>
        <v>RLKS 2</v>
      </c>
      <c r="C46" s="271"/>
      <c r="E46" t="s">
        <v>55</v>
      </c>
      <c r="F46" s="275"/>
      <c r="G46" s="272"/>
      <c r="H46" s="272">
        <f>G45</f>
        <v>200000000.44868201</v>
      </c>
      <c r="I46" s="272"/>
      <c r="J46" s="272"/>
      <c r="K46" s="271" t="str">
        <f>K45</f>
        <v>Reklas Atas Piutang Irian Marine</v>
      </c>
    </row>
    <row r="47" spans="2:11">
      <c r="B47" s="271"/>
      <c r="C47" s="271"/>
      <c r="F47" s="275"/>
      <c r="G47" s="272"/>
      <c r="H47" s="272"/>
      <c r="I47" s="272"/>
      <c r="J47" s="272"/>
      <c r="K47" s="271"/>
    </row>
    <row r="48" spans="2:11">
      <c r="B48" s="271"/>
      <c r="C48" s="271"/>
      <c r="F48" s="275"/>
      <c r="G48" s="272"/>
      <c r="H48" s="272"/>
      <c r="I48" s="272"/>
      <c r="J48" s="272"/>
      <c r="K48" s="271"/>
    </row>
    <row r="49" spans="2:11">
      <c r="B49" s="271" t="s">
        <v>972</v>
      </c>
      <c r="C49" s="271"/>
      <c r="D49" s="275" t="s">
        <v>98</v>
      </c>
      <c r="F49" s="275"/>
      <c r="G49" s="272">
        <v>18281250</v>
      </c>
      <c r="H49" s="272"/>
      <c r="I49" s="272"/>
      <c r="J49" s="272"/>
      <c r="K49" s="271" t="s">
        <v>973</v>
      </c>
    </row>
    <row r="50" spans="2:11">
      <c r="B50" s="271" t="str">
        <f>B49</f>
        <v>RLKS 3</v>
      </c>
      <c r="C50" s="271"/>
      <c r="D50" s="274"/>
      <c r="E50" s="275" t="s">
        <v>99</v>
      </c>
      <c r="F50" s="271"/>
      <c r="G50" s="272"/>
      <c r="H50" s="272">
        <f>G49</f>
        <v>18281250</v>
      </c>
      <c r="I50" s="272"/>
      <c r="J50" s="272"/>
      <c r="K50" s="271" t="str">
        <f>K49</f>
        <v xml:space="preserve">Reklas akm penyusutan Aset </v>
      </c>
    </row>
    <row r="51" spans="2:11">
      <c r="B51" s="271"/>
      <c r="C51" s="271"/>
      <c r="D51" s="274"/>
      <c r="E51" s="275"/>
      <c r="F51" s="271"/>
      <c r="G51" s="272"/>
      <c r="H51" s="272"/>
      <c r="I51" s="272"/>
      <c r="J51" s="272"/>
      <c r="K51" s="271"/>
    </row>
    <row r="52" spans="2:11">
      <c r="B52" s="271" t="s">
        <v>588</v>
      </c>
      <c r="C52" s="271"/>
      <c r="D52" s="274" t="s">
        <v>341</v>
      </c>
      <c r="E52" s="275"/>
      <c r="F52" s="271"/>
      <c r="G52" s="272">
        <f>H53</f>
        <v>2</v>
      </c>
      <c r="H52" s="272"/>
      <c r="I52" s="272"/>
      <c r="J52" s="272"/>
      <c r="K52" s="271" t="s">
        <v>974</v>
      </c>
    </row>
    <row r="53" spans="2:11">
      <c r="B53" s="271" t="str">
        <f>B52</f>
        <v>CAJE 8</v>
      </c>
      <c r="C53" s="271"/>
      <c r="D53" s="274"/>
      <c r="E53" s="275" t="s">
        <v>98</v>
      </c>
      <c r="F53" s="271"/>
      <c r="G53" s="272"/>
      <c r="H53" s="272">
        <v>2</v>
      </c>
      <c r="I53" s="272"/>
      <c r="J53" s="272"/>
      <c r="K53" s="271" t="str">
        <f>K52</f>
        <v>Adj Akm Penyusutan</v>
      </c>
    </row>
    <row r="54" spans="2:11">
      <c r="B54" s="271"/>
      <c r="C54" s="271"/>
      <c r="D54" s="274"/>
      <c r="E54" s="275"/>
      <c r="F54" s="271"/>
      <c r="G54" s="272"/>
      <c r="H54" s="272"/>
      <c r="I54" s="272"/>
      <c r="J54" s="272"/>
      <c r="K54" s="271"/>
    </row>
    <row r="55" spans="2:11">
      <c r="B55" s="271" t="s">
        <v>590</v>
      </c>
      <c r="C55" s="271"/>
      <c r="D55" s="274" t="s">
        <v>76</v>
      </c>
      <c r="E55" s="275"/>
      <c r="F55" s="271"/>
      <c r="G55" s="272">
        <f>H56</f>
        <v>25660083.23</v>
      </c>
      <c r="H55" s="272"/>
      <c r="I55" s="272"/>
      <c r="J55" s="272"/>
      <c r="K55" s="271" t="s">
        <v>593</v>
      </c>
    </row>
    <row r="56" spans="2:11">
      <c r="B56" s="271" t="s">
        <v>590</v>
      </c>
      <c r="C56" s="271"/>
      <c r="D56" s="274"/>
      <c r="E56" s="275" t="s">
        <v>197</v>
      </c>
      <c r="F56" s="271"/>
      <c r="G56" s="272"/>
      <c r="H56" s="272">
        <v>25660083.23</v>
      </c>
      <c r="I56" s="272"/>
      <c r="J56" s="272"/>
      <c r="K56" s="271" t="s">
        <v>593</v>
      </c>
    </row>
    <row r="57" spans="2:11">
      <c r="B57" s="271"/>
      <c r="C57" s="271"/>
      <c r="D57" s="274"/>
      <c r="E57" s="275"/>
      <c r="F57" s="271"/>
      <c r="G57" s="272"/>
      <c r="H57" s="272"/>
      <c r="I57" s="272"/>
      <c r="J57" s="272"/>
      <c r="K57" s="271"/>
    </row>
    <row r="58" spans="2:11">
      <c r="B58" s="271" t="s">
        <v>597</v>
      </c>
      <c r="C58" s="271"/>
      <c r="D58" s="274" t="s">
        <v>75</v>
      </c>
      <c r="E58" s="275"/>
      <c r="F58" s="271"/>
      <c r="G58" s="272">
        <v>41264112</v>
      </c>
      <c r="H58" s="272"/>
      <c r="I58" s="272"/>
      <c r="J58" s="272"/>
      <c r="K58" s="271" t="s">
        <v>594</v>
      </c>
    </row>
    <row r="59" spans="2:11">
      <c r="B59" s="271" t="s">
        <v>597</v>
      </c>
      <c r="C59" s="271"/>
      <c r="D59" s="274"/>
      <c r="E59" s="275" t="s">
        <v>199</v>
      </c>
      <c r="F59" s="271"/>
      <c r="G59" s="272"/>
      <c r="H59" s="272">
        <f>G58</f>
        <v>41264112</v>
      </c>
      <c r="I59" s="272"/>
      <c r="J59" s="272"/>
      <c r="K59" s="271" t="str">
        <f>K58</f>
        <v>Adj atas Pemb Pajak PPh 25</v>
      </c>
    </row>
    <row r="60" spans="2:11">
      <c r="B60" s="271"/>
      <c r="C60" s="271"/>
      <c r="E60" s="275"/>
      <c r="F60" s="271"/>
      <c r="G60" s="272"/>
      <c r="H60" s="272"/>
      <c r="I60" s="272"/>
      <c r="J60" s="272"/>
      <c r="K60" s="271"/>
    </row>
    <row r="61" spans="2:11">
      <c r="B61" s="271" t="s">
        <v>602</v>
      </c>
      <c r="C61" s="271"/>
      <c r="D61" s="275" t="s">
        <v>978</v>
      </c>
      <c r="E61" s="275"/>
      <c r="F61" s="271"/>
      <c r="G61" s="272"/>
      <c r="H61" s="272"/>
      <c r="I61" s="272">
        <v>11038330</v>
      </c>
      <c r="J61" s="272"/>
      <c r="K61" s="271" t="s">
        <v>980</v>
      </c>
    </row>
    <row r="62" spans="2:11">
      <c r="B62" s="271" t="str">
        <f>B61</f>
        <v>CAJE 11</v>
      </c>
      <c r="C62" s="271"/>
      <c r="D62" s="274"/>
      <c r="E62" s="275" t="s">
        <v>979</v>
      </c>
      <c r="F62" s="271"/>
      <c r="G62" s="272"/>
      <c r="H62" s="272"/>
      <c r="I62" s="272"/>
      <c r="J62" s="272">
        <f>I61</f>
        <v>11038330</v>
      </c>
      <c r="K62" s="271" t="str">
        <f>K61</f>
        <v>Adj Penjualan Lainnya</v>
      </c>
    </row>
    <row r="63" spans="2:11">
      <c r="B63" s="271"/>
      <c r="C63" s="271"/>
      <c r="D63" s="274"/>
      <c r="E63" s="275"/>
      <c r="F63" s="271"/>
      <c r="G63" s="272"/>
      <c r="H63" s="272"/>
      <c r="I63" s="272"/>
      <c r="J63" s="272"/>
      <c r="K63" s="271"/>
    </row>
    <row r="64" spans="2:11">
      <c r="B64" s="271" t="s">
        <v>706</v>
      </c>
      <c r="C64" s="271"/>
      <c r="D64" s="274" t="s">
        <v>50</v>
      </c>
      <c r="E64" s="275"/>
      <c r="F64" s="271"/>
      <c r="G64" s="272">
        <v>15262058</v>
      </c>
      <c r="H64" s="272"/>
      <c r="I64" s="272"/>
      <c r="J64" s="272"/>
      <c r="K64" s="271" t="s">
        <v>981</v>
      </c>
    </row>
    <row r="65" spans="2:11">
      <c r="B65" s="271" t="str">
        <f>B64</f>
        <v>CAJE 12</v>
      </c>
      <c r="C65" s="271"/>
      <c r="D65" s="274"/>
      <c r="E65" s="275" t="s">
        <v>183</v>
      </c>
      <c r="F65" s="271"/>
      <c r="G65" s="272"/>
      <c r="H65" s="272">
        <f>G64</f>
        <v>15262058</v>
      </c>
      <c r="I65" s="272"/>
      <c r="J65" s="272"/>
      <c r="K65" s="271" t="str">
        <f>K64</f>
        <v>Adj atas Utang Usaha</v>
      </c>
    </row>
    <row r="66" spans="2:11">
      <c r="B66" s="271"/>
      <c r="C66" s="271"/>
      <c r="D66" s="274"/>
      <c r="E66" s="275"/>
      <c r="F66" s="271"/>
      <c r="G66" s="272"/>
      <c r="H66" s="272"/>
      <c r="I66" s="272"/>
      <c r="J66" s="272"/>
      <c r="K66" s="271"/>
    </row>
    <row r="67" spans="2:11">
      <c r="B67" s="271" t="s">
        <v>709</v>
      </c>
      <c r="C67" s="271"/>
      <c r="D67" s="274" t="s">
        <v>389</v>
      </c>
      <c r="E67" s="275"/>
      <c r="F67" s="271"/>
      <c r="G67" s="272"/>
      <c r="H67" s="272"/>
      <c r="I67" s="272">
        <f>SUM(H68:H70)</f>
        <v>299497000</v>
      </c>
      <c r="J67" s="272"/>
      <c r="K67" s="271" t="s">
        <v>982</v>
      </c>
    </row>
    <row r="68" spans="2:11">
      <c r="B68" s="271" t="str">
        <f>B67</f>
        <v>CAJE 13</v>
      </c>
      <c r="C68" s="271"/>
      <c r="D68" s="274"/>
      <c r="E68" s="275" t="s">
        <v>75</v>
      </c>
      <c r="F68" s="271"/>
      <c r="G68" s="272"/>
      <c r="H68" s="272">
        <v>41264112</v>
      </c>
      <c r="I68" s="272"/>
      <c r="J68" s="272"/>
      <c r="K68" s="271" t="str">
        <f>K67</f>
        <v>Perhitungan Pajak Badan Sept 2023</v>
      </c>
    </row>
    <row r="69" spans="2:11">
      <c r="B69" s="271" t="str">
        <f t="shared" ref="B69:B70" si="5">B68</f>
        <v>CAJE 13</v>
      </c>
      <c r="C69" s="271"/>
      <c r="D69" s="274"/>
      <c r="E69" s="275" t="s">
        <v>76</v>
      </c>
      <c r="F69" s="271"/>
      <c r="G69" s="272"/>
      <c r="H69" s="272">
        <v>25660083</v>
      </c>
      <c r="I69" s="272"/>
      <c r="J69" s="272"/>
      <c r="K69" s="271" t="str">
        <f t="shared" ref="K69:K70" si="6">K68</f>
        <v>Perhitungan Pajak Badan Sept 2023</v>
      </c>
    </row>
    <row r="70" spans="2:11">
      <c r="B70" s="271" t="str">
        <f t="shared" si="5"/>
        <v>CAJE 13</v>
      </c>
      <c r="C70" s="271"/>
      <c r="D70" s="274"/>
      <c r="E70" s="275" t="s">
        <v>201</v>
      </c>
      <c r="F70" s="271"/>
      <c r="G70" s="272"/>
      <c r="H70" s="272">
        <f>'SPT Badan'!F48</f>
        <v>232572805</v>
      </c>
      <c r="I70" s="272"/>
      <c r="J70" s="272"/>
      <c r="K70" s="271" t="str">
        <f t="shared" si="6"/>
        <v>Perhitungan Pajak Badan Sept 2023</v>
      </c>
    </row>
    <row r="71" spans="2:11">
      <c r="B71" s="271"/>
      <c r="C71" s="271"/>
      <c r="D71" s="274"/>
      <c r="E71" s="275"/>
      <c r="F71" s="271"/>
      <c r="G71" s="272"/>
      <c r="H71" s="272"/>
      <c r="I71" s="272"/>
      <c r="J71" s="272"/>
      <c r="K71" s="271"/>
    </row>
    <row r="72" spans="2:11">
      <c r="B72" s="271" t="s">
        <v>1007</v>
      </c>
      <c r="C72" s="271"/>
      <c r="D72" s="274" t="s">
        <v>346</v>
      </c>
      <c r="E72" s="275"/>
      <c r="F72" s="271"/>
      <c r="G72" s="272"/>
      <c r="H72" s="272"/>
      <c r="I72" s="272">
        <v>81714215.25</v>
      </c>
      <c r="J72" s="272"/>
      <c r="K72" s="271"/>
    </row>
    <row r="73" spans="2:11">
      <c r="B73" s="271" t="str">
        <f>B72</f>
        <v>CAJE 14</v>
      </c>
      <c r="C73" s="271"/>
      <c r="D73" s="274"/>
      <c r="E73" s="275" t="s">
        <v>221</v>
      </c>
      <c r="F73" s="271"/>
      <c r="G73" s="272"/>
      <c r="H73" s="272">
        <f>I72</f>
        <v>81714215.25</v>
      </c>
      <c r="I73" s="272"/>
      <c r="J73" s="272"/>
      <c r="K73" s="271"/>
    </row>
    <row r="74" spans="2:11">
      <c r="B74" s="271"/>
      <c r="C74" s="271"/>
      <c r="D74" s="274"/>
      <c r="E74" s="275"/>
      <c r="F74" s="271"/>
      <c r="G74" s="272"/>
      <c r="H74" s="272"/>
      <c r="I74" s="272"/>
      <c r="J74" s="272"/>
      <c r="K74" s="271"/>
    </row>
    <row r="75" spans="2:11">
      <c r="B75" s="271"/>
      <c r="C75" s="271"/>
      <c r="D75" s="274"/>
      <c r="E75" s="275"/>
      <c r="F75" s="271"/>
      <c r="G75" s="272"/>
      <c r="H75" s="272"/>
      <c r="I75" s="272"/>
      <c r="J75" s="272"/>
      <c r="K75" s="271"/>
    </row>
    <row r="76" spans="2:11">
      <c r="B76" s="271"/>
      <c r="C76" s="271"/>
      <c r="D76" s="274"/>
      <c r="E76" s="275"/>
      <c r="F76" s="271"/>
      <c r="G76" s="272"/>
      <c r="H76" s="272"/>
      <c r="I76" s="272"/>
      <c r="J76" s="272"/>
      <c r="K76" s="271"/>
    </row>
    <row r="77" spans="2:11">
      <c r="B77" s="271"/>
      <c r="C77" s="271"/>
      <c r="D77" s="274"/>
      <c r="E77" s="275"/>
      <c r="F77" s="271"/>
      <c r="G77" s="272"/>
      <c r="H77" s="272"/>
      <c r="I77" s="272"/>
      <c r="J77" s="272"/>
      <c r="K77" s="271"/>
    </row>
    <row r="78" spans="2:11">
      <c r="B78" s="271"/>
      <c r="C78" s="271"/>
      <c r="D78" s="274"/>
      <c r="E78" s="275"/>
      <c r="F78" s="271"/>
      <c r="G78" s="272"/>
      <c r="H78" s="272"/>
      <c r="I78" s="272"/>
      <c r="J78" s="272"/>
      <c r="K78" s="271"/>
    </row>
    <row r="79" spans="2:11">
      <c r="B79" s="271"/>
      <c r="C79" s="271"/>
      <c r="D79" s="274"/>
      <c r="E79" s="275"/>
      <c r="F79" s="271"/>
      <c r="G79" s="272"/>
      <c r="H79" s="272"/>
      <c r="I79" s="272"/>
      <c r="J79" s="272"/>
      <c r="K79" s="271"/>
    </row>
    <row r="80" spans="2:11">
      <c r="B80" s="271"/>
      <c r="C80" s="271"/>
      <c r="D80" s="274"/>
      <c r="E80" s="275"/>
      <c r="F80" s="271"/>
      <c r="G80" s="272"/>
      <c r="H80" s="272"/>
      <c r="I80" s="272"/>
      <c r="J80" s="272"/>
      <c r="K80" s="271"/>
    </row>
    <row r="81" spans="2:11">
      <c r="B81" s="271"/>
      <c r="C81" s="271"/>
      <c r="D81" s="274"/>
      <c r="E81" s="275"/>
      <c r="F81" s="271"/>
      <c r="G81" s="272"/>
      <c r="H81" s="272"/>
      <c r="I81" s="272"/>
      <c r="J81" s="272"/>
      <c r="K81" s="271"/>
    </row>
    <row r="82" spans="2:11">
      <c r="B82" s="271"/>
      <c r="C82" s="271"/>
      <c r="D82" s="274"/>
      <c r="E82" s="275"/>
      <c r="F82" s="271"/>
      <c r="G82" s="272"/>
      <c r="H82" s="272"/>
      <c r="I82" s="272"/>
      <c r="J82" s="272"/>
      <c r="K82" s="271"/>
    </row>
    <row r="83" spans="2:11">
      <c r="B83" s="271"/>
      <c r="C83" s="271"/>
      <c r="D83" s="274"/>
      <c r="E83" s="275"/>
      <c r="F83" s="271"/>
      <c r="G83" s="272"/>
      <c r="H83" s="272"/>
      <c r="I83" s="272"/>
      <c r="J83" s="272"/>
      <c r="K83" s="271"/>
    </row>
    <row r="84" spans="2:11">
      <c r="B84" s="271"/>
      <c r="C84" s="271"/>
      <c r="D84" s="274"/>
      <c r="E84" s="275"/>
      <c r="F84" s="271"/>
      <c r="G84" s="272"/>
      <c r="H84" s="272"/>
      <c r="I84" s="272"/>
      <c r="J84" s="272"/>
      <c r="K84" s="271"/>
    </row>
    <row r="85" spans="2:11">
      <c r="B85" s="271"/>
      <c r="C85" s="271"/>
      <c r="D85" s="274"/>
      <c r="E85" s="275"/>
      <c r="F85" s="271"/>
      <c r="G85" s="272"/>
      <c r="H85" s="272"/>
      <c r="I85" s="272"/>
      <c r="J85" s="272"/>
      <c r="K85" s="271"/>
    </row>
    <row r="86" spans="2:11">
      <c r="B86" s="271"/>
      <c r="C86" s="271"/>
      <c r="D86" s="274"/>
      <c r="E86" s="275"/>
      <c r="F86" s="271"/>
      <c r="G86" s="272"/>
      <c r="H86" s="272"/>
      <c r="I86" s="272"/>
      <c r="J86" s="272"/>
      <c r="K86" s="271"/>
    </row>
    <row r="87" spans="2:11">
      <c r="B87" s="271"/>
      <c r="C87" s="271"/>
      <c r="D87" s="274"/>
      <c r="E87" s="275"/>
      <c r="F87" s="271"/>
      <c r="G87" s="272"/>
      <c r="H87" s="272"/>
      <c r="I87" s="272"/>
      <c r="J87" s="272"/>
      <c r="K87" s="271"/>
    </row>
    <row r="88" spans="2:11">
      <c r="B88" s="271"/>
      <c r="C88" s="271"/>
      <c r="D88" s="274"/>
      <c r="E88" s="275"/>
      <c r="F88" s="271"/>
      <c r="G88" s="272"/>
      <c r="H88" s="272"/>
      <c r="I88" s="272"/>
      <c r="J88" s="272"/>
      <c r="K88" s="271"/>
    </row>
    <row r="89" spans="2:11">
      <c r="B89" s="271"/>
      <c r="C89" s="271"/>
      <c r="D89" s="274"/>
      <c r="E89" s="275"/>
      <c r="F89" s="271"/>
      <c r="G89" s="272"/>
      <c r="H89" s="272"/>
      <c r="I89" s="272"/>
      <c r="J89" s="272"/>
      <c r="K89" s="271"/>
    </row>
    <row r="90" spans="2:11">
      <c r="B90" s="271"/>
      <c r="C90" s="271"/>
      <c r="D90" s="274"/>
      <c r="E90" s="275"/>
      <c r="F90" s="271"/>
      <c r="G90" s="272"/>
      <c r="H90" s="272"/>
      <c r="I90" s="272"/>
      <c r="J90" s="272"/>
      <c r="K90" s="271"/>
    </row>
    <row r="91" spans="2:11">
      <c r="B91" s="271"/>
      <c r="C91" s="271"/>
      <c r="D91" s="274"/>
      <c r="E91" s="275"/>
      <c r="F91" s="271"/>
      <c r="G91" s="272"/>
      <c r="H91" s="272"/>
      <c r="I91" s="272"/>
      <c r="J91" s="272"/>
      <c r="K91" s="271"/>
    </row>
    <row r="92" spans="2:11">
      <c r="B92" s="271"/>
      <c r="C92" s="271"/>
      <c r="D92" s="274"/>
      <c r="E92" s="275"/>
      <c r="F92" s="271"/>
      <c r="G92" s="272"/>
      <c r="H92" s="272"/>
      <c r="I92" s="272"/>
      <c r="J92" s="272"/>
      <c r="K92" s="271"/>
    </row>
  </sheetData>
  <mergeCells count="7">
    <mergeCell ref="K2:K3"/>
    <mergeCell ref="B2:B3"/>
    <mergeCell ref="C2:C3"/>
    <mergeCell ref="D2:E3"/>
    <mergeCell ref="F2:F3"/>
    <mergeCell ref="G2:H2"/>
    <mergeCell ref="I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874F-F920-4B87-B024-54381ABA8230}">
  <sheetPr>
    <tabColor theme="9" tint="0.39997558519241921"/>
  </sheetPr>
  <dimension ref="B1:P146"/>
  <sheetViews>
    <sheetView showGridLines="0" workbookViewId="0">
      <pane xSplit="6" ySplit="4" topLeftCell="G60" activePane="bottomRight" state="frozen"/>
      <selection pane="topRight" activeCell="G1" sqref="G1"/>
      <selection pane="bottomLeft" activeCell="A5" sqref="A5"/>
      <selection pane="bottomRight" activeCell="G64" sqref="G64"/>
    </sheetView>
  </sheetViews>
  <sheetFormatPr defaultRowHeight="14.5"/>
  <cols>
    <col min="1" max="1" width="1.81640625" customWidth="1"/>
    <col min="2" max="2" width="12.26953125" bestFit="1" customWidth="1"/>
    <col min="3" max="3" width="6.1796875" bestFit="1" customWidth="1"/>
    <col min="4" max="4" width="3.1796875" customWidth="1"/>
    <col min="5" max="5" width="34.81640625" customWidth="1"/>
    <col min="6" max="6" width="9.1796875" customWidth="1"/>
    <col min="7" max="10" width="18.1796875" style="278" customWidth="1"/>
    <col min="11" max="11" width="61.1796875" customWidth="1"/>
    <col min="12" max="12" width="13.81640625" bestFit="1" customWidth="1"/>
  </cols>
  <sheetData>
    <row r="1" spans="2:11">
      <c r="G1" s="268"/>
      <c r="H1" s="268"/>
      <c r="I1" s="268"/>
      <c r="J1" s="268"/>
    </row>
    <row r="2" spans="2:11">
      <c r="G2" s="268"/>
      <c r="H2" s="268"/>
      <c r="I2" s="268"/>
      <c r="J2" s="268"/>
    </row>
    <row r="3" spans="2:11">
      <c r="B3" s="950" t="s">
        <v>562</v>
      </c>
      <c r="C3" s="950" t="s">
        <v>563</v>
      </c>
      <c r="D3" s="953" t="s">
        <v>564</v>
      </c>
      <c r="E3" s="954"/>
      <c r="F3" s="957" t="s">
        <v>565</v>
      </c>
      <c r="G3" s="959" t="s">
        <v>566</v>
      </c>
      <c r="H3" s="960"/>
      <c r="I3" s="961" t="s">
        <v>567</v>
      </c>
      <c r="J3" s="961"/>
      <c r="K3" s="950" t="s">
        <v>4</v>
      </c>
    </row>
    <row r="4" spans="2:11">
      <c r="B4" s="952"/>
      <c r="C4" s="952"/>
      <c r="D4" s="955"/>
      <c r="E4" s="956"/>
      <c r="F4" s="958"/>
      <c r="G4" s="276" t="s">
        <v>568</v>
      </c>
      <c r="H4" s="276" t="s">
        <v>569</v>
      </c>
      <c r="I4" s="277" t="s">
        <v>568</v>
      </c>
      <c r="J4" s="277" t="s">
        <v>569</v>
      </c>
      <c r="K4" s="951"/>
    </row>
    <row r="5" spans="2:11">
      <c r="B5" s="271"/>
      <c r="C5" s="271"/>
      <c r="D5" s="274"/>
      <c r="E5" s="275"/>
      <c r="F5" s="271"/>
      <c r="G5" s="272"/>
      <c r="H5" s="272"/>
      <c r="I5" s="272"/>
      <c r="J5" s="272"/>
      <c r="K5" s="271"/>
    </row>
    <row r="6" spans="2:11">
      <c r="B6" s="271" t="s">
        <v>571</v>
      </c>
      <c r="C6" s="271"/>
      <c r="D6" s="275" t="s">
        <v>98</v>
      </c>
      <c r="F6" s="271"/>
      <c r="G6" s="272">
        <v>13076155.875</v>
      </c>
      <c r="H6" s="272"/>
      <c r="I6" s="272"/>
      <c r="J6" s="272"/>
      <c r="K6" s="271" t="s">
        <v>570</v>
      </c>
    </row>
    <row r="7" spans="2:11">
      <c r="B7" s="271" t="str">
        <f>B6</f>
        <v>CAJE 1</v>
      </c>
      <c r="C7" s="271"/>
      <c r="D7" s="275" t="s">
        <v>361</v>
      </c>
      <c r="E7" s="275"/>
      <c r="F7" s="271"/>
      <c r="G7" s="272"/>
      <c r="H7" s="272"/>
      <c r="I7" s="272">
        <f>H8-G6</f>
        <v>5205094.125</v>
      </c>
      <c r="J7" s="272"/>
      <c r="K7" s="271" t="s">
        <v>570</v>
      </c>
    </row>
    <row r="8" spans="2:11">
      <c r="B8" s="271" t="str">
        <f>B6</f>
        <v>CAJE 1</v>
      </c>
      <c r="C8" s="271"/>
      <c r="D8" s="274"/>
      <c r="E8" s="275" t="s">
        <v>99</v>
      </c>
      <c r="F8" s="271"/>
      <c r="G8" s="272"/>
      <c r="H8" s="272">
        <v>18281250</v>
      </c>
      <c r="I8" s="272"/>
      <c r="J8" s="272"/>
      <c r="K8" s="271" t="str">
        <f>K6</f>
        <v xml:space="preserve">Adj menyamakan nilai Peny </v>
      </c>
    </row>
    <row r="9" spans="2:11">
      <c r="B9" s="271"/>
      <c r="C9" s="271"/>
      <c r="D9" s="274"/>
      <c r="E9" s="275"/>
      <c r="F9" s="271"/>
      <c r="G9" s="272"/>
      <c r="H9" s="272"/>
      <c r="I9" s="272"/>
      <c r="J9" s="272"/>
      <c r="K9" s="271"/>
    </row>
    <row r="10" spans="2:11">
      <c r="B10" s="271" t="s">
        <v>572</v>
      </c>
      <c r="C10" s="271"/>
      <c r="D10" s="274"/>
      <c r="E10" s="275" t="s">
        <v>96</v>
      </c>
      <c r="F10" s="271"/>
      <c r="G10" s="658"/>
      <c r="H10" s="658">
        <v>3</v>
      </c>
      <c r="I10" s="658"/>
      <c r="J10" s="658"/>
      <c r="K10" s="271" t="s">
        <v>570</v>
      </c>
    </row>
    <row r="11" spans="2:11">
      <c r="B11" s="271" t="str">
        <f>B10</f>
        <v>CAJE 2</v>
      </c>
      <c r="C11" s="271"/>
      <c r="D11" s="275" t="s">
        <v>97</v>
      </c>
      <c r="E11" s="275"/>
      <c r="F11" s="271"/>
      <c r="G11" s="658"/>
      <c r="H11" s="658">
        <f>63019280.937499-3</f>
        <v>63019277.937499002</v>
      </c>
      <c r="I11" s="658"/>
      <c r="J11" s="658"/>
      <c r="K11" s="271" t="str">
        <f>K10</f>
        <v xml:space="preserve">Adj menyamakan nilai Peny </v>
      </c>
    </row>
    <row r="12" spans="2:11">
      <c r="B12" s="271" t="str">
        <f t="shared" ref="B12:B19" si="0">B11</f>
        <v>CAJE 2</v>
      </c>
      <c r="C12" s="271"/>
      <c r="D12" s="275" t="s">
        <v>100</v>
      </c>
      <c r="E12" s="275"/>
      <c r="F12" s="271"/>
      <c r="G12" s="658">
        <v>340165.66666659701</v>
      </c>
      <c r="H12" s="658"/>
      <c r="I12" s="658"/>
      <c r="J12" s="658"/>
      <c r="K12" s="271" t="str">
        <f t="shared" ref="K12:K19" si="1">K11</f>
        <v xml:space="preserve">Adj menyamakan nilai Peny </v>
      </c>
    </row>
    <row r="13" spans="2:11">
      <c r="B13" s="271" t="str">
        <f t="shared" si="0"/>
        <v>CAJE 2</v>
      </c>
      <c r="C13" s="271"/>
      <c r="D13" t="s">
        <v>101</v>
      </c>
      <c r="E13" s="275"/>
      <c r="F13" s="271"/>
      <c r="G13" s="658">
        <v>2364210.83333349</v>
      </c>
      <c r="H13" s="658"/>
      <c r="I13" s="658"/>
      <c r="J13" s="658"/>
      <c r="K13" s="271" t="str">
        <f t="shared" si="1"/>
        <v xml:space="preserve">Adj menyamakan nilai Peny </v>
      </c>
    </row>
    <row r="14" spans="2:11">
      <c r="B14" s="271" t="str">
        <f t="shared" si="0"/>
        <v>CAJE 2</v>
      </c>
      <c r="C14" s="271"/>
      <c r="D14" s="274"/>
      <c r="E14" s="275" t="s">
        <v>102</v>
      </c>
      <c r="F14" s="271"/>
      <c r="G14" s="658"/>
      <c r="H14" s="658">
        <v>4</v>
      </c>
      <c r="I14" s="658"/>
      <c r="J14" s="658"/>
      <c r="K14" s="271" t="str">
        <f t="shared" si="1"/>
        <v xml:space="preserve">Adj menyamakan nilai Peny </v>
      </c>
    </row>
    <row r="15" spans="2:11">
      <c r="B15" s="271" t="str">
        <f t="shared" si="0"/>
        <v>CAJE 2</v>
      </c>
      <c r="C15" s="271"/>
      <c r="E15" s="275" t="s">
        <v>357</v>
      </c>
      <c r="F15" s="271"/>
      <c r="G15" s="658"/>
      <c r="H15" s="658"/>
      <c r="I15" s="658"/>
      <c r="J15" s="658">
        <f>G12</f>
        <v>340165.66666659701</v>
      </c>
      <c r="K15" s="271" t="str">
        <f t="shared" si="1"/>
        <v xml:space="preserve">Adj menyamakan nilai Peny </v>
      </c>
    </row>
    <row r="16" spans="2:11">
      <c r="B16" s="271" t="str">
        <f t="shared" si="0"/>
        <v>CAJE 2</v>
      </c>
      <c r="C16" s="271"/>
      <c r="D16" t="s">
        <v>358</v>
      </c>
      <c r="E16" s="275"/>
      <c r="F16" s="271"/>
      <c r="G16" s="658"/>
      <c r="H16" s="658"/>
      <c r="I16" s="658">
        <f>H10-0.01800537109375</f>
        <v>2.98199462890625</v>
      </c>
      <c r="J16" s="658"/>
      <c r="K16" s="271" t="str">
        <f t="shared" si="1"/>
        <v xml:space="preserve">Adj menyamakan nilai Peny </v>
      </c>
    </row>
    <row r="17" spans="2:11">
      <c r="B17" s="271" t="str">
        <f t="shared" si="0"/>
        <v>CAJE 2</v>
      </c>
      <c r="C17" s="271"/>
      <c r="D17" s="274"/>
      <c r="E17" s="275" t="s">
        <v>362</v>
      </c>
      <c r="F17" s="271"/>
      <c r="G17" s="658"/>
      <c r="H17" s="658"/>
      <c r="I17" s="658">
        <f>H11</f>
        <v>63019277.937499002</v>
      </c>
      <c r="J17" s="658">
        <f>G11</f>
        <v>0</v>
      </c>
      <c r="K17" s="271" t="str">
        <f t="shared" si="1"/>
        <v xml:space="preserve">Adj menyamakan nilai Peny </v>
      </c>
    </row>
    <row r="18" spans="2:11">
      <c r="B18" s="271" t="str">
        <f t="shared" si="0"/>
        <v>CAJE 2</v>
      </c>
      <c r="C18" s="271"/>
      <c r="E18" s="275" t="s">
        <v>363</v>
      </c>
      <c r="F18" s="271"/>
      <c r="G18" s="658"/>
      <c r="H18" s="658"/>
      <c r="I18" s="658"/>
      <c r="J18" s="658">
        <f>G13</f>
        <v>2364210.83333349</v>
      </c>
      <c r="K18" s="271" t="str">
        <f t="shared" si="1"/>
        <v xml:space="preserve">Adj menyamakan nilai Peny </v>
      </c>
    </row>
    <row r="19" spans="2:11">
      <c r="B19" s="271" t="str">
        <f t="shared" si="0"/>
        <v>CAJE 2</v>
      </c>
      <c r="C19" s="271"/>
      <c r="D19" t="s">
        <v>364</v>
      </c>
      <c r="E19" s="275"/>
      <c r="F19" s="271"/>
      <c r="G19" s="658"/>
      <c r="H19" s="658"/>
      <c r="I19" s="658">
        <f>H14</f>
        <v>4</v>
      </c>
      <c r="J19" s="658"/>
      <c r="K19" s="271" t="str">
        <f t="shared" si="1"/>
        <v xml:space="preserve">Adj menyamakan nilai Peny </v>
      </c>
    </row>
    <row r="20" spans="2:11">
      <c r="B20" s="271"/>
      <c r="C20" s="271"/>
      <c r="D20" s="274"/>
      <c r="E20" s="275"/>
      <c r="F20" s="271"/>
      <c r="G20" s="658"/>
      <c r="H20" s="658"/>
      <c r="I20" s="658"/>
      <c r="J20" s="658"/>
      <c r="K20" s="271"/>
    </row>
    <row r="21" spans="2:11">
      <c r="B21" s="271" t="s">
        <v>573</v>
      </c>
      <c r="C21" s="271"/>
      <c r="D21" s="274" t="s">
        <v>292</v>
      </c>
      <c r="E21" s="275"/>
      <c r="F21" s="271"/>
      <c r="G21" s="658"/>
      <c r="H21" s="658"/>
      <c r="I21" s="658">
        <f>SUM(J22:J26)</f>
        <v>1622489016.6476657</v>
      </c>
      <c r="J21" s="658"/>
      <c r="K21" s="271" t="s">
        <v>574</v>
      </c>
    </row>
    <row r="22" spans="2:11">
      <c r="B22" s="271" t="str">
        <f>B21</f>
        <v>RKLS 1</v>
      </c>
      <c r="C22" s="271"/>
      <c r="D22" s="274"/>
      <c r="E22" s="275" t="s">
        <v>358</v>
      </c>
      <c r="F22" s="271"/>
      <c r="G22" s="658"/>
      <c r="H22" s="658"/>
      <c r="I22" s="658"/>
      <c r="J22" s="658">
        <f>925166558.1+0.881</f>
        <v>925166558.98100007</v>
      </c>
      <c r="K22" s="271" t="str">
        <f>K21</f>
        <v>Reklas Beban Peny GA ke COGS</v>
      </c>
    </row>
    <row r="23" spans="2:11">
      <c r="B23" s="271" t="str">
        <f t="shared" ref="B23:B26" si="2">B22</f>
        <v>RKLS 1</v>
      </c>
      <c r="C23" s="271"/>
      <c r="D23" s="274"/>
      <c r="E23" s="275" t="s">
        <v>362</v>
      </c>
      <c r="F23" s="271"/>
      <c r="G23" s="658"/>
      <c r="H23" s="658"/>
      <c r="I23" s="658"/>
      <c r="J23" s="658">
        <v>647311634.93749905</v>
      </c>
      <c r="K23" s="271" t="str">
        <f t="shared" ref="K23:K26" si="3">K22</f>
        <v>Reklas Beban Peny GA ke COGS</v>
      </c>
    </row>
    <row r="24" spans="2:11">
      <c r="B24" s="271" t="str">
        <f t="shared" si="2"/>
        <v>RKLS 1</v>
      </c>
      <c r="C24" s="271"/>
      <c r="D24" s="274"/>
      <c r="E24" s="275" t="s">
        <v>361</v>
      </c>
      <c r="F24" s="271"/>
      <c r="G24" s="658"/>
      <c r="H24" s="658"/>
      <c r="I24" s="658"/>
      <c r="J24" s="658">
        <v>18634480.125</v>
      </c>
      <c r="K24" s="271" t="str">
        <f t="shared" si="3"/>
        <v>Reklas Beban Peny GA ke COGS</v>
      </c>
    </row>
    <row r="25" spans="2:11">
      <c r="B25" s="271" t="str">
        <f t="shared" si="2"/>
        <v>RKLS 1</v>
      </c>
      <c r="C25" s="271"/>
      <c r="D25" s="274"/>
      <c r="E25" s="275" t="s">
        <v>363</v>
      </c>
      <c r="F25" s="271"/>
      <c r="G25" s="658"/>
      <c r="H25" s="658"/>
      <c r="I25" s="658"/>
      <c r="J25" s="658">
        <v>11862223.854166668</v>
      </c>
      <c r="K25" s="271" t="str">
        <f t="shared" si="3"/>
        <v>Reklas Beban Peny GA ke COGS</v>
      </c>
    </row>
    <row r="26" spans="2:11">
      <c r="B26" s="271" t="str">
        <f t="shared" si="2"/>
        <v>RKLS 1</v>
      </c>
      <c r="C26" s="271"/>
      <c r="D26" s="274"/>
      <c r="E26" s="275" t="s">
        <v>364</v>
      </c>
      <c r="F26" s="271"/>
      <c r="G26" s="658"/>
      <c r="H26" s="658"/>
      <c r="I26" s="658"/>
      <c r="J26" s="658">
        <v>19514118.75</v>
      </c>
      <c r="K26" s="271" t="str">
        <f t="shared" si="3"/>
        <v>Reklas Beban Peny GA ke COGS</v>
      </c>
    </row>
    <row r="27" spans="2:11">
      <c r="B27" s="271"/>
      <c r="C27" s="271"/>
      <c r="D27" s="274"/>
      <c r="E27" s="275"/>
      <c r="F27" s="271"/>
      <c r="G27" s="658"/>
      <c r="H27" s="658"/>
      <c r="I27" s="658"/>
      <c r="J27" s="658"/>
      <c r="K27" s="271"/>
    </row>
    <row r="28" spans="2:11">
      <c r="B28" s="271" t="s">
        <v>575</v>
      </c>
      <c r="C28" s="271"/>
      <c r="D28" s="274" t="s">
        <v>45</v>
      </c>
      <c r="E28" s="275"/>
      <c r="F28" s="271"/>
      <c r="G28" s="658"/>
      <c r="H28" s="658"/>
      <c r="I28" s="658"/>
      <c r="J28" s="658"/>
      <c r="K28" s="271" t="s">
        <v>577</v>
      </c>
    </row>
    <row r="29" spans="2:11">
      <c r="B29" s="271" t="str">
        <f>B28</f>
        <v>CAJE 3</v>
      </c>
      <c r="C29" s="271"/>
      <c r="D29" s="274" t="s">
        <v>42</v>
      </c>
      <c r="E29" s="275"/>
      <c r="F29" s="271"/>
      <c r="G29" s="658"/>
      <c r="H29" s="658"/>
      <c r="I29" s="658"/>
      <c r="J29" s="658"/>
      <c r="K29" s="271" t="str">
        <f>K28</f>
        <v>Adj Penj exp dari bulan selanjutnya</v>
      </c>
    </row>
    <row r="30" spans="2:11">
      <c r="B30" s="271" t="str">
        <f>B29</f>
        <v>CAJE 3</v>
      </c>
      <c r="C30" s="271"/>
      <c r="D30" s="274"/>
      <c r="E30" s="275" t="s">
        <v>576</v>
      </c>
      <c r="F30" s="271"/>
      <c r="G30" s="658"/>
      <c r="H30" s="658"/>
      <c r="I30" s="658"/>
      <c r="J30" s="658"/>
      <c r="K30" s="271" t="str">
        <f>K29</f>
        <v>Adj Penj exp dari bulan selanjutnya</v>
      </c>
    </row>
    <row r="31" spans="2:11">
      <c r="B31" s="271"/>
      <c r="C31" s="271"/>
      <c r="D31" s="274"/>
      <c r="E31" s="275"/>
      <c r="F31" s="271"/>
      <c r="G31" s="272"/>
      <c r="H31" s="272"/>
      <c r="I31" s="272"/>
      <c r="J31" s="272"/>
      <c r="K31" s="271"/>
    </row>
    <row r="32" spans="2:11">
      <c r="B32" s="271" t="s">
        <v>581</v>
      </c>
      <c r="C32" s="271"/>
      <c r="D32" s="274" t="s">
        <v>578</v>
      </c>
      <c r="E32" s="275"/>
      <c r="F32" s="271"/>
      <c r="G32" s="272">
        <v>15000000</v>
      </c>
      <c r="H32" s="272"/>
      <c r="I32" s="272"/>
      <c r="J32" s="272"/>
      <c r="K32" s="271" t="s">
        <v>580</v>
      </c>
    </row>
    <row r="33" spans="2:11">
      <c r="B33" s="271" t="str">
        <f>B32</f>
        <v>CAJE 4</v>
      </c>
      <c r="C33" s="271"/>
      <c r="D33" s="274"/>
      <c r="E33" s="275" t="s">
        <v>579</v>
      </c>
      <c r="F33" s="271"/>
      <c r="G33" s="272"/>
      <c r="H33" s="272"/>
      <c r="I33" s="272"/>
      <c r="J33" s="272">
        <f>G32</f>
        <v>15000000</v>
      </c>
      <c r="K33" s="271" t="str">
        <f>K32</f>
        <v>Adj atas Beban Sewa yang sdh di akui di 2023</v>
      </c>
    </row>
    <row r="34" spans="2:11">
      <c r="B34" s="271"/>
      <c r="C34" s="271"/>
      <c r="D34" s="274"/>
      <c r="E34" s="275"/>
      <c r="F34" s="271"/>
      <c r="G34" s="272"/>
      <c r="H34" s="272"/>
      <c r="I34" s="272"/>
      <c r="J34" s="272"/>
      <c r="K34" s="271"/>
    </row>
    <row r="35" spans="2:11">
      <c r="B35" s="271" t="s">
        <v>584</v>
      </c>
      <c r="C35" s="271"/>
      <c r="D35" s="275" t="s">
        <v>582</v>
      </c>
      <c r="E35" s="275"/>
      <c r="F35" s="271"/>
      <c r="G35" s="272">
        <v>27601289940.34</v>
      </c>
      <c r="H35" s="272"/>
      <c r="I35" s="272"/>
      <c r="J35" s="272"/>
      <c r="K35" s="271" t="s">
        <v>592</v>
      </c>
    </row>
    <row r="36" spans="2:11">
      <c r="B36" s="271" t="str">
        <f>B35</f>
        <v>CAJE 5</v>
      </c>
      <c r="C36" s="271"/>
      <c r="D36" s="274"/>
      <c r="E36" s="275" t="s">
        <v>583</v>
      </c>
      <c r="F36" s="271"/>
      <c r="G36" s="272"/>
      <c r="H36" s="272">
        <f>G35</f>
        <v>27601289940.34</v>
      </c>
      <c r="I36" s="272"/>
      <c r="J36" s="272"/>
      <c r="K36" s="271" t="str">
        <f>K35</f>
        <v>Adj Menyamakan Utang Piutang Afiliasi IAS-ISP Jun 24</v>
      </c>
    </row>
    <row r="37" spans="2:11">
      <c r="B37" s="271"/>
      <c r="C37" s="271"/>
      <c r="D37" s="274"/>
      <c r="E37" s="275"/>
      <c r="F37" s="271"/>
      <c r="G37" s="272"/>
      <c r="H37" s="272"/>
      <c r="I37" s="272"/>
      <c r="J37" s="272"/>
      <c r="K37" s="271"/>
    </row>
    <row r="38" spans="2:11">
      <c r="B38" s="271" t="s">
        <v>586</v>
      </c>
      <c r="C38" s="271"/>
      <c r="D38" s="274" t="s">
        <v>335</v>
      </c>
      <c r="E38" s="275"/>
      <c r="F38" s="271"/>
      <c r="H38" s="272"/>
      <c r="I38" s="272"/>
      <c r="J38" s="272"/>
      <c r="K38" s="271" t="s">
        <v>591</v>
      </c>
    </row>
    <row r="39" spans="2:11">
      <c r="B39" s="271" t="str">
        <f>B38</f>
        <v>CAJE 6</v>
      </c>
      <c r="C39" s="271"/>
      <c r="D39" s="274"/>
      <c r="E39" s="275" t="s">
        <v>585</v>
      </c>
      <c r="F39" s="271"/>
      <c r="G39" s="272"/>
      <c r="H39" s="272"/>
      <c r="I39" s="272"/>
      <c r="J39" s="272"/>
      <c r="K39" s="271" t="str">
        <f>K38</f>
        <v>Adj atas Pemb Pajak PPh 21</v>
      </c>
    </row>
    <row r="40" spans="2:11">
      <c r="B40" s="271"/>
      <c r="C40" s="271"/>
      <c r="D40" s="274"/>
      <c r="E40" s="275"/>
      <c r="F40" s="271"/>
      <c r="G40" s="272"/>
      <c r="H40" s="272"/>
      <c r="I40" s="272"/>
      <c r="J40" s="272"/>
      <c r="K40" s="271"/>
    </row>
    <row r="41" spans="2:11">
      <c r="B41" s="271" t="s">
        <v>587</v>
      </c>
      <c r="C41" s="271"/>
      <c r="D41" s="274" t="s">
        <v>76</v>
      </c>
      <c r="E41" s="275"/>
      <c r="F41" s="271"/>
      <c r="G41" s="272">
        <v>24522154.059999999</v>
      </c>
      <c r="H41" s="272"/>
      <c r="I41" s="272"/>
      <c r="J41" s="272"/>
      <c r="K41" s="271" t="s">
        <v>593</v>
      </c>
    </row>
    <row r="42" spans="2:11">
      <c r="B42" s="271" t="str">
        <f>B41</f>
        <v>CAJE 7</v>
      </c>
      <c r="C42" s="271"/>
      <c r="D42" s="274"/>
      <c r="E42" s="275" t="s">
        <v>197</v>
      </c>
      <c r="F42" s="271"/>
      <c r="G42" s="272"/>
      <c r="H42" s="272">
        <f>G41</f>
        <v>24522154.059999999</v>
      </c>
      <c r="I42" s="272"/>
      <c r="J42" s="272"/>
      <c r="K42" s="271" t="str">
        <f>K41</f>
        <v>Adj atas Pemb Pajak PPh 22</v>
      </c>
    </row>
    <row r="43" spans="2:11">
      <c r="B43" s="271"/>
      <c r="C43" s="271"/>
      <c r="D43" s="274"/>
      <c r="E43" s="275"/>
      <c r="F43" s="271"/>
      <c r="G43" s="272"/>
      <c r="H43" s="272"/>
      <c r="I43" s="272"/>
      <c r="J43" s="272"/>
      <c r="K43" s="271"/>
    </row>
    <row r="44" spans="2:11">
      <c r="B44" s="271" t="s">
        <v>588</v>
      </c>
      <c r="C44" s="271"/>
      <c r="D44" s="274" t="s">
        <v>589</v>
      </c>
      <c r="E44" s="275"/>
      <c r="F44" s="271"/>
      <c r="G44" s="272">
        <v>316211934</v>
      </c>
      <c r="H44" s="272"/>
      <c r="I44" s="272"/>
      <c r="J44" s="272"/>
      <c r="K44" s="271" t="s">
        <v>594</v>
      </c>
    </row>
    <row r="45" spans="2:11">
      <c r="B45" s="271" t="str">
        <f>B44</f>
        <v>CAJE 8</v>
      </c>
      <c r="C45" s="271"/>
      <c r="D45" s="274"/>
      <c r="E45" s="275" t="s">
        <v>199</v>
      </c>
      <c r="F45" s="271"/>
      <c r="G45" s="272"/>
      <c r="H45" s="272">
        <f>G44</f>
        <v>316211934</v>
      </c>
      <c r="I45" s="272"/>
      <c r="J45" s="272"/>
      <c r="K45" s="271" t="str">
        <f>K44</f>
        <v>Adj atas Pemb Pajak PPh 25</v>
      </c>
    </row>
    <row r="46" spans="2:11">
      <c r="B46" s="271"/>
      <c r="C46" s="271"/>
      <c r="D46" s="274"/>
      <c r="E46" s="275"/>
      <c r="F46" s="271"/>
      <c r="G46" s="272"/>
      <c r="H46" s="272"/>
      <c r="I46" s="272"/>
      <c r="J46" s="272"/>
      <c r="K46" s="271"/>
    </row>
    <row r="47" spans="2:11">
      <c r="B47" s="271" t="s">
        <v>590</v>
      </c>
      <c r="C47" s="271"/>
      <c r="D47" s="274" t="s">
        <v>198</v>
      </c>
      <c r="E47" s="275"/>
      <c r="F47" s="271"/>
      <c r="G47" s="272"/>
      <c r="H47" s="272"/>
      <c r="I47" s="272"/>
      <c r="J47" s="272"/>
      <c r="K47" s="271" t="s">
        <v>595</v>
      </c>
    </row>
    <row r="48" spans="2:11">
      <c r="B48" s="271" t="str">
        <f>B47</f>
        <v>CAJE 9</v>
      </c>
      <c r="C48" s="271"/>
      <c r="D48" s="274"/>
      <c r="E48" s="275" t="s">
        <v>335</v>
      </c>
      <c r="F48" s="271"/>
      <c r="G48" s="272"/>
      <c r="H48" s="272"/>
      <c r="I48" s="272"/>
      <c r="J48" s="272"/>
      <c r="K48" s="271" t="str">
        <f>K47</f>
        <v>Adj atas Pemb Pajak PPh 23</v>
      </c>
    </row>
    <row r="49" spans="2:11">
      <c r="B49" s="271"/>
      <c r="C49" s="271"/>
      <c r="D49" s="274"/>
      <c r="E49" s="275"/>
      <c r="F49" s="271"/>
      <c r="G49" s="272"/>
      <c r="H49" s="272"/>
      <c r="I49" s="272"/>
      <c r="J49" s="272"/>
      <c r="K49" s="271"/>
    </row>
    <row r="50" spans="2:11">
      <c r="B50" s="271" t="s">
        <v>597</v>
      </c>
      <c r="C50" s="271"/>
      <c r="D50" s="274" t="s">
        <v>596</v>
      </c>
      <c r="E50" s="275"/>
      <c r="F50" s="271"/>
      <c r="G50" s="272">
        <f>SUM(H51:H54)</f>
        <v>165770757</v>
      </c>
      <c r="H50" s="272"/>
      <c r="I50" s="272"/>
      <c r="J50" s="272"/>
      <c r="K50" s="271" t="s">
        <v>600</v>
      </c>
    </row>
    <row r="51" spans="2:11">
      <c r="B51" s="271" t="str">
        <f>B50</f>
        <v>CAJE 10</v>
      </c>
      <c r="C51" s="271"/>
      <c r="D51" s="274"/>
      <c r="E51" s="275" t="s">
        <v>199</v>
      </c>
      <c r="F51" s="271"/>
      <c r="G51" s="272"/>
      <c r="H51" s="272">
        <v>52701989</v>
      </c>
      <c r="I51" s="272"/>
      <c r="J51" s="272"/>
      <c r="K51" s="271" t="str">
        <f>K50</f>
        <v xml:space="preserve">Reklas atas utang Pajak </v>
      </c>
    </row>
    <row r="52" spans="2:11">
      <c r="B52" s="271" t="str">
        <f t="shared" ref="B52:B54" si="4">B51</f>
        <v>CAJE 10</v>
      </c>
      <c r="C52" s="271"/>
      <c r="D52" s="274"/>
      <c r="E52" s="275" t="s">
        <v>585</v>
      </c>
      <c r="F52" s="271"/>
      <c r="G52" s="272"/>
      <c r="H52" s="272">
        <v>4471644</v>
      </c>
      <c r="I52" s="272"/>
      <c r="J52" s="272"/>
      <c r="K52" s="271" t="str">
        <f t="shared" ref="K52:K54" si="5">K51</f>
        <v xml:space="preserve">Reklas atas utang Pajak </v>
      </c>
    </row>
    <row r="53" spans="2:11">
      <c r="B53" s="271" t="str">
        <f t="shared" si="4"/>
        <v>CAJE 10</v>
      </c>
      <c r="C53" s="271"/>
      <c r="D53" s="274"/>
      <c r="E53" s="275" t="s">
        <v>197</v>
      </c>
      <c r="F53" s="271"/>
      <c r="G53" s="272"/>
      <c r="H53" s="272">
        <v>88055762</v>
      </c>
      <c r="I53" s="272"/>
      <c r="J53" s="272"/>
      <c r="K53" s="271" t="str">
        <f t="shared" si="5"/>
        <v xml:space="preserve">Reklas atas utang Pajak </v>
      </c>
    </row>
    <row r="54" spans="2:11">
      <c r="B54" s="271" t="str">
        <f t="shared" si="4"/>
        <v>CAJE 10</v>
      </c>
      <c r="C54" s="271"/>
      <c r="D54" s="274"/>
      <c r="E54" s="275" t="s">
        <v>198</v>
      </c>
      <c r="F54" s="271"/>
      <c r="G54" s="272"/>
      <c r="H54" s="272">
        <v>20541362</v>
      </c>
      <c r="I54" s="272"/>
      <c r="J54" s="272"/>
      <c r="K54" s="271" t="str">
        <f t="shared" si="5"/>
        <v xml:space="preserve">Reklas atas utang Pajak </v>
      </c>
    </row>
    <row r="55" spans="2:11">
      <c r="B55" s="271"/>
      <c r="C55" s="271"/>
      <c r="D55" s="274"/>
      <c r="E55" s="275"/>
      <c r="F55" s="271"/>
      <c r="G55" s="272"/>
      <c r="H55" s="272"/>
      <c r="I55" s="272"/>
      <c r="J55" s="272"/>
      <c r="K55" s="271"/>
    </row>
    <row r="56" spans="2:11">
      <c r="B56" s="271" t="s">
        <v>602</v>
      </c>
      <c r="C56" s="271"/>
      <c r="D56" s="274" t="s">
        <v>596</v>
      </c>
      <c r="E56" s="275"/>
      <c r="F56" s="271"/>
      <c r="G56" s="272">
        <v>219882092</v>
      </c>
      <c r="H56" s="272"/>
      <c r="I56" s="272"/>
      <c r="J56" s="272"/>
      <c r="K56" s="271" t="s">
        <v>603</v>
      </c>
    </row>
    <row r="57" spans="2:11">
      <c r="B57" s="271" t="str">
        <f>B56</f>
        <v>CAJE 11</v>
      </c>
      <c r="C57" s="271"/>
      <c r="D57" s="274"/>
      <c r="E57" s="275" t="s">
        <v>601</v>
      </c>
      <c r="F57" s="271"/>
      <c r="G57" s="272"/>
      <c r="H57" s="272">
        <f>G56</f>
        <v>219882092</v>
      </c>
      <c r="I57" s="272"/>
      <c r="J57" s="272"/>
      <c r="K57" s="271" t="str">
        <f>K56</f>
        <v>Reklas atas utang Gaji</v>
      </c>
    </row>
    <row r="58" spans="2:11">
      <c r="B58" s="271"/>
      <c r="C58" s="271"/>
      <c r="D58" s="274"/>
      <c r="E58" s="275"/>
      <c r="F58" s="271"/>
      <c r="G58" s="272"/>
      <c r="H58" s="272"/>
      <c r="I58" s="272"/>
      <c r="J58" s="272"/>
      <c r="K58" s="271"/>
    </row>
    <row r="59" spans="2:11">
      <c r="B59" s="271" t="s">
        <v>706</v>
      </c>
      <c r="C59" s="271"/>
      <c r="D59" s="274" t="s">
        <v>389</v>
      </c>
      <c r="E59" s="275"/>
      <c r="F59" s="271"/>
      <c r="G59" s="272"/>
      <c r="H59" s="272"/>
      <c r="I59" s="272">
        <f>SUM(H60:H62)</f>
        <v>1066942140</v>
      </c>
      <c r="J59" s="272"/>
      <c r="K59" s="271" t="s">
        <v>1024</v>
      </c>
    </row>
    <row r="60" spans="2:11">
      <c r="B60" s="271" t="str">
        <f>B59</f>
        <v>CAJE 12</v>
      </c>
      <c r="C60" s="271"/>
      <c r="D60" s="274"/>
      <c r="E60" s="275" t="s">
        <v>76</v>
      </c>
      <c r="F60" s="271"/>
      <c r="G60" s="272"/>
      <c r="H60" s="272">
        <v>24522154.059999999</v>
      </c>
      <c r="I60" s="272"/>
      <c r="J60" s="272"/>
      <c r="K60" s="271" t="str">
        <f>K59</f>
        <v>Perhitungan Pajak Badan September 2024</v>
      </c>
    </row>
    <row r="61" spans="2:11">
      <c r="B61" s="271" t="str">
        <f t="shared" ref="B61:B62" si="6">B60</f>
        <v>CAJE 12</v>
      </c>
      <c r="C61" s="271"/>
      <c r="D61" s="274"/>
      <c r="E61" s="275" t="s">
        <v>75</v>
      </c>
      <c r="F61" s="271"/>
      <c r="G61" s="272"/>
      <c r="H61" s="272">
        <v>316211934</v>
      </c>
      <c r="I61" s="272"/>
      <c r="J61" s="272"/>
      <c r="K61" s="271" t="str">
        <f t="shared" ref="K61:K62" si="7">K60</f>
        <v>Perhitungan Pajak Badan September 2024</v>
      </c>
    </row>
    <row r="62" spans="2:11">
      <c r="B62" s="271" t="str">
        <f t="shared" si="6"/>
        <v>CAJE 12</v>
      </c>
      <c r="C62" s="271"/>
      <c r="D62" s="274"/>
      <c r="E62" s="275" t="s">
        <v>201</v>
      </c>
      <c r="F62" s="271"/>
      <c r="G62" s="272"/>
      <c r="H62" s="272">
        <f>'SPT Badan'!D48</f>
        <v>726208051.94000006</v>
      </c>
      <c r="I62" s="272"/>
      <c r="J62" s="272"/>
      <c r="K62" s="271" t="str">
        <f t="shared" si="7"/>
        <v>Perhitungan Pajak Badan September 2024</v>
      </c>
    </row>
    <row r="63" spans="2:11">
      <c r="B63" s="271"/>
      <c r="C63" s="271"/>
      <c r="D63" s="274"/>
      <c r="E63" s="275"/>
      <c r="F63" s="271"/>
      <c r="G63" s="272"/>
      <c r="H63" s="272"/>
      <c r="I63" s="272"/>
      <c r="J63" s="272"/>
      <c r="K63" s="271"/>
    </row>
    <row r="64" spans="2:11">
      <c r="B64" s="271" t="s">
        <v>709</v>
      </c>
      <c r="C64" s="271"/>
      <c r="D64" s="274" t="s">
        <v>1003</v>
      </c>
      <c r="E64" s="275"/>
      <c r="F64" s="271"/>
      <c r="G64" s="272">
        <v>1168062258.8</v>
      </c>
      <c r="H64" s="272"/>
      <c r="I64" s="272"/>
      <c r="J64" s="272"/>
      <c r="K64" s="271" t="s">
        <v>1004</v>
      </c>
    </row>
    <row r="65" spans="2:12">
      <c r="B65" s="271" t="str">
        <f>B64</f>
        <v>CAJE 13</v>
      </c>
      <c r="C65" s="271"/>
      <c r="D65" s="274"/>
      <c r="E65" s="275" t="s">
        <v>988</v>
      </c>
      <c r="F65" s="271"/>
      <c r="G65" s="272"/>
      <c r="H65" s="272">
        <f>G64</f>
        <v>1168062258.8</v>
      </c>
      <c r="I65" s="272"/>
      <c r="J65" s="272"/>
      <c r="K65" s="271" t="str">
        <f>K64</f>
        <v xml:space="preserve">Adj atas Uang Muka Pembelian Bahan Baku-Udang </v>
      </c>
    </row>
    <row r="66" spans="2:12">
      <c r="B66" s="271"/>
      <c r="C66" s="271"/>
      <c r="D66" s="274"/>
      <c r="E66" s="275"/>
      <c r="F66" s="271"/>
      <c r="G66" s="272"/>
      <c r="H66" s="272"/>
      <c r="I66" s="272"/>
      <c r="J66" s="272"/>
      <c r="K66" s="271"/>
    </row>
    <row r="67" spans="2:12">
      <c r="B67" s="271" t="s">
        <v>1007</v>
      </c>
      <c r="C67" s="271"/>
      <c r="D67" s="26" t="s">
        <v>255</v>
      </c>
      <c r="E67" s="275"/>
      <c r="F67" s="271"/>
      <c r="G67" s="272"/>
      <c r="H67" s="272"/>
      <c r="I67" s="272">
        <f>H70</f>
        <v>9055934</v>
      </c>
      <c r="J67" s="272"/>
      <c r="K67" s="271" t="s">
        <v>1008</v>
      </c>
    </row>
    <row r="68" spans="2:12">
      <c r="B68" s="271" t="str">
        <f>B67</f>
        <v>CAJE 14</v>
      </c>
      <c r="C68" s="271"/>
      <c r="D68" s="274" t="s">
        <v>268</v>
      </c>
      <c r="E68" s="275"/>
      <c r="F68" s="271"/>
      <c r="G68" s="658"/>
      <c r="H68" s="658"/>
      <c r="I68" s="658">
        <f>H69+H71+H72</f>
        <v>133305163</v>
      </c>
      <c r="J68" s="658"/>
      <c r="K68" s="271" t="s">
        <v>1009</v>
      </c>
    </row>
    <row r="69" spans="2:12">
      <c r="B69" s="271" t="str">
        <f>B68</f>
        <v>CAJE 14</v>
      </c>
      <c r="C69" s="271"/>
      <c r="D69" s="274"/>
      <c r="E69" s="275" t="s">
        <v>156</v>
      </c>
      <c r="F69" s="271"/>
      <c r="G69" s="658"/>
      <c r="H69" s="658">
        <v>72788250</v>
      </c>
      <c r="I69" s="658"/>
      <c r="J69" s="658"/>
      <c r="K69" s="271" t="s">
        <v>1005</v>
      </c>
    </row>
    <row r="70" spans="2:12">
      <c r="B70" s="271" t="str">
        <f>B69</f>
        <v>CAJE 14</v>
      </c>
      <c r="C70" s="271"/>
      <c r="D70" s="274"/>
      <c r="E70" s="275" t="s">
        <v>158</v>
      </c>
      <c r="F70" s="271"/>
      <c r="G70" s="658"/>
      <c r="H70" s="658">
        <v>9055934</v>
      </c>
      <c r="I70" s="658"/>
      <c r="J70" s="658"/>
      <c r="K70" s="271" t="s">
        <v>1006</v>
      </c>
    </row>
    <row r="71" spans="2:12">
      <c r="B71" s="271" t="str">
        <f t="shared" ref="B71:B72" si="8">B70</f>
        <v>CAJE 14</v>
      </c>
      <c r="C71" s="271"/>
      <c r="D71" s="274"/>
      <c r="E71" s="275" t="s">
        <v>163</v>
      </c>
      <c r="F71" s="271"/>
      <c r="G71" s="658"/>
      <c r="H71" s="658">
        <v>48965375</v>
      </c>
      <c r="I71" s="658"/>
      <c r="J71" s="658"/>
      <c r="K71" s="271" t="s">
        <v>1005</v>
      </c>
    </row>
    <row r="72" spans="2:12">
      <c r="B72" s="271" t="str">
        <f t="shared" si="8"/>
        <v>CAJE 14</v>
      </c>
      <c r="C72" s="271"/>
      <c r="D72" s="274"/>
      <c r="E72" s="275" t="s">
        <v>179</v>
      </c>
      <c r="F72" s="271"/>
      <c r="G72" s="658"/>
      <c r="H72" s="658">
        <v>11551538</v>
      </c>
      <c r="I72" s="658"/>
      <c r="J72" s="658"/>
      <c r="K72" s="271" t="s">
        <v>1005</v>
      </c>
    </row>
    <row r="73" spans="2:12">
      <c r="B73" s="271"/>
      <c r="C73" s="271"/>
      <c r="D73" s="274"/>
      <c r="E73" s="275"/>
      <c r="F73" s="271"/>
      <c r="G73" s="272"/>
      <c r="H73" s="272"/>
      <c r="I73" s="272"/>
      <c r="J73" s="272"/>
      <c r="K73" s="271"/>
    </row>
    <row r="74" spans="2:12">
      <c r="B74" s="271" t="s">
        <v>969</v>
      </c>
      <c r="C74" s="271"/>
      <c r="D74" s="274" t="s">
        <v>1014</v>
      </c>
      <c r="E74" s="275"/>
      <c r="F74" s="271"/>
      <c r="G74" s="272"/>
      <c r="H74" s="272"/>
      <c r="I74" s="272">
        <f>J75</f>
        <v>0</v>
      </c>
      <c r="J74" s="272"/>
      <c r="K74" s="271" t="s">
        <v>1015</v>
      </c>
      <c r="L74" s="268">
        <v>2085951250</v>
      </c>
    </row>
    <row r="75" spans="2:12">
      <c r="B75" s="271" t="str">
        <f>B74</f>
        <v>RLKS 2</v>
      </c>
      <c r="C75" s="271"/>
      <c r="D75" s="274"/>
      <c r="E75" s="275" t="s">
        <v>335</v>
      </c>
      <c r="F75" s="271"/>
      <c r="G75" s="272"/>
      <c r="H75" s="272"/>
      <c r="I75" s="272"/>
      <c r="J75" s="272">
        <f>2085951250*0</f>
        <v>0</v>
      </c>
      <c r="K75" s="271" t="str">
        <f>K74</f>
        <v>Pajak atas PPH 25 Badan atas pengungkapan ketidak benaran masa Des 2018 atas Surat Nomor: S-II/HPBP/WPJ.28/2024</v>
      </c>
    </row>
    <row r="76" spans="2:12">
      <c r="B76" s="271"/>
      <c r="C76" s="271"/>
      <c r="D76" s="274"/>
      <c r="E76" s="275"/>
      <c r="F76" s="271"/>
      <c r="G76" s="272"/>
      <c r="H76" s="272"/>
      <c r="I76" s="272"/>
      <c r="J76" s="272"/>
      <c r="K76" s="271"/>
    </row>
    <row r="77" spans="2:12">
      <c r="B77" s="271" t="s">
        <v>1017</v>
      </c>
      <c r="C77" s="271"/>
      <c r="D77" s="26" t="s">
        <v>42</v>
      </c>
      <c r="E77" s="275"/>
      <c r="F77" s="274"/>
      <c r="G77" s="672">
        <v>2304857600</v>
      </c>
      <c r="H77" s="668"/>
      <c r="I77" s="272"/>
      <c r="J77" s="272"/>
      <c r="K77" s="271" t="s">
        <v>1019</v>
      </c>
    </row>
    <row r="78" spans="2:12">
      <c r="B78" s="271" t="str">
        <f t="shared" ref="B78:B82" si="9">B77</f>
        <v>CAJE 15</v>
      </c>
      <c r="C78" s="271"/>
      <c r="D78" s="26" t="s">
        <v>42</v>
      </c>
      <c r="E78" s="275"/>
      <c r="F78" s="274"/>
      <c r="G78" s="672">
        <f>1769550400*0</f>
        <v>0</v>
      </c>
      <c r="H78" s="668"/>
      <c r="I78" s="272"/>
      <c r="J78" s="272"/>
      <c r="K78" s="271" t="s">
        <v>1020</v>
      </c>
    </row>
    <row r="79" spans="2:12">
      <c r="B79" s="271" t="str">
        <f t="shared" si="9"/>
        <v>CAJE 15</v>
      </c>
      <c r="C79" s="271"/>
      <c r="D79" s="26" t="s">
        <v>50</v>
      </c>
      <c r="E79" s="275"/>
      <c r="F79" s="274"/>
      <c r="G79" s="672">
        <v>1783098720</v>
      </c>
      <c r="H79" s="668"/>
      <c r="I79" s="272"/>
      <c r="J79" s="272"/>
      <c r="K79" s="271" t="s">
        <v>1021</v>
      </c>
    </row>
    <row r="80" spans="2:12">
      <c r="B80" s="271" t="str">
        <f t="shared" si="9"/>
        <v>CAJE 15</v>
      </c>
      <c r="C80" s="271"/>
      <c r="D80" s="26" t="s">
        <v>42</v>
      </c>
      <c r="E80" s="275"/>
      <c r="F80" s="274"/>
      <c r="G80" s="672">
        <v>1998078000</v>
      </c>
      <c r="H80" s="668"/>
      <c r="I80" s="272"/>
      <c r="J80" s="272"/>
      <c r="K80" s="271" t="s">
        <v>1028</v>
      </c>
    </row>
    <row r="81" spans="2:11">
      <c r="B81" s="271" t="str">
        <f t="shared" si="9"/>
        <v>CAJE 15</v>
      </c>
      <c r="C81" s="271"/>
      <c r="D81" s="26" t="s">
        <v>42</v>
      </c>
      <c r="E81" s="275"/>
      <c r="F81" s="274"/>
      <c r="G81" s="672">
        <v>1930996000</v>
      </c>
      <c r="H81" s="668"/>
      <c r="I81" s="272"/>
      <c r="J81" s="272"/>
      <c r="K81" s="271" t="s">
        <v>1022</v>
      </c>
    </row>
    <row r="82" spans="2:11">
      <c r="B82" s="271" t="str">
        <f t="shared" si="9"/>
        <v>CAJE 15</v>
      </c>
      <c r="C82" s="271"/>
      <c r="D82" s="274"/>
      <c r="E82" s="275" t="s">
        <v>1018</v>
      </c>
      <c r="F82" s="274"/>
      <c r="G82" s="272"/>
      <c r="H82" s="668"/>
      <c r="I82" s="272"/>
      <c r="J82" s="272">
        <f>SUM(G77:G81)</f>
        <v>8017030320</v>
      </c>
      <c r="K82" s="271"/>
    </row>
    <row r="83" spans="2:11">
      <c r="B83" s="271"/>
      <c r="C83" s="271"/>
      <c r="D83" s="664" t="s">
        <v>1023</v>
      </c>
      <c r="E83" s="275"/>
      <c r="F83" s="271"/>
      <c r="G83" s="272"/>
      <c r="H83" s="272"/>
      <c r="I83" s="272"/>
      <c r="J83" s="272"/>
      <c r="K83" s="271"/>
    </row>
    <row r="84" spans="2:11">
      <c r="B84" s="271"/>
      <c r="C84" s="271"/>
      <c r="D84" s="274"/>
      <c r="E84" s="275"/>
      <c r="F84" s="271"/>
      <c r="G84" s="272"/>
      <c r="H84" s="272"/>
      <c r="I84" s="272"/>
      <c r="J84" s="272"/>
      <c r="K84" s="271"/>
    </row>
    <row r="85" spans="2:11">
      <c r="B85" s="271" t="s">
        <v>1025</v>
      </c>
      <c r="C85" s="271"/>
      <c r="D85" s="274" t="s">
        <v>204</v>
      </c>
      <c r="E85" s="275"/>
      <c r="F85" s="271"/>
      <c r="G85" s="272">
        <f>J89</f>
        <v>235926918</v>
      </c>
      <c r="H85" s="272"/>
      <c r="I85" s="272"/>
      <c r="J85" s="272"/>
      <c r="K85" s="271"/>
    </row>
    <row r="86" spans="2:11">
      <c r="B86" s="271" t="str">
        <f>B85</f>
        <v>CAJE 16</v>
      </c>
      <c r="C86" s="271"/>
      <c r="D86" s="274" t="s">
        <v>596</v>
      </c>
      <c r="E86" s="275"/>
      <c r="F86" s="271"/>
      <c r="G86" s="272">
        <f>J88</f>
        <v>203119924</v>
      </c>
      <c r="H86" s="272"/>
      <c r="I86" s="272"/>
      <c r="J86" s="272"/>
      <c r="K86" s="271"/>
    </row>
    <row r="87" spans="2:11">
      <c r="B87" s="271"/>
      <c r="C87" s="271"/>
      <c r="D87" s="274"/>
      <c r="E87" s="275"/>
      <c r="F87" s="271"/>
      <c r="G87" s="272"/>
      <c r="H87" s="272"/>
      <c r="I87" s="272"/>
      <c r="J87" s="272"/>
      <c r="K87" s="271"/>
    </row>
    <row r="88" spans="2:11">
      <c r="B88" s="271" t="str">
        <f>B86</f>
        <v>CAJE 16</v>
      </c>
      <c r="C88" s="271"/>
      <c r="D88" s="274"/>
      <c r="E88" s="275" t="s">
        <v>341</v>
      </c>
      <c r="F88" s="271"/>
      <c r="G88" s="272"/>
      <c r="H88" s="272"/>
      <c r="I88" s="272"/>
      <c r="J88" s="272">
        <v>203119924</v>
      </c>
      <c r="K88" s="271"/>
    </row>
    <row r="89" spans="2:11">
      <c r="B89" s="271" t="str">
        <f t="shared" ref="B89" si="10">B88</f>
        <v>CAJE 16</v>
      </c>
      <c r="C89" s="271"/>
      <c r="D89" s="274"/>
      <c r="E89" s="275" t="s">
        <v>305</v>
      </c>
      <c r="F89" s="271"/>
      <c r="G89" s="272"/>
      <c r="H89" s="272"/>
      <c r="I89" s="272"/>
      <c r="J89" s="272">
        <v>235926918</v>
      </c>
      <c r="K89" s="271"/>
    </row>
    <row r="90" spans="2:11">
      <c r="B90" s="271"/>
      <c r="C90" s="271"/>
      <c r="D90" s="274"/>
      <c r="E90" s="275"/>
      <c r="F90" s="271"/>
      <c r="G90" s="272"/>
      <c r="H90" s="272"/>
      <c r="I90" s="272"/>
      <c r="J90" s="272"/>
      <c r="K90" s="271"/>
    </row>
    <row r="91" spans="2:11">
      <c r="B91" s="271" t="s">
        <v>1027</v>
      </c>
      <c r="C91" s="271"/>
      <c r="D91" s="274" t="s">
        <v>164</v>
      </c>
      <c r="E91" s="275"/>
      <c r="F91" s="271"/>
      <c r="G91" s="272">
        <f>J92</f>
        <v>804952539</v>
      </c>
      <c r="H91" s="272"/>
      <c r="I91" s="272"/>
      <c r="J91" s="272"/>
      <c r="K91" s="271"/>
    </row>
    <row r="92" spans="2:11">
      <c r="B92" s="271" t="str">
        <f>B91</f>
        <v>CAJE 17</v>
      </c>
      <c r="C92" s="271"/>
      <c r="D92" s="274"/>
      <c r="E92" s="275" t="s">
        <v>255</v>
      </c>
      <c r="F92" s="271"/>
      <c r="G92" s="272"/>
      <c r="H92" s="272"/>
      <c r="I92" s="272"/>
      <c r="J92" s="272">
        <v>804952539</v>
      </c>
      <c r="K92" s="271"/>
    </row>
    <row r="93" spans="2:11">
      <c r="B93" s="271"/>
      <c r="C93" s="271"/>
      <c r="D93" s="274"/>
      <c r="E93" s="275"/>
      <c r="F93" s="271"/>
      <c r="G93" s="272"/>
      <c r="H93" s="272"/>
      <c r="I93" s="272"/>
      <c r="J93" s="272"/>
      <c r="K93" s="271"/>
    </row>
    <row r="94" spans="2:11">
      <c r="B94" s="271" t="s">
        <v>1030</v>
      </c>
      <c r="C94" s="271"/>
      <c r="D94" s="274" t="s">
        <v>1029</v>
      </c>
      <c r="E94" s="275"/>
      <c r="F94" s="271"/>
      <c r="G94" s="272">
        <f>H95</f>
        <v>3115944915</v>
      </c>
      <c r="H94" s="272"/>
      <c r="I94" s="272"/>
      <c r="J94" s="272"/>
      <c r="K94" s="271"/>
    </row>
    <row r="95" spans="2:11">
      <c r="B95" s="271" t="str">
        <f>B94</f>
        <v>ACJE 18</v>
      </c>
      <c r="C95" s="271"/>
      <c r="D95" s="274"/>
      <c r="E95" s="275" t="s">
        <v>81</v>
      </c>
      <c r="F95" s="271"/>
      <c r="G95" s="272"/>
      <c r="H95" s="272">
        <v>3115944915</v>
      </c>
      <c r="I95" s="272"/>
      <c r="J95" s="272"/>
      <c r="K95" s="271"/>
    </row>
    <row r="96" spans="2:11">
      <c r="B96" s="271"/>
      <c r="C96" s="271"/>
      <c r="D96" s="664" t="s">
        <v>1031</v>
      </c>
      <c r="E96" s="275"/>
      <c r="F96" s="271"/>
      <c r="G96" s="272"/>
      <c r="H96" s="272"/>
      <c r="I96" s="272"/>
      <c r="J96" s="272"/>
      <c r="K96" s="271"/>
    </row>
    <row r="97" spans="2:16">
      <c r="B97" s="271"/>
      <c r="C97" s="271"/>
      <c r="D97" s="274"/>
      <c r="E97" s="275"/>
      <c r="F97" s="271"/>
      <c r="G97" s="272"/>
      <c r="H97" s="272"/>
      <c r="I97" s="272"/>
      <c r="J97" s="272"/>
      <c r="K97" s="271"/>
    </row>
    <row r="98" spans="2:16">
      <c r="B98" s="271" t="str">
        <f>B99</f>
        <v>AJE 19</v>
      </c>
      <c r="C98" s="271"/>
      <c r="D98" s="274" t="s">
        <v>345</v>
      </c>
      <c r="E98" s="275"/>
      <c r="F98" s="271"/>
      <c r="G98" s="272">
        <f>H99</f>
        <v>32500000</v>
      </c>
      <c r="H98" s="272"/>
      <c r="I98" s="272"/>
      <c r="J98" s="272"/>
      <c r="K98" s="271"/>
    </row>
    <row r="99" spans="2:16">
      <c r="B99" s="271" t="s">
        <v>1032</v>
      </c>
      <c r="C99" s="271"/>
      <c r="D99" s="274"/>
      <c r="E99" s="275" t="s">
        <v>81</v>
      </c>
      <c r="F99" s="271"/>
      <c r="G99" s="272"/>
      <c r="H99" s="272">
        <v>32500000</v>
      </c>
      <c r="I99" s="272"/>
      <c r="J99" s="272"/>
      <c r="K99" s="271"/>
    </row>
    <row r="100" spans="2:16">
      <c r="B100" s="271"/>
      <c r="C100" s="271"/>
      <c r="D100" s="664" t="s">
        <v>1033</v>
      </c>
      <c r="E100" s="275"/>
      <c r="F100" s="271"/>
      <c r="G100" s="272"/>
      <c r="H100" s="272"/>
      <c r="I100" s="272"/>
      <c r="J100" s="272"/>
      <c r="K100" s="271"/>
    </row>
    <row r="101" spans="2:16">
      <c r="B101" s="271"/>
      <c r="C101" s="271"/>
      <c r="D101" s="274"/>
      <c r="E101" s="275"/>
      <c r="F101" s="271"/>
      <c r="G101" s="272"/>
      <c r="H101" s="272"/>
      <c r="I101" s="272"/>
      <c r="J101" s="272"/>
      <c r="K101" s="271"/>
    </row>
    <row r="102" spans="2:16">
      <c r="B102" s="271" t="s">
        <v>1035</v>
      </c>
      <c r="C102" s="271"/>
      <c r="D102" s="274" t="s">
        <v>305</v>
      </c>
      <c r="E102" s="275"/>
      <c r="F102" s="271"/>
      <c r="G102" s="272"/>
      <c r="H102" s="272"/>
      <c r="I102" s="272">
        <f>1062458672.87</f>
        <v>1062458672.87</v>
      </c>
      <c r="J102" s="272"/>
      <c r="K102" s="382">
        <f>I102-J102</f>
        <v>1062458672.87</v>
      </c>
      <c r="M102" s="272"/>
      <c r="N102" s="272"/>
      <c r="O102" s="272">
        <v>1155605626.26</v>
      </c>
      <c r="P102" s="272"/>
    </row>
    <row r="103" spans="2:16">
      <c r="B103" s="271" t="str">
        <f>B102</f>
        <v>AJE 20</v>
      </c>
      <c r="C103" s="271"/>
      <c r="D103" s="274"/>
      <c r="E103" s="275" t="s">
        <v>204</v>
      </c>
      <c r="F103" s="271"/>
      <c r="G103" s="272"/>
      <c r="H103" s="272">
        <f>I102</f>
        <v>1062458672.87</v>
      </c>
      <c r="I103" s="272"/>
      <c r="J103" s="272"/>
      <c r="K103" s="271"/>
      <c r="M103" s="272"/>
      <c r="N103" s="272">
        <f>O102</f>
        <v>1155605626.26</v>
      </c>
      <c r="O103" s="272"/>
      <c r="P103" s="272"/>
    </row>
    <row r="104" spans="2:16">
      <c r="B104" s="271"/>
      <c r="C104" s="271"/>
      <c r="D104" s="274"/>
      <c r="E104" s="275"/>
      <c r="F104" s="271"/>
      <c r="G104" s="272"/>
      <c r="H104" s="272"/>
      <c r="I104" s="272"/>
      <c r="J104" s="272"/>
      <c r="K104" s="271"/>
      <c r="M104" s="272"/>
      <c r="N104" s="272"/>
      <c r="O104" s="272"/>
      <c r="P104" s="272"/>
    </row>
    <row r="105" spans="2:16">
      <c r="B105" s="271" t="s">
        <v>1036</v>
      </c>
      <c r="C105" s="271"/>
      <c r="D105" s="274" t="s">
        <v>985</v>
      </c>
      <c r="E105" s="275"/>
      <c r="F105" s="271"/>
      <c r="G105" s="658">
        <f>390700399.72</f>
        <v>390700399.72000003</v>
      </c>
      <c r="H105" s="658"/>
      <c r="I105" s="658"/>
      <c r="J105" s="658"/>
      <c r="K105" s="271"/>
      <c r="M105" s="658">
        <v>390700399.72000027</v>
      </c>
      <c r="N105" s="658"/>
      <c r="O105" s="658"/>
      <c r="P105" s="658"/>
    </row>
    <row r="106" spans="2:16">
      <c r="B106" s="271" t="s">
        <v>1036</v>
      </c>
      <c r="C106" s="271"/>
      <c r="D106" s="274" t="s">
        <v>561</v>
      </c>
      <c r="E106" s="275"/>
      <c r="F106" s="271"/>
      <c r="G106" s="658">
        <f>200753868.45</f>
        <v>200753868.44999999</v>
      </c>
      <c r="H106" s="658"/>
      <c r="I106" s="658"/>
      <c r="J106" s="658"/>
      <c r="K106" s="271"/>
      <c r="M106" s="658"/>
      <c r="N106" s="658"/>
      <c r="O106" s="658"/>
      <c r="P106" s="658"/>
    </row>
    <row r="107" spans="2:16">
      <c r="B107" s="271" t="s">
        <v>1036</v>
      </c>
      <c r="C107" s="271"/>
      <c r="D107" s="274"/>
      <c r="E107" s="275" t="s">
        <v>255</v>
      </c>
      <c r="F107" s="271"/>
      <c r="G107" s="658"/>
      <c r="H107" s="658"/>
      <c r="I107" s="658"/>
      <c r="J107" s="658">
        <f>SUM(G105:G106)</f>
        <v>591454268.17000008</v>
      </c>
      <c r="K107" s="271"/>
      <c r="M107" s="658"/>
      <c r="N107" s="658"/>
      <c r="O107" s="658"/>
      <c r="P107" s="658">
        <f>SUM(M105:M105)</f>
        <v>390700399.72000027</v>
      </c>
    </row>
    <row r="108" spans="2:16">
      <c r="B108" s="271"/>
      <c r="C108" s="271"/>
      <c r="D108" s="274"/>
      <c r="E108" s="275"/>
      <c r="F108" s="271"/>
      <c r="G108" s="658"/>
      <c r="H108" s="658"/>
      <c r="I108" s="658"/>
      <c r="J108" s="658"/>
      <c r="K108" s="271"/>
      <c r="M108" s="658"/>
      <c r="N108" s="658"/>
      <c r="O108" s="658"/>
      <c r="P108" s="658"/>
    </row>
    <row r="109" spans="2:16">
      <c r="B109" s="271" t="s">
        <v>1038</v>
      </c>
      <c r="C109" s="271"/>
      <c r="D109" s="274" t="s">
        <v>346</v>
      </c>
      <c r="E109" s="275"/>
      <c r="F109" s="271"/>
      <c r="G109" s="272"/>
      <c r="H109" s="272"/>
      <c r="I109" s="272">
        <v>209687496</v>
      </c>
      <c r="J109" s="272"/>
      <c r="K109" s="271"/>
      <c r="M109" s="272"/>
      <c r="N109" s="272"/>
      <c r="O109" s="272">
        <v>209687496</v>
      </c>
      <c r="P109" s="272"/>
    </row>
    <row r="110" spans="2:16">
      <c r="B110" s="271" t="str">
        <f>B109</f>
        <v>CAJE 22</v>
      </c>
      <c r="C110" s="271"/>
      <c r="D110" s="274"/>
      <c r="E110" s="275" t="s">
        <v>221</v>
      </c>
      <c r="F110" s="271"/>
      <c r="G110" s="272"/>
      <c r="H110" s="272">
        <f>I109</f>
        <v>209687496</v>
      </c>
      <c r="I110" s="272"/>
      <c r="J110" s="272"/>
      <c r="K110" s="271"/>
      <c r="M110" s="272"/>
      <c r="N110" s="272">
        <f>O109</f>
        <v>209687496</v>
      </c>
      <c r="O110" s="272"/>
      <c r="P110" s="272"/>
    </row>
    <row r="111" spans="2:16">
      <c r="B111" s="271"/>
      <c r="C111" s="271"/>
      <c r="D111" s="274"/>
      <c r="E111" s="275"/>
      <c r="F111" s="271"/>
      <c r="G111" s="272"/>
      <c r="H111" s="272"/>
      <c r="I111" s="272"/>
      <c r="J111" s="272"/>
      <c r="K111" s="271"/>
    </row>
    <row r="112" spans="2:16">
      <c r="B112" s="271"/>
      <c r="C112" s="271"/>
      <c r="D112" s="274"/>
      <c r="E112" s="275"/>
      <c r="F112" s="271"/>
      <c r="G112" s="272"/>
      <c r="H112" s="272"/>
      <c r="I112" s="272"/>
      <c r="J112" s="272"/>
      <c r="K112" s="271"/>
    </row>
    <row r="113" spans="2:11">
      <c r="B113" s="271"/>
      <c r="C113" s="271"/>
      <c r="D113" s="274"/>
      <c r="E113" s="275"/>
      <c r="F113" s="271"/>
      <c r="G113" s="272"/>
      <c r="H113" s="272"/>
      <c r="I113" s="272"/>
      <c r="J113" s="272"/>
      <c r="K113" s="271"/>
    </row>
    <row r="114" spans="2:11">
      <c r="B114" s="271"/>
      <c r="C114" s="271"/>
      <c r="D114" s="274"/>
      <c r="E114" s="275"/>
      <c r="F114" s="271"/>
      <c r="G114" s="272"/>
      <c r="H114" s="272"/>
      <c r="I114" s="272"/>
      <c r="J114" s="272"/>
      <c r="K114" s="271"/>
    </row>
    <row r="115" spans="2:11">
      <c r="B115" s="271"/>
      <c r="C115" s="271"/>
      <c r="D115" s="274"/>
      <c r="E115" s="275"/>
      <c r="F115" s="271"/>
      <c r="G115" s="272"/>
      <c r="H115" s="272"/>
      <c r="I115" s="272"/>
      <c r="J115" s="272"/>
      <c r="K115" s="271"/>
    </row>
    <row r="116" spans="2:11">
      <c r="B116" s="271"/>
      <c r="C116" s="271"/>
      <c r="D116" s="274"/>
      <c r="E116" s="275"/>
      <c r="F116" s="271"/>
      <c r="G116" s="272"/>
      <c r="H116" s="272"/>
      <c r="I116" s="272"/>
      <c r="J116" s="272"/>
      <c r="K116" s="271"/>
    </row>
    <row r="117" spans="2:11">
      <c r="B117" s="271"/>
      <c r="C117" s="271"/>
      <c r="D117" s="274"/>
      <c r="E117" s="275"/>
      <c r="F117" s="271"/>
      <c r="G117" s="272"/>
      <c r="H117" s="272"/>
      <c r="I117" s="272"/>
      <c r="J117" s="272"/>
      <c r="K117" s="271"/>
    </row>
    <row r="118" spans="2:11">
      <c r="B118" s="271"/>
      <c r="C118" s="271"/>
      <c r="D118" s="274"/>
      <c r="E118" s="275"/>
      <c r="F118" s="271"/>
      <c r="G118" s="272"/>
      <c r="H118" s="272"/>
      <c r="I118" s="272"/>
      <c r="J118" s="272"/>
      <c r="K118" s="271"/>
    </row>
    <row r="119" spans="2:11">
      <c r="B119" s="271"/>
      <c r="C119" s="271"/>
      <c r="D119" s="274"/>
      <c r="E119" s="275"/>
      <c r="F119" s="271"/>
      <c r="G119" s="272"/>
      <c r="H119" s="272"/>
      <c r="I119" s="272"/>
      <c r="J119" s="272"/>
      <c r="K119" s="271"/>
    </row>
    <row r="120" spans="2:11">
      <c r="B120" s="271"/>
      <c r="C120" s="271"/>
      <c r="D120" s="274"/>
      <c r="E120" s="275"/>
      <c r="F120" s="271"/>
      <c r="G120" s="272"/>
      <c r="H120" s="272"/>
      <c r="I120" s="272"/>
      <c r="J120" s="272"/>
      <c r="K120" s="271"/>
    </row>
    <row r="121" spans="2:11">
      <c r="B121" s="271"/>
      <c r="C121" s="271"/>
      <c r="D121" s="274"/>
      <c r="E121" s="275"/>
      <c r="F121" s="271"/>
      <c r="G121" s="272"/>
      <c r="H121" s="272"/>
      <c r="I121" s="272"/>
      <c r="J121" s="272"/>
      <c r="K121" s="271"/>
    </row>
    <row r="122" spans="2:11">
      <c r="B122" s="271"/>
      <c r="C122" s="271"/>
      <c r="D122" s="274"/>
      <c r="E122" s="275"/>
      <c r="F122" s="271"/>
      <c r="G122" s="272"/>
      <c r="H122" s="272"/>
      <c r="I122" s="272"/>
      <c r="J122" s="272"/>
      <c r="K122" s="271"/>
    </row>
    <row r="123" spans="2:11">
      <c r="B123" s="271"/>
      <c r="C123" s="271"/>
      <c r="D123" s="274"/>
      <c r="E123" s="275"/>
      <c r="F123" s="271"/>
      <c r="G123" s="272"/>
      <c r="H123" s="272"/>
      <c r="I123" s="272"/>
      <c r="J123" s="272"/>
      <c r="K123" s="271"/>
    </row>
    <row r="124" spans="2:11">
      <c r="B124" s="271"/>
      <c r="C124" s="271"/>
      <c r="D124" s="274"/>
      <c r="E124" s="275"/>
      <c r="F124" s="271"/>
      <c r="G124" s="272"/>
      <c r="H124" s="272"/>
      <c r="I124" s="272"/>
      <c r="J124" s="272"/>
      <c r="K124" s="271"/>
    </row>
    <row r="125" spans="2:11">
      <c r="B125" s="271"/>
      <c r="C125" s="271"/>
      <c r="D125" s="274"/>
      <c r="E125" s="275"/>
      <c r="F125" s="271"/>
      <c r="G125" s="272"/>
      <c r="H125" s="272"/>
      <c r="I125" s="272"/>
      <c r="J125" s="272"/>
      <c r="K125" s="271"/>
    </row>
    <row r="126" spans="2:11">
      <c r="B126" s="271"/>
      <c r="C126" s="271"/>
      <c r="D126" s="274"/>
      <c r="E126" s="275"/>
      <c r="F126" s="271"/>
      <c r="G126" s="272"/>
      <c r="H126" s="272"/>
      <c r="I126" s="272"/>
      <c r="J126" s="272"/>
      <c r="K126" s="271"/>
    </row>
    <row r="127" spans="2:11">
      <c r="B127" s="271"/>
      <c r="C127" s="271"/>
      <c r="D127" s="274"/>
      <c r="E127" s="275"/>
      <c r="F127" s="271"/>
      <c r="G127" s="272"/>
      <c r="H127" s="272"/>
      <c r="I127" s="272"/>
      <c r="J127" s="272"/>
      <c r="K127" s="271"/>
    </row>
    <row r="128" spans="2:11">
      <c r="B128" s="271"/>
      <c r="C128" s="271"/>
      <c r="D128" s="274"/>
      <c r="E128" s="275"/>
      <c r="F128" s="271"/>
      <c r="G128" s="272"/>
      <c r="H128" s="272"/>
      <c r="I128" s="272"/>
      <c r="J128" s="272"/>
      <c r="K128" s="271"/>
    </row>
    <row r="129" spans="2:11">
      <c r="B129" s="271"/>
      <c r="C129" s="271"/>
      <c r="D129" s="274"/>
      <c r="E129" s="275"/>
      <c r="F129" s="271"/>
      <c r="G129" s="272"/>
      <c r="H129" s="272"/>
      <c r="I129" s="272"/>
      <c r="J129" s="272"/>
      <c r="K129" s="271"/>
    </row>
    <row r="130" spans="2:11">
      <c r="B130" s="271"/>
      <c r="C130" s="271"/>
      <c r="D130" s="274"/>
      <c r="E130" s="275"/>
      <c r="F130" s="271"/>
      <c r="G130" s="272"/>
      <c r="H130" s="272"/>
      <c r="I130" s="272"/>
      <c r="J130" s="272"/>
      <c r="K130" s="271"/>
    </row>
    <row r="131" spans="2:11">
      <c r="B131" s="271"/>
      <c r="C131" s="271"/>
      <c r="D131" s="274"/>
      <c r="E131" s="275"/>
      <c r="F131" s="271"/>
      <c r="G131" s="272"/>
      <c r="H131" s="272"/>
      <c r="I131" s="272"/>
      <c r="J131" s="272"/>
      <c r="K131" s="271"/>
    </row>
    <row r="132" spans="2:11">
      <c r="B132" s="271"/>
      <c r="C132" s="271"/>
      <c r="D132" s="274"/>
      <c r="E132" s="275"/>
      <c r="F132" s="271"/>
      <c r="G132" s="272"/>
      <c r="H132" s="272"/>
      <c r="I132" s="272"/>
      <c r="J132" s="272"/>
      <c r="K132" s="271"/>
    </row>
    <row r="133" spans="2:11">
      <c r="B133" s="271"/>
      <c r="C133" s="271"/>
      <c r="D133" s="274"/>
      <c r="E133" s="275"/>
      <c r="F133" s="271"/>
      <c r="G133" s="272"/>
      <c r="H133" s="272"/>
      <c r="I133" s="272"/>
      <c r="J133" s="272"/>
      <c r="K133" s="271"/>
    </row>
    <row r="134" spans="2:11">
      <c r="B134" s="271"/>
      <c r="C134" s="271"/>
      <c r="D134" s="274"/>
      <c r="E134" s="275"/>
      <c r="F134" s="271"/>
      <c r="G134" s="272"/>
      <c r="H134" s="272"/>
      <c r="I134" s="272"/>
      <c r="J134" s="272"/>
      <c r="K134" s="271"/>
    </row>
    <row r="135" spans="2:11">
      <c r="B135" s="271"/>
      <c r="C135" s="271"/>
      <c r="D135" s="274"/>
      <c r="E135" s="275"/>
      <c r="F135" s="271"/>
      <c r="G135" s="272"/>
      <c r="H135" s="272"/>
      <c r="I135" s="272"/>
      <c r="J135" s="272"/>
      <c r="K135" s="271"/>
    </row>
    <row r="136" spans="2:11">
      <c r="B136" s="271"/>
      <c r="C136" s="271"/>
      <c r="D136" s="274"/>
      <c r="E136" s="275"/>
      <c r="F136" s="271"/>
      <c r="G136" s="272"/>
      <c r="H136" s="272"/>
      <c r="I136" s="272"/>
      <c r="J136" s="272"/>
      <c r="K136" s="271"/>
    </row>
    <row r="137" spans="2:11">
      <c r="B137" s="271"/>
      <c r="C137" s="271"/>
      <c r="D137" s="274"/>
      <c r="E137" s="275"/>
      <c r="F137" s="271"/>
      <c r="G137" s="272"/>
      <c r="H137" s="272"/>
      <c r="I137" s="272"/>
      <c r="J137" s="272"/>
      <c r="K137" s="271"/>
    </row>
    <row r="138" spans="2:11">
      <c r="B138" s="271"/>
      <c r="C138" s="271"/>
      <c r="D138" s="274"/>
      <c r="E138" s="275"/>
      <c r="F138" s="271"/>
      <c r="G138" s="272"/>
      <c r="H138" s="272"/>
      <c r="I138" s="272"/>
      <c r="J138" s="272"/>
      <c r="K138" s="271"/>
    </row>
    <row r="139" spans="2:11">
      <c r="B139" s="271"/>
      <c r="C139" s="271"/>
      <c r="D139" s="274"/>
      <c r="E139" s="275"/>
      <c r="F139" s="271"/>
      <c r="G139" s="272"/>
      <c r="H139" s="272"/>
      <c r="I139" s="272"/>
      <c r="J139" s="272"/>
      <c r="K139" s="271"/>
    </row>
    <row r="140" spans="2:11">
      <c r="B140" s="271"/>
      <c r="C140" s="271"/>
      <c r="D140" s="274"/>
      <c r="E140" s="275"/>
      <c r="F140" s="271"/>
      <c r="G140" s="272"/>
      <c r="H140" s="272"/>
      <c r="I140" s="272"/>
      <c r="J140" s="272"/>
      <c r="K140" s="271"/>
    </row>
    <row r="141" spans="2:11">
      <c r="B141" s="271"/>
      <c r="C141" s="271"/>
      <c r="D141" s="274"/>
      <c r="E141" s="275"/>
      <c r="F141" s="271"/>
      <c r="G141" s="272"/>
      <c r="H141" s="272"/>
      <c r="I141" s="272"/>
      <c r="J141" s="272"/>
      <c r="K141" s="271"/>
    </row>
    <row r="142" spans="2:11">
      <c r="B142" s="271"/>
      <c r="C142" s="271"/>
      <c r="D142" s="274"/>
      <c r="E142" s="275"/>
      <c r="F142" s="271"/>
      <c r="G142" s="272"/>
      <c r="H142" s="272"/>
      <c r="I142" s="272"/>
      <c r="J142" s="272"/>
      <c r="K142" s="271"/>
    </row>
    <row r="143" spans="2:11">
      <c r="B143" s="271"/>
      <c r="C143" s="271"/>
      <c r="D143" s="274"/>
      <c r="E143" s="275"/>
      <c r="F143" s="271"/>
      <c r="G143" s="272"/>
      <c r="H143" s="272"/>
      <c r="I143" s="272"/>
      <c r="J143" s="272"/>
      <c r="K143" s="271"/>
    </row>
    <row r="144" spans="2:11">
      <c r="B144" s="271"/>
      <c r="C144" s="271"/>
      <c r="D144" s="274"/>
      <c r="E144" s="275"/>
      <c r="F144" s="271"/>
      <c r="G144" s="272"/>
      <c r="H144" s="272"/>
      <c r="I144" s="272"/>
      <c r="J144" s="272"/>
      <c r="K144" s="271"/>
    </row>
    <row r="145" spans="2:11">
      <c r="B145" s="271"/>
      <c r="C145" s="271"/>
      <c r="D145" s="274"/>
      <c r="E145" s="275"/>
      <c r="F145" s="271"/>
      <c r="G145" s="272"/>
      <c r="H145" s="272"/>
      <c r="I145" s="272"/>
      <c r="J145" s="272"/>
      <c r="K145" s="271"/>
    </row>
    <row r="146" spans="2:11">
      <c r="B146" s="271"/>
      <c r="C146" s="271"/>
      <c r="D146" s="274"/>
      <c r="E146" s="275"/>
      <c r="F146" s="271"/>
      <c r="G146" s="272"/>
      <c r="H146" s="272"/>
      <c r="I146" s="272"/>
      <c r="J146" s="272"/>
      <c r="K146" s="271"/>
    </row>
  </sheetData>
  <mergeCells count="7">
    <mergeCell ref="K3:K4"/>
    <mergeCell ref="B3:B4"/>
    <mergeCell ref="C3:C4"/>
    <mergeCell ref="D3:E4"/>
    <mergeCell ref="F3:F4"/>
    <mergeCell ref="G3:H3"/>
    <mergeCell ref="I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BA87-B011-4900-8D0F-98F0D60DD3DA}">
  <dimension ref="A2:K129"/>
  <sheetViews>
    <sheetView showGridLines="0" workbookViewId="0">
      <pane xSplit="4" ySplit="3" topLeftCell="E112" activePane="bottomRight" state="frozen"/>
      <selection pane="topRight" activeCell="E1" sqref="E1"/>
      <selection pane="bottomLeft" activeCell="A4" sqref="A4"/>
      <selection pane="bottomRight" activeCell="G121" sqref="G121"/>
    </sheetView>
  </sheetViews>
  <sheetFormatPr defaultRowHeight="14.5"/>
  <cols>
    <col min="1" max="1" width="12.7265625" style="877" customWidth="1"/>
    <col min="2" max="2" width="6.08984375" bestFit="1" customWidth="1"/>
    <col min="3" max="3" width="4.81640625" customWidth="1"/>
    <col min="4" max="4" width="36.7265625" customWidth="1"/>
    <col min="5" max="5" width="9.26953125" customWidth="1"/>
    <col min="6" max="9" width="18" customWidth="1"/>
    <col min="10" max="10" width="38.81640625" bestFit="1" customWidth="1"/>
  </cols>
  <sheetData>
    <row r="2" spans="1:10">
      <c r="A2" s="950" t="s">
        <v>562</v>
      </c>
      <c r="B2" s="950" t="s">
        <v>563</v>
      </c>
      <c r="C2" s="953" t="s">
        <v>564</v>
      </c>
      <c r="D2" s="954"/>
      <c r="E2" s="957" t="s">
        <v>565</v>
      </c>
      <c r="F2" s="959" t="s">
        <v>566</v>
      </c>
      <c r="G2" s="960"/>
      <c r="H2" s="961" t="s">
        <v>567</v>
      </c>
      <c r="I2" s="961"/>
      <c r="J2" s="950" t="s">
        <v>4</v>
      </c>
    </row>
    <row r="3" spans="1:10">
      <c r="A3" s="952"/>
      <c r="B3" s="952"/>
      <c r="C3" s="955"/>
      <c r="D3" s="956"/>
      <c r="E3" s="958"/>
      <c r="F3" s="276" t="s">
        <v>568</v>
      </c>
      <c r="G3" s="276" t="s">
        <v>569</v>
      </c>
      <c r="H3" s="277" t="s">
        <v>568</v>
      </c>
      <c r="I3" s="277" t="s">
        <v>569</v>
      </c>
      <c r="J3" s="951"/>
    </row>
    <row r="4" spans="1:10">
      <c r="A4" s="876"/>
      <c r="B4" s="271"/>
      <c r="C4" s="274"/>
      <c r="D4" s="275"/>
      <c r="E4" s="271"/>
      <c r="F4" s="272"/>
      <c r="G4" s="272"/>
      <c r="H4" s="272">
        <v>0.25</v>
      </c>
      <c r="I4" s="272"/>
      <c r="J4" s="271"/>
    </row>
    <row r="5" spans="1:10">
      <c r="A5" s="876" t="s">
        <v>571</v>
      </c>
      <c r="B5" s="271"/>
      <c r="C5" s="274" t="s">
        <v>102</v>
      </c>
      <c r="D5" s="275"/>
      <c r="E5" s="271"/>
      <c r="F5" s="272">
        <f>I16</f>
        <v>5655776</v>
      </c>
      <c r="G5" s="272"/>
      <c r="H5" s="272"/>
      <c r="I5" s="272"/>
      <c r="J5" s="271" t="s">
        <v>570</v>
      </c>
    </row>
    <row r="6" spans="1:10">
      <c r="A6" s="876" t="str">
        <f>A5</f>
        <v>CAJE 1</v>
      </c>
      <c r="B6" s="271"/>
      <c r="C6" s="274" t="s">
        <v>101</v>
      </c>
      <c r="D6" s="275"/>
      <c r="E6" s="271"/>
      <c r="F6" s="272">
        <f>I15</f>
        <v>5036130.8333335686</v>
      </c>
      <c r="G6" s="272"/>
      <c r="H6" s="272"/>
      <c r="I6" s="272"/>
      <c r="J6" s="271" t="s">
        <v>570</v>
      </c>
    </row>
    <row r="7" spans="1:10">
      <c r="A7" s="876" t="str">
        <f t="shared" ref="A7:A10" si="0">A6</f>
        <v>CAJE 1</v>
      </c>
      <c r="B7" s="271"/>
      <c r="C7" s="274" t="s">
        <v>97</v>
      </c>
      <c r="D7" s="275"/>
      <c r="E7" s="271"/>
      <c r="F7" s="272">
        <f>I14</f>
        <v>4.4739589691162109</v>
      </c>
      <c r="G7" s="272"/>
      <c r="H7" s="272"/>
      <c r="I7" s="272"/>
      <c r="J7" s="271" t="s">
        <v>570</v>
      </c>
    </row>
    <row r="8" spans="1:10">
      <c r="A8" s="876" t="str">
        <f t="shared" si="0"/>
        <v>CAJE 1</v>
      </c>
      <c r="B8" s="271"/>
      <c r="C8" s="274" t="s">
        <v>100</v>
      </c>
      <c r="D8" s="275"/>
      <c r="E8" s="271"/>
      <c r="F8" s="272">
        <f>I13</f>
        <v>2289582</v>
      </c>
      <c r="G8" s="272"/>
      <c r="H8" s="272"/>
      <c r="I8" s="272"/>
      <c r="J8" s="271" t="s">
        <v>570</v>
      </c>
    </row>
    <row r="9" spans="1:10">
      <c r="A9" s="876" t="str">
        <f t="shared" si="0"/>
        <v>CAJE 1</v>
      </c>
      <c r="B9" s="271"/>
      <c r="C9" s="274" t="s">
        <v>98</v>
      </c>
      <c r="D9" s="275"/>
      <c r="E9" s="271"/>
      <c r="F9" s="272">
        <f>I12</f>
        <v>6093750</v>
      </c>
      <c r="G9" s="272"/>
      <c r="H9" s="272"/>
      <c r="I9" s="272"/>
      <c r="J9" s="271" t="s">
        <v>570</v>
      </c>
    </row>
    <row r="10" spans="1:10">
      <c r="A10" s="876" t="str">
        <f t="shared" si="0"/>
        <v>CAJE 1</v>
      </c>
      <c r="B10" s="271"/>
      <c r="C10" s="274"/>
      <c r="D10" s="275" t="s">
        <v>96</v>
      </c>
      <c r="E10" s="271"/>
      <c r="F10" s="272"/>
      <c r="G10" s="272">
        <f>H11</f>
        <v>3.2833337783813441</v>
      </c>
      <c r="H10" s="272"/>
      <c r="I10" s="272"/>
      <c r="J10" s="271" t="s">
        <v>570</v>
      </c>
    </row>
    <row r="11" spans="1:10">
      <c r="A11" s="876" t="s">
        <v>571</v>
      </c>
      <c r="B11" s="271"/>
      <c r="C11" s="274" t="s">
        <v>358</v>
      </c>
      <c r="D11" s="275"/>
      <c r="E11" s="271"/>
      <c r="F11" s="272"/>
      <c r="G11" s="272"/>
      <c r="H11" s="272">
        <f>2.80000019073486+0.483333587646484</f>
        <v>3.2833337783813441</v>
      </c>
      <c r="I11" s="272"/>
      <c r="J11" s="271" t="s">
        <v>570</v>
      </c>
    </row>
    <row r="12" spans="1:10">
      <c r="A12" s="876" t="str">
        <f>A11</f>
        <v>CAJE 1</v>
      </c>
      <c r="B12" s="271"/>
      <c r="C12" s="274"/>
      <c r="D12" s="275" t="s">
        <v>361</v>
      </c>
      <c r="E12" s="271"/>
      <c r="F12" s="272"/>
      <c r="G12" s="272"/>
      <c r="H12" s="272"/>
      <c r="I12" s="272">
        <f>6093749.5+0.5</f>
        <v>6093750</v>
      </c>
      <c r="J12" s="271" t="s">
        <v>570</v>
      </c>
    </row>
    <row r="13" spans="1:10">
      <c r="A13" s="876" t="str">
        <f t="shared" ref="A13:A16" si="1">A12</f>
        <v>CAJE 1</v>
      </c>
      <c r="B13" s="271"/>
      <c r="C13" s="274"/>
      <c r="D13" s="275" t="s">
        <v>357</v>
      </c>
      <c r="E13" s="271"/>
      <c r="F13" s="272"/>
      <c r="G13" s="272"/>
      <c r="H13" s="272"/>
      <c r="I13" s="272">
        <v>2289582</v>
      </c>
      <c r="J13" s="271" t="s">
        <v>570</v>
      </c>
    </row>
    <row r="14" spans="1:10">
      <c r="A14" s="876" t="str">
        <f t="shared" si="1"/>
        <v>CAJE 1</v>
      </c>
      <c r="B14" s="271"/>
      <c r="C14" s="274"/>
      <c r="D14" s="275" t="s">
        <v>362</v>
      </c>
      <c r="E14" s="271"/>
      <c r="F14" s="272"/>
      <c r="G14" s="272"/>
      <c r="H14" s="272"/>
      <c r="I14" s="272">
        <f>4+0.473958969116211</f>
        <v>4.4739589691162109</v>
      </c>
      <c r="J14" s="271" t="s">
        <v>570</v>
      </c>
    </row>
    <row r="15" spans="1:10">
      <c r="A15" s="876" t="str">
        <f t="shared" si="1"/>
        <v>CAJE 1</v>
      </c>
      <c r="B15" s="271"/>
      <c r="C15" s="274"/>
      <c r="D15" s="275" t="s">
        <v>363</v>
      </c>
      <c r="E15" s="271"/>
      <c r="F15" s="272"/>
      <c r="G15" s="272"/>
      <c r="H15" s="272"/>
      <c r="I15" s="272">
        <f>5036131.14583333-0.312499761581421</f>
        <v>5036130.8333335686</v>
      </c>
      <c r="J15" s="271" t="s">
        <v>570</v>
      </c>
    </row>
    <row r="16" spans="1:10">
      <c r="A16" s="876" t="str">
        <f t="shared" si="1"/>
        <v>CAJE 1</v>
      </c>
      <c r="B16" s="271"/>
      <c r="C16" s="274"/>
      <c r="D16" s="275" t="s">
        <v>364</v>
      </c>
      <c r="E16" s="271"/>
      <c r="F16" s="272"/>
      <c r="G16" s="272"/>
      <c r="H16" s="272"/>
      <c r="I16" s="272">
        <f>5655776.25-0.25</f>
        <v>5655776</v>
      </c>
      <c r="J16" s="271" t="s">
        <v>570</v>
      </c>
    </row>
    <row r="17" spans="1:10">
      <c r="A17" s="876"/>
      <c r="B17" s="271"/>
      <c r="C17" s="274"/>
      <c r="D17" s="275"/>
      <c r="E17" s="271"/>
      <c r="F17" s="272"/>
      <c r="G17" s="272"/>
      <c r="H17" s="272"/>
      <c r="I17" s="272"/>
      <c r="J17" s="271"/>
    </row>
    <row r="18" spans="1:10">
      <c r="A18" s="876" t="s">
        <v>1209</v>
      </c>
      <c r="B18" s="271"/>
      <c r="C18" s="274" t="s">
        <v>98</v>
      </c>
      <c r="D18" s="275"/>
      <c r="E18" s="271"/>
      <c r="F18" s="272">
        <f>G19</f>
        <v>18281250</v>
      </c>
      <c r="G18" s="878"/>
      <c r="H18" s="272"/>
      <c r="I18" s="272"/>
      <c r="J18" s="271"/>
    </row>
    <row r="19" spans="1:10">
      <c r="A19" s="876" t="s">
        <v>1209</v>
      </c>
      <c r="B19" s="271"/>
      <c r="C19" s="274"/>
      <c r="D19" s="275" t="s">
        <v>99</v>
      </c>
      <c r="E19" s="271"/>
      <c r="F19" s="878"/>
      <c r="G19" s="272">
        <f>ROUND(18281250,0)</f>
        <v>18281250</v>
      </c>
      <c r="H19" s="272"/>
      <c r="I19" s="272"/>
      <c r="J19" s="271"/>
    </row>
    <row r="20" spans="1:10">
      <c r="A20" s="876"/>
      <c r="B20" s="271"/>
      <c r="C20" s="274"/>
      <c r="D20" s="275"/>
      <c r="E20" s="271"/>
      <c r="F20" s="272"/>
      <c r="G20" s="272"/>
      <c r="H20" s="272"/>
      <c r="I20" s="272"/>
      <c r="J20" s="271"/>
    </row>
    <row r="21" spans="1:10">
      <c r="A21" s="876"/>
      <c r="B21" s="271"/>
      <c r="C21" s="274"/>
      <c r="D21" s="275"/>
      <c r="E21" s="271"/>
      <c r="F21" s="272"/>
      <c r="G21" s="272"/>
      <c r="H21" s="272"/>
      <c r="I21" s="272"/>
      <c r="J21" s="271"/>
    </row>
    <row r="22" spans="1:10">
      <c r="A22" s="876" t="s">
        <v>572</v>
      </c>
      <c r="B22" s="271"/>
      <c r="C22" s="274" t="s">
        <v>292</v>
      </c>
      <c r="D22" s="275"/>
      <c r="E22" s="271"/>
      <c r="F22" s="272"/>
      <c r="G22" s="272"/>
      <c r="H22" s="272">
        <f>SUM(I23:I27)</f>
        <v>2268968473.9760413</v>
      </c>
      <c r="I22" s="272"/>
      <c r="J22" s="271" t="s">
        <v>574</v>
      </c>
    </row>
    <row r="23" spans="1:10">
      <c r="A23" s="876" t="str">
        <f>A22</f>
        <v>CAJE 2</v>
      </c>
      <c r="B23" s="271"/>
      <c r="C23" s="274"/>
      <c r="D23" s="275" t="s">
        <v>358</v>
      </c>
      <c r="E23" s="271"/>
      <c r="F23" s="272"/>
      <c r="G23" s="272"/>
      <c r="H23" s="272"/>
      <c r="I23" s="272">
        <v>1233555411.2833338</v>
      </c>
      <c r="J23" s="271" t="s">
        <v>574</v>
      </c>
    </row>
    <row r="24" spans="1:10">
      <c r="A24" s="876" t="str">
        <f t="shared" ref="A24:A27" si="2">A23</f>
        <v>CAJE 2</v>
      </c>
      <c r="B24" s="271"/>
      <c r="C24" s="274"/>
      <c r="D24" s="275" t="s">
        <v>362</v>
      </c>
      <c r="E24" s="271"/>
      <c r="F24" s="272"/>
      <c r="G24" s="272"/>
      <c r="H24" s="272"/>
      <c r="I24" s="272">
        <v>779056471.52604103</v>
      </c>
      <c r="J24" s="271" t="s">
        <v>574</v>
      </c>
    </row>
    <row r="25" spans="1:10">
      <c r="A25" s="876" t="str">
        <f t="shared" si="2"/>
        <v>CAJE 2</v>
      </c>
      <c r="B25" s="271"/>
      <c r="C25" s="274"/>
      <c r="D25" s="275" t="s">
        <v>361</v>
      </c>
      <c r="E25" s="271"/>
      <c r="F25" s="272"/>
      <c r="G25" s="272"/>
      <c r="H25" s="272"/>
      <c r="I25" s="272">
        <v>222061098</v>
      </c>
      <c r="J25" s="271" t="s">
        <v>574</v>
      </c>
    </row>
    <row r="26" spans="1:10">
      <c r="A26" s="876" t="str">
        <f t="shared" si="2"/>
        <v>CAJE 2</v>
      </c>
      <c r="B26" s="271"/>
      <c r="C26" s="274"/>
      <c r="D26" s="275" t="s">
        <v>363</v>
      </c>
      <c r="E26" s="271"/>
      <c r="F26" s="272"/>
      <c r="G26" s="272"/>
      <c r="H26" s="272"/>
      <c r="I26" s="272">
        <v>13932449.166666431</v>
      </c>
      <c r="J26" s="271" t="s">
        <v>574</v>
      </c>
    </row>
    <row r="27" spans="1:10">
      <c r="A27" s="876" t="str">
        <f t="shared" si="2"/>
        <v>CAJE 2</v>
      </c>
      <c r="B27" s="271"/>
      <c r="C27" s="274"/>
      <c r="D27" s="275" t="s">
        <v>364</v>
      </c>
      <c r="E27" s="271"/>
      <c r="F27" s="272"/>
      <c r="G27" s="272"/>
      <c r="H27" s="272"/>
      <c r="I27" s="272">
        <v>20363044</v>
      </c>
      <c r="J27" s="271" t="s">
        <v>574</v>
      </c>
    </row>
    <row r="28" spans="1:10">
      <c r="A28" s="876"/>
      <c r="B28" s="271"/>
      <c r="C28" s="274"/>
      <c r="D28" s="275"/>
      <c r="E28" s="271"/>
      <c r="F28" s="272"/>
      <c r="G28" s="272"/>
      <c r="H28" s="272"/>
      <c r="I28" s="272"/>
      <c r="J28" s="271"/>
    </row>
    <row r="29" spans="1:10">
      <c r="A29" s="876" t="s">
        <v>575</v>
      </c>
      <c r="B29" s="271"/>
      <c r="C29" s="274" t="s">
        <v>1029</v>
      </c>
      <c r="D29" s="275"/>
      <c r="E29" s="271"/>
      <c r="F29" s="272">
        <f>G30</f>
        <v>3115944915</v>
      </c>
      <c r="G29" s="272"/>
      <c r="H29" s="272"/>
      <c r="I29" s="272"/>
      <c r="J29" s="271"/>
    </row>
    <row r="30" spans="1:10">
      <c r="A30" s="876" t="str">
        <f>A29</f>
        <v>CAJE 3</v>
      </c>
      <c r="B30" s="271"/>
      <c r="C30" s="274"/>
      <c r="D30" s="275" t="s">
        <v>81</v>
      </c>
      <c r="E30" s="271"/>
      <c r="F30" s="272"/>
      <c r="G30" s="272">
        <v>3115944915</v>
      </c>
      <c r="H30" s="272"/>
      <c r="I30" s="272"/>
      <c r="J30" s="271"/>
    </row>
    <row r="31" spans="1:10">
      <c r="A31" s="876"/>
      <c r="B31" s="271"/>
      <c r="C31" s="664" t="s">
        <v>1031</v>
      </c>
      <c r="D31" s="275"/>
      <c r="E31" s="271"/>
      <c r="F31" s="272"/>
      <c r="G31" s="272"/>
      <c r="H31" s="272"/>
      <c r="I31" s="272"/>
      <c r="J31" s="271"/>
    </row>
    <row r="32" spans="1:10">
      <c r="A32" s="876"/>
      <c r="B32" s="271"/>
      <c r="C32" s="274"/>
      <c r="D32" s="275"/>
      <c r="E32" s="271"/>
      <c r="F32" s="272"/>
      <c r="G32" s="272"/>
      <c r="H32" s="272"/>
      <c r="I32" s="272"/>
      <c r="J32" s="271"/>
    </row>
    <row r="33" spans="1:11">
      <c r="A33" s="887" t="s">
        <v>581</v>
      </c>
      <c r="B33" s="888"/>
      <c r="C33" s="889" t="s">
        <v>1214</v>
      </c>
      <c r="D33" s="890"/>
      <c r="E33" s="888"/>
      <c r="F33" s="891">
        <f>1288005813.6*0</f>
        <v>0</v>
      </c>
      <c r="G33" s="891"/>
      <c r="H33" s="891"/>
      <c r="I33" s="891"/>
      <c r="J33" s="888" t="s">
        <v>1212</v>
      </c>
    </row>
    <row r="34" spans="1:11">
      <c r="A34" s="887" t="s">
        <v>581</v>
      </c>
      <c r="B34" s="888"/>
      <c r="C34" s="889" t="s">
        <v>1214</v>
      </c>
      <c r="D34" s="890"/>
      <c r="E34" s="888"/>
      <c r="F34" s="891">
        <f>1186562411.6*0</f>
        <v>0</v>
      </c>
      <c r="G34" s="891"/>
      <c r="H34" s="891"/>
      <c r="I34" s="891"/>
      <c r="J34" s="888" t="s">
        <v>1213</v>
      </c>
    </row>
    <row r="35" spans="1:11">
      <c r="A35" s="887" t="s">
        <v>581</v>
      </c>
      <c r="B35" s="888"/>
      <c r="C35" s="889" t="s">
        <v>1214</v>
      </c>
      <c r="D35" s="890"/>
      <c r="E35" s="888"/>
      <c r="F35" s="891">
        <f>651018689.4*0</f>
        <v>0</v>
      </c>
      <c r="G35" s="891"/>
      <c r="H35" s="891"/>
      <c r="I35" s="892"/>
      <c r="J35" s="888" t="s">
        <v>1213</v>
      </c>
    </row>
    <row r="36" spans="1:11">
      <c r="A36" s="887" t="s">
        <v>581</v>
      </c>
      <c r="B36" s="888"/>
      <c r="C36" s="889" t="s">
        <v>1214</v>
      </c>
      <c r="D36" s="890"/>
      <c r="E36" s="888"/>
      <c r="F36" s="891">
        <f>630543008*0</f>
        <v>0</v>
      </c>
      <c r="G36" s="891"/>
      <c r="H36" s="891"/>
      <c r="I36" s="892"/>
      <c r="J36" s="888" t="s">
        <v>1213</v>
      </c>
    </row>
    <row r="37" spans="1:11">
      <c r="A37" s="887" t="s">
        <v>581</v>
      </c>
      <c r="B37" s="888"/>
      <c r="C37" s="889" t="s">
        <v>1214</v>
      </c>
      <c r="D37" s="890"/>
      <c r="E37" s="888"/>
      <c r="F37" s="891">
        <f>531954338*0</f>
        <v>0</v>
      </c>
      <c r="G37" s="891"/>
      <c r="H37" s="891"/>
      <c r="I37" s="892"/>
      <c r="J37" s="888" t="s">
        <v>1220</v>
      </c>
    </row>
    <row r="38" spans="1:11">
      <c r="A38" s="887" t="s">
        <v>581</v>
      </c>
      <c r="B38" s="888"/>
      <c r="C38" s="889"/>
      <c r="D38" s="890" t="s">
        <v>1215</v>
      </c>
      <c r="E38" s="888"/>
      <c r="F38" s="891"/>
      <c r="G38" s="891"/>
      <c r="H38" s="891"/>
      <c r="I38" s="891">
        <f>SUM(F33:F37)</f>
        <v>0</v>
      </c>
      <c r="J38" s="888" t="s">
        <v>1218</v>
      </c>
    </row>
    <row r="39" spans="1:11">
      <c r="A39" s="887"/>
      <c r="B39" s="888"/>
      <c r="C39" s="893" t="s">
        <v>1216</v>
      </c>
      <c r="D39" s="890"/>
      <c r="E39" s="888"/>
      <c r="F39" s="891"/>
      <c r="G39" s="891"/>
      <c r="H39" s="891"/>
      <c r="I39" s="891"/>
      <c r="J39" s="888"/>
    </row>
    <row r="40" spans="1:11">
      <c r="A40" s="876"/>
      <c r="B40" s="271"/>
      <c r="C40" s="274"/>
      <c r="D40" s="275"/>
      <c r="E40" s="271"/>
      <c r="F40" s="272"/>
      <c r="G40" s="272"/>
      <c r="H40" s="272"/>
      <c r="I40" s="272"/>
      <c r="J40" s="271"/>
    </row>
    <row r="41" spans="1:11">
      <c r="A41" s="887" t="s">
        <v>584</v>
      </c>
      <c r="B41" s="888"/>
      <c r="C41" s="889" t="s">
        <v>1214</v>
      </c>
      <c r="D41" s="890"/>
      <c r="E41" s="888"/>
      <c r="F41" s="891">
        <f>I42</f>
        <v>0</v>
      </c>
      <c r="G41" s="891"/>
      <c r="H41" s="891"/>
      <c r="I41" s="891"/>
      <c r="J41" s="888" t="s">
        <v>1217</v>
      </c>
    </row>
    <row r="42" spans="1:11">
      <c r="A42" s="887" t="str">
        <f>A41</f>
        <v>CAJE 5</v>
      </c>
      <c r="B42" s="888"/>
      <c r="C42" s="889"/>
      <c r="D42" s="890" t="s">
        <v>993</v>
      </c>
      <c r="E42" s="888"/>
      <c r="F42" s="891"/>
      <c r="G42" s="891"/>
      <c r="H42" s="891"/>
      <c r="I42" s="891">
        <f>555106934.74*0</f>
        <v>0</v>
      </c>
      <c r="J42" s="888" t="s">
        <v>1217</v>
      </c>
    </row>
    <row r="43" spans="1:11">
      <c r="A43" s="887"/>
      <c r="B43" s="888"/>
      <c r="C43" s="893" t="s">
        <v>1221</v>
      </c>
      <c r="D43" s="890"/>
      <c r="E43" s="888"/>
      <c r="F43" s="891"/>
      <c r="G43" s="891"/>
      <c r="H43" s="891"/>
      <c r="I43" s="891"/>
      <c r="J43" s="888"/>
    </row>
    <row r="44" spans="1:11">
      <c r="A44" s="876"/>
      <c r="B44" s="271"/>
      <c r="C44" s="886"/>
      <c r="E44" s="271"/>
      <c r="F44" s="272"/>
      <c r="G44" s="272"/>
      <c r="H44" s="272"/>
      <c r="I44" s="272"/>
      <c r="J44" s="271"/>
    </row>
    <row r="45" spans="1:11">
      <c r="A45" s="894" t="s">
        <v>1209</v>
      </c>
      <c r="B45" s="895"/>
      <c r="C45" s="896" t="s">
        <v>1003</v>
      </c>
      <c r="D45" s="896"/>
      <c r="E45" s="895"/>
      <c r="F45" s="897">
        <f>SUM(G46:G49)</f>
        <v>27862788399.379997</v>
      </c>
      <c r="G45" s="897"/>
      <c r="H45" s="897"/>
      <c r="I45" s="897"/>
      <c r="J45" s="895" t="s">
        <v>1223</v>
      </c>
    </row>
    <row r="46" spans="1:11">
      <c r="A46" s="894" t="str">
        <f>A45</f>
        <v>RLKS 1</v>
      </c>
      <c r="B46" s="895"/>
      <c r="C46" s="896"/>
      <c r="D46" s="896" t="s">
        <v>988</v>
      </c>
      <c r="E46" s="895"/>
      <c r="F46" s="897"/>
      <c r="G46" s="897">
        <v>9347496728.4599991</v>
      </c>
      <c r="H46" s="897"/>
      <c r="I46" s="897"/>
      <c r="J46" s="895" t="str">
        <f>J45</f>
        <v>Reklas atas Uang Muka</v>
      </c>
    </row>
    <row r="47" spans="1:11">
      <c r="A47" s="894" t="str">
        <f>A46</f>
        <v>RLKS 1</v>
      </c>
      <c r="B47" s="895"/>
      <c r="C47" s="896"/>
      <c r="D47" s="896" t="s">
        <v>1204</v>
      </c>
      <c r="E47" s="895"/>
      <c r="F47" s="897"/>
      <c r="G47" s="897">
        <f>206460000</f>
        <v>206460000</v>
      </c>
      <c r="H47" s="897"/>
      <c r="I47" s="897"/>
      <c r="J47" s="895" t="str">
        <f>J46</f>
        <v>Reklas atas Uang Muka</v>
      </c>
    </row>
    <row r="48" spans="1:11">
      <c r="A48" s="894" t="str">
        <f>A47</f>
        <v>RLKS 1</v>
      </c>
      <c r="B48" s="895"/>
      <c r="C48" s="896"/>
      <c r="D48" s="896" t="s">
        <v>967</v>
      </c>
      <c r="E48" s="895"/>
      <c r="F48" s="897"/>
      <c r="G48" s="897">
        <v>5839653542.6599998</v>
      </c>
      <c r="H48" s="897"/>
      <c r="I48" s="897"/>
      <c r="J48" s="895" t="str">
        <f>J47</f>
        <v>Reklas atas Uang Muka</v>
      </c>
      <c r="K48" t="s">
        <v>1227</v>
      </c>
    </row>
    <row r="49" spans="1:10">
      <c r="A49" s="894" t="str">
        <f>A48</f>
        <v>RLKS 1</v>
      </c>
      <c r="B49" s="895"/>
      <c r="C49" s="896"/>
      <c r="D49" s="896" t="s">
        <v>160</v>
      </c>
      <c r="E49" s="895"/>
      <c r="F49" s="897"/>
      <c r="G49" s="897">
        <v>12469178128.26</v>
      </c>
      <c r="H49" s="897"/>
      <c r="I49" s="897"/>
      <c r="J49" s="895" t="str">
        <f>J48</f>
        <v>Reklas atas Uang Muka</v>
      </c>
    </row>
    <row r="50" spans="1:10">
      <c r="A50" s="894"/>
      <c r="B50" s="895"/>
      <c r="C50" s="898" t="s">
        <v>1222</v>
      </c>
      <c r="D50" s="896"/>
      <c r="E50" s="895"/>
      <c r="F50" s="897"/>
      <c r="G50" s="897"/>
      <c r="H50" s="897"/>
      <c r="I50" s="897"/>
      <c r="J50" s="895"/>
    </row>
    <row r="51" spans="1:10">
      <c r="A51" s="876"/>
      <c r="B51" s="271"/>
      <c r="E51" s="271"/>
      <c r="F51" s="658"/>
      <c r="G51" s="658"/>
      <c r="H51" s="658"/>
      <c r="I51" s="658"/>
      <c r="J51" s="271"/>
    </row>
    <row r="52" spans="1:10">
      <c r="A52" s="887" t="s">
        <v>586</v>
      </c>
      <c r="B52" s="888"/>
      <c r="C52" s="892" t="s">
        <v>986</v>
      </c>
      <c r="D52" s="892"/>
      <c r="E52" s="888"/>
      <c r="F52" s="891">
        <f>1010550926*0</f>
        <v>0</v>
      </c>
      <c r="G52" s="891"/>
      <c r="H52" s="891"/>
      <c r="I52" s="891"/>
      <c r="J52" s="888" t="s">
        <v>1224</v>
      </c>
    </row>
    <row r="53" spans="1:10">
      <c r="A53" s="887" t="s">
        <v>586</v>
      </c>
      <c r="B53" s="888"/>
      <c r="C53" s="892" t="s">
        <v>661</v>
      </c>
      <c r="D53" s="892"/>
      <c r="E53" s="888"/>
      <c r="F53" s="891">
        <f>680234425*0</f>
        <v>0</v>
      </c>
      <c r="G53" s="891"/>
      <c r="H53" s="891"/>
      <c r="I53" s="891"/>
      <c r="J53" s="888" t="s">
        <v>1224</v>
      </c>
    </row>
    <row r="54" spans="1:10">
      <c r="A54" s="887" t="s">
        <v>586</v>
      </c>
      <c r="B54" s="888"/>
      <c r="C54" s="892" t="s">
        <v>164</v>
      </c>
      <c r="D54" s="892"/>
      <c r="E54" s="888"/>
      <c r="F54" s="891">
        <f>1207767461*0</f>
        <v>0</v>
      </c>
      <c r="G54" s="891"/>
      <c r="H54" s="891"/>
      <c r="I54" s="891"/>
      <c r="J54" s="888" t="s">
        <v>1224</v>
      </c>
    </row>
    <row r="55" spans="1:10">
      <c r="A55" s="887" t="s">
        <v>586</v>
      </c>
      <c r="B55" s="888"/>
      <c r="C55" s="892"/>
      <c r="D55" s="892" t="s">
        <v>255</v>
      </c>
      <c r="E55" s="888"/>
      <c r="F55" s="891"/>
      <c r="G55" s="891">
        <f>SUM(F52:F54)</f>
        <v>0</v>
      </c>
      <c r="H55" s="891"/>
      <c r="I55" s="891"/>
      <c r="J55" s="888" t="s">
        <v>1224</v>
      </c>
    </row>
    <row r="56" spans="1:10">
      <c r="A56" s="887"/>
      <c r="B56" s="888"/>
      <c r="C56" s="899" t="s">
        <v>1225</v>
      </c>
      <c r="D56" s="892"/>
      <c r="E56" s="888"/>
      <c r="F56" s="891"/>
      <c r="G56" s="891"/>
      <c r="H56" s="891"/>
      <c r="I56" s="891"/>
      <c r="J56" s="888"/>
    </row>
    <row r="57" spans="1:10">
      <c r="A57" s="876"/>
      <c r="B57" s="271"/>
      <c r="E57" s="271"/>
      <c r="F57" s="272"/>
      <c r="G57" s="272"/>
      <c r="H57" s="272"/>
      <c r="I57" s="272"/>
      <c r="J57" s="271"/>
    </row>
    <row r="58" spans="1:10">
      <c r="A58" s="876" t="s">
        <v>587</v>
      </c>
      <c r="B58" s="271"/>
      <c r="C58" t="s">
        <v>76</v>
      </c>
      <c r="E58" s="271"/>
      <c r="F58" s="658">
        <f>G59</f>
        <v>5967292.0900000297</v>
      </c>
      <c r="G58" s="658"/>
      <c r="H58" s="272"/>
      <c r="I58" s="272"/>
      <c r="J58" s="271"/>
    </row>
    <row r="59" spans="1:10">
      <c r="A59" s="876" t="str">
        <f>A58</f>
        <v>CAJE 7</v>
      </c>
      <c r="B59" s="271"/>
      <c r="D59" t="s">
        <v>197</v>
      </c>
      <c r="E59" s="271"/>
      <c r="F59" s="658"/>
      <c r="G59" s="658">
        <f>5967292.09000003</f>
        <v>5967292.0900000297</v>
      </c>
      <c r="H59" s="272"/>
      <c r="I59" s="272"/>
      <c r="J59" s="271"/>
    </row>
    <row r="60" spans="1:10">
      <c r="A60" s="876"/>
      <c r="B60" s="271"/>
      <c r="C60" s="886" t="s">
        <v>1238</v>
      </c>
      <c r="E60" s="271"/>
      <c r="F60" s="272"/>
      <c r="G60" s="272"/>
      <c r="H60" s="272"/>
      <c r="I60" s="272"/>
      <c r="J60" s="271"/>
    </row>
    <row r="61" spans="1:10">
      <c r="A61" s="876"/>
      <c r="B61" s="271"/>
      <c r="C61" s="886"/>
      <c r="E61" s="271"/>
      <c r="F61" s="272"/>
      <c r="G61" s="272"/>
      <c r="H61" s="272"/>
      <c r="I61" s="272"/>
      <c r="J61" s="271"/>
    </row>
    <row r="62" spans="1:10">
      <c r="A62" s="876" t="s">
        <v>588</v>
      </c>
      <c r="B62" s="271"/>
      <c r="C62" t="s">
        <v>589</v>
      </c>
      <c r="E62" s="271"/>
      <c r="F62" s="272">
        <f>G63</f>
        <v>421615912</v>
      </c>
      <c r="G62" s="272"/>
      <c r="H62" s="272"/>
      <c r="I62" s="272"/>
      <c r="J62" s="271"/>
    </row>
    <row r="63" spans="1:10">
      <c r="A63" s="876" t="str">
        <f>A62</f>
        <v>CAJE 8</v>
      </c>
      <c r="B63" s="271"/>
      <c r="D63" t="s">
        <v>199</v>
      </c>
      <c r="E63" s="271"/>
      <c r="F63" s="272"/>
      <c r="G63" s="272">
        <v>421615912</v>
      </c>
      <c r="H63" s="272"/>
      <c r="I63" s="272"/>
      <c r="J63" s="271"/>
    </row>
    <row r="64" spans="1:10">
      <c r="A64" s="876"/>
      <c r="B64" s="271"/>
      <c r="C64" s="886" t="s">
        <v>1239</v>
      </c>
      <c r="E64" s="271"/>
      <c r="F64" s="272"/>
      <c r="G64" s="272"/>
      <c r="H64" s="272"/>
      <c r="I64" s="272"/>
      <c r="J64" s="271"/>
    </row>
    <row r="65" spans="1:10">
      <c r="A65" s="876"/>
      <c r="B65" s="271"/>
      <c r="C65" s="886"/>
      <c r="E65" s="271"/>
      <c r="F65" s="272"/>
      <c r="G65" s="272"/>
      <c r="H65" s="272"/>
      <c r="I65" s="272"/>
      <c r="J65" s="271"/>
    </row>
    <row r="66" spans="1:10">
      <c r="A66" s="876" t="s">
        <v>590</v>
      </c>
      <c r="B66" s="271"/>
      <c r="C66" s="274" t="s">
        <v>578</v>
      </c>
      <c r="D66" s="275"/>
      <c r="E66" s="271"/>
      <c r="F66" s="272">
        <v>15000000</v>
      </c>
      <c r="G66" s="272"/>
      <c r="H66" s="272"/>
      <c r="I66" s="272"/>
      <c r="J66" s="271" t="s">
        <v>580</v>
      </c>
    </row>
    <row r="67" spans="1:10">
      <c r="A67" s="876" t="str">
        <f>A66</f>
        <v>CAJE 9</v>
      </c>
      <c r="B67" s="271"/>
      <c r="C67" s="274"/>
      <c r="D67" s="275" t="s">
        <v>579</v>
      </c>
      <c r="E67" s="271"/>
      <c r="F67" s="272"/>
      <c r="G67" s="272"/>
      <c r="H67" s="272"/>
      <c r="I67" s="272">
        <f>F66</f>
        <v>15000000</v>
      </c>
      <c r="J67" s="271" t="str">
        <f>J66</f>
        <v>Adj atas Beban Sewa yang sdh di akui di 2023</v>
      </c>
    </row>
    <row r="68" spans="1:10">
      <c r="A68" s="876"/>
      <c r="B68" s="271"/>
      <c r="C68" s="886"/>
      <c r="E68" s="271"/>
      <c r="F68" s="272"/>
      <c r="G68" s="272"/>
      <c r="H68" s="272"/>
      <c r="I68" s="272"/>
      <c r="J68" s="271"/>
    </row>
    <row r="69" spans="1:10">
      <c r="A69" s="876"/>
      <c r="B69" s="271"/>
      <c r="C69" s="274"/>
      <c r="D69" s="275"/>
      <c r="E69" s="271"/>
      <c r="F69" s="272"/>
      <c r="G69" s="272"/>
      <c r="H69" s="272"/>
      <c r="I69" s="272"/>
      <c r="J69" s="271"/>
    </row>
    <row r="70" spans="1:10">
      <c r="A70" s="900" t="s">
        <v>597</v>
      </c>
      <c r="B70" s="888"/>
      <c r="C70" s="901" t="s">
        <v>1250</v>
      </c>
      <c r="D70" s="890"/>
      <c r="E70" s="888"/>
      <c r="F70" s="902">
        <f>1870337280*0</f>
        <v>0</v>
      </c>
      <c r="G70" s="903"/>
      <c r="H70" s="891"/>
      <c r="I70" s="891"/>
      <c r="J70" s="888" t="s">
        <v>1240</v>
      </c>
    </row>
    <row r="71" spans="1:10">
      <c r="A71" s="900" t="s">
        <v>597</v>
      </c>
      <c r="B71" s="888"/>
      <c r="C71" s="901" t="s">
        <v>42</v>
      </c>
      <c r="D71" s="890"/>
      <c r="E71" s="888"/>
      <c r="F71" s="902">
        <f>2080881200*0</f>
        <v>0</v>
      </c>
      <c r="G71" s="903"/>
      <c r="H71" s="891"/>
      <c r="I71" s="891"/>
      <c r="J71" s="888" t="s">
        <v>1241</v>
      </c>
    </row>
    <row r="72" spans="1:10">
      <c r="A72" s="900" t="s">
        <v>597</v>
      </c>
      <c r="B72" s="888"/>
      <c r="C72" s="901" t="s">
        <v>41</v>
      </c>
      <c r="D72" s="890"/>
      <c r="E72" s="888"/>
      <c r="F72" s="902">
        <f>1368248970*0</f>
        <v>0</v>
      </c>
      <c r="G72" s="903"/>
      <c r="H72" s="891"/>
      <c r="I72" s="891"/>
      <c r="J72" s="888" t="s">
        <v>1242</v>
      </c>
    </row>
    <row r="73" spans="1:10">
      <c r="A73" s="900" t="s">
        <v>597</v>
      </c>
      <c r="B73" s="888"/>
      <c r="C73" s="901" t="s">
        <v>1250</v>
      </c>
      <c r="D73" s="890"/>
      <c r="E73" s="888"/>
      <c r="F73" s="902">
        <f>1838575600*0</f>
        <v>0</v>
      </c>
      <c r="G73" s="903"/>
      <c r="H73" s="891"/>
      <c r="I73" s="891"/>
      <c r="J73" s="888" t="s">
        <v>1243</v>
      </c>
    </row>
    <row r="74" spans="1:10">
      <c r="A74" s="900" t="s">
        <v>597</v>
      </c>
      <c r="B74" s="888"/>
      <c r="C74" s="901" t="s">
        <v>42</v>
      </c>
      <c r="D74" s="890"/>
      <c r="E74" s="888"/>
      <c r="F74" s="902">
        <f>2449251200*0</f>
        <v>0</v>
      </c>
      <c r="G74" s="903"/>
      <c r="H74" s="891"/>
      <c r="I74" s="891"/>
      <c r="J74" s="888" t="s">
        <v>1244</v>
      </c>
    </row>
    <row r="75" spans="1:10">
      <c r="A75" s="900" t="s">
        <v>597</v>
      </c>
      <c r="B75" s="888"/>
      <c r="C75" s="901" t="s">
        <v>42</v>
      </c>
      <c r="D75" s="890"/>
      <c r="E75" s="888"/>
      <c r="F75" s="902">
        <f>2066146400*0</f>
        <v>0</v>
      </c>
      <c r="G75" s="903"/>
      <c r="H75" s="891"/>
      <c r="I75" s="891"/>
      <c r="J75" s="888" t="s">
        <v>1245</v>
      </c>
    </row>
    <row r="76" spans="1:10">
      <c r="A76" s="900" t="s">
        <v>597</v>
      </c>
      <c r="B76" s="888"/>
      <c r="C76" s="901" t="s">
        <v>44</v>
      </c>
      <c r="D76" s="890"/>
      <c r="E76" s="888"/>
      <c r="F76" s="902">
        <f>1920435600*0</f>
        <v>0</v>
      </c>
      <c r="G76" s="903"/>
      <c r="H76" s="891"/>
      <c r="I76" s="891"/>
      <c r="J76" s="888" t="s">
        <v>1246</v>
      </c>
    </row>
    <row r="77" spans="1:10">
      <c r="A77" s="900" t="s">
        <v>597</v>
      </c>
      <c r="B77" s="888"/>
      <c r="C77" s="901" t="s">
        <v>42</v>
      </c>
      <c r="D77" s="890"/>
      <c r="E77" s="888"/>
      <c r="F77" s="902">
        <f>2003932800*0</f>
        <v>0</v>
      </c>
      <c r="G77" s="903"/>
      <c r="H77" s="891"/>
      <c r="I77" s="891"/>
      <c r="J77" s="888" t="s">
        <v>1247</v>
      </c>
    </row>
    <row r="78" spans="1:10">
      <c r="A78" s="904"/>
      <c r="B78" s="888"/>
      <c r="C78" s="905"/>
      <c r="D78" s="890" t="s">
        <v>1249</v>
      </c>
      <c r="E78" s="888"/>
      <c r="F78" s="891"/>
      <c r="G78" s="891"/>
      <c r="H78" s="891"/>
      <c r="I78" s="891">
        <f>SUM(F70:F77)</f>
        <v>0</v>
      </c>
      <c r="J78" s="888"/>
    </row>
    <row r="79" spans="1:10">
      <c r="A79" s="904"/>
      <c r="B79" s="888"/>
      <c r="C79" s="899" t="s">
        <v>1248</v>
      </c>
      <c r="D79" s="890"/>
      <c r="E79" s="888"/>
      <c r="F79" s="888"/>
      <c r="G79" s="888"/>
      <c r="H79" s="888"/>
      <c r="I79" s="888"/>
      <c r="J79" s="888"/>
    </row>
    <row r="80" spans="1:10">
      <c r="B80" s="271"/>
      <c r="C80" s="274"/>
      <c r="D80" s="275"/>
      <c r="E80" s="271"/>
      <c r="F80" s="271"/>
      <c r="G80" s="271"/>
      <c r="H80" s="271"/>
      <c r="I80" s="271"/>
      <c r="J80" s="271"/>
    </row>
    <row r="81" spans="1:10">
      <c r="A81" s="877" t="s">
        <v>602</v>
      </c>
      <c r="B81" s="271"/>
      <c r="C81" s="274" t="s">
        <v>374</v>
      </c>
      <c r="D81" s="275"/>
      <c r="E81" s="271"/>
      <c r="F81" s="272"/>
      <c r="G81" s="272"/>
      <c r="H81" s="272">
        <f>G82</f>
        <v>9055934</v>
      </c>
      <c r="I81" s="272"/>
      <c r="J81" s="271"/>
    </row>
    <row r="82" spans="1:10">
      <c r="A82" s="877" t="s">
        <v>602</v>
      </c>
      <c r="B82" s="271"/>
      <c r="C82" s="274"/>
      <c r="D82" s="275" t="s">
        <v>158</v>
      </c>
      <c r="E82" s="271"/>
      <c r="F82" s="272"/>
      <c r="G82" s="272">
        <v>9055934</v>
      </c>
      <c r="H82" s="272"/>
      <c r="I82" s="272"/>
      <c r="J82" s="271"/>
    </row>
    <row r="83" spans="1:10">
      <c r="B83" s="271"/>
      <c r="C83" s="886" t="s">
        <v>1251</v>
      </c>
      <c r="D83" s="275"/>
      <c r="E83" s="271"/>
      <c r="F83" s="271"/>
      <c r="G83" s="271"/>
      <c r="H83" s="271"/>
      <c r="I83" s="271"/>
      <c r="J83" s="271"/>
    </row>
    <row r="84" spans="1:10">
      <c r="B84" s="271"/>
      <c r="C84" s="274"/>
      <c r="D84" s="275"/>
      <c r="E84" s="271"/>
      <c r="F84" s="271"/>
      <c r="G84" s="271"/>
      <c r="H84" s="271"/>
      <c r="I84" s="271"/>
      <c r="J84" s="271"/>
    </row>
    <row r="85" spans="1:10">
      <c r="A85" s="877" t="s">
        <v>706</v>
      </c>
      <c r="B85" s="271"/>
      <c r="C85" s="274" t="s">
        <v>76</v>
      </c>
      <c r="D85" s="275"/>
      <c r="E85" s="271"/>
      <c r="F85" s="382">
        <f>G89</f>
        <v>28121848</v>
      </c>
      <c r="G85" s="271"/>
      <c r="H85" s="271"/>
      <c r="I85" s="271"/>
      <c r="J85" s="271"/>
    </row>
    <row r="86" spans="1:10">
      <c r="A86" s="877" t="s">
        <v>706</v>
      </c>
      <c r="B86" s="271"/>
      <c r="C86" s="274" t="s">
        <v>198</v>
      </c>
      <c r="D86" s="275"/>
      <c r="E86" s="271"/>
      <c r="F86" s="271">
        <v>4</v>
      </c>
      <c r="G86" s="271"/>
      <c r="H86" s="271"/>
      <c r="I86" s="271"/>
      <c r="J86" s="271"/>
    </row>
    <row r="87" spans="1:10">
      <c r="A87" s="877" t="s">
        <v>706</v>
      </c>
      <c r="B87" s="271"/>
      <c r="C87" s="274" t="s">
        <v>1266</v>
      </c>
      <c r="D87" s="275"/>
      <c r="E87" s="271"/>
      <c r="F87" s="272">
        <v>3806151</v>
      </c>
      <c r="G87" s="271"/>
      <c r="H87" s="271"/>
      <c r="I87" s="271"/>
      <c r="J87" s="271"/>
    </row>
    <row r="88" spans="1:10">
      <c r="A88" s="877" t="s">
        <v>706</v>
      </c>
      <c r="B88" s="271"/>
      <c r="C88" s="274" t="s">
        <v>195</v>
      </c>
      <c r="D88" s="275"/>
      <c r="E88" s="271"/>
      <c r="F88" s="272">
        <v>4659147</v>
      </c>
      <c r="G88" s="271"/>
      <c r="H88" s="271"/>
      <c r="I88" s="271"/>
      <c r="J88" s="271"/>
    </row>
    <row r="89" spans="1:10">
      <c r="A89" s="877" t="s">
        <v>706</v>
      </c>
      <c r="B89" s="271"/>
      <c r="C89" s="274"/>
      <c r="D89" s="275" t="s">
        <v>1254</v>
      </c>
      <c r="E89" s="271"/>
      <c r="F89" s="271"/>
      <c r="G89" s="272">
        <v>28121848</v>
      </c>
      <c r="H89" s="271"/>
      <c r="I89" s="271"/>
      <c r="J89" s="271"/>
    </row>
    <row r="90" spans="1:10">
      <c r="A90" s="877" t="s">
        <v>706</v>
      </c>
      <c r="B90" s="271"/>
      <c r="C90" s="274"/>
      <c r="D90" s="275" t="s">
        <v>335</v>
      </c>
      <c r="E90" s="271"/>
      <c r="F90" s="271"/>
      <c r="G90" s="271"/>
      <c r="H90" s="271"/>
      <c r="I90" s="272">
        <f>SUM(F86:F88)</f>
        <v>8465302</v>
      </c>
      <c r="J90" s="271"/>
    </row>
    <row r="91" spans="1:10">
      <c r="B91" s="271"/>
      <c r="C91" s="886" t="s">
        <v>1255</v>
      </c>
      <c r="D91" s="275"/>
      <c r="E91" s="271"/>
      <c r="F91" s="271"/>
      <c r="G91" s="271"/>
      <c r="H91" s="271"/>
      <c r="I91" s="271"/>
      <c r="J91" s="271"/>
    </row>
    <row r="92" spans="1:10">
      <c r="B92" s="271"/>
      <c r="C92" s="886"/>
      <c r="D92" s="275"/>
      <c r="E92" s="271"/>
      <c r="F92" s="271"/>
      <c r="G92" s="271"/>
      <c r="H92" s="271"/>
      <c r="I92" s="271"/>
      <c r="J92" s="271"/>
    </row>
    <row r="93" spans="1:10">
      <c r="B93" s="271"/>
      <c r="C93" s="274" t="s">
        <v>374</v>
      </c>
      <c r="D93" s="275"/>
      <c r="E93" s="271"/>
      <c r="F93" s="271"/>
      <c r="G93" s="271"/>
      <c r="H93" s="271">
        <f>33+787</f>
        <v>820</v>
      </c>
      <c r="I93" s="271"/>
      <c r="J93" s="271"/>
    </row>
    <row r="94" spans="1:10">
      <c r="B94" s="271"/>
      <c r="C94" s="274" t="s">
        <v>1259</v>
      </c>
      <c r="D94" s="275"/>
      <c r="E94" s="271"/>
      <c r="F94" s="271">
        <v>3.2000000011175902</v>
      </c>
      <c r="G94" s="271"/>
      <c r="H94" s="271"/>
      <c r="I94" s="271"/>
      <c r="J94" s="271"/>
    </row>
    <row r="95" spans="1:10">
      <c r="B95" s="271"/>
      <c r="C95" s="274" t="s">
        <v>1260</v>
      </c>
      <c r="D95" s="275"/>
      <c r="E95" s="271"/>
      <c r="F95" s="271">
        <v>11.770000230520999</v>
      </c>
      <c r="G95" s="271"/>
      <c r="H95" s="271"/>
      <c r="I95" s="271"/>
      <c r="J95" s="271"/>
    </row>
    <row r="96" spans="1:10">
      <c r="B96" s="271"/>
      <c r="C96" s="274" t="s">
        <v>1261</v>
      </c>
      <c r="D96" s="275"/>
      <c r="E96" s="271"/>
      <c r="F96" s="271">
        <v>8.4000000003725308</v>
      </c>
      <c r="G96" s="271"/>
      <c r="H96" s="271"/>
      <c r="I96" s="271"/>
      <c r="J96" s="271"/>
    </row>
    <row r="97" spans="1:10">
      <c r="B97" s="271"/>
      <c r="C97" s="274" t="s">
        <v>1263</v>
      </c>
      <c r="D97" s="275"/>
      <c r="E97" s="271"/>
      <c r="F97" s="271">
        <v>51.899999998509898</v>
      </c>
      <c r="G97" s="271"/>
      <c r="H97" s="271"/>
      <c r="I97" s="271"/>
      <c r="J97" s="271"/>
    </row>
    <row r="98" spans="1:10">
      <c r="B98" s="271"/>
      <c r="C98" s="274"/>
      <c r="D98" s="275" t="s">
        <v>1262</v>
      </c>
      <c r="E98" s="271"/>
      <c r="F98" s="271"/>
      <c r="G98" s="271">
        <v>0.66000000014901161</v>
      </c>
      <c r="H98" s="271"/>
      <c r="I98" s="271"/>
      <c r="J98" s="271"/>
    </row>
    <row r="99" spans="1:10">
      <c r="B99" s="271"/>
      <c r="C99" s="274"/>
      <c r="D99" s="275" t="s">
        <v>25</v>
      </c>
      <c r="E99" s="271"/>
      <c r="F99" s="271"/>
      <c r="G99" s="271">
        <v>786.60999877937138</v>
      </c>
      <c r="H99" s="271"/>
      <c r="I99" s="271"/>
      <c r="J99" s="271"/>
    </row>
    <row r="100" spans="1:10">
      <c r="B100" s="271"/>
      <c r="C100" s="274"/>
      <c r="D100" s="275" t="s">
        <v>26</v>
      </c>
      <c r="E100" s="271"/>
      <c r="F100" s="271"/>
      <c r="G100" s="271">
        <v>40</v>
      </c>
      <c r="H100" s="271"/>
      <c r="I100" s="271"/>
      <c r="J100" s="271"/>
    </row>
    <row r="101" spans="1:10">
      <c r="B101" s="271"/>
      <c r="C101" s="274"/>
      <c r="D101" s="275" t="s">
        <v>18</v>
      </c>
      <c r="E101" s="271"/>
      <c r="F101" s="271"/>
      <c r="G101" s="271">
        <v>0.52000000001862645</v>
      </c>
      <c r="H101" s="271"/>
      <c r="I101" s="271"/>
      <c r="J101" s="271"/>
    </row>
    <row r="102" spans="1:10">
      <c r="B102" s="271"/>
      <c r="C102" s="274"/>
      <c r="D102" s="275" t="s">
        <v>20</v>
      </c>
      <c r="E102" s="271"/>
      <c r="F102" s="271"/>
      <c r="G102" s="271">
        <v>65</v>
      </c>
      <c r="H102" s="271"/>
      <c r="I102" s="271"/>
      <c r="J102" s="271"/>
    </row>
    <row r="103" spans="1:10">
      <c r="B103" s="271"/>
      <c r="C103" s="274"/>
      <c r="D103" s="275" t="s">
        <v>1264</v>
      </c>
      <c r="E103" s="271"/>
      <c r="F103" s="271"/>
      <c r="G103" s="271">
        <v>1.6799999999348074</v>
      </c>
      <c r="H103" s="271"/>
      <c r="I103" s="271"/>
      <c r="J103" s="271"/>
    </row>
    <row r="104" spans="1:10">
      <c r="B104" s="271"/>
      <c r="C104" s="886" t="s">
        <v>1265</v>
      </c>
      <c r="D104" s="275"/>
      <c r="E104" s="271"/>
      <c r="F104" s="271"/>
      <c r="G104" s="271"/>
      <c r="H104" s="271"/>
      <c r="I104" s="271"/>
      <c r="J104" s="271"/>
    </row>
    <row r="105" spans="1:10">
      <c r="B105" s="271"/>
      <c r="C105" s="886"/>
      <c r="D105" s="275"/>
      <c r="E105" s="271"/>
      <c r="F105" s="271"/>
      <c r="G105" s="271"/>
      <c r="H105" s="271"/>
      <c r="I105" s="271"/>
      <c r="J105" s="271"/>
    </row>
    <row r="106" spans="1:10">
      <c r="A106" s="877" t="s">
        <v>709</v>
      </c>
      <c r="B106" s="271"/>
      <c r="C106" s="274" t="s">
        <v>59</v>
      </c>
      <c r="D106" s="275"/>
      <c r="E106" s="271"/>
      <c r="F106" s="272">
        <v>824199778.11700904</v>
      </c>
      <c r="G106" s="271"/>
      <c r="H106" s="271"/>
      <c r="I106" s="271"/>
      <c r="J106" s="271"/>
    </row>
    <row r="107" spans="1:10">
      <c r="A107" s="877" t="str">
        <f>A106</f>
        <v>CAJE 13</v>
      </c>
      <c r="B107" s="271"/>
      <c r="C107" s="274"/>
      <c r="D107" s="275" t="s">
        <v>373</v>
      </c>
      <c r="E107" s="271"/>
      <c r="F107" s="271"/>
      <c r="G107" s="271"/>
      <c r="H107" s="271"/>
      <c r="I107" s="382">
        <f>F106</f>
        <v>824199778.11700904</v>
      </c>
      <c r="J107" s="271"/>
    </row>
    <row r="108" spans="1:10">
      <c r="B108" s="271"/>
      <c r="C108" s="886" t="s">
        <v>1269</v>
      </c>
      <c r="D108" s="275"/>
      <c r="E108" s="271"/>
      <c r="F108" s="271"/>
      <c r="G108" s="271"/>
      <c r="H108" s="271"/>
      <c r="I108" s="271"/>
      <c r="J108" s="271"/>
    </row>
    <row r="109" spans="1:10">
      <c r="B109" s="271"/>
      <c r="C109" s="274"/>
      <c r="D109" s="275"/>
      <c r="E109" s="271"/>
      <c r="F109" s="271"/>
      <c r="G109" s="271"/>
      <c r="H109" s="271"/>
      <c r="I109" s="271"/>
      <c r="J109" s="271"/>
    </row>
    <row r="110" spans="1:10">
      <c r="A110" s="877" t="s">
        <v>1007</v>
      </c>
      <c r="B110" s="271"/>
      <c r="C110" s="274" t="s">
        <v>389</v>
      </c>
      <c r="D110" s="275"/>
      <c r="E110" s="271"/>
      <c r="F110" s="271"/>
      <c r="G110" s="271"/>
      <c r="H110" s="272">
        <f>SUM(G111:G113)</f>
        <v>1135531100</v>
      </c>
      <c r="I110" s="271"/>
      <c r="J110" s="271"/>
    </row>
    <row r="111" spans="1:10">
      <c r="A111" s="877" t="s">
        <v>1007</v>
      </c>
      <c r="B111" s="271"/>
      <c r="C111" s="274"/>
      <c r="D111" s="275" t="s">
        <v>75</v>
      </c>
      <c r="E111" s="271"/>
      <c r="F111" s="272"/>
      <c r="G111" s="272">
        <f>-'SPT Badan'!B42</f>
        <v>421615912</v>
      </c>
      <c r="H111" s="271"/>
      <c r="I111" s="271"/>
      <c r="J111" s="271"/>
    </row>
    <row r="112" spans="1:10">
      <c r="A112" s="877" t="s">
        <v>1007</v>
      </c>
      <c r="B112" s="271"/>
      <c r="C112" s="274"/>
      <c r="D112" s="275" t="s">
        <v>76</v>
      </c>
      <c r="E112" s="271"/>
      <c r="F112" s="272"/>
      <c r="G112" s="272">
        <f>-'SPT Badan'!B41</f>
        <v>34089140.090000004</v>
      </c>
      <c r="H112" s="271"/>
      <c r="I112" s="271"/>
      <c r="J112" s="271"/>
    </row>
    <row r="113" spans="1:10">
      <c r="B113" s="271"/>
      <c r="D113" s="275" t="s">
        <v>1274</v>
      </c>
      <c r="E113" s="271"/>
      <c r="F113" s="272"/>
      <c r="G113" s="272">
        <f>'SPT Badan'!B48</f>
        <v>679826047.90999997</v>
      </c>
      <c r="H113" s="271"/>
      <c r="I113" s="271"/>
      <c r="J113" s="271"/>
    </row>
    <row r="114" spans="1:10">
      <c r="B114" s="271"/>
      <c r="C114" s="886" t="s">
        <v>1273</v>
      </c>
      <c r="D114" s="275"/>
      <c r="E114" s="271"/>
      <c r="F114" s="272"/>
      <c r="G114" s="271"/>
      <c r="H114" s="271"/>
      <c r="I114" s="271"/>
      <c r="J114" s="271"/>
    </row>
    <row r="115" spans="1:10">
      <c r="B115" s="271"/>
      <c r="C115" s="274"/>
      <c r="D115" s="275"/>
      <c r="E115" s="271"/>
      <c r="F115" s="272"/>
      <c r="G115" s="271"/>
      <c r="H115" s="271"/>
      <c r="I115" s="271"/>
      <c r="J115" s="271"/>
    </row>
    <row r="116" spans="1:10">
      <c r="A116" s="877" t="s">
        <v>1017</v>
      </c>
      <c r="B116" s="271"/>
      <c r="C116" s="274" t="s">
        <v>1277</v>
      </c>
      <c r="D116" s="275"/>
      <c r="E116" s="271"/>
      <c r="F116" s="272"/>
      <c r="G116" s="271"/>
      <c r="H116" s="272">
        <v>873000</v>
      </c>
      <c r="I116" s="272"/>
      <c r="J116" s="271"/>
    </row>
    <row r="117" spans="1:10">
      <c r="A117" s="877" t="str">
        <f>A116</f>
        <v>CAJE 15</v>
      </c>
      <c r="B117" s="271"/>
      <c r="C117" s="274"/>
      <c r="D117" s="275" t="s">
        <v>979</v>
      </c>
      <c r="E117" s="271"/>
      <c r="F117" s="272"/>
      <c r="G117" s="271"/>
      <c r="H117" s="272"/>
      <c r="I117" s="272">
        <f>H116</f>
        <v>873000</v>
      </c>
      <c r="J117" s="271"/>
    </row>
    <row r="118" spans="1:10">
      <c r="B118" s="271"/>
      <c r="C118" s="886" t="s">
        <v>1278</v>
      </c>
      <c r="D118" s="275"/>
      <c r="E118" s="271"/>
      <c r="F118" s="272"/>
      <c r="G118" s="271"/>
      <c r="H118" s="272"/>
      <c r="I118" s="272"/>
      <c r="J118" s="271"/>
    </row>
    <row r="119" spans="1:10">
      <c r="B119" s="271"/>
      <c r="C119" s="274"/>
      <c r="D119" s="275"/>
      <c r="E119" s="271"/>
      <c r="F119" s="272"/>
      <c r="G119" s="271"/>
      <c r="H119" s="271"/>
      <c r="I119" s="271"/>
      <c r="J119" s="271"/>
    </row>
    <row r="120" spans="1:10">
      <c r="A120" s="877" t="s">
        <v>1025</v>
      </c>
      <c r="B120" s="271"/>
      <c r="C120" s="274" t="s">
        <v>1279</v>
      </c>
      <c r="D120" s="275"/>
      <c r="E120" s="271"/>
      <c r="F120" s="272">
        <v>15153928</v>
      </c>
      <c r="G120" s="272"/>
      <c r="H120" s="271"/>
      <c r="I120" s="271"/>
      <c r="J120" s="271"/>
    </row>
    <row r="121" spans="1:10">
      <c r="A121" s="877" t="str">
        <f>A120</f>
        <v>CAJE 16</v>
      </c>
      <c r="B121" s="271"/>
      <c r="C121" s="274"/>
      <c r="D121" s="275" t="s">
        <v>50</v>
      </c>
      <c r="E121" s="271"/>
      <c r="F121" s="272"/>
      <c r="G121" s="272">
        <f>F120</f>
        <v>15153928</v>
      </c>
      <c r="H121" s="271"/>
      <c r="I121" s="271"/>
      <c r="J121" s="271"/>
    </row>
    <row r="122" spans="1:10">
      <c r="B122" s="271"/>
      <c r="C122" s="886" t="s">
        <v>1280</v>
      </c>
      <c r="D122" s="275"/>
      <c r="E122" s="271"/>
      <c r="F122" s="271"/>
      <c r="G122" s="271"/>
      <c r="H122" s="271"/>
      <c r="I122" s="271"/>
      <c r="J122" s="271"/>
    </row>
    <row r="123" spans="1:10">
      <c r="B123" s="271"/>
      <c r="C123" s="274"/>
      <c r="D123" s="275"/>
      <c r="E123" s="271"/>
      <c r="F123" s="271"/>
      <c r="G123" s="271"/>
      <c r="H123" s="271"/>
      <c r="I123" s="271"/>
      <c r="J123" s="271"/>
    </row>
    <row r="124" spans="1:10">
      <c r="B124" s="271"/>
      <c r="C124" s="274"/>
      <c r="D124" s="275"/>
      <c r="E124" s="271"/>
      <c r="F124" s="271"/>
      <c r="G124" s="271"/>
      <c r="H124" s="271"/>
      <c r="I124" s="271"/>
      <c r="J124" s="271"/>
    </row>
    <row r="125" spans="1:10">
      <c r="B125" s="271"/>
      <c r="C125" s="274"/>
      <c r="D125" s="275"/>
      <c r="E125" s="271"/>
      <c r="F125" s="271"/>
      <c r="G125" s="271"/>
      <c r="H125" s="271"/>
      <c r="I125" s="271"/>
      <c r="J125" s="271"/>
    </row>
    <row r="126" spans="1:10">
      <c r="B126" s="271"/>
      <c r="C126" s="274"/>
      <c r="D126" s="275"/>
      <c r="E126" s="271"/>
      <c r="F126" s="271"/>
      <c r="G126" s="271"/>
      <c r="H126" s="271"/>
      <c r="I126" s="271"/>
      <c r="J126" s="271"/>
    </row>
    <row r="127" spans="1:10">
      <c r="B127" s="271"/>
      <c r="C127" s="274"/>
      <c r="D127" s="275"/>
      <c r="E127" s="271"/>
      <c r="F127" s="271"/>
      <c r="G127" s="271"/>
      <c r="H127" s="271"/>
      <c r="I127" s="271"/>
      <c r="J127" s="271"/>
    </row>
    <row r="128" spans="1:10">
      <c r="B128" s="271"/>
      <c r="C128" s="274"/>
      <c r="D128" s="275"/>
      <c r="E128" s="271"/>
      <c r="F128" s="271"/>
      <c r="G128" s="271"/>
      <c r="H128" s="271"/>
      <c r="I128" s="271"/>
      <c r="J128" s="271"/>
    </row>
    <row r="129" spans="2:10">
      <c r="B129" s="271"/>
      <c r="C129" s="274"/>
      <c r="D129" s="275"/>
      <c r="E129" s="271"/>
      <c r="F129" s="271"/>
      <c r="G129" s="271"/>
      <c r="H129" s="271"/>
      <c r="I129" s="271"/>
      <c r="J129" s="271"/>
    </row>
  </sheetData>
  <mergeCells count="7">
    <mergeCell ref="J2:J3"/>
    <mergeCell ref="A2:A3"/>
    <mergeCell ref="B2:B3"/>
    <mergeCell ref="C2:D3"/>
    <mergeCell ref="E2:E3"/>
    <mergeCell ref="F2:G2"/>
    <mergeCell ref="H2:I2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342B-8631-47D1-AC18-DA9003E56B44}">
  <sheetPr>
    <tabColor theme="1"/>
  </sheetPr>
  <dimension ref="A1:AN506"/>
  <sheetViews>
    <sheetView showGridLines="0" tabSelected="1" topLeftCell="A4" zoomScale="80" zoomScaleNormal="80" workbookViewId="0">
      <pane xSplit="2" ySplit="9" topLeftCell="D230" activePane="bottomRight" state="frozen"/>
      <selection activeCell="A4" sqref="A4"/>
      <selection pane="topRight" activeCell="C4" sqref="C4"/>
      <selection pane="bottomLeft" activeCell="A13" sqref="A13"/>
      <selection pane="bottomRight" activeCell="J235" sqref="J235"/>
    </sheetView>
  </sheetViews>
  <sheetFormatPr defaultRowHeight="14.5" outlineLevelCol="1"/>
  <cols>
    <col min="1" max="1" width="10.453125" style="1" customWidth="1"/>
    <col min="2" max="2" width="54.81640625" style="4" bestFit="1" customWidth="1"/>
    <col min="3" max="3" width="26.1796875" style="111" customWidth="1" outlineLevel="1"/>
    <col min="4" max="4" width="20.6328125" style="111" customWidth="1" outlineLevel="1"/>
    <col min="5" max="5" width="17.26953125" style="111" customWidth="1" outlineLevel="1"/>
    <col min="6" max="6" width="7" style="279" customWidth="1" outlineLevel="1"/>
    <col min="7" max="7" width="15.1796875" style="111" customWidth="1" outlineLevel="1"/>
    <col min="8" max="8" width="10.6328125" style="279" customWidth="1" outlineLevel="1"/>
    <col min="9" max="9" width="15.1796875" style="111" customWidth="1" outlineLevel="1"/>
    <col min="10" max="10" width="17.26953125" style="111" bestFit="1" customWidth="1"/>
    <col min="11" max="12" width="17.26953125" style="111" hidden="1" customWidth="1"/>
    <col min="13" max="13" width="21.26953125" style="438" customWidth="1"/>
    <col min="14" max="14" width="26.1796875" style="111" hidden="1" customWidth="1" outlineLevel="1"/>
    <col min="15" max="15" width="20.7265625" style="111" hidden="1" customWidth="1" outlineLevel="1"/>
    <col min="16" max="16" width="21.26953125" style="111" hidden="1" customWidth="1" outlineLevel="1"/>
    <col min="17" max="17" width="14.1796875" style="279" hidden="1" customWidth="1" outlineLevel="1"/>
    <col min="18" max="18" width="15.1796875" style="111" hidden="1" customWidth="1" outlineLevel="1"/>
    <col min="19" max="19" width="14.54296875" style="279" hidden="1" customWidth="1" outlineLevel="1"/>
    <col min="20" max="20" width="15.1796875" style="111" hidden="1" customWidth="1" outlineLevel="1"/>
    <col min="21" max="21" width="27.26953125" style="111" customWidth="1" collapsed="1"/>
    <col min="22" max="22" width="21.26953125" style="438" customWidth="1"/>
    <col min="23" max="23" width="24.1796875" style="9" bestFit="1" customWidth="1"/>
    <col min="24" max="24" width="19.1796875" style="5" customWidth="1"/>
    <col min="25" max="25" width="13.7265625" style="9" customWidth="1"/>
    <col min="26" max="26" width="6.90625" style="9" customWidth="1"/>
    <col min="27" max="29" width="20.1796875" style="9" hidden="1" customWidth="1" outlineLevel="1"/>
    <col min="30" max="30" width="9" style="402" hidden="1" customWidth="1" outlineLevel="1"/>
    <col min="31" max="31" width="20.1796875" style="9" hidden="1" customWidth="1" outlineLevel="1"/>
    <col min="32" max="32" width="16.1796875" style="402" hidden="1" customWidth="1" outlineLevel="1"/>
    <col min="33" max="33" width="20.1796875" style="9" hidden="1" customWidth="1" outlineLevel="1"/>
    <col min="34" max="34" width="21.453125" style="9" customWidth="1" collapsed="1"/>
    <col min="35" max="35" width="6.1796875" style="9" customWidth="1"/>
    <col min="36" max="36" width="20.1796875" style="9" customWidth="1"/>
    <col min="37" max="37" width="20.1796875" style="5" hidden="1" customWidth="1"/>
    <col min="38" max="38" width="20.1796875" style="9" hidden="1" customWidth="1"/>
    <col min="40" max="40" width="20.1796875" style="9" customWidth="1"/>
  </cols>
  <sheetData>
    <row r="1" spans="1:40">
      <c r="W1" s="5"/>
      <c r="AA1" s="5"/>
      <c r="AB1" s="5"/>
      <c r="AC1" s="5"/>
      <c r="AD1" s="383"/>
      <c r="AE1" s="5"/>
      <c r="AF1" s="383"/>
      <c r="AG1" s="5"/>
      <c r="AH1" s="5"/>
      <c r="AJ1" s="5"/>
      <c r="AM1" s="94"/>
      <c r="AN1" s="5"/>
    </row>
    <row r="2" spans="1:40">
      <c r="W2" s="5"/>
      <c r="AA2" s="5"/>
      <c r="AB2" s="5"/>
      <c r="AC2" s="5"/>
      <c r="AD2" s="383"/>
      <c r="AE2" s="5"/>
      <c r="AF2" s="383"/>
      <c r="AG2" s="5"/>
      <c r="AH2" s="5"/>
      <c r="AJ2" s="5"/>
      <c r="AM2" s="94"/>
      <c r="AN2" s="5"/>
    </row>
    <row r="3" spans="1:40">
      <c r="B3" s="2"/>
      <c r="C3" s="101"/>
      <c r="D3" s="101"/>
      <c r="E3" s="101"/>
      <c r="G3" s="101"/>
      <c r="I3" s="101"/>
      <c r="J3" s="101"/>
      <c r="K3" s="101"/>
      <c r="L3" s="101"/>
      <c r="M3" s="439"/>
      <c r="N3" s="101"/>
      <c r="O3" s="101"/>
      <c r="P3" s="101"/>
      <c r="R3" s="101"/>
      <c r="T3" s="101"/>
      <c r="U3" s="101"/>
      <c r="V3" s="439"/>
      <c r="W3" s="3"/>
      <c r="X3" s="3"/>
      <c r="Y3" s="107"/>
      <c r="Z3" s="107"/>
      <c r="AA3" s="3"/>
      <c r="AB3" s="3"/>
      <c r="AC3" s="3"/>
      <c r="AD3" s="384"/>
      <c r="AE3" s="3"/>
      <c r="AF3" s="384"/>
      <c r="AG3" s="3"/>
      <c r="AH3" s="3"/>
      <c r="AI3" s="107"/>
      <c r="AJ3" s="3"/>
      <c r="AK3" s="3"/>
      <c r="AL3" s="107"/>
      <c r="AM3" s="94"/>
      <c r="AN3" s="3"/>
    </row>
    <row r="4" spans="1:40">
      <c r="A4" s="834" t="s">
        <v>1198</v>
      </c>
      <c r="B4" s="2"/>
      <c r="C4" s="101"/>
      <c r="D4" s="101"/>
      <c r="E4" s="101"/>
      <c r="G4" s="101"/>
      <c r="I4" s="101"/>
      <c r="J4" s="101"/>
      <c r="K4" s="101"/>
      <c r="L4" s="101"/>
      <c r="M4" s="101"/>
      <c r="N4" s="101"/>
      <c r="O4" s="101"/>
      <c r="P4" s="101"/>
      <c r="R4" s="101"/>
      <c r="T4" s="101"/>
      <c r="U4" s="101"/>
      <c r="V4" s="101"/>
      <c r="X4" s="3"/>
      <c r="Y4" s="107"/>
      <c r="Z4" s="107"/>
      <c r="AA4" s="107"/>
      <c r="AB4" s="107"/>
      <c r="AC4" s="107"/>
      <c r="AD4" s="385"/>
      <c r="AE4" s="107"/>
      <c r="AF4" s="385"/>
      <c r="AG4" s="107"/>
      <c r="AH4" s="107"/>
      <c r="AI4" s="107"/>
      <c r="AJ4" s="107"/>
      <c r="AK4" s="3"/>
      <c r="AL4" s="107"/>
      <c r="AN4" s="107"/>
    </row>
    <row r="5" spans="1:40">
      <c r="B5" s="101"/>
      <c r="C5" s="101"/>
      <c r="D5" s="101"/>
      <c r="E5" s="101"/>
      <c r="G5" s="101"/>
      <c r="H5" s="367"/>
      <c r="I5" s="101"/>
      <c r="J5" s="101"/>
      <c r="K5" s="944"/>
      <c r="L5" s="101"/>
      <c r="M5" s="101"/>
      <c r="N5" s="101"/>
      <c r="O5" s="101"/>
      <c r="P5" s="101"/>
      <c r="R5" s="101"/>
      <c r="S5" s="367"/>
      <c r="T5" s="101"/>
      <c r="U5" s="101"/>
      <c r="V5" s="101"/>
      <c r="W5" s="107"/>
      <c r="X5" s="3"/>
      <c r="Y5" s="107"/>
      <c r="Z5" s="107"/>
      <c r="AA5" s="107"/>
      <c r="AB5" s="107"/>
      <c r="AC5" s="107"/>
      <c r="AD5" s="385"/>
      <c r="AE5" s="107"/>
      <c r="AF5" s="385"/>
      <c r="AG5" s="107"/>
      <c r="AH5" s="107"/>
      <c r="AI5" s="107"/>
      <c r="AJ5" s="107"/>
      <c r="AK5" s="3"/>
      <c r="AL5" s="107"/>
      <c r="AN5" s="107"/>
    </row>
    <row r="6" spans="1:40">
      <c r="B6" s="102"/>
      <c r="C6" s="112"/>
      <c r="D6" s="879"/>
      <c r="E6" s="112"/>
      <c r="G6" s="112"/>
      <c r="I6" s="112"/>
      <c r="J6" s="112"/>
      <c r="K6" s="112"/>
      <c r="L6" s="112"/>
      <c r="M6" s="112"/>
      <c r="N6" s="112"/>
      <c r="O6" s="112"/>
      <c r="P6" s="112"/>
      <c r="R6" s="112"/>
      <c r="T6" s="112"/>
      <c r="U6" s="112"/>
      <c r="V6" s="112"/>
      <c r="W6" s="107"/>
      <c r="X6" s="3"/>
      <c r="Y6" s="107"/>
      <c r="Z6" s="107"/>
      <c r="AA6" s="107"/>
      <c r="AB6" s="107"/>
      <c r="AC6" s="107"/>
      <c r="AD6" s="385"/>
      <c r="AE6" s="107"/>
      <c r="AF6" s="385"/>
      <c r="AG6" s="107"/>
      <c r="AH6" s="107"/>
      <c r="AI6" s="107"/>
      <c r="AJ6" s="107"/>
      <c r="AK6" s="3"/>
      <c r="AL6" s="107"/>
      <c r="AN6" s="107"/>
    </row>
    <row r="7" spans="1:40">
      <c r="A7" s="108" t="s">
        <v>0</v>
      </c>
      <c r="B7" s="1"/>
      <c r="C7" s="109">
        <f>C159</f>
        <v>301143928979.03204</v>
      </c>
      <c r="D7" s="109"/>
      <c r="E7" s="109">
        <f>E159</f>
        <v>300134174319.65204</v>
      </c>
      <c r="G7" s="113"/>
      <c r="I7" s="113"/>
      <c r="J7" s="109">
        <f>J159</f>
        <v>325712944225.9729</v>
      </c>
      <c r="K7" s="109"/>
      <c r="L7" s="816"/>
      <c r="M7" s="109"/>
      <c r="N7" s="109">
        <f>N159</f>
        <v>301143928979.03204</v>
      </c>
      <c r="O7" s="109"/>
      <c r="P7" s="109">
        <f>P159</f>
        <v>324941321624.31543</v>
      </c>
      <c r="R7" s="113"/>
      <c r="T7" s="113"/>
      <c r="U7" s="109">
        <f>U159</f>
        <v>303311159345.21301</v>
      </c>
      <c r="V7" s="109"/>
      <c r="W7" s="109">
        <f>W159</f>
        <v>301143928979.03204</v>
      </c>
      <c r="X7" s="785">
        <v>301143928979.03204</v>
      </c>
      <c r="Y7" s="109"/>
      <c r="Z7" s="109"/>
      <c r="AA7" s="109">
        <f>AA159</f>
        <v>176611926143.68549</v>
      </c>
      <c r="AB7" s="109"/>
      <c r="AC7" s="109">
        <f>AC159</f>
        <v>290632305524.90814</v>
      </c>
      <c r="AD7" s="385"/>
      <c r="AE7" s="109"/>
      <c r="AF7" s="385"/>
      <c r="AG7" s="109"/>
      <c r="AH7" s="109">
        <f>AH159</f>
        <v>281676261822</v>
      </c>
      <c r="AI7" s="109"/>
      <c r="AJ7" s="109">
        <f>AJ159</f>
        <v>176611926143.68549</v>
      </c>
      <c r="AK7" s="785">
        <v>176611926143.73544</v>
      </c>
      <c r="AL7" s="109"/>
      <c r="AN7" s="109">
        <f>AN159</f>
        <v>153903160236.55688</v>
      </c>
    </row>
    <row r="8" spans="1:40">
      <c r="A8" s="108" t="s">
        <v>1</v>
      </c>
      <c r="B8" s="1"/>
      <c r="C8" s="109">
        <f>C329</f>
        <v>301143928978.03754</v>
      </c>
      <c r="D8" s="109"/>
      <c r="E8" s="109">
        <f>E329</f>
        <v>300134174319.96753</v>
      </c>
      <c r="G8" s="113"/>
      <c r="I8" s="113"/>
      <c r="J8" s="109">
        <f>J329</f>
        <v>325712944225.48853</v>
      </c>
      <c r="K8" s="109"/>
      <c r="L8" s="816"/>
      <c r="M8" s="109"/>
      <c r="N8" s="109">
        <f>N329</f>
        <v>301143928978.03754</v>
      </c>
      <c r="O8" s="109"/>
      <c r="P8" s="109">
        <f>P329</f>
        <v>324941321624.24756</v>
      </c>
      <c r="R8" s="113"/>
      <c r="T8" s="113"/>
      <c r="U8" s="109">
        <f>U329</f>
        <v>303311159345.16309</v>
      </c>
      <c r="V8" s="109"/>
      <c r="W8" s="109">
        <f>W329</f>
        <v>301143928978.03754</v>
      </c>
      <c r="X8" s="785">
        <v>301143928978.0376</v>
      </c>
      <c r="Y8" s="109"/>
      <c r="Z8" s="109"/>
      <c r="AA8" s="109">
        <f>AA329</f>
        <v>176611926143.81546</v>
      </c>
      <c r="AB8" s="109"/>
      <c r="AC8" s="109">
        <f>AC329</f>
        <v>290632305525.03815</v>
      </c>
      <c r="AD8" s="385"/>
      <c r="AE8" s="109"/>
      <c r="AF8" s="385"/>
      <c r="AG8" s="109"/>
      <c r="AH8" s="109">
        <f>AH329</f>
        <v>281676261822</v>
      </c>
      <c r="AI8" s="109"/>
      <c r="AJ8" s="109">
        <f>AJ329</f>
        <v>176611926143.81546</v>
      </c>
      <c r="AK8" s="785">
        <v>176611926143.81549</v>
      </c>
      <c r="AL8" s="109"/>
      <c r="AN8" s="109">
        <f>AN329</f>
        <v>153903160236.36691</v>
      </c>
    </row>
    <row r="9" spans="1:40">
      <c r="A9" s="108" t="s">
        <v>2</v>
      </c>
      <c r="B9" s="2"/>
      <c r="C9" s="110">
        <f>C7-C8</f>
        <v>0.9945068359375</v>
      </c>
      <c r="D9" s="110"/>
      <c r="E9" s="110">
        <f>E7-E8</f>
        <v>-0.31549072265625</v>
      </c>
      <c r="G9" s="101"/>
      <c r="I9" s="101"/>
      <c r="J9" s="110">
        <f>J7-J8</f>
        <v>0.484375</v>
      </c>
      <c r="K9" s="110"/>
      <c r="L9" s="815"/>
      <c r="M9" s="110"/>
      <c r="N9" s="110">
        <f>N7-N8</f>
        <v>0.9945068359375</v>
      </c>
      <c r="O9" s="110"/>
      <c r="P9" s="110">
        <f>P7-P8</f>
        <v>6.787109375E-2</v>
      </c>
      <c r="R9" s="101"/>
      <c r="T9" s="101"/>
      <c r="U9" s="110">
        <f>U7-U8</f>
        <v>4.99267578125E-2</v>
      </c>
      <c r="V9" s="110"/>
      <c r="W9" s="110">
        <f>W7-W8</f>
        <v>0.9945068359375</v>
      </c>
      <c r="X9" s="786">
        <v>0.99444580078125</v>
      </c>
      <c r="Y9" s="110"/>
      <c r="Z9" s="110"/>
      <c r="AA9" s="110">
        <f>AA7-AA8</f>
        <v>-0.129974365234375</v>
      </c>
      <c r="AB9" s="110"/>
      <c r="AC9" s="110">
        <f>AC7-AC8</f>
        <v>-0.1300048828125</v>
      </c>
      <c r="AD9" s="385"/>
      <c r="AE9" s="110"/>
      <c r="AF9" s="385"/>
      <c r="AG9" s="110"/>
      <c r="AH9" s="110">
        <f>AH7-AH8</f>
        <v>0</v>
      </c>
      <c r="AI9" s="110"/>
      <c r="AJ9" s="110">
        <f>AJ7-AJ8</f>
        <v>-0.129974365234375</v>
      </c>
      <c r="AK9" s="786">
        <v>-8.0047607421875E-2</v>
      </c>
      <c r="AL9" s="110"/>
      <c r="AN9" s="110">
        <f>AN7-AN8</f>
        <v>0.189971923828125</v>
      </c>
    </row>
    <row r="10" spans="1:40">
      <c r="A10" s="4"/>
      <c r="J10" s="659"/>
      <c r="K10" s="659"/>
      <c r="L10" s="659"/>
      <c r="M10" s="111"/>
      <c r="U10" s="659"/>
      <c r="V10" s="111"/>
      <c r="W10" s="107"/>
      <c r="X10" s="787"/>
      <c r="Y10" s="107"/>
      <c r="Z10" s="107"/>
      <c r="AA10" s="107"/>
      <c r="AB10" s="107"/>
      <c r="AC10" s="107"/>
      <c r="AD10" s="385"/>
      <c r="AE10" s="107"/>
      <c r="AF10" s="385"/>
      <c r="AG10" s="107"/>
      <c r="AH10" s="107"/>
      <c r="AI10" s="107"/>
      <c r="AJ10" s="107"/>
      <c r="AK10" s="3"/>
      <c r="AL10" s="107"/>
      <c r="AN10" s="107"/>
    </row>
    <row r="11" spans="1:40">
      <c r="A11" s="962" t="s">
        <v>3</v>
      </c>
      <c r="B11" s="962" t="s">
        <v>4</v>
      </c>
      <c r="C11" s="10" t="s">
        <v>5</v>
      </c>
      <c r="D11" s="145" t="s">
        <v>1054</v>
      </c>
      <c r="E11" s="115" t="s">
        <v>405</v>
      </c>
      <c r="F11" s="964" t="s">
        <v>406</v>
      </c>
      <c r="G11" s="965"/>
      <c r="H11" s="965"/>
      <c r="I11" s="965"/>
      <c r="J11" s="100" t="s">
        <v>407</v>
      </c>
      <c r="K11" s="906"/>
      <c r="L11" s="907">
        <v>16162</v>
      </c>
      <c r="M11" s="907"/>
      <c r="N11" s="10" t="s">
        <v>5</v>
      </c>
      <c r="O11" s="145" t="s">
        <v>713</v>
      </c>
      <c r="P11" s="115" t="s">
        <v>405</v>
      </c>
      <c r="Q11" s="964" t="s">
        <v>406</v>
      </c>
      <c r="R11" s="965"/>
      <c r="S11" s="965"/>
      <c r="T11" s="965"/>
      <c r="U11" s="100" t="s">
        <v>407</v>
      </c>
      <c r="V11" s="440"/>
      <c r="W11" s="10" t="s">
        <v>5</v>
      </c>
      <c r="X11" s="829" t="s">
        <v>1199</v>
      </c>
      <c r="Y11" s="368"/>
      <c r="Z11" s="368"/>
      <c r="AA11" s="10" t="s">
        <v>5</v>
      </c>
      <c r="AB11" s="145" t="s">
        <v>713</v>
      </c>
      <c r="AC11" s="115" t="s">
        <v>405</v>
      </c>
      <c r="AD11" s="964" t="s">
        <v>406</v>
      </c>
      <c r="AE11" s="965"/>
      <c r="AF11" s="965"/>
      <c r="AG11" s="965"/>
      <c r="AH11" s="100" t="s">
        <v>407</v>
      </c>
      <c r="AI11" s="368"/>
      <c r="AJ11" s="10" t="s">
        <v>5</v>
      </c>
      <c r="AK11" s="829" t="s">
        <v>1199</v>
      </c>
      <c r="AL11" s="368"/>
      <c r="AM11" s="95"/>
      <c r="AN11" s="10" t="s">
        <v>5</v>
      </c>
    </row>
    <row r="12" spans="1:40" ht="16" customHeight="1">
      <c r="A12" s="963"/>
      <c r="B12" s="963"/>
      <c r="C12" s="11" t="s">
        <v>6</v>
      </c>
      <c r="D12" s="114">
        <f>SUM(D18:D503)</f>
        <v>-0.31002235412597656</v>
      </c>
      <c r="E12" s="116" t="s">
        <v>1236</v>
      </c>
      <c r="F12" s="273" t="s">
        <v>408</v>
      </c>
      <c r="G12" s="117" t="s">
        <v>409</v>
      </c>
      <c r="H12" s="273" t="s">
        <v>408</v>
      </c>
      <c r="I12" s="118" t="s">
        <v>410</v>
      </c>
      <c r="J12" s="116" t="str">
        <f>E12</f>
        <v>31 Desember 2024</v>
      </c>
      <c r="K12" s="908" t="s">
        <v>1257</v>
      </c>
      <c r="L12" s="909" t="s">
        <v>1258</v>
      </c>
      <c r="M12" s="910" t="s">
        <v>1198</v>
      </c>
      <c r="N12" s="11" t="s">
        <v>6</v>
      </c>
      <c r="O12" s="114">
        <f>SUM(O18:O503)</f>
        <v>7.3485374450683594E-2</v>
      </c>
      <c r="P12" s="116" t="s">
        <v>1056</v>
      </c>
      <c r="Q12" s="273" t="s">
        <v>408</v>
      </c>
      <c r="R12" s="117" t="s">
        <v>409</v>
      </c>
      <c r="S12" s="273" t="s">
        <v>408</v>
      </c>
      <c r="T12" s="118" t="s">
        <v>410</v>
      </c>
      <c r="U12" s="116" t="str">
        <f>P12</f>
        <v>30 Sept 2024</v>
      </c>
      <c r="V12" s="441"/>
      <c r="W12" s="11" t="s">
        <v>6</v>
      </c>
      <c r="X12" s="830" t="s">
        <v>6</v>
      </c>
      <c r="Y12" s="369"/>
      <c r="Z12" s="369"/>
      <c r="AA12" s="11" t="s">
        <v>400</v>
      </c>
      <c r="AB12" s="114">
        <f>SUM(AB18:AB503)</f>
        <v>-9.5367431640625E-7</v>
      </c>
      <c r="AC12" s="116" t="s">
        <v>714</v>
      </c>
      <c r="AD12" s="273" t="s">
        <v>408</v>
      </c>
      <c r="AE12" s="403" t="s">
        <v>409</v>
      </c>
      <c r="AF12" s="273" t="s">
        <v>408</v>
      </c>
      <c r="AG12" s="404" t="s">
        <v>410</v>
      </c>
      <c r="AH12" s="116" t="str">
        <f>AC12</f>
        <v>31 Sept 2023</v>
      </c>
      <c r="AI12" s="369"/>
      <c r="AJ12" s="11" t="s">
        <v>400</v>
      </c>
      <c r="AK12" s="830" t="s">
        <v>400</v>
      </c>
      <c r="AL12" s="369"/>
      <c r="AM12" s="95"/>
      <c r="AN12" s="11" t="s">
        <v>401</v>
      </c>
    </row>
    <row r="13" spans="1:40">
      <c r="A13" s="12"/>
      <c r="B13" s="12"/>
      <c r="C13" s="89"/>
      <c r="D13" s="89"/>
      <c r="E13" s="89"/>
      <c r="F13" s="280"/>
      <c r="G13" s="89"/>
      <c r="H13" s="280"/>
      <c r="I13" s="89"/>
      <c r="J13" s="89"/>
      <c r="K13" s="89"/>
      <c r="L13" s="933"/>
      <c r="M13" s="911"/>
      <c r="N13" s="89"/>
      <c r="O13" s="89"/>
      <c r="P13" s="89"/>
      <c r="Q13" s="280"/>
      <c r="R13" s="89"/>
      <c r="S13" s="280"/>
      <c r="T13" s="89"/>
      <c r="U13" s="89"/>
      <c r="V13" s="106"/>
      <c r="W13" s="13"/>
      <c r="X13" s="788"/>
      <c r="Y13" s="25"/>
      <c r="Z13" s="25"/>
      <c r="AA13" s="13"/>
      <c r="AB13" s="13"/>
      <c r="AC13" s="13"/>
      <c r="AD13" s="386"/>
      <c r="AE13" s="13"/>
      <c r="AF13" s="386"/>
      <c r="AG13" s="13"/>
      <c r="AH13" s="13"/>
      <c r="AI13" s="25"/>
      <c r="AJ13" s="13"/>
      <c r="AK13" s="835"/>
      <c r="AL13" s="25"/>
      <c r="AM13" s="95"/>
      <c r="AN13" s="13"/>
    </row>
    <row r="14" spans="1:40">
      <c r="A14" s="12" t="s">
        <v>7</v>
      </c>
      <c r="B14" s="12"/>
      <c r="C14" s="89"/>
      <c r="D14" s="89"/>
      <c r="E14" s="89"/>
      <c r="F14" s="280"/>
      <c r="G14" s="89"/>
      <c r="H14" s="280"/>
      <c r="I14" s="89"/>
      <c r="J14" s="89"/>
      <c r="K14" s="89"/>
      <c r="L14" s="933"/>
      <c r="M14" s="911"/>
      <c r="N14" s="89"/>
      <c r="O14" s="89"/>
      <c r="P14" s="89"/>
      <c r="Q14" s="280"/>
      <c r="R14" s="89"/>
      <c r="S14" s="280"/>
      <c r="T14" s="89"/>
      <c r="U14" s="89"/>
      <c r="V14" s="106"/>
      <c r="W14" s="13"/>
      <c r="X14" s="788"/>
      <c r="Y14" s="25"/>
      <c r="Z14" s="25"/>
      <c r="AA14" s="13"/>
      <c r="AB14" s="13"/>
      <c r="AC14" s="13"/>
      <c r="AD14" s="386"/>
      <c r="AE14" s="13"/>
      <c r="AF14" s="386"/>
      <c r="AG14" s="13"/>
      <c r="AH14" s="13"/>
      <c r="AI14" s="25"/>
      <c r="AJ14" s="13"/>
      <c r="AK14" s="835"/>
      <c r="AL14" s="25"/>
      <c r="AM14" s="95"/>
      <c r="AN14" s="13"/>
    </row>
    <row r="15" spans="1:40">
      <c r="A15" s="12" t="s">
        <v>29</v>
      </c>
      <c r="B15" s="12"/>
      <c r="C15" s="89"/>
      <c r="D15" s="89"/>
      <c r="E15" s="89"/>
      <c r="F15" s="280"/>
      <c r="G15" s="89"/>
      <c r="H15" s="280"/>
      <c r="I15" s="89"/>
      <c r="J15" s="89"/>
      <c r="K15" s="89"/>
      <c r="L15" s="933"/>
      <c r="M15" s="911"/>
      <c r="N15" s="89"/>
      <c r="O15" s="89"/>
      <c r="P15" s="89"/>
      <c r="Q15" s="280"/>
      <c r="R15" s="89"/>
      <c r="S15" s="280"/>
      <c r="T15" s="89"/>
      <c r="U15" s="89"/>
      <c r="V15" s="106"/>
      <c r="W15" s="13"/>
      <c r="X15" s="788"/>
      <c r="Y15" s="25"/>
      <c r="Z15" s="25"/>
      <c r="AA15" s="13"/>
      <c r="AB15" s="13"/>
      <c r="AC15" s="13"/>
      <c r="AD15" s="386"/>
      <c r="AE15" s="13"/>
      <c r="AF15" s="386"/>
      <c r="AG15" s="13"/>
      <c r="AH15" s="13"/>
      <c r="AI15" s="25"/>
      <c r="AJ15" s="13"/>
      <c r="AK15" s="835"/>
      <c r="AL15" s="25"/>
      <c r="AM15" s="95"/>
      <c r="AN15" s="13"/>
    </row>
    <row r="16" spans="1:40">
      <c r="A16" s="12" t="s">
        <v>8</v>
      </c>
      <c r="B16" s="14"/>
      <c r="C16" s="67"/>
      <c r="D16" s="67"/>
      <c r="E16" s="67"/>
      <c r="F16" s="280"/>
      <c r="G16" s="67"/>
      <c r="H16" s="280"/>
      <c r="I16" s="67"/>
      <c r="J16" s="67"/>
      <c r="K16" s="67"/>
      <c r="L16" s="934"/>
      <c r="M16" s="912"/>
      <c r="N16" s="67"/>
      <c r="O16" s="67"/>
      <c r="P16" s="67"/>
      <c r="Q16" s="280"/>
      <c r="R16" s="67"/>
      <c r="S16" s="280"/>
      <c r="T16" s="67"/>
      <c r="U16" s="67"/>
      <c r="V16" s="103"/>
      <c r="W16" s="15"/>
      <c r="X16" s="789"/>
      <c r="Y16" s="8"/>
      <c r="Z16" s="8"/>
      <c r="AA16" s="15"/>
      <c r="AB16" s="15"/>
      <c r="AC16" s="15"/>
      <c r="AD16" s="386"/>
      <c r="AE16" s="15"/>
      <c r="AF16" s="386"/>
      <c r="AG16" s="15"/>
      <c r="AH16" s="15"/>
      <c r="AI16" s="8"/>
      <c r="AJ16" s="15"/>
      <c r="AK16" s="836"/>
      <c r="AL16" s="8"/>
      <c r="AM16" s="95"/>
      <c r="AN16" s="15"/>
    </row>
    <row r="17" spans="1:40">
      <c r="A17" s="16" t="s">
        <v>9</v>
      </c>
      <c r="B17" s="14"/>
      <c r="C17" s="67"/>
      <c r="D17" s="67"/>
      <c r="E17" s="67"/>
      <c r="F17" s="280"/>
      <c r="G17" s="67"/>
      <c r="H17" s="280"/>
      <c r="I17" s="67"/>
      <c r="J17" s="67"/>
      <c r="K17" s="67"/>
      <c r="L17" s="934"/>
      <c r="M17" s="912"/>
      <c r="N17" s="67"/>
      <c r="O17" s="67"/>
      <c r="P17" s="67"/>
      <c r="Q17" s="280"/>
      <c r="R17" s="67"/>
      <c r="S17" s="280"/>
      <c r="T17" s="67"/>
      <c r="U17" s="67"/>
      <c r="V17" s="103"/>
      <c r="W17" s="15"/>
      <c r="X17" s="789"/>
      <c r="Y17" s="8"/>
      <c r="Z17" s="8"/>
      <c r="AA17" s="15"/>
      <c r="AB17" s="15"/>
      <c r="AC17" s="15"/>
      <c r="AD17" s="386"/>
      <c r="AE17" s="15"/>
      <c r="AF17" s="386"/>
      <c r="AG17" s="15"/>
      <c r="AH17" s="15"/>
      <c r="AI17" s="8"/>
      <c r="AJ17" s="15"/>
      <c r="AK17" s="836"/>
      <c r="AL17" s="8"/>
      <c r="AM17" s="95"/>
      <c r="AN17" s="15"/>
    </row>
    <row r="18" spans="1:40">
      <c r="A18" s="17"/>
      <c r="B18" s="14" t="s">
        <v>10</v>
      </c>
      <c r="C18" s="67">
        <f>W18</f>
        <v>52356867</v>
      </c>
      <c r="D18" s="67">
        <v>120389485.79998779</v>
      </c>
      <c r="E18" s="67">
        <f>C18+D18</f>
        <v>172746352.79998779</v>
      </c>
      <c r="F18" s="280"/>
      <c r="G18" s="67"/>
      <c r="H18" s="280"/>
      <c r="I18" s="67"/>
      <c r="J18" s="67">
        <f>E18+G18-I18</f>
        <v>172746352.79998779</v>
      </c>
      <c r="K18" s="67"/>
      <c r="L18" s="934"/>
      <c r="M18" s="912"/>
      <c r="N18" s="67">
        <f>W18</f>
        <v>52356867</v>
      </c>
      <c r="O18" s="67">
        <v>169360664.80000305</v>
      </c>
      <c r="P18" s="67">
        <f>N18+O18</f>
        <v>221717531.80000305</v>
      </c>
      <c r="Q18" s="280"/>
      <c r="R18" s="67"/>
      <c r="S18" s="280"/>
      <c r="T18" s="67"/>
      <c r="U18" s="67">
        <f>P18+R18-T18</f>
        <v>221717531.80000305</v>
      </c>
      <c r="V18" s="103"/>
      <c r="W18" s="7">
        <v>52356867</v>
      </c>
      <c r="X18" s="790">
        <v>52356867</v>
      </c>
      <c r="Y18" s="27">
        <f>W18-X18</f>
        <v>0</v>
      </c>
      <c r="Z18" s="27"/>
      <c r="AA18" s="7">
        <f>AJ18</f>
        <v>48995723</v>
      </c>
      <c r="AB18" s="7">
        <v>11311239</v>
      </c>
      <c r="AC18" s="7">
        <f>AA18+AB18</f>
        <v>60306962</v>
      </c>
      <c r="AD18" s="50"/>
      <c r="AE18" s="7"/>
      <c r="AF18" s="50"/>
      <c r="AG18" s="7"/>
      <c r="AH18" s="7">
        <f>ROUND(AC18+AE18-AG18,0)</f>
        <v>60306962</v>
      </c>
      <c r="AI18" s="27"/>
      <c r="AJ18" s="7">
        <v>48995723</v>
      </c>
      <c r="AK18" s="837">
        <v>48995723.420013428</v>
      </c>
      <c r="AL18" s="27">
        <f>AJ18-AK18</f>
        <v>-0.420013427734375</v>
      </c>
      <c r="AM18" s="95"/>
      <c r="AN18" s="7">
        <v>19218284</v>
      </c>
    </row>
    <row r="19" spans="1:40">
      <c r="A19" s="18" t="s">
        <v>14</v>
      </c>
      <c r="B19" s="14"/>
      <c r="C19" s="67"/>
      <c r="D19" s="67"/>
      <c r="E19" s="67"/>
      <c r="F19" s="280"/>
      <c r="G19" s="67"/>
      <c r="H19" s="280"/>
      <c r="I19" s="67"/>
      <c r="J19" s="67"/>
      <c r="K19" s="67"/>
      <c r="L19" s="934"/>
      <c r="M19" s="912"/>
      <c r="N19" s="67"/>
      <c r="O19" s="67"/>
      <c r="P19" s="67"/>
      <c r="Q19" s="280"/>
      <c r="R19" s="67"/>
      <c r="S19" s="280"/>
      <c r="T19" s="67"/>
      <c r="U19" s="67"/>
      <c r="V19" s="103"/>
      <c r="W19" s="7"/>
      <c r="X19" s="790"/>
      <c r="Y19" s="27"/>
      <c r="Z19" s="27"/>
      <c r="AA19" s="7"/>
      <c r="AB19" s="7"/>
      <c r="AC19" s="7"/>
      <c r="AD19" s="50"/>
      <c r="AE19" s="7"/>
      <c r="AF19" s="50"/>
      <c r="AG19" s="7"/>
      <c r="AH19" s="7"/>
      <c r="AI19" s="27"/>
      <c r="AJ19" s="7"/>
      <c r="AK19" s="837"/>
      <c r="AL19" s="27"/>
      <c r="AM19" s="95"/>
      <c r="AN19" s="7"/>
    </row>
    <row r="20" spans="1:40">
      <c r="A20" s="17"/>
      <c r="B20" s="14" t="s">
        <v>11</v>
      </c>
      <c r="C20" s="67">
        <f>W20</f>
        <v>685258</v>
      </c>
      <c r="D20" s="67">
        <v>-685258</v>
      </c>
      <c r="E20" s="67">
        <f>C20+D20</f>
        <v>0</v>
      </c>
      <c r="F20" s="280"/>
      <c r="G20" s="67"/>
      <c r="H20" s="280"/>
      <c r="I20" s="67"/>
      <c r="J20" s="67">
        <f>E20+G20-I20</f>
        <v>0</v>
      </c>
      <c r="K20" s="67"/>
      <c r="L20" s="934"/>
      <c r="M20" s="912"/>
      <c r="N20" s="67">
        <f>W20</f>
        <v>685258</v>
      </c>
      <c r="O20" s="67">
        <v>-685258</v>
      </c>
      <c r="P20" s="67">
        <f>N20+O20</f>
        <v>0</v>
      </c>
      <c r="Q20" s="280"/>
      <c r="R20" s="67"/>
      <c r="S20" s="280"/>
      <c r="T20" s="67"/>
      <c r="U20" s="67">
        <f>P20+R20-T20</f>
        <v>0</v>
      </c>
      <c r="V20" s="103"/>
      <c r="W20" s="7">
        <v>685258</v>
      </c>
      <c r="X20" s="790">
        <v>685258</v>
      </c>
      <c r="Y20" s="27">
        <f>W20-X20</f>
        <v>0</v>
      </c>
      <c r="Z20" s="27"/>
      <c r="AA20" s="7">
        <f>AJ20</f>
        <v>685258</v>
      </c>
      <c r="AB20" s="7"/>
      <c r="AC20" s="7">
        <f>AA20+AB20</f>
        <v>685258</v>
      </c>
      <c r="AD20" s="50"/>
      <c r="AE20" s="7"/>
      <c r="AF20" s="50"/>
      <c r="AG20" s="7"/>
      <c r="AH20" s="7">
        <f>ROUND(AC20+AE20-AG20,0)</f>
        <v>685258</v>
      </c>
      <c r="AI20" s="27"/>
      <c r="AJ20" s="7">
        <v>685258</v>
      </c>
      <c r="AK20" s="837">
        <v>685258</v>
      </c>
      <c r="AL20" s="27">
        <f>AJ20-AK20</f>
        <v>0</v>
      </c>
      <c r="AM20" s="95"/>
      <c r="AN20" s="7">
        <v>928838</v>
      </c>
    </row>
    <row r="21" spans="1:40">
      <c r="A21" s="19"/>
      <c r="B21" s="20" t="s">
        <v>13</v>
      </c>
      <c r="C21" s="21">
        <f>SUM(C18:C20)</f>
        <v>53042125</v>
      </c>
      <c r="D21" s="21"/>
      <c r="E21" s="21">
        <f>SUM(E18:E20)</f>
        <v>172746352.79998779</v>
      </c>
      <c r="F21" s="281"/>
      <c r="G21" s="42"/>
      <c r="H21" s="281"/>
      <c r="I21" s="42"/>
      <c r="J21" s="21">
        <f>SUM(J18:J20)</f>
        <v>172746352.79998779</v>
      </c>
      <c r="K21" s="21"/>
      <c r="L21" s="797"/>
      <c r="M21" s="913"/>
      <c r="N21" s="21">
        <f>SUM(N18:N20)</f>
        <v>53042125</v>
      </c>
      <c r="O21" s="21"/>
      <c r="P21" s="21">
        <f>SUM(P18:P20)</f>
        <v>221717531.80000305</v>
      </c>
      <c r="Q21" s="281"/>
      <c r="R21" s="42"/>
      <c r="S21" s="281"/>
      <c r="T21" s="42"/>
      <c r="U21" s="21">
        <f>SUM(U18:U20)</f>
        <v>221717531.80000305</v>
      </c>
      <c r="V21" s="442"/>
      <c r="W21" s="21">
        <f>SUM(W18:W20)</f>
        <v>53042125</v>
      </c>
      <c r="X21" s="791">
        <v>53042125</v>
      </c>
      <c r="Y21" s="27">
        <f>W21-X21</f>
        <v>0</v>
      </c>
      <c r="Z21" s="27"/>
      <c r="AA21" s="21">
        <f>SUM(AA18:AA20)</f>
        <v>49680981</v>
      </c>
      <c r="AB21" s="21"/>
      <c r="AC21" s="21">
        <f>SUM(AC18:AC20)</f>
        <v>60992220</v>
      </c>
      <c r="AD21" s="387"/>
      <c r="AE21" s="21"/>
      <c r="AF21" s="387"/>
      <c r="AG21" s="21"/>
      <c r="AH21" s="21">
        <f>SUM(AH18:AH20)</f>
        <v>60992220</v>
      </c>
      <c r="AI21" s="36"/>
      <c r="AJ21" s="21">
        <f>SUM(AJ18:AJ20)</f>
        <v>49680981</v>
      </c>
      <c r="AK21" s="838">
        <v>49680981.420013428</v>
      </c>
      <c r="AL21" s="27">
        <f>AJ21-AK21</f>
        <v>-0.420013427734375</v>
      </c>
      <c r="AM21" s="95"/>
      <c r="AN21" s="21">
        <f>SUM(AN18:AN20)</f>
        <v>20147122</v>
      </c>
    </row>
    <row r="22" spans="1:40">
      <c r="A22" s="12" t="s">
        <v>12</v>
      </c>
      <c r="B22" s="22"/>
      <c r="C22" s="89"/>
      <c r="D22" s="89"/>
      <c r="E22" s="89"/>
      <c r="F22" s="280"/>
      <c r="G22" s="89"/>
      <c r="H22" s="280"/>
      <c r="I22" s="89"/>
      <c r="J22" s="89"/>
      <c r="K22" s="89"/>
      <c r="L22" s="933"/>
      <c r="M22" s="911"/>
      <c r="N22" s="89"/>
      <c r="O22" s="89"/>
      <c r="P22" s="89"/>
      <c r="Q22" s="280"/>
      <c r="R22" s="89"/>
      <c r="S22" s="280"/>
      <c r="T22" s="89"/>
      <c r="U22" s="89"/>
      <c r="V22" s="106"/>
      <c r="W22" s="23"/>
      <c r="X22" s="792"/>
      <c r="Y22" s="25"/>
      <c r="Z22" s="25"/>
      <c r="AA22" s="23"/>
      <c r="AB22" s="23"/>
      <c r="AC22" s="23"/>
      <c r="AD22" s="388"/>
      <c r="AE22" s="23"/>
      <c r="AF22" s="388"/>
      <c r="AG22" s="23"/>
      <c r="AH22" s="23"/>
      <c r="AI22" s="25"/>
      <c r="AJ22" s="23"/>
      <c r="AK22" s="839"/>
      <c r="AL22" s="25"/>
      <c r="AM22" s="95"/>
      <c r="AN22" s="23"/>
    </row>
    <row r="23" spans="1:40">
      <c r="A23" s="24" t="s">
        <v>19</v>
      </c>
      <c r="B23" s="12"/>
      <c r="C23" s="89"/>
      <c r="D23" s="89"/>
      <c r="E23" s="89"/>
      <c r="F23" s="280"/>
      <c r="G23" s="89"/>
      <c r="H23" s="280"/>
      <c r="I23" s="89"/>
      <c r="J23" s="89"/>
      <c r="K23" s="89"/>
      <c r="L23" s="933"/>
      <c r="M23" s="911"/>
      <c r="N23" s="89"/>
      <c r="O23" s="89"/>
      <c r="P23" s="89"/>
      <c r="Q23" s="280"/>
      <c r="R23" s="89"/>
      <c r="S23" s="280"/>
      <c r="T23" s="89"/>
      <c r="U23" s="89"/>
      <c r="V23" s="106"/>
      <c r="W23" s="25"/>
      <c r="X23" s="792"/>
      <c r="Y23" s="25"/>
      <c r="Z23" s="25"/>
      <c r="AA23" s="25"/>
      <c r="AB23" s="25"/>
      <c r="AC23" s="25"/>
      <c r="AD23" s="389"/>
      <c r="AE23" s="25"/>
      <c r="AF23" s="389"/>
      <c r="AG23" s="25"/>
      <c r="AH23" s="25"/>
      <c r="AI23" s="25"/>
      <c r="AJ23" s="25"/>
      <c r="AK23" s="840"/>
      <c r="AL23" s="25"/>
      <c r="AM23" s="95"/>
      <c r="AN23" s="25"/>
    </row>
    <row r="24" spans="1:40">
      <c r="A24" s="17"/>
      <c r="B24" s="26" t="s">
        <v>22</v>
      </c>
      <c r="C24" s="67">
        <f t="shared" ref="C24:C32" si="0">W24</f>
        <v>0</v>
      </c>
      <c r="D24" s="78"/>
      <c r="E24" s="67">
        <f t="shared" ref="E24:E41" si="1">C24+D24</f>
        <v>0</v>
      </c>
      <c r="F24" s="280"/>
      <c r="G24" s="78"/>
      <c r="H24" s="280"/>
      <c r="I24" s="78"/>
      <c r="J24" s="67">
        <f t="shared" ref="J24:J41" si="2">E24+G24-I24</f>
        <v>0</v>
      </c>
      <c r="K24" s="67"/>
      <c r="L24" s="934"/>
      <c r="M24" s="912"/>
      <c r="N24" s="67">
        <f>W24</f>
        <v>0</v>
      </c>
      <c r="O24" s="78"/>
      <c r="P24" s="67">
        <f t="shared" ref="P24:P41" si="3">N24+O24</f>
        <v>0</v>
      </c>
      <c r="Q24" s="280"/>
      <c r="R24" s="78"/>
      <c r="S24" s="280"/>
      <c r="T24" s="78"/>
      <c r="U24" s="67">
        <f t="shared" ref="U24:U41" si="4">P24+R24-T24</f>
        <v>0</v>
      </c>
      <c r="V24" s="103"/>
      <c r="W24" s="7"/>
      <c r="X24" s="793"/>
      <c r="Y24" s="27"/>
      <c r="Z24" s="27"/>
      <c r="AA24" s="7">
        <f>AJ24</f>
        <v>3297318</v>
      </c>
      <c r="AB24" s="7">
        <v>-2475000</v>
      </c>
      <c r="AC24" s="7">
        <f t="shared" ref="AC24:AC41" si="5">AA24+AB24</f>
        <v>822318</v>
      </c>
      <c r="AD24" s="50"/>
      <c r="AE24" s="7"/>
      <c r="AF24" s="50"/>
      <c r="AG24" s="7"/>
      <c r="AH24" s="7">
        <f t="shared" ref="AH24:AH41" si="6">ROUND(AC24+AE24-AG24,0)</f>
        <v>822318</v>
      </c>
      <c r="AI24" s="27"/>
      <c r="AJ24" s="7">
        <v>3297318</v>
      </c>
      <c r="AK24" s="841">
        <v>3297318</v>
      </c>
      <c r="AL24" s="27"/>
      <c r="AM24" s="95"/>
      <c r="AN24" s="27">
        <v>4103681</v>
      </c>
    </row>
    <row r="25" spans="1:40">
      <c r="A25" s="17"/>
      <c r="B25" s="26" t="s">
        <v>25</v>
      </c>
      <c r="C25" s="67">
        <f t="shared" si="0"/>
        <v>2265171</v>
      </c>
      <c r="D25" s="78">
        <v>2169096.7799987793</v>
      </c>
      <c r="E25" s="67">
        <f t="shared" si="1"/>
        <v>4434267.7799987793</v>
      </c>
      <c r="F25" s="280"/>
      <c r="G25" s="78"/>
      <c r="H25" s="280"/>
      <c r="I25" s="78">
        <f>'AJE CAJE Des 24'!G99</f>
        <v>786.60999877937138</v>
      </c>
      <c r="J25" s="67">
        <f t="shared" si="2"/>
        <v>4433481.17</v>
      </c>
      <c r="K25" s="67">
        <v>4433481.17</v>
      </c>
      <c r="L25" s="934"/>
      <c r="M25" s="912">
        <f>J25-K25</f>
        <v>0</v>
      </c>
      <c r="N25" s="67">
        <f>W25</f>
        <v>2265171</v>
      </c>
      <c r="O25" s="78">
        <v>8478266.9000015259</v>
      </c>
      <c r="P25" s="67">
        <f t="shared" si="3"/>
        <v>10743437.900001526</v>
      </c>
      <c r="Q25" s="280"/>
      <c r="R25" s="78"/>
      <c r="S25" s="280"/>
      <c r="T25" s="78"/>
      <c r="U25" s="67">
        <f t="shared" si="4"/>
        <v>10743437.900001526</v>
      </c>
      <c r="V25" s="103"/>
      <c r="W25" s="7">
        <v>2265171</v>
      </c>
      <c r="X25" s="794">
        <v>0</v>
      </c>
      <c r="Y25" s="27">
        <f>W25-X26</f>
        <v>0</v>
      </c>
      <c r="Z25" s="27"/>
      <c r="AA25" s="7">
        <f t="shared" ref="AA25:AA32" si="7">AJ25</f>
        <v>364262986</v>
      </c>
      <c r="AB25" s="7">
        <v>-315753206.45999146</v>
      </c>
      <c r="AC25" s="7">
        <f t="shared" si="5"/>
        <v>48509779.540008545</v>
      </c>
      <c r="AD25" s="50"/>
      <c r="AE25" s="7"/>
      <c r="AF25" s="50"/>
      <c r="AG25" s="7"/>
      <c r="AH25" s="7">
        <f t="shared" si="6"/>
        <v>48509780</v>
      </c>
      <c r="AI25" s="27"/>
      <c r="AJ25" s="7">
        <v>364262986</v>
      </c>
      <c r="AK25" s="841">
        <v>364262986</v>
      </c>
      <c r="AL25" s="27"/>
      <c r="AM25" s="95"/>
      <c r="AN25" s="27">
        <v>2105276</v>
      </c>
    </row>
    <row r="26" spans="1:40">
      <c r="A26" s="17"/>
      <c r="B26" s="26" t="s">
        <v>557</v>
      </c>
      <c r="C26" s="67">
        <f t="shared" si="0"/>
        <v>0</v>
      </c>
      <c r="D26" s="78">
        <v>15129380</v>
      </c>
      <c r="E26" s="67">
        <f t="shared" si="1"/>
        <v>15129380</v>
      </c>
      <c r="F26" s="280"/>
      <c r="G26" s="78"/>
      <c r="H26" s="280"/>
      <c r="I26" s="78"/>
      <c r="J26" s="513">
        <f t="shared" si="2"/>
        <v>15129380</v>
      </c>
      <c r="K26" s="513">
        <v>15129380</v>
      </c>
      <c r="L26" s="934"/>
      <c r="M26" s="912">
        <f t="shared" ref="M26:M33" si="8">J26-K26</f>
        <v>0</v>
      </c>
      <c r="N26" s="67"/>
      <c r="O26" s="78">
        <v>8192147868.1299973</v>
      </c>
      <c r="P26" s="67">
        <f t="shared" si="3"/>
        <v>8192147868.1299973</v>
      </c>
      <c r="Q26" s="280"/>
      <c r="R26" s="78"/>
      <c r="S26" s="280"/>
      <c r="T26" s="78"/>
      <c r="U26" s="513">
        <f t="shared" si="4"/>
        <v>8192147868.1299973</v>
      </c>
      <c r="V26" s="103"/>
      <c r="W26" s="7"/>
      <c r="X26" s="794">
        <v>2265171</v>
      </c>
      <c r="Y26" s="27"/>
      <c r="Z26" s="27"/>
      <c r="AA26" s="7">
        <f t="shared" si="7"/>
        <v>0</v>
      </c>
      <c r="AB26" s="7"/>
      <c r="AC26" s="7">
        <f t="shared" si="5"/>
        <v>0</v>
      </c>
      <c r="AD26" s="50"/>
      <c r="AE26" s="7"/>
      <c r="AF26" s="50"/>
      <c r="AG26" s="7"/>
      <c r="AH26" s="7">
        <f t="shared" si="6"/>
        <v>0</v>
      </c>
      <c r="AI26" s="27"/>
      <c r="AJ26" s="7"/>
      <c r="AK26" s="837">
        <v>4306134</v>
      </c>
      <c r="AL26" s="27"/>
      <c r="AM26" s="95"/>
      <c r="AN26" s="27"/>
    </row>
    <row r="27" spans="1:40">
      <c r="A27" s="17"/>
      <c r="B27" s="26" t="s">
        <v>558</v>
      </c>
      <c r="C27" s="67">
        <f t="shared" si="0"/>
        <v>1432417</v>
      </c>
      <c r="D27" s="78">
        <v>-191691</v>
      </c>
      <c r="E27" s="67">
        <f t="shared" si="1"/>
        <v>1240726</v>
      </c>
      <c r="F27" s="280"/>
      <c r="G27" s="78"/>
      <c r="H27" s="280"/>
      <c r="I27" s="78"/>
      <c r="J27" s="67">
        <f t="shared" si="2"/>
        <v>1240726</v>
      </c>
      <c r="K27" s="67">
        <v>1240726</v>
      </c>
      <c r="L27" s="934"/>
      <c r="M27" s="912">
        <f t="shared" si="8"/>
        <v>0</v>
      </c>
      <c r="N27" s="67">
        <f t="shared" ref="N27:N32" si="9">W27</f>
        <v>1432417</v>
      </c>
      <c r="O27" s="78">
        <v>5984165</v>
      </c>
      <c r="P27" s="67">
        <f t="shared" si="3"/>
        <v>7416582</v>
      </c>
      <c r="Q27" s="280"/>
      <c r="R27" s="78"/>
      <c r="S27" s="280"/>
      <c r="T27" s="78"/>
      <c r="U27" s="67">
        <f t="shared" si="4"/>
        <v>7416582</v>
      </c>
      <c r="V27" s="103"/>
      <c r="W27" s="7">
        <v>1432417</v>
      </c>
      <c r="X27" s="790">
        <v>1432417</v>
      </c>
      <c r="Y27" s="27"/>
      <c r="Z27" s="27"/>
      <c r="AA27" s="7">
        <f t="shared" si="7"/>
        <v>4306134</v>
      </c>
      <c r="AB27" s="7">
        <v>-3301285</v>
      </c>
      <c r="AC27" s="7">
        <f t="shared" si="5"/>
        <v>1004849</v>
      </c>
      <c r="AD27" s="50"/>
      <c r="AE27" s="7"/>
      <c r="AF27" s="50"/>
      <c r="AG27" s="7"/>
      <c r="AH27" s="7">
        <f t="shared" si="6"/>
        <v>1004849</v>
      </c>
      <c r="AI27" s="27"/>
      <c r="AJ27" s="7">
        <v>4306134</v>
      </c>
      <c r="AK27" s="841">
        <v>1129932080</v>
      </c>
      <c r="AL27" s="27"/>
      <c r="AM27" s="95"/>
      <c r="AN27" s="7">
        <v>9386921</v>
      </c>
    </row>
    <row r="28" spans="1:40">
      <c r="A28" s="17"/>
      <c r="B28" s="26" t="s">
        <v>24</v>
      </c>
      <c r="C28" s="67">
        <f t="shared" si="0"/>
        <v>4766585</v>
      </c>
      <c r="D28" s="78">
        <v>-852937</v>
      </c>
      <c r="E28" s="67">
        <f t="shared" si="1"/>
        <v>3913648</v>
      </c>
      <c r="F28" s="280"/>
      <c r="G28" s="78"/>
      <c r="H28" s="280"/>
      <c r="I28" s="78"/>
      <c r="J28" s="67">
        <f t="shared" si="2"/>
        <v>3913648</v>
      </c>
      <c r="K28" s="67">
        <v>3913648</v>
      </c>
      <c r="L28" s="934"/>
      <c r="M28" s="912">
        <f t="shared" si="8"/>
        <v>0</v>
      </c>
      <c r="N28" s="67">
        <f t="shared" si="9"/>
        <v>4766585</v>
      </c>
      <c r="O28" s="78">
        <v>-708074</v>
      </c>
      <c r="P28" s="67">
        <f t="shared" si="3"/>
        <v>4058511</v>
      </c>
      <c r="Q28" s="280"/>
      <c r="R28" s="78"/>
      <c r="S28" s="280"/>
      <c r="T28" s="78"/>
      <c r="U28" s="67">
        <f t="shared" si="4"/>
        <v>4058511</v>
      </c>
      <c r="V28" s="103"/>
      <c r="W28" s="7">
        <v>4766585</v>
      </c>
      <c r="X28" s="794">
        <v>4766585</v>
      </c>
      <c r="Y28" s="27"/>
      <c r="Z28" s="27"/>
      <c r="AA28" s="7">
        <f t="shared" si="7"/>
        <v>1129932080</v>
      </c>
      <c r="AB28" s="7">
        <v>-1072076414</v>
      </c>
      <c r="AC28" s="7">
        <f t="shared" si="5"/>
        <v>57855666</v>
      </c>
      <c r="AD28" s="50"/>
      <c r="AE28" s="7"/>
      <c r="AF28" s="50"/>
      <c r="AG28" s="7"/>
      <c r="AH28" s="7">
        <f t="shared" si="6"/>
        <v>57855666</v>
      </c>
      <c r="AI28" s="27"/>
      <c r="AJ28" s="7">
        <v>1129932080</v>
      </c>
      <c r="AK28" s="841">
        <v>1362643218</v>
      </c>
      <c r="AL28" s="27"/>
      <c r="AM28" s="95"/>
      <c r="AN28" s="27">
        <v>17089985</v>
      </c>
    </row>
    <row r="29" spans="1:40">
      <c r="A29" s="17"/>
      <c r="B29" s="26" t="s">
        <v>26</v>
      </c>
      <c r="C29" s="67">
        <f t="shared" si="0"/>
        <v>1056635</v>
      </c>
      <c r="D29" s="78">
        <v>-330000</v>
      </c>
      <c r="E29" s="67">
        <f t="shared" si="1"/>
        <v>726635</v>
      </c>
      <c r="F29" s="280"/>
      <c r="G29" s="78"/>
      <c r="H29" s="280"/>
      <c r="I29" s="78">
        <f>'AJE CAJE Des 24'!G100</f>
        <v>40</v>
      </c>
      <c r="J29" s="67">
        <f t="shared" si="2"/>
        <v>726595</v>
      </c>
      <c r="K29" s="67">
        <v>726595</v>
      </c>
      <c r="L29" s="934"/>
      <c r="M29" s="912">
        <f t="shared" si="8"/>
        <v>0</v>
      </c>
      <c r="N29" s="67">
        <f t="shared" si="9"/>
        <v>1056635</v>
      </c>
      <c r="O29" s="78">
        <v>-240000</v>
      </c>
      <c r="P29" s="67">
        <f t="shared" si="3"/>
        <v>816635</v>
      </c>
      <c r="Q29" s="280"/>
      <c r="R29" s="78"/>
      <c r="S29" s="280"/>
      <c r="T29" s="78"/>
      <c r="U29" s="67">
        <f t="shared" si="4"/>
        <v>816635</v>
      </c>
      <c r="V29" s="103"/>
      <c r="W29" s="7">
        <v>1056635</v>
      </c>
      <c r="X29" s="794">
        <v>1056635</v>
      </c>
      <c r="Y29" s="27"/>
      <c r="Z29" s="27"/>
      <c r="AA29" s="7">
        <f t="shared" si="7"/>
        <v>1362643218</v>
      </c>
      <c r="AB29" s="7">
        <v>-809947</v>
      </c>
      <c r="AC29" s="7">
        <f t="shared" si="5"/>
        <v>1361833271</v>
      </c>
      <c r="AD29" s="50"/>
      <c r="AE29" s="7"/>
      <c r="AF29" s="50"/>
      <c r="AG29" s="7"/>
      <c r="AH29" s="7">
        <f t="shared" si="6"/>
        <v>1361833271</v>
      </c>
      <c r="AI29" s="27"/>
      <c r="AJ29" s="7">
        <v>1362643218</v>
      </c>
      <c r="AK29" s="837">
        <v>3003977</v>
      </c>
      <c r="AL29" s="27"/>
      <c r="AM29" s="95"/>
      <c r="AN29" s="27">
        <v>1372702466</v>
      </c>
    </row>
    <row r="30" spans="1:40">
      <c r="A30" s="17"/>
      <c r="B30" s="26" t="s">
        <v>18</v>
      </c>
      <c r="C30" s="67">
        <f t="shared" si="0"/>
        <v>2098047</v>
      </c>
      <c r="D30" s="78">
        <v>-1414425.52</v>
      </c>
      <c r="E30" s="67">
        <f t="shared" si="1"/>
        <v>683621.48</v>
      </c>
      <c r="F30" s="280"/>
      <c r="G30" s="78"/>
      <c r="H30" s="280"/>
      <c r="I30" s="78">
        <f>'AJE CAJE Des 24'!G101</f>
        <v>0.52000000001862645</v>
      </c>
      <c r="J30" s="67">
        <f t="shared" si="2"/>
        <v>683620.96</v>
      </c>
      <c r="K30" s="67">
        <v>683620.96</v>
      </c>
      <c r="L30" s="934"/>
      <c r="M30" s="912">
        <f t="shared" si="8"/>
        <v>0</v>
      </c>
      <c r="N30" s="67">
        <f t="shared" si="9"/>
        <v>2098047</v>
      </c>
      <c r="O30" s="78">
        <v>-1328468.1065277779</v>
      </c>
      <c r="P30" s="67">
        <f t="shared" si="3"/>
        <v>769578.89347222215</v>
      </c>
      <c r="Q30" s="280"/>
      <c r="R30" s="78"/>
      <c r="S30" s="280"/>
      <c r="T30" s="78"/>
      <c r="U30" s="67">
        <f t="shared" si="4"/>
        <v>769578.89347222215</v>
      </c>
      <c r="V30" s="103"/>
      <c r="W30" s="7">
        <v>2098047</v>
      </c>
      <c r="X30" s="790">
        <v>2098047</v>
      </c>
      <c r="Y30" s="27"/>
      <c r="Z30" s="27"/>
      <c r="AA30" s="7">
        <f t="shared" si="7"/>
        <v>3003977</v>
      </c>
      <c r="AB30" s="7">
        <v>-631407.00736111111</v>
      </c>
      <c r="AC30" s="7">
        <f t="shared" si="5"/>
        <v>2372569.9926388888</v>
      </c>
      <c r="AD30" s="50"/>
      <c r="AE30" s="7"/>
      <c r="AF30" s="50"/>
      <c r="AG30" s="7"/>
      <c r="AH30" s="7">
        <f t="shared" si="6"/>
        <v>2372570</v>
      </c>
      <c r="AI30" s="27"/>
      <c r="AJ30" s="7">
        <v>3003977</v>
      </c>
      <c r="AK30" s="837">
        <v>5000000</v>
      </c>
      <c r="AL30" s="27"/>
      <c r="AM30" s="95"/>
      <c r="AN30" s="7">
        <v>3233855</v>
      </c>
    </row>
    <row r="31" spans="1:40">
      <c r="A31" s="17"/>
      <c r="B31" s="26" t="s">
        <v>20</v>
      </c>
      <c r="C31" s="67">
        <f t="shared" si="0"/>
        <v>30768284</v>
      </c>
      <c r="D31" s="78">
        <v>36445715</v>
      </c>
      <c r="E31" s="67">
        <f t="shared" si="1"/>
        <v>67213999</v>
      </c>
      <c r="F31" s="280"/>
      <c r="G31" s="78"/>
      <c r="H31" s="280"/>
      <c r="I31" s="78">
        <f>'AJE CAJE Des 24'!G102</f>
        <v>65</v>
      </c>
      <c r="J31" s="67">
        <f t="shared" si="2"/>
        <v>67213934</v>
      </c>
      <c r="K31" s="67">
        <v>67213934</v>
      </c>
      <c r="L31" s="934"/>
      <c r="M31" s="912">
        <f t="shared" si="8"/>
        <v>0</v>
      </c>
      <c r="N31" s="67">
        <f t="shared" si="9"/>
        <v>30768284</v>
      </c>
      <c r="O31" s="78">
        <v>15737742</v>
      </c>
      <c r="P31" s="67">
        <f t="shared" si="3"/>
        <v>46506026</v>
      </c>
      <c r="Q31" s="280"/>
      <c r="R31" s="78"/>
      <c r="S31" s="280"/>
      <c r="T31" s="78"/>
      <c r="U31" s="67">
        <f t="shared" si="4"/>
        <v>46506026</v>
      </c>
      <c r="V31" s="103"/>
      <c r="W31" s="7">
        <v>30768284</v>
      </c>
      <c r="X31" s="790">
        <v>30768284</v>
      </c>
      <c r="Y31" s="27"/>
      <c r="Z31" s="27"/>
      <c r="AA31" s="7">
        <f t="shared" si="7"/>
        <v>5000000</v>
      </c>
      <c r="AB31" s="7">
        <v>161397714</v>
      </c>
      <c r="AC31" s="7">
        <f t="shared" si="5"/>
        <v>166397714</v>
      </c>
      <c r="AD31" s="50"/>
      <c r="AE31" s="7"/>
      <c r="AF31" s="50"/>
      <c r="AG31" s="7"/>
      <c r="AH31" s="7">
        <f t="shared" si="6"/>
        <v>166397714</v>
      </c>
      <c r="AI31" s="27"/>
      <c r="AJ31" s="7">
        <v>5000000</v>
      </c>
      <c r="AK31" s="837"/>
      <c r="AL31" s="27"/>
      <c r="AM31" s="95"/>
      <c r="AN31" s="27">
        <v>0</v>
      </c>
    </row>
    <row r="32" spans="1:40">
      <c r="A32" s="17"/>
      <c r="B32" s="26" t="s">
        <v>15</v>
      </c>
      <c r="C32" s="67">
        <f t="shared" si="0"/>
        <v>794277</v>
      </c>
      <c r="D32" s="78">
        <v>-794277</v>
      </c>
      <c r="E32" s="67">
        <f t="shared" si="1"/>
        <v>0</v>
      </c>
      <c r="F32" s="280"/>
      <c r="G32" s="78"/>
      <c r="H32" s="280"/>
      <c r="I32" s="78"/>
      <c r="J32" s="67">
        <f t="shared" si="2"/>
        <v>0</v>
      </c>
      <c r="K32" s="67"/>
      <c r="L32" s="934"/>
      <c r="M32" s="912">
        <f t="shared" si="8"/>
        <v>0</v>
      </c>
      <c r="N32" s="67">
        <f t="shared" si="9"/>
        <v>794277</v>
      </c>
      <c r="O32" s="78">
        <v>-794277</v>
      </c>
      <c r="P32" s="67">
        <f t="shared" si="3"/>
        <v>0</v>
      </c>
      <c r="Q32" s="280"/>
      <c r="R32" s="78"/>
      <c r="S32" s="280"/>
      <c r="T32" s="78"/>
      <c r="U32" s="67">
        <f t="shared" si="4"/>
        <v>0</v>
      </c>
      <c r="V32" s="103"/>
      <c r="W32" s="7">
        <v>794277</v>
      </c>
      <c r="X32" s="790">
        <v>0</v>
      </c>
      <c r="Y32" s="27"/>
      <c r="Z32" s="27"/>
      <c r="AA32" s="7">
        <f t="shared" si="7"/>
        <v>0</v>
      </c>
      <c r="AB32" s="7">
        <v>3002177</v>
      </c>
      <c r="AC32" s="7">
        <f t="shared" si="5"/>
        <v>3002177</v>
      </c>
      <c r="AD32" s="50"/>
      <c r="AE32" s="7"/>
      <c r="AF32" s="50"/>
      <c r="AG32" s="7"/>
      <c r="AH32" s="7">
        <f t="shared" si="6"/>
        <v>3002177</v>
      </c>
      <c r="AI32" s="27"/>
      <c r="AJ32" s="7"/>
      <c r="AK32" s="837"/>
      <c r="AL32" s="27"/>
      <c r="AM32" s="95"/>
      <c r="AN32" s="27"/>
    </row>
    <row r="33" spans="1:40">
      <c r="A33" s="17"/>
      <c r="B33" s="26" t="s">
        <v>983</v>
      </c>
      <c r="C33" s="67"/>
      <c r="D33" s="78">
        <v>50621267</v>
      </c>
      <c r="E33" s="67">
        <f t="shared" si="1"/>
        <v>50621267</v>
      </c>
      <c r="F33" s="280"/>
      <c r="G33" s="78"/>
      <c r="H33" s="280"/>
      <c r="I33" s="78"/>
      <c r="J33" s="67">
        <f t="shared" si="2"/>
        <v>50621267</v>
      </c>
      <c r="K33" s="67">
        <v>50621267</v>
      </c>
      <c r="L33" s="934"/>
      <c r="M33" s="912">
        <f t="shared" si="8"/>
        <v>0</v>
      </c>
      <c r="N33" s="67"/>
      <c r="O33" s="78">
        <v>609796408</v>
      </c>
      <c r="P33" s="67">
        <f t="shared" ref="P33" si="10">N33+O33</f>
        <v>609796408</v>
      </c>
      <c r="Q33" s="280"/>
      <c r="R33" s="78"/>
      <c r="S33" s="280"/>
      <c r="T33" s="78"/>
      <c r="U33" s="67">
        <f t="shared" ref="U33" si="11">P33+R33-T33</f>
        <v>609796408</v>
      </c>
      <c r="V33" s="103"/>
      <c r="W33" s="7"/>
      <c r="X33" s="790">
        <v>794277</v>
      </c>
      <c r="Y33" s="27"/>
      <c r="Z33" s="27"/>
      <c r="AA33" s="7"/>
      <c r="AB33" s="7"/>
      <c r="AC33" s="7"/>
      <c r="AD33" s="50"/>
      <c r="AE33" s="7"/>
      <c r="AF33" s="50"/>
      <c r="AG33" s="7"/>
      <c r="AH33" s="7"/>
      <c r="AI33" s="27"/>
      <c r="AJ33" s="7"/>
      <c r="AK33" s="837"/>
      <c r="AL33" s="27"/>
      <c r="AM33" s="95"/>
      <c r="AN33" s="27"/>
    </row>
    <row r="34" spans="1:40">
      <c r="A34" s="28" t="s">
        <v>23</v>
      </c>
      <c r="B34" s="26"/>
      <c r="C34" s="78"/>
      <c r="D34" s="78"/>
      <c r="E34" s="67">
        <f t="shared" si="1"/>
        <v>0</v>
      </c>
      <c r="F34" s="280"/>
      <c r="G34" s="78"/>
      <c r="H34" s="280"/>
      <c r="I34" s="78"/>
      <c r="J34" s="67">
        <f t="shared" si="2"/>
        <v>0</v>
      </c>
      <c r="K34" s="67"/>
      <c r="L34" s="934"/>
      <c r="M34" s="912"/>
      <c r="N34" s="78"/>
      <c r="O34" s="78"/>
      <c r="P34" s="67">
        <f t="shared" si="3"/>
        <v>0</v>
      </c>
      <c r="Q34" s="280"/>
      <c r="R34" s="78"/>
      <c r="S34" s="280"/>
      <c r="T34" s="78"/>
      <c r="U34" s="67">
        <f t="shared" si="4"/>
        <v>0</v>
      </c>
      <c r="V34" s="103"/>
      <c r="W34" s="7"/>
      <c r="X34" s="790"/>
      <c r="Y34" s="27"/>
      <c r="Z34" s="27"/>
      <c r="AA34" s="7"/>
      <c r="AB34" s="7"/>
      <c r="AC34" s="7">
        <f t="shared" si="5"/>
        <v>0</v>
      </c>
      <c r="AD34" s="50"/>
      <c r="AE34" s="7"/>
      <c r="AF34" s="50"/>
      <c r="AG34" s="7"/>
      <c r="AH34" s="7">
        <f t="shared" si="6"/>
        <v>0</v>
      </c>
      <c r="AI34" s="27"/>
      <c r="AJ34" s="7"/>
      <c r="AK34" s="837">
        <v>52754537.740000002</v>
      </c>
      <c r="AL34" s="27"/>
      <c r="AM34" s="95"/>
      <c r="AN34" s="7"/>
    </row>
    <row r="35" spans="1:40">
      <c r="A35" s="17"/>
      <c r="B35" s="26" t="s">
        <v>27</v>
      </c>
      <c r="C35" s="67">
        <f t="shared" ref="C35:C41" si="12">W35</f>
        <v>3820389</v>
      </c>
      <c r="D35" s="78">
        <v>8286562</v>
      </c>
      <c r="E35" s="67">
        <f t="shared" si="1"/>
        <v>12106951</v>
      </c>
      <c r="F35" s="280"/>
      <c r="G35" s="78">
        <f>'AJE CAJE Des 24'!F94</f>
        <v>3.2000000011175902</v>
      </c>
      <c r="H35" s="280"/>
      <c r="I35" s="78"/>
      <c r="J35" s="67">
        <f t="shared" si="2"/>
        <v>12106954.200000001</v>
      </c>
      <c r="K35" s="943">
        <v>749.1</v>
      </c>
      <c r="L35" s="934">
        <f>K35*L11</f>
        <v>12106954.200000001</v>
      </c>
      <c r="M35" s="912">
        <f>J35-L35</f>
        <v>0</v>
      </c>
      <c r="N35" s="67">
        <f t="shared" ref="N35:N41" si="13">W35</f>
        <v>3820389</v>
      </c>
      <c r="O35" s="78">
        <v>-2112523</v>
      </c>
      <c r="P35" s="67">
        <f t="shared" si="3"/>
        <v>1707866</v>
      </c>
      <c r="Q35" s="280"/>
      <c r="R35" s="78"/>
      <c r="S35" s="280"/>
      <c r="T35" s="78"/>
      <c r="U35" s="67">
        <f t="shared" si="4"/>
        <v>1707866</v>
      </c>
      <c r="V35" s="103"/>
      <c r="W35" s="7">
        <v>3820389</v>
      </c>
      <c r="X35" s="790">
        <v>3820389</v>
      </c>
      <c r="Y35" s="27"/>
      <c r="Z35" s="27"/>
      <c r="AA35" s="653">
        <f>AJ35</f>
        <v>52754537.740000002</v>
      </c>
      <c r="AB35" s="7">
        <v>-37521673.740000002</v>
      </c>
      <c r="AC35" s="7">
        <f t="shared" si="5"/>
        <v>15232864</v>
      </c>
      <c r="AD35" s="50"/>
      <c r="AE35" s="7"/>
      <c r="AF35" s="50"/>
      <c r="AG35" s="7"/>
      <c r="AH35" s="7">
        <f t="shared" si="6"/>
        <v>15232864</v>
      </c>
      <c r="AI35" s="27"/>
      <c r="AJ35" s="7">
        <v>52754537.740000002</v>
      </c>
      <c r="AK35" s="837"/>
      <c r="AL35" s="27"/>
      <c r="AM35" s="95"/>
      <c r="AN35" s="7">
        <v>13023877</v>
      </c>
    </row>
    <row r="36" spans="1:40">
      <c r="A36" s="17"/>
      <c r="B36" s="26" t="s">
        <v>402</v>
      </c>
      <c r="C36" s="67">
        <f t="shared" si="12"/>
        <v>1927000</v>
      </c>
      <c r="D36" s="78">
        <v>-1927000</v>
      </c>
      <c r="E36" s="67">
        <f t="shared" si="1"/>
        <v>0</v>
      </c>
      <c r="F36" s="280"/>
      <c r="G36" s="78"/>
      <c r="H36" s="280"/>
      <c r="I36" s="78"/>
      <c r="J36" s="67">
        <f t="shared" si="2"/>
        <v>0</v>
      </c>
      <c r="K36" s="67"/>
      <c r="L36" s="934"/>
      <c r="M36" s="912"/>
      <c r="N36" s="67">
        <f t="shared" si="13"/>
        <v>1927000</v>
      </c>
      <c r="O36" s="78">
        <v>-1927000</v>
      </c>
      <c r="P36" s="67">
        <f t="shared" si="3"/>
        <v>0</v>
      </c>
      <c r="Q36" s="280"/>
      <c r="R36" s="78"/>
      <c r="S36" s="280"/>
      <c r="T36" s="78"/>
      <c r="U36" s="67">
        <f t="shared" si="4"/>
        <v>0</v>
      </c>
      <c r="V36" s="103"/>
      <c r="W36" s="7">
        <v>1927000</v>
      </c>
      <c r="X36" s="790">
        <v>1927000</v>
      </c>
      <c r="Y36" s="27"/>
      <c r="Z36" s="27"/>
      <c r="AA36" s="7">
        <f t="shared" ref="AA36:AA41" si="14">AJ36</f>
        <v>0</v>
      </c>
      <c r="AB36" s="7"/>
      <c r="AC36" s="7">
        <f t="shared" si="5"/>
        <v>0</v>
      </c>
      <c r="AD36" s="50"/>
      <c r="AE36" s="7"/>
      <c r="AF36" s="50"/>
      <c r="AG36" s="7"/>
      <c r="AH36" s="7">
        <f t="shared" si="6"/>
        <v>0</v>
      </c>
      <c r="AI36" s="27"/>
      <c r="AJ36" s="7"/>
      <c r="AK36" s="837">
        <v>60924432.589999996</v>
      </c>
      <c r="AL36" s="27"/>
      <c r="AM36" s="95"/>
      <c r="AN36" s="7">
        <v>0</v>
      </c>
    </row>
    <row r="37" spans="1:40">
      <c r="A37" s="17"/>
      <c r="B37" s="26" t="s">
        <v>28</v>
      </c>
      <c r="C37" s="67">
        <f t="shared" si="12"/>
        <v>8054849</v>
      </c>
      <c r="D37" s="78">
        <v>12640256.989999771</v>
      </c>
      <c r="E37" s="67">
        <f t="shared" si="1"/>
        <v>20695105.989999771</v>
      </c>
      <c r="F37" s="280"/>
      <c r="G37" s="78">
        <f>'AJE CAJE Des 24'!F95</f>
        <v>11.770000230520999</v>
      </c>
      <c r="H37" s="280"/>
      <c r="I37" s="78"/>
      <c r="J37" s="67">
        <f t="shared" si="2"/>
        <v>20695117.760000002</v>
      </c>
      <c r="K37" s="943">
        <v>1280.48</v>
      </c>
      <c r="L37" s="934">
        <f>K37*L11</f>
        <v>20695117.760000002</v>
      </c>
      <c r="M37" s="912">
        <f>J37-L37</f>
        <v>0</v>
      </c>
      <c r="N37" s="67">
        <f t="shared" si="13"/>
        <v>8054849</v>
      </c>
      <c r="O37" s="78">
        <v>537619.89999961853</v>
      </c>
      <c r="P37" s="67">
        <f t="shared" si="3"/>
        <v>8592468.8999996185</v>
      </c>
      <c r="Q37" s="280"/>
      <c r="R37" s="78"/>
      <c r="S37" s="280"/>
      <c r="T37" s="78"/>
      <c r="U37" s="67">
        <f t="shared" si="4"/>
        <v>8592468.8999996185</v>
      </c>
      <c r="V37" s="103"/>
      <c r="W37" s="7">
        <v>8054849</v>
      </c>
      <c r="X37" s="790">
        <v>8054849</v>
      </c>
      <c r="Y37" s="27"/>
      <c r="Z37" s="27"/>
      <c r="AA37" s="653">
        <f t="shared" si="14"/>
        <v>60924432.589999996</v>
      </c>
      <c r="AB37" s="7">
        <v>-43887454.590000004</v>
      </c>
      <c r="AC37" s="7">
        <f t="shared" si="5"/>
        <v>17036977.999999993</v>
      </c>
      <c r="AD37" s="50"/>
      <c r="AE37" s="7"/>
      <c r="AF37" s="50"/>
      <c r="AG37" s="7"/>
      <c r="AH37" s="7">
        <f t="shared" si="6"/>
        <v>17036978</v>
      </c>
      <c r="AI37" s="27"/>
      <c r="AJ37" s="7">
        <v>60924432.589999996</v>
      </c>
      <c r="AK37" s="837">
        <v>23270396.370000001</v>
      </c>
      <c r="AL37" s="27"/>
      <c r="AM37" s="95"/>
      <c r="AN37" s="7">
        <v>1126429101</v>
      </c>
    </row>
    <row r="38" spans="1:40">
      <c r="A38" s="17"/>
      <c r="B38" s="26" t="s">
        <v>17</v>
      </c>
      <c r="C38" s="67">
        <f t="shared" si="12"/>
        <v>9044094</v>
      </c>
      <c r="D38" s="78">
        <v>-668469.1399999999</v>
      </c>
      <c r="E38" s="67">
        <f t="shared" si="1"/>
        <v>8375624.8600000003</v>
      </c>
      <c r="F38" s="280"/>
      <c r="G38" s="78">
        <f>'AJE CAJE Des 24'!F96</f>
        <v>8.4000000003725308</v>
      </c>
      <c r="H38" s="280"/>
      <c r="I38" s="78"/>
      <c r="J38" s="67">
        <f t="shared" si="2"/>
        <v>8375633.2600000007</v>
      </c>
      <c r="K38" s="67">
        <v>518.23</v>
      </c>
      <c r="L38" s="934">
        <f>K38*L11</f>
        <v>8375633.2600000007</v>
      </c>
      <c r="M38" s="912">
        <f>J38-L38</f>
        <v>0</v>
      </c>
      <c r="N38" s="67">
        <f t="shared" si="13"/>
        <v>9044094</v>
      </c>
      <c r="O38" s="78">
        <v>-901222.14</v>
      </c>
      <c r="P38" s="67">
        <f t="shared" si="3"/>
        <v>8142871.8600000003</v>
      </c>
      <c r="Q38" s="280"/>
      <c r="R38" s="78"/>
      <c r="S38" s="280"/>
      <c r="T38" s="78"/>
      <c r="U38" s="67">
        <f t="shared" si="4"/>
        <v>8142871.8600000003</v>
      </c>
      <c r="V38" s="103"/>
      <c r="W38" s="7">
        <v>9044094</v>
      </c>
      <c r="X38" s="790">
        <v>9044094</v>
      </c>
      <c r="Y38" s="27"/>
      <c r="Z38" s="27"/>
      <c r="AA38" s="654">
        <f t="shared" si="14"/>
        <v>23270396.370000001</v>
      </c>
      <c r="AB38" s="7">
        <v>-12235452.369999999</v>
      </c>
      <c r="AC38" s="7">
        <f t="shared" si="5"/>
        <v>11034944.000000002</v>
      </c>
      <c r="AD38" s="50"/>
      <c r="AE38" s="7"/>
      <c r="AF38" s="50"/>
      <c r="AG38" s="7"/>
      <c r="AH38" s="7">
        <f t="shared" si="6"/>
        <v>11034944</v>
      </c>
      <c r="AI38" s="27"/>
      <c r="AJ38" s="7">
        <v>23270396.370000001</v>
      </c>
      <c r="AK38" s="837">
        <v>14629830</v>
      </c>
      <c r="AL38" s="27"/>
      <c r="AM38" s="95"/>
      <c r="AN38" s="7">
        <v>1927119772</v>
      </c>
    </row>
    <row r="39" spans="1:40">
      <c r="A39" s="17"/>
      <c r="B39" s="26" t="s">
        <v>16</v>
      </c>
      <c r="C39" s="67">
        <f t="shared" si="12"/>
        <v>13411920</v>
      </c>
      <c r="D39" s="78">
        <v>-6259103</v>
      </c>
      <c r="E39" s="67">
        <f t="shared" si="1"/>
        <v>7152817</v>
      </c>
      <c r="F39" s="280"/>
      <c r="G39" s="78"/>
      <c r="H39" s="280"/>
      <c r="I39" s="78">
        <f>'AJE CAJE Des 24'!G98</f>
        <v>0.66000000014901161</v>
      </c>
      <c r="J39" s="67">
        <f t="shared" si="2"/>
        <v>7152816.3399999999</v>
      </c>
      <c r="K39" s="943">
        <v>442.57</v>
      </c>
      <c r="L39" s="934">
        <f>K39*L11</f>
        <v>7152816.3399999999</v>
      </c>
      <c r="M39" s="912">
        <f>J39-L39</f>
        <v>0</v>
      </c>
      <c r="N39" s="67">
        <f t="shared" si="13"/>
        <v>13411920</v>
      </c>
      <c r="O39" s="78">
        <v>-6394397</v>
      </c>
      <c r="P39" s="67">
        <f t="shared" si="3"/>
        <v>7017523</v>
      </c>
      <c r="Q39" s="280"/>
      <c r="R39" s="78"/>
      <c r="S39" s="280"/>
      <c r="T39" s="78"/>
      <c r="U39" s="67">
        <f t="shared" si="4"/>
        <v>7017523</v>
      </c>
      <c r="V39" s="103"/>
      <c r="W39" s="29">
        <v>13411920</v>
      </c>
      <c r="X39" s="790">
        <v>13411920</v>
      </c>
      <c r="Y39" s="38"/>
      <c r="Z39" s="38"/>
      <c r="AA39" s="7">
        <f t="shared" si="14"/>
        <v>14629830</v>
      </c>
      <c r="AB39" s="29">
        <v>-889320</v>
      </c>
      <c r="AC39" s="29">
        <f t="shared" si="5"/>
        <v>13740510</v>
      </c>
      <c r="AD39" s="50"/>
      <c r="AE39" s="29"/>
      <c r="AF39" s="50"/>
      <c r="AG39" s="29"/>
      <c r="AH39" s="7">
        <f t="shared" si="6"/>
        <v>13740510</v>
      </c>
      <c r="AI39" s="38"/>
      <c r="AJ39" s="7">
        <v>14629830</v>
      </c>
      <c r="AK39" s="842">
        <v>7865500</v>
      </c>
      <c r="AL39" s="27"/>
      <c r="AM39" s="95"/>
      <c r="AN39" s="7">
        <v>14126310</v>
      </c>
    </row>
    <row r="40" spans="1:40">
      <c r="A40" s="17"/>
      <c r="B40" s="26" t="s">
        <v>20</v>
      </c>
      <c r="C40" s="67">
        <f t="shared" si="12"/>
        <v>2023630252</v>
      </c>
      <c r="D40" s="78">
        <v>-1969448007</v>
      </c>
      <c r="E40" s="67">
        <f t="shared" si="1"/>
        <v>54182245</v>
      </c>
      <c r="F40" s="280"/>
      <c r="G40" s="78">
        <f>'AJE CAJE Des 24'!F97</f>
        <v>51.899999998509898</v>
      </c>
      <c r="H40" s="280"/>
      <c r="I40" s="78"/>
      <c r="J40" s="67">
        <f t="shared" si="2"/>
        <v>54182296.899999999</v>
      </c>
      <c r="K40" s="943">
        <v>3352.45</v>
      </c>
      <c r="L40" s="934">
        <f>K40*L11</f>
        <v>54182296.899999999</v>
      </c>
      <c r="M40" s="912">
        <f>J40-L40</f>
        <v>0</v>
      </c>
      <c r="N40" s="67">
        <f t="shared" si="13"/>
        <v>2023630252</v>
      </c>
      <c r="O40" s="78">
        <v>253139290</v>
      </c>
      <c r="P40" s="67">
        <f t="shared" si="3"/>
        <v>2276769542</v>
      </c>
      <c r="Q40" s="280"/>
      <c r="R40" s="78"/>
      <c r="S40" s="280"/>
      <c r="T40" s="78"/>
      <c r="U40" s="67">
        <f t="shared" si="4"/>
        <v>2276769542</v>
      </c>
      <c r="V40" s="103"/>
      <c r="W40" s="7">
        <v>2023630252</v>
      </c>
      <c r="X40" s="413">
        <v>2023630252</v>
      </c>
      <c r="Y40" s="27"/>
      <c r="Z40" s="27"/>
      <c r="AA40" s="7">
        <f t="shared" si="14"/>
        <v>7865500</v>
      </c>
      <c r="AB40" s="7">
        <v>15743485</v>
      </c>
      <c r="AC40" s="7">
        <f t="shared" si="5"/>
        <v>23608985</v>
      </c>
      <c r="AD40" s="50"/>
      <c r="AE40" s="7"/>
      <c r="AF40" s="50"/>
      <c r="AG40" s="7"/>
      <c r="AH40" s="7">
        <f t="shared" si="6"/>
        <v>23608985</v>
      </c>
      <c r="AI40" s="27"/>
      <c r="AJ40" s="7">
        <v>7865500</v>
      </c>
      <c r="AK40" s="842"/>
      <c r="AL40" s="27"/>
      <c r="AM40" s="95"/>
      <c r="AN40" s="7">
        <v>0</v>
      </c>
    </row>
    <row r="41" spans="1:40">
      <c r="A41" s="17"/>
      <c r="B41" s="26" t="s">
        <v>21</v>
      </c>
      <c r="C41" s="67">
        <f t="shared" si="12"/>
        <v>3242911</v>
      </c>
      <c r="D41" s="78">
        <v>-1782511</v>
      </c>
      <c r="E41" s="67">
        <f t="shared" si="1"/>
        <v>1460400</v>
      </c>
      <c r="F41" s="280"/>
      <c r="G41" s="78"/>
      <c r="H41" s="280"/>
      <c r="I41" s="78">
        <f>'AJE CAJE Des 24'!G103</f>
        <v>1.6799999999348074</v>
      </c>
      <c r="J41" s="67">
        <f t="shared" si="2"/>
        <v>1460398.32</v>
      </c>
      <c r="K41" s="943">
        <v>90.36</v>
      </c>
      <c r="L41" s="934">
        <f>K41*L11</f>
        <v>1460398.32</v>
      </c>
      <c r="M41" s="912">
        <f>J41-L41</f>
        <v>0</v>
      </c>
      <c r="N41" s="67">
        <f t="shared" si="13"/>
        <v>3242911</v>
      </c>
      <c r="O41" s="78">
        <v>-1420900</v>
      </c>
      <c r="P41" s="67">
        <f t="shared" si="3"/>
        <v>1822011</v>
      </c>
      <c r="Q41" s="280"/>
      <c r="R41" s="78"/>
      <c r="S41" s="280"/>
      <c r="T41" s="78"/>
      <c r="U41" s="67">
        <f t="shared" si="4"/>
        <v>1822011</v>
      </c>
      <c r="V41" s="103"/>
      <c r="W41" s="7">
        <v>3242911</v>
      </c>
      <c r="X41" s="413">
        <v>3242911</v>
      </c>
      <c r="Y41" s="27"/>
      <c r="Z41" s="27"/>
      <c r="AA41" s="7">
        <f t="shared" si="14"/>
        <v>0</v>
      </c>
      <c r="AB41" s="7">
        <v>15455357</v>
      </c>
      <c r="AC41" s="7">
        <f t="shared" si="5"/>
        <v>15455357</v>
      </c>
      <c r="AD41" s="50"/>
      <c r="AE41" s="7"/>
      <c r="AF41" s="50"/>
      <c r="AG41" s="7"/>
      <c r="AH41" s="7">
        <f t="shared" si="6"/>
        <v>15455357</v>
      </c>
      <c r="AI41" s="27"/>
      <c r="AJ41" s="7"/>
      <c r="AK41" s="842">
        <v>0</v>
      </c>
      <c r="AL41" s="27"/>
      <c r="AM41" s="95"/>
      <c r="AN41" s="7">
        <v>0</v>
      </c>
    </row>
    <row r="42" spans="1:40">
      <c r="A42" s="30"/>
      <c r="B42" s="20" t="s">
        <v>30</v>
      </c>
      <c r="C42" s="21">
        <f>SUM(C24:C41)</f>
        <v>2106312831</v>
      </c>
      <c r="D42" s="42"/>
      <c r="E42" s="21">
        <f>SUM(E24:E41)</f>
        <v>247936688.10999858</v>
      </c>
      <c r="F42" s="281"/>
      <c r="G42" s="42"/>
      <c r="H42" s="281"/>
      <c r="I42" s="42"/>
      <c r="J42" s="21">
        <f>SUM(J24:J41)</f>
        <v>247935868.90999997</v>
      </c>
      <c r="K42" s="21"/>
      <c r="L42" s="797"/>
      <c r="M42" s="913"/>
      <c r="N42" s="21">
        <f>SUM(N24:N41)</f>
        <v>2106312831</v>
      </c>
      <c r="O42" s="42"/>
      <c r="P42" s="21">
        <f>SUM(P24:P41)</f>
        <v>11176307329.683472</v>
      </c>
      <c r="Q42" s="281"/>
      <c r="R42" s="42"/>
      <c r="S42" s="281"/>
      <c r="T42" s="42"/>
      <c r="U42" s="21">
        <f>SUM(U24:U41)</f>
        <v>11176307329.683472</v>
      </c>
      <c r="V42" s="442"/>
      <c r="W42" s="21">
        <f>SUM(W24:W41)</f>
        <v>2106312831</v>
      </c>
      <c r="X42" s="795">
        <v>2106312831</v>
      </c>
      <c r="Y42" s="27">
        <f>W42-X42</f>
        <v>0</v>
      </c>
      <c r="Z42" s="27"/>
      <c r="AA42" s="21">
        <f>SUM(AA24:AA41)</f>
        <v>3031890409.6999998</v>
      </c>
      <c r="AB42" s="21"/>
      <c r="AC42" s="21">
        <f>SUM(AC24:AC41)</f>
        <v>1737907982.5326474</v>
      </c>
      <c r="AD42" s="387"/>
      <c r="AE42" s="21"/>
      <c r="AF42" s="387"/>
      <c r="AG42" s="21"/>
      <c r="AH42" s="21">
        <f>SUM(AH24:AH41)</f>
        <v>1737907983</v>
      </c>
      <c r="AI42" s="36"/>
      <c r="AJ42" s="21">
        <f>SUM(AJ24:AJ41)</f>
        <v>3031890409.6999998</v>
      </c>
      <c r="AK42" s="843">
        <v>3031890409.6999998</v>
      </c>
      <c r="AL42" s="36">
        <f>AJ42-AK42</f>
        <v>0</v>
      </c>
      <c r="AM42" s="95"/>
      <c r="AN42" s="21">
        <f>SUM(AN24:AN41)</f>
        <v>4489321244</v>
      </c>
    </row>
    <row r="43" spans="1:40">
      <c r="A43" s="31"/>
      <c r="B43" s="31" t="s">
        <v>31</v>
      </c>
      <c r="C43" s="32">
        <f>C21+C42</f>
        <v>2159354956</v>
      </c>
      <c r="D43" s="119"/>
      <c r="E43" s="32">
        <f>E21+E42</f>
        <v>420683040.90998638</v>
      </c>
      <c r="F43" s="282"/>
      <c r="G43" s="119"/>
      <c r="H43" s="282"/>
      <c r="I43" s="119"/>
      <c r="J43" s="32">
        <f>J21+J42</f>
        <v>420682221.70998776</v>
      </c>
      <c r="K43" s="32"/>
      <c r="L43" s="797"/>
      <c r="M43" s="914"/>
      <c r="N43" s="32">
        <f>N21+N42</f>
        <v>2159354956</v>
      </c>
      <c r="O43" s="119"/>
      <c r="P43" s="32">
        <f>P21+P42</f>
        <v>11398024861.483475</v>
      </c>
      <c r="Q43" s="282"/>
      <c r="R43" s="119"/>
      <c r="S43" s="282"/>
      <c r="T43" s="119"/>
      <c r="U43" s="32">
        <f>U21+U42</f>
        <v>11398024861.483475</v>
      </c>
      <c r="V43" s="443"/>
      <c r="W43" s="32">
        <f>W21+W42</f>
        <v>2159354956</v>
      </c>
      <c r="X43" s="796">
        <v>2159354956</v>
      </c>
      <c r="Y43" s="27">
        <f>W43-X43</f>
        <v>0</v>
      </c>
      <c r="Z43" s="27"/>
      <c r="AA43" s="32">
        <f>AA21+AA42</f>
        <v>3081571390.6999998</v>
      </c>
      <c r="AB43" s="32"/>
      <c r="AC43" s="32">
        <f>AC21+AC42</f>
        <v>1798900202.5326474</v>
      </c>
      <c r="AD43" s="390"/>
      <c r="AE43" s="32"/>
      <c r="AF43" s="390"/>
      <c r="AG43" s="32"/>
      <c r="AH43" s="32">
        <f>AH21+AH42</f>
        <v>1798900203</v>
      </c>
      <c r="AI43" s="36"/>
      <c r="AJ43" s="32">
        <f>AJ21+AJ42</f>
        <v>3081571390.6999998</v>
      </c>
      <c r="AK43" s="844">
        <v>3081571391.1200132</v>
      </c>
      <c r="AL43" s="36">
        <f>AJ43-AK43</f>
        <v>-0.420013427734375</v>
      </c>
      <c r="AM43" s="95"/>
      <c r="AN43" s="32">
        <f>AN21+AN42</f>
        <v>4509468366</v>
      </c>
    </row>
    <row r="44" spans="1:40">
      <c r="A44" s="12" t="s">
        <v>32</v>
      </c>
      <c r="B44" s="14"/>
      <c r="C44" s="67"/>
      <c r="D44" s="67"/>
      <c r="E44" s="67"/>
      <c r="F44" s="280"/>
      <c r="G44" s="67"/>
      <c r="H44" s="280"/>
      <c r="I44" s="67"/>
      <c r="J44" s="67"/>
      <c r="K44" s="67"/>
      <c r="L44" s="934"/>
      <c r="M44" s="912"/>
      <c r="N44" s="67"/>
      <c r="O44" s="67"/>
      <c r="P44" s="67"/>
      <c r="Q44" s="280"/>
      <c r="R44" s="67"/>
      <c r="S44" s="280"/>
      <c r="T44" s="67"/>
      <c r="U44" s="67"/>
      <c r="V44" s="103"/>
      <c r="W44" s="15"/>
      <c r="X44" s="789"/>
      <c r="Y44" s="8"/>
      <c r="Z44" s="8"/>
      <c r="AA44" s="15"/>
      <c r="AB44" s="15"/>
      <c r="AC44" s="15"/>
      <c r="AD44" s="386"/>
      <c r="AE44" s="15"/>
      <c r="AF44" s="386"/>
      <c r="AG44" s="15"/>
      <c r="AH44" s="15"/>
      <c r="AI44" s="8"/>
      <c r="AJ44" s="15"/>
      <c r="AK44" s="836"/>
      <c r="AL44" s="8"/>
      <c r="AM44" s="95"/>
      <c r="AN44" s="15"/>
    </row>
    <row r="45" spans="1:40">
      <c r="A45" s="7"/>
      <c r="B45" s="33" t="s">
        <v>33</v>
      </c>
      <c r="C45" s="120"/>
      <c r="D45" s="120"/>
      <c r="E45" s="120"/>
      <c r="F45" s="280"/>
      <c r="G45" s="120"/>
      <c r="H45" s="280"/>
      <c r="I45" s="120"/>
      <c r="J45" s="120"/>
      <c r="K45" s="120"/>
      <c r="L45" s="935"/>
      <c r="M45" s="915"/>
      <c r="N45" s="120"/>
      <c r="O45" s="120"/>
      <c r="P45" s="120"/>
      <c r="Q45" s="280"/>
      <c r="R45" s="120"/>
      <c r="S45" s="280"/>
      <c r="T45" s="120"/>
      <c r="U45" s="120"/>
      <c r="V45" s="444"/>
      <c r="W45" s="27"/>
      <c r="X45" s="794">
        <v>0</v>
      </c>
      <c r="Y45" s="27"/>
      <c r="Z45" s="27"/>
      <c r="AA45" s="27"/>
      <c r="AB45" s="27"/>
      <c r="AC45" s="27"/>
      <c r="AD45" s="371"/>
      <c r="AE45" s="27"/>
      <c r="AF45" s="371"/>
      <c r="AG45" s="27"/>
      <c r="AH45" s="27"/>
      <c r="AI45" s="27"/>
      <c r="AJ45" s="27"/>
      <c r="AK45" s="841">
        <v>0</v>
      </c>
      <c r="AL45" s="27"/>
      <c r="AM45" s="95"/>
      <c r="AN45" s="27"/>
    </row>
    <row r="46" spans="1:40">
      <c r="A46" s="34"/>
      <c r="B46" s="26" t="s">
        <v>34</v>
      </c>
      <c r="C46" s="121">
        <f t="shared" ref="C46:C67" si="15">W46</f>
        <v>211054410</v>
      </c>
      <c r="D46" s="78">
        <v>182881020</v>
      </c>
      <c r="E46" s="67">
        <f t="shared" ref="E46:E51" si="16">C46+D46</f>
        <v>393935430</v>
      </c>
      <c r="F46" s="280"/>
      <c r="G46" s="78"/>
      <c r="H46" s="280"/>
      <c r="I46" s="78"/>
      <c r="J46" s="67">
        <f t="shared" ref="J46:J68" si="17">E46+G46-I46</f>
        <v>393935430</v>
      </c>
      <c r="K46" s="67"/>
      <c r="L46" s="934"/>
      <c r="M46" s="912"/>
      <c r="N46" s="121">
        <f t="shared" ref="N46:N55" si="18">W46</f>
        <v>211054410</v>
      </c>
      <c r="O46" s="78">
        <v>128840071</v>
      </c>
      <c r="P46" s="67">
        <f t="shared" ref="P46:P51" si="19">N46+O46</f>
        <v>339894481</v>
      </c>
      <c r="Q46" s="280"/>
      <c r="R46" s="78"/>
      <c r="S46" s="280"/>
      <c r="T46" s="78"/>
      <c r="U46" s="67">
        <f t="shared" ref="U46:U55" si="20">P46+R46-T46</f>
        <v>339894481</v>
      </c>
      <c r="V46" s="103"/>
      <c r="W46" s="7">
        <v>211054410</v>
      </c>
      <c r="X46" s="794">
        <v>211054410</v>
      </c>
      <c r="Y46" s="27">
        <f>W46-X46</f>
        <v>0</v>
      </c>
      <c r="Z46" s="27"/>
      <c r="AA46" s="7">
        <f>AJ46</f>
        <v>338387925</v>
      </c>
      <c r="AB46" s="7">
        <v>144486484.42000002</v>
      </c>
      <c r="AC46" s="7">
        <f t="shared" ref="AC46:AC51" si="21">AA46+AB46</f>
        <v>482874409.42000002</v>
      </c>
      <c r="AD46" s="50"/>
      <c r="AE46" s="7"/>
      <c r="AF46" s="50"/>
      <c r="AG46" s="7"/>
      <c r="AH46" s="7">
        <f t="shared" ref="AH46:AH66" si="22">ROUND(AC46+AE46-AG46,0)</f>
        <v>482874409</v>
      </c>
      <c r="AI46" s="27"/>
      <c r="AJ46" s="7">
        <v>338387925</v>
      </c>
      <c r="AK46" s="841">
        <v>338387925</v>
      </c>
      <c r="AL46" s="27">
        <f>AJ46-AK46</f>
        <v>0</v>
      </c>
      <c r="AM46" s="95"/>
      <c r="AN46" s="27">
        <v>174380445</v>
      </c>
    </row>
    <row r="47" spans="1:40">
      <c r="A47" s="34"/>
      <c r="B47" s="26" t="s">
        <v>35</v>
      </c>
      <c r="C47" s="121">
        <f t="shared" si="15"/>
        <v>0</v>
      </c>
      <c r="D47" s="78"/>
      <c r="E47" s="67">
        <f t="shared" si="16"/>
        <v>0</v>
      </c>
      <c r="F47" s="280"/>
      <c r="G47" s="78"/>
      <c r="H47" s="280"/>
      <c r="I47" s="78"/>
      <c r="J47" s="67">
        <f t="shared" si="17"/>
        <v>0</v>
      </c>
      <c r="K47" s="67"/>
      <c r="L47" s="934"/>
      <c r="M47" s="912"/>
      <c r="N47" s="121">
        <f t="shared" si="18"/>
        <v>0</v>
      </c>
      <c r="O47" s="78"/>
      <c r="P47" s="67">
        <f t="shared" si="19"/>
        <v>0</v>
      </c>
      <c r="Q47" s="280"/>
      <c r="R47" s="78"/>
      <c r="S47" s="280"/>
      <c r="T47" s="78"/>
      <c r="U47" s="67">
        <f t="shared" si="20"/>
        <v>0</v>
      </c>
      <c r="V47" s="103"/>
      <c r="W47" s="7">
        <v>0</v>
      </c>
      <c r="X47" s="794">
        <v>0</v>
      </c>
      <c r="Y47" s="27"/>
      <c r="Z47" s="27"/>
      <c r="AA47" s="7">
        <f t="shared" ref="AA47:AA66" si="23">AJ47</f>
        <v>14980</v>
      </c>
      <c r="AB47" s="7"/>
      <c r="AC47" s="7">
        <f t="shared" si="21"/>
        <v>14980</v>
      </c>
      <c r="AD47" s="50"/>
      <c r="AE47" s="7"/>
      <c r="AF47" s="50"/>
      <c r="AG47" s="7"/>
      <c r="AH47" s="7">
        <f t="shared" si="22"/>
        <v>14980</v>
      </c>
      <c r="AI47" s="27"/>
      <c r="AJ47" s="7">
        <v>14980</v>
      </c>
      <c r="AK47" s="841">
        <v>14980</v>
      </c>
      <c r="AL47" s="27">
        <f t="shared" ref="AL47:AL49" si="24">AJ47-AK47</f>
        <v>0</v>
      </c>
      <c r="AM47" s="95"/>
      <c r="AN47" s="27">
        <v>14980</v>
      </c>
    </row>
    <row r="48" spans="1:40">
      <c r="A48" s="34"/>
      <c r="B48" s="26" t="s">
        <v>36</v>
      </c>
      <c r="C48" s="121">
        <f t="shared" si="15"/>
        <v>0</v>
      </c>
      <c r="D48" s="78"/>
      <c r="E48" s="67">
        <f t="shared" si="16"/>
        <v>0</v>
      </c>
      <c r="F48" s="280"/>
      <c r="G48" s="78"/>
      <c r="H48" s="280"/>
      <c r="I48" s="78"/>
      <c r="J48" s="67">
        <f t="shared" si="17"/>
        <v>0</v>
      </c>
      <c r="K48" s="67"/>
      <c r="L48" s="934"/>
      <c r="M48" s="912"/>
      <c r="N48" s="121">
        <f t="shared" si="18"/>
        <v>0</v>
      </c>
      <c r="O48" s="78"/>
      <c r="P48" s="67">
        <f t="shared" si="19"/>
        <v>0</v>
      </c>
      <c r="Q48" s="280"/>
      <c r="R48" s="78"/>
      <c r="S48" s="280"/>
      <c r="T48" s="78"/>
      <c r="U48" s="67">
        <f t="shared" si="20"/>
        <v>0</v>
      </c>
      <c r="V48" s="103"/>
      <c r="W48" s="7">
        <v>0</v>
      </c>
      <c r="X48" s="794">
        <v>0</v>
      </c>
      <c r="Y48" s="27"/>
      <c r="Z48" s="27"/>
      <c r="AA48" s="7">
        <f t="shared" si="23"/>
        <v>29870000</v>
      </c>
      <c r="AB48" s="7">
        <v>-15220660</v>
      </c>
      <c r="AC48" s="7">
        <f t="shared" si="21"/>
        <v>14649340</v>
      </c>
      <c r="AD48" s="50"/>
      <c r="AE48" s="7"/>
      <c r="AF48" s="50"/>
      <c r="AG48" s="7"/>
      <c r="AH48" s="665">
        <f t="shared" si="22"/>
        <v>14649340</v>
      </c>
      <c r="AI48" s="27"/>
      <c r="AJ48" s="7">
        <v>29870000</v>
      </c>
      <c r="AK48" s="841">
        <v>29870000</v>
      </c>
      <c r="AL48" s="27">
        <f t="shared" si="24"/>
        <v>0</v>
      </c>
      <c r="AM48" s="95"/>
      <c r="AN48" s="27">
        <v>0</v>
      </c>
    </row>
    <row r="49" spans="1:40">
      <c r="A49" s="34"/>
      <c r="B49" s="26" t="s">
        <v>37</v>
      </c>
      <c r="C49" s="121">
        <f t="shared" si="15"/>
        <v>0</v>
      </c>
      <c r="D49" s="78"/>
      <c r="E49" s="67">
        <f t="shared" si="16"/>
        <v>0</v>
      </c>
      <c r="F49" s="280"/>
      <c r="G49" s="78"/>
      <c r="H49" s="280"/>
      <c r="I49" s="78"/>
      <c r="J49" s="67">
        <f t="shared" si="17"/>
        <v>0</v>
      </c>
      <c r="K49" s="67"/>
      <c r="L49" s="934"/>
      <c r="M49" s="912"/>
      <c r="N49" s="121">
        <f t="shared" si="18"/>
        <v>0</v>
      </c>
      <c r="O49" s="78"/>
      <c r="P49" s="67">
        <f t="shared" si="19"/>
        <v>0</v>
      </c>
      <c r="Q49" s="280"/>
      <c r="R49" s="78"/>
      <c r="S49" s="280"/>
      <c r="T49" s="78"/>
      <c r="U49" s="67">
        <f t="shared" si="20"/>
        <v>0</v>
      </c>
      <c r="V49" s="103"/>
      <c r="W49" s="7">
        <v>0</v>
      </c>
      <c r="X49" s="794">
        <v>0</v>
      </c>
      <c r="Y49" s="27"/>
      <c r="Z49" s="27"/>
      <c r="AA49" s="7">
        <f t="shared" si="23"/>
        <v>520000</v>
      </c>
      <c r="AB49" s="7"/>
      <c r="AC49" s="7">
        <f t="shared" si="21"/>
        <v>520000</v>
      </c>
      <c r="AD49" s="50"/>
      <c r="AE49" s="7"/>
      <c r="AF49" s="50"/>
      <c r="AG49" s="7"/>
      <c r="AH49" s="7">
        <f t="shared" si="22"/>
        <v>520000</v>
      </c>
      <c r="AI49" s="27"/>
      <c r="AJ49" s="7">
        <v>520000</v>
      </c>
      <c r="AK49" s="841">
        <v>520000</v>
      </c>
      <c r="AL49" s="27">
        <f t="shared" si="24"/>
        <v>0</v>
      </c>
      <c r="AM49" s="95"/>
      <c r="AN49" s="27">
        <v>0</v>
      </c>
    </row>
    <row r="50" spans="1:40">
      <c r="A50" s="34"/>
      <c r="B50" s="26" t="s">
        <v>38</v>
      </c>
      <c r="C50" s="121">
        <f t="shared" si="15"/>
        <v>1480185</v>
      </c>
      <c r="D50" s="78">
        <v>-1480185</v>
      </c>
      <c r="E50" s="67">
        <f t="shared" si="16"/>
        <v>0</v>
      </c>
      <c r="F50" s="280"/>
      <c r="G50" s="78"/>
      <c r="H50" s="280"/>
      <c r="I50" s="78"/>
      <c r="J50" s="67">
        <f t="shared" si="17"/>
        <v>0</v>
      </c>
      <c r="K50" s="67"/>
      <c r="L50" s="934"/>
      <c r="M50" s="912"/>
      <c r="N50" s="121">
        <f t="shared" si="18"/>
        <v>1480185</v>
      </c>
      <c r="O50" s="78">
        <v>-1480185</v>
      </c>
      <c r="P50" s="67">
        <f t="shared" si="19"/>
        <v>0</v>
      </c>
      <c r="Q50" s="280"/>
      <c r="R50" s="78"/>
      <c r="S50" s="280"/>
      <c r="T50" s="78"/>
      <c r="U50" s="67">
        <f t="shared" si="20"/>
        <v>0</v>
      </c>
      <c r="V50" s="103"/>
      <c r="W50" s="7">
        <v>1480185</v>
      </c>
      <c r="X50" s="794">
        <v>1480185</v>
      </c>
      <c r="Y50" s="27">
        <f>W50-X50</f>
        <v>0</v>
      </c>
      <c r="Z50" s="27"/>
      <c r="AA50" s="7">
        <f t="shared" si="23"/>
        <v>0</v>
      </c>
      <c r="AB50" s="7"/>
      <c r="AC50" s="7">
        <f t="shared" si="21"/>
        <v>0</v>
      </c>
      <c r="AD50" s="50"/>
      <c r="AE50" s="7"/>
      <c r="AF50" s="50"/>
      <c r="AG50" s="7"/>
      <c r="AH50" s="7">
        <f t="shared" si="22"/>
        <v>0</v>
      </c>
      <c r="AI50" s="27"/>
      <c r="AJ50" s="7">
        <v>0</v>
      </c>
      <c r="AK50" s="841">
        <v>0</v>
      </c>
      <c r="AL50" s="27"/>
      <c r="AM50" s="95"/>
      <c r="AN50" s="27">
        <v>4950900</v>
      </c>
    </row>
    <row r="51" spans="1:40">
      <c r="A51" s="34"/>
      <c r="B51" s="26" t="s">
        <v>39</v>
      </c>
      <c r="C51" s="121">
        <f t="shared" si="15"/>
        <v>0</v>
      </c>
      <c r="D51" s="78"/>
      <c r="E51" s="67">
        <f t="shared" si="16"/>
        <v>0</v>
      </c>
      <c r="F51" s="280"/>
      <c r="G51" s="78"/>
      <c r="H51" s="280"/>
      <c r="I51" s="78"/>
      <c r="J51" s="67">
        <f t="shared" si="17"/>
        <v>0</v>
      </c>
      <c r="K51" s="67"/>
      <c r="L51" s="934"/>
      <c r="M51" s="912"/>
      <c r="N51" s="121">
        <f t="shared" si="18"/>
        <v>0</v>
      </c>
      <c r="O51" s="78"/>
      <c r="P51" s="67">
        <f t="shared" si="19"/>
        <v>0</v>
      </c>
      <c r="Q51" s="280"/>
      <c r="R51" s="78"/>
      <c r="S51" s="280"/>
      <c r="T51" s="78"/>
      <c r="U51" s="67">
        <f t="shared" si="20"/>
        <v>0</v>
      </c>
      <c r="V51" s="103"/>
      <c r="W51" s="7"/>
      <c r="X51" s="794"/>
      <c r="Y51" s="27"/>
      <c r="Z51" s="27"/>
      <c r="AA51" s="7">
        <f t="shared" si="23"/>
        <v>0</v>
      </c>
      <c r="AB51" s="7"/>
      <c r="AC51" s="7">
        <f t="shared" si="21"/>
        <v>0</v>
      </c>
      <c r="AD51" s="50"/>
      <c r="AE51" s="7"/>
      <c r="AF51" s="50"/>
      <c r="AG51" s="7"/>
      <c r="AH51" s="7">
        <f t="shared" si="22"/>
        <v>0</v>
      </c>
      <c r="AI51" s="27"/>
      <c r="AJ51" s="7">
        <v>0</v>
      </c>
      <c r="AK51" s="841"/>
      <c r="AL51" s="27"/>
      <c r="AM51" s="95"/>
      <c r="AN51" s="27">
        <v>4800000</v>
      </c>
    </row>
    <row r="52" spans="1:40">
      <c r="A52" s="34"/>
      <c r="B52" s="26"/>
      <c r="C52" s="121">
        <f t="shared" si="15"/>
        <v>0</v>
      </c>
      <c r="D52" s="78"/>
      <c r="E52" s="78"/>
      <c r="F52" s="280"/>
      <c r="G52" s="78"/>
      <c r="H52" s="280"/>
      <c r="I52" s="78"/>
      <c r="J52" s="67">
        <f t="shared" si="17"/>
        <v>0</v>
      </c>
      <c r="K52" s="67"/>
      <c r="L52" s="934"/>
      <c r="M52" s="912"/>
      <c r="N52" s="121">
        <f t="shared" si="18"/>
        <v>0</v>
      </c>
      <c r="O52" s="78"/>
      <c r="P52" s="78"/>
      <c r="Q52" s="280"/>
      <c r="R52" s="78"/>
      <c r="S52" s="280"/>
      <c r="T52" s="78"/>
      <c r="U52" s="67">
        <f t="shared" si="20"/>
        <v>0</v>
      </c>
      <c r="V52" s="103"/>
      <c r="W52" s="27"/>
      <c r="X52" s="794">
        <v>0</v>
      </c>
      <c r="Y52" s="27"/>
      <c r="Z52" s="27"/>
      <c r="AA52" s="7">
        <f t="shared" si="23"/>
        <v>0</v>
      </c>
      <c r="AB52" s="27"/>
      <c r="AC52" s="27"/>
      <c r="AD52" s="371"/>
      <c r="AE52" s="27"/>
      <c r="AF52" s="371"/>
      <c r="AG52" s="27"/>
      <c r="AH52" s="7">
        <f t="shared" si="22"/>
        <v>0</v>
      </c>
      <c r="AI52" s="27"/>
      <c r="AJ52" s="27"/>
      <c r="AK52" s="841">
        <v>0</v>
      </c>
      <c r="AL52" s="27"/>
      <c r="AM52" s="95"/>
      <c r="AN52" s="27"/>
    </row>
    <row r="53" spans="1:40">
      <c r="A53" s="7"/>
      <c r="B53" s="33" t="s">
        <v>40</v>
      </c>
      <c r="C53" s="122">
        <f t="shared" si="15"/>
        <v>0</v>
      </c>
      <c r="D53" s="120"/>
      <c r="E53" s="120"/>
      <c r="F53" s="280"/>
      <c r="G53" s="120"/>
      <c r="H53" s="280"/>
      <c r="I53" s="120"/>
      <c r="J53" s="67">
        <f t="shared" si="17"/>
        <v>0</v>
      </c>
      <c r="K53" s="67"/>
      <c r="L53" s="934"/>
      <c r="M53" s="912"/>
      <c r="N53" s="122">
        <f t="shared" si="18"/>
        <v>0</v>
      </c>
      <c r="O53" s="120"/>
      <c r="P53" s="120"/>
      <c r="Q53" s="280"/>
      <c r="R53" s="120"/>
      <c r="S53" s="280"/>
      <c r="T53" s="120"/>
      <c r="U53" s="67">
        <f t="shared" si="20"/>
        <v>0</v>
      </c>
      <c r="V53" s="103"/>
      <c r="W53" s="27"/>
      <c r="X53" s="794"/>
      <c r="Y53" s="27"/>
      <c r="Z53" s="27"/>
      <c r="AA53" s="7">
        <f t="shared" si="23"/>
        <v>0</v>
      </c>
      <c r="AB53" s="27"/>
      <c r="AC53" s="27"/>
      <c r="AD53" s="371"/>
      <c r="AE53" s="27"/>
      <c r="AF53" s="371"/>
      <c r="AG53" s="27"/>
      <c r="AH53" s="7">
        <f t="shared" si="22"/>
        <v>0</v>
      </c>
      <c r="AI53" s="27"/>
      <c r="AJ53" s="27"/>
      <c r="AK53" s="841"/>
      <c r="AL53" s="27"/>
      <c r="AM53" s="95"/>
      <c r="AN53" s="27"/>
    </row>
    <row r="54" spans="1:40">
      <c r="A54" s="34"/>
      <c r="B54" s="26" t="s">
        <v>41</v>
      </c>
      <c r="C54" s="121">
        <f t="shared" si="15"/>
        <v>0</v>
      </c>
      <c r="D54" s="78">
        <v>3238386170.8000002</v>
      </c>
      <c r="E54" s="67">
        <f>C54+D54</f>
        <v>3238386170.8000002</v>
      </c>
      <c r="F54" s="280" t="str">
        <f>'AJE CAJE Des 24'!A72</f>
        <v>CAJE 10</v>
      </c>
      <c r="G54" s="78">
        <f>'AJE CAJE Des 24'!F72</f>
        <v>0</v>
      </c>
      <c r="H54" s="280"/>
      <c r="I54" s="78"/>
      <c r="J54" s="67">
        <f t="shared" si="17"/>
        <v>3238386170.8000002</v>
      </c>
      <c r="K54" s="67"/>
      <c r="L54" s="934"/>
      <c r="M54" s="912"/>
      <c r="N54" s="121">
        <f t="shared" si="18"/>
        <v>0</v>
      </c>
      <c r="O54" s="78"/>
      <c r="P54" s="67">
        <f>N54+O54</f>
        <v>0</v>
      </c>
      <c r="Q54" s="280"/>
      <c r="R54" s="78"/>
      <c r="S54" s="280"/>
      <c r="T54" s="78"/>
      <c r="U54" s="67">
        <f t="shared" si="20"/>
        <v>0</v>
      </c>
      <c r="V54" s="103"/>
      <c r="W54" s="7">
        <v>0</v>
      </c>
      <c r="X54" s="794">
        <v>0</v>
      </c>
      <c r="Y54" s="27"/>
      <c r="Z54" s="27"/>
      <c r="AA54" s="7">
        <f t="shared" si="23"/>
        <v>1154639669</v>
      </c>
      <c r="AB54" s="7">
        <v>-1154639669</v>
      </c>
      <c r="AC54" s="7">
        <f t="shared" ref="AC54:AC66" si="25">AA54+AB54</f>
        <v>0</v>
      </c>
      <c r="AD54" s="50"/>
      <c r="AE54" s="7"/>
      <c r="AF54" s="50"/>
      <c r="AG54" s="7"/>
      <c r="AH54" s="7">
        <f t="shared" si="22"/>
        <v>0</v>
      </c>
      <c r="AI54" s="27"/>
      <c r="AJ54" s="7">
        <v>1154639669</v>
      </c>
      <c r="AK54" s="841">
        <v>1154639669</v>
      </c>
      <c r="AL54" s="27">
        <f>AJ54-AK54</f>
        <v>0</v>
      </c>
      <c r="AM54" s="95"/>
      <c r="AN54" s="27">
        <v>1095202826</v>
      </c>
    </row>
    <row r="55" spans="1:40">
      <c r="A55" s="34"/>
      <c r="B55" s="26" t="s">
        <v>42</v>
      </c>
      <c r="C55" s="374">
        <f t="shared" si="15"/>
        <v>8062429256</v>
      </c>
      <c r="D55" s="78">
        <v>15130415548.5</v>
      </c>
      <c r="E55" s="67">
        <f>C55+D55</f>
        <v>23192844804.5</v>
      </c>
      <c r="F55" s="280" t="str">
        <f>'AJE CAJE Des 24'!A71</f>
        <v>CAJE 10</v>
      </c>
      <c r="G55" s="78">
        <f>'AJE CAJE Des 24'!F71+'AJE CAJE Des 24'!F74+'AJE CAJE Des 24'!F75+'AJE CAJE Des 24'!F77</f>
        <v>0</v>
      </c>
      <c r="H55" s="280"/>
      <c r="I55" s="78"/>
      <c r="J55" s="67">
        <f t="shared" si="17"/>
        <v>23192844804.5</v>
      </c>
      <c r="K55" s="67"/>
      <c r="L55" s="934"/>
      <c r="M55" s="916"/>
      <c r="N55" s="374">
        <f t="shared" si="18"/>
        <v>8062429256</v>
      </c>
      <c r="O55" s="78">
        <v>2376584163.5</v>
      </c>
      <c r="P55" s="67">
        <f>N55+O55</f>
        <v>10439013419.5</v>
      </c>
      <c r="Q55" s="280" t="str">
        <f>'AJE CAJE Sept 24'!B77</f>
        <v>CAJE 15</v>
      </c>
      <c r="R55" s="78">
        <f>'AJE CAJE Sept 24'!G77+'AJE CAJE Sept 24'!G78+'AJE CAJE Sept 24'!G80+'AJE CAJE Sept 24'!G81</f>
        <v>6233931600</v>
      </c>
      <c r="S55" s="280"/>
      <c r="T55" s="78"/>
      <c r="U55" s="67">
        <f t="shared" si="20"/>
        <v>16672945019.5</v>
      </c>
      <c r="V55" s="67"/>
      <c r="W55" s="27">
        <v>8062429256</v>
      </c>
      <c r="X55" s="794">
        <v>8062429256</v>
      </c>
      <c r="Y55" s="27">
        <f>W55-X55</f>
        <v>0</v>
      </c>
      <c r="Z55" s="27"/>
      <c r="AA55" s="7">
        <f t="shared" si="23"/>
        <v>23090276420</v>
      </c>
      <c r="AB55" s="27">
        <v>-21308667920</v>
      </c>
      <c r="AC55" s="27">
        <f t="shared" si="25"/>
        <v>1781608500</v>
      </c>
      <c r="AD55" s="371"/>
      <c r="AE55" s="27"/>
      <c r="AF55" s="371"/>
      <c r="AG55" s="27"/>
      <c r="AH55" s="27">
        <f t="shared" si="22"/>
        <v>1781608500</v>
      </c>
      <c r="AI55" s="27"/>
      <c r="AJ55" s="27">
        <v>23090276420</v>
      </c>
      <c r="AK55" s="841">
        <v>23090276420</v>
      </c>
      <c r="AL55" s="27">
        <f>AJ55-AK55</f>
        <v>0</v>
      </c>
      <c r="AM55" s="271"/>
      <c r="AN55" s="27">
        <v>6135670000</v>
      </c>
    </row>
    <row r="56" spans="1:40">
      <c r="A56" s="34"/>
      <c r="B56" s="26" t="s">
        <v>147</v>
      </c>
      <c r="C56" s="374">
        <f t="shared" si="15"/>
        <v>0</v>
      </c>
      <c r="D56" s="78"/>
      <c r="E56" s="67">
        <f>C56+D56</f>
        <v>0</v>
      </c>
      <c r="F56" s="280"/>
      <c r="G56" s="78"/>
      <c r="H56" s="280"/>
      <c r="I56" s="78"/>
      <c r="J56" s="67">
        <f t="shared" si="17"/>
        <v>0</v>
      </c>
      <c r="K56" s="67"/>
      <c r="L56" s="934"/>
      <c r="M56" s="916"/>
      <c r="N56" s="374"/>
      <c r="O56" s="78"/>
      <c r="P56" s="67">
        <f>N56+O56</f>
        <v>0</v>
      </c>
      <c r="Q56" s="280"/>
      <c r="R56" s="78"/>
      <c r="S56" s="280"/>
      <c r="T56" s="78"/>
      <c r="U56" s="67">
        <f t="shared" ref="U56" si="26">P56+R56-T56</f>
        <v>0</v>
      </c>
      <c r="V56" s="67"/>
      <c r="W56" s="27"/>
      <c r="X56" s="794">
        <v>0</v>
      </c>
      <c r="Y56" s="27"/>
      <c r="Z56" s="27"/>
      <c r="AA56" s="7">
        <f t="shared" si="23"/>
        <v>0</v>
      </c>
      <c r="AB56" s="27"/>
      <c r="AC56" s="27">
        <f t="shared" si="25"/>
        <v>0</v>
      </c>
      <c r="AD56" s="371"/>
      <c r="AE56" s="27"/>
      <c r="AF56" s="371"/>
      <c r="AG56" s="27"/>
      <c r="AH56" s="27">
        <f t="shared" si="22"/>
        <v>0</v>
      </c>
      <c r="AI56" s="27"/>
      <c r="AJ56" s="27"/>
      <c r="AK56" s="841"/>
      <c r="AL56" s="27"/>
      <c r="AM56" s="271"/>
      <c r="AN56" s="27"/>
    </row>
    <row r="57" spans="1:40">
      <c r="A57" s="34"/>
      <c r="B57" s="26" t="s">
        <v>43</v>
      </c>
      <c r="C57" s="374">
        <f t="shared" si="15"/>
        <v>0</v>
      </c>
      <c r="D57" s="78"/>
      <c r="E57" s="67">
        <f t="shared" ref="E57:E68" si="27">C57+D57</f>
        <v>0</v>
      </c>
      <c r="F57" s="280"/>
      <c r="G57" s="78"/>
      <c r="H57" s="280"/>
      <c r="I57" s="78"/>
      <c r="J57" s="67">
        <f t="shared" si="17"/>
        <v>0</v>
      </c>
      <c r="K57" s="67"/>
      <c r="L57" s="934"/>
      <c r="M57" s="916"/>
      <c r="N57" s="374">
        <f t="shared" ref="N57:N66" si="28">W57</f>
        <v>0</v>
      </c>
      <c r="O57" s="78"/>
      <c r="P57" s="67">
        <f t="shared" ref="P57:P66" si="29">N57+O57</f>
        <v>0</v>
      </c>
      <c r="Q57" s="280"/>
      <c r="R57" s="78"/>
      <c r="S57" s="280"/>
      <c r="T57" s="78"/>
      <c r="U57" s="67">
        <f t="shared" ref="U57:U66" si="30">P57+R57-T57</f>
        <v>0</v>
      </c>
      <c r="V57" s="67"/>
      <c r="W57" s="27">
        <v>0</v>
      </c>
      <c r="X57" s="794">
        <v>0</v>
      </c>
      <c r="Y57" s="27"/>
      <c r="Z57" s="27"/>
      <c r="AA57" s="7">
        <f t="shared" si="23"/>
        <v>0</v>
      </c>
      <c r="AB57" s="27"/>
      <c r="AC57" s="27">
        <f t="shared" si="25"/>
        <v>0</v>
      </c>
      <c r="AD57" s="371"/>
      <c r="AE57" s="27"/>
      <c r="AF57" s="371"/>
      <c r="AG57" s="27"/>
      <c r="AH57" s="27">
        <f t="shared" si="22"/>
        <v>0</v>
      </c>
      <c r="AI57" s="27"/>
      <c r="AJ57" s="27">
        <v>0</v>
      </c>
      <c r="AK57" s="841">
        <v>0</v>
      </c>
      <c r="AL57" s="27"/>
      <c r="AM57" s="271"/>
      <c r="AN57" s="27">
        <v>1414842695</v>
      </c>
    </row>
    <row r="58" spans="1:40">
      <c r="A58" s="34"/>
      <c r="B58" s="26" t="s">
        <v>44</v>
      </c>
      <c r="C58" s="374">
        <f t="shared" si="15"/>
        <v>0</v>
      </c>
      <c r="D58" s="78">
        <v>5727524400</v>
      </c>
      <c r="E58" s="67">
        <f t="shared" si="27"/>
        <v>5727524400</v>
      </c>
      <c r="F58" s="280" t="str">
        <f>'AJE CAJE Des 24'!A76</f>
        <v>CAJE 10</v>
      </c>
      <c r="G58" s="78">
        <f>'AJE CAJE Des 24'!F76</f>
        <v>0</v>
      </c>
      <c r="H58" s="280"/>
      <c r="I58" s="78"/>
      <c r="J58" s="67">
        <f t="shared" si="17"/>
        <v>5727524400</v>
      </c>
      <c r="K58" s="67"/>
      <c r="L58" s="934"/>
      <c r="M58" s="916"/>
      <c r="N58" s="374">
        <f t="shared" si="28"/>
        <v>0</v>
      </c>
      <c r="O58" s="78"/>
      <c r="P58" s="67">
        <f t="shared" si="29"/>
        <v>0</v>
      </c>
      <c r="Q58" s="280"/>
      <c r="R58" s="78"/>
      <c r="S58" s="280"/>
      <c r="T58" s="78"/>
      <c r="U58" s="67">
        <f t="shared" si="30"/>
        <v>0</v>
      </c>
      <c r="V58" s="67"/>
      <c r="W58" s="27">
        <v>0</v>
      </c>
      <c r="X58" s="794">
        <v>0</v>
      </c>
      <c r="Y58" s="27"/>
      <c r="Z58" s="27"/>
      <c r="AA58" s="7">
        <f t="shared" si="23"/>
        <v>0</v>
      </c>
      <c r="AB58" s="27"/>
      <c r="AC58" s="27">
        <f t="shared" si="25"/>
        <v>0</v>
      </c>
      <c r="AD58" s="371"/>
      <c r="AE58" s="27"/>
      <c r="AF58" s="371"/>
      <c r="AG58" s="27"/>
      <c r="AH58" s="27">
        <f t="shared" si="22"/>
        <v>0</v>
      </c>
      <c r="AI58" s="27"/>
      <c r="AJ58" s="27">
        <v>0</v>
      </c>
      <c r="AK58" s="841">
        <v>0</v>
      </c>
      <c r="AL58" s="27"/>
      <c r="AM58" s="271"/>
      <c r="AN58" s="27">
        <v>2037613200</v>
      </c>
    </row>
    <row r="59" spans="1:40">
      <c r="A59" s="34"/>
      <c r="B59" s="26" t="s">
        <v>45</v>
      </c>
      <c r="C59" s="374">
        <f t="shared" si="15"/>
        <v>1661844800</v>
      </c>
      <c r="D59" s="78">
        <v>-1661844800</v>
      </c>
      <c r="E59" s="67">
        <f t="shared" si="27"/>
        <v>0</v>
      </c>
      <c r="F59" s="280"/>
      <c r="G59" s="78"/>
      <c r="H59" s="280"/>
      <c r="I59" s="78"/>
      <c r="J59" s="67">
        <f t="shared" si="17"/>
        <v>0</v>
      </c>
      <c r="K59" s="67"/>
      <c r="L59" s="934"/>
      <c r="M59" s="916"/>
      <c r="N59" s="374">
        <f t="shared" si="28"/>
        <v>1661844800</v>
      </c>
      <c r="O59" s="78">
        <v>-308204860</v>
      </c>
      <c r="P59" s="67">
        <f t="shared" si="29"/>
        <v>1353639940</v>
      </c>
      <c r="Q59" s="280"/>
      <c r="R59" s="78"/>
      <c r="S59" s="280"/>
      <c r="T59" s="78"/>
      <c r="U59" s="67">
        <f t="shared" si="30"/>
        <v>1353639940</v>
      </c>
      <c r="V59" s="67"/>
      <c r="W59" s="27">
        <v>1661844800</v>
      </c>
      <c r="X59" s="794">
        <v>1661844800</v>
      </c>
      <c r="Y59" s="27">
        <f>W59-X59</f>
        <v>0</v>
      </c>
      <c r="Z59" s="27"/>
      <c r="AA59" s="7">
        <f t="shared" si="23"/>
        <v>5658755320.6999998</v>
      </c>
      <c r="AB59" s="27">
        <v>-3794672708</v>
      </c>
      <c r="AC59" s="27">
        <f t="shared" si="25"/>
        <v>1864082612.6999998</v>
      </c>
      <c r="AD59" s="371"/>
      <c r="AE59" s="27"/>
      <c r="AF59" s="371"/>
      <c r="AG59" s="27"/>
      <c r="AH59" s="27">
        <f t="shared" si="22"/>
        <v>1864082613</v>
      </c>
      <c r="AI59" s="27"/>
      <c r="AJ59" s="27">
        <v>5658755320.6999998</v>
      </c>
      <c r="AK59" s="841">
        <v>5658755320.6999998</v>
      </c>
      <c r="AL59" s="27">
        <f>AJ59-AK59</f>
        <v>0</v>
      </c>
      <c r="AM59" s="271"/>
      <c r="AN59" s="27">
        <v>5174510160</v>
      </c>
    </row>
    <row r="60" spans="1:40">
      <c r="A60" s="34"/>
      <c r="B60" s="26" t="s">
        <v>46</v>
      </c>
      <c r="C60" s="374">
        <f t="shared" si="15"/>
        <v>550050588</v>
      </c>
      <c r="D60" s="78">
        <v>-550050587.5</v>
      </c>
      <c r="E60" s="67">
        <f t="shared" si="27"/>
        <v>0.5</v>
      </c>
      <c r="F60" s="280"/>
      <c r="G60" s="78"/>
      <c r="H60" s="280"/>
      <c r="I60" s="78"/>
      <c r="J60" s="67">
        <f t="shared" si="17"/>
        <v>0.5</v>
      </c>
      <c r="K60" s="67"/>
      <c r="L60" s="934"/>
      <c r="M60" s="916"/>
      <c r="N60" s="374">
        <f t="shared" si="28"/>
        <v>550050588</v>
      </c>
      <c r="O60" s="78">
        <v>-550050587.5</v>
      </c>
      <c r="P60" s="67">
        <f t="shared" si="29"/>
        <v>0.5</v>
      </c>
      <c r="Q60" s="280"/>
      <c r="R60" s="78"/>
      <c r="S60" s="280"/>
      <c r="T60" s="78"/>
      <c r="U60" s="67">
        <f t="shared" si="30"/>
        <v>0.5</v>
      </c>
      <c r="V60" s="67"/>
      <c r="W60" s="27">
        <v>550050588</v>
      </c>
      <c r="X60" s="794">
        <v>550050588</v>
      </c>
      <c r="Y60" s="27">
        <f>W60-X60</f>
        <v>0</v>
      </c>
      <c r="Z60" s="27"/>
      <c r="AA60" s="7">
        <f t="shared" si="23"/>
        <v>1469275399.8</v>
      </c>
      <c r="AB60" s="27">
        <v>-389286840</v>
      </c>
      <c r="AC60" s="27">
        <f t="shared" si="25"/>
        <v>1079988559.8</v>
      </c>
      <c r="AD60" s="371"/>
      <c r="AE60" s="27"/>
      <c r="AF60" s="371"/>
      <c r="AG60" s="27"/>
      <c r="AH60" s="27">
        <f t="shared" si="22"/>
        <v>1079988560</v>
      </c>
      <c r="AI60" s="27"/>
      <c r="AJ60" s="27">
        <v>1469275399.8</v>
      </c>
      <c r="AK60" s="841">
        <v>1469275399.8</v>
      </c>
      <c r="AL60" s="27">
        <f t="shared" ref="AL60:AL61" si="31">AJ60-AK60</f>
        <v>0</v>
      </c>
      <c r="AM60" s="271"/>
      <c r="AN60" s="27">
        <v>0</v>
      </c>
    </row>
    <row r="61" spans="1:40">
      <c r="A61" s="34"/>
      <c r="B61" s="26" t="s">
        <v>47</v>
      </c>
      <c r="C61" s="374">
        <f t="shared" si="15"/>
        <v>0</v>
      </c>
      <c r="D61" s="78"/>
      <c r="E61" s="67">
        <f t="shared" si="27"/>
        <v>0</v>
      </c>
      <c r="F61" s="280"/>
      <c r="G61" s="78"/>
      <c r="H61" s="280"/>
      <c r="I61" s="78"/>
      <c r="J61" s="67">
        <f t="shared" si="17"/>
        <v>0</v>
      </c>
      <c r="K61" s="67"/>
      <c r="L61" s="934"/>
      <c r="M61" s="916"/>
      <c r="N61" s="374">
        <f t="shared" si="28"/>
        <v>0</v>
      </c>
      <c r="O61" s="78"/>
      <c r="P61" s="67">
        <f t="shared" si="29"/>
        <v>0</v>
      </c>
      <c r="Q61" s="280"/>
      <c r="R61" s="78"/>
      <c r="S61" s="280"/>
      <c r="T61" s="78"/>
      <c r="U61" s="67">
        <f t="shared" si="30"/>
        <v>0</v>
      </c>
      <c r="V61" s="67"/>
      <c r="W61" s="27">
        <v>0</v>
      </c>
      <c r="X61" s="794">
        <v>0</v>
      </c>
      <c r="Y61" s="27"/>
      <c r="Z61" s="27"/>
      <c r="AA61" s="7">
        <f t="shared" si="23"/>
        <v>398482118.00999999</v>
      </c>
      <c r="AB61" s="27">
        <v>-398482118.00999999</v>
      </c>
      <c r="AC61" s="27">
        <f t="shared" si="25"/>
        <v>0</v>
      </c>
      <c r="AD61" s="371"/>
      <c r="AE61" s="27"/>
      <c r="AF61" s="371"/>
      <c r="AG61" s="27"/>
      <c r="AH61" s="27">
        <f t="shared" si="22"/>
        <v>0</v>
      </c>
      <c r="AI61" s="27"/>
      <c r="AJ61" s="27">
        <v>398482118.00999999</v>
      </c>
      <c r="AK61" s="841">
        <v>398482118.00999999</v>
      </c>
      <c r="AL61" s="27">
        <f t="shared" si="31"/>
        <v>0</v>
      </c>
      <c r="AM61" s="271"/>
      <c r="AN61" s="27">
        <v>0</v>
      </c>
    </row>
    <row r="62" spans="1:40">
      <c r="A62" s="34"/>
      <c r="B62" s="26" t="s">
        <v>48</v>
      </c>
      <c r="C62" s="121">
        <f t="shared" si="15"/>
        <v>0</v>
      </c>
      <c r="D62" s="78"/>
      <c r="E62" s="67">
        <f t="shared" si="27"/>
        <v>0</v>
      </c>
      <c r="F62" s="280"/>
      <c r="G62" s="78"/>
      <c r="H62" s="280"/>
      <c r="I62" s="78"/>
      <c r="J62" s="67">
        <f t="shared" si="17"/>
        <v>0</v>
      </c>
      <c r="K62" s="67"/>
      <c r="L62" s="934"/>
      <c r="M62" s="912"/>
      <c r="N62" s="121">
        <f t="shared" si="28"/>
        <v>0</v>
      </c>
      <c r="O62" s="78"/>
      <c r="P62" s="67">
        <f t="shared" si="29"/>
        <v>0</v>
      </c>
      <c r="Q62" s="280"/>
      <c r="R62" s="78"/>
      <c r="S62" s="280"/>
      <c r="T62" s="78"/>
      <c r="U62" s="67">
        <f t="shared" si="30"/>
        <v>0</v>
      </c>
      <c r="V62" s="103"/>
      <c r="W62" s="7">
        <v>0</v>
      </c>
      <c r="X62" s="794">
        <v>0</v>
      </c>
      <c r="Y62" s="27"/>
      <c r="Z62" s="27"/>
      <c r="AA62" s="7">
        <f t="shared" si="23"/>
        <v>0</v>
      </c>
      <c r="AB62" s="7"/>
      <c r="AC62" s="7">
        <f t="shared" si="25"/>
        <v>0</v>
      </c>
      <c r="AD62" s="50"/>
      <c r="AE62" s="7"/>
      <c r="AF62" s="50"/>
      <c r="AG62" s="7"/>
      <c r="AH62" s="7">
        <f t="shared" si="22"/>
        <v>0</v>
      </c>
      <c r="AI62" s="27"/>
      <c r="AJ62" s="7">
        <v>0</v>
      </c>
      <c r="AK62" s="841">
        <v>0</v>
      </c>
      <c r="AL62" s="27"/>
      <c r="AM62" s="95"/>
      <c r="AN62" s="27">
        <v>5278388480</v>
      </c>
    </row>
    <row r="63" spans="1:40">
      <c r="A63" s="34"/>
      <c r="B63" s="26" t="s">
        <v>49</v>
      </c>
      <c r="C63" s="121">
        <f t="shared" si="15"/>
        <v>2028899760</v>
      </c>
      <c r="D63" s="78">
        <v>-2028899760</v>
      </c>
      <c r="E63" s="67">
        <f t="shared" si="27"/>
        <v>0</v>
      </c>
      <c r="F63" s="280"/>
      <c r="G63" s="78"/>
      <c r="H63" s="280"/>
      <c r="I63" s="78"/>
      <c r="J63" s="67">
        <f t="shared" si="17"/>
        <v>0</v>
      </c>
      <c r="K63" s="67"/>
      <c r="L63" s="934"/>
      <c r="M63" s="912"/>
      <c r="N63" s="121">
        <f t="shared" si="28"/>
        <v>2028899760</v>
      </c>
      <c r="O63" s="78">
        <v>-2028899760</v>
      </c>
      <c r="P63" s="67">
        <f t="shared" si="29"/>
        <v>0</v>
      </c>
      <c r="Q63" s="280"/>
      <c r="R63" s="78"/>
      <c r="S63" s="280"/>
      <c r="T63" s="78"/>
      <c r="U63" s="67">
        <f t="shared" si="30"/>
        <v>0</v>
      </c>
      <c r="V63" s="103"/>
      <c r="W63" s="7">
        <v>2028899760</v>
      </c>
      <c r="X63" s="794">
        <v>890274000</v>
      </c>
      <c r="Y63" s="27">
        <f>W63-X65</f>
        <v>0</v>
      </c>
      <c r="Z63" s="27"/>
      <c r="AA63" s="7">
        <f t="shared" si="23"/>
        <v>1060584019</v>
      </c>
      <c r="AB63" s="7">
        <v>-1060584019</v>
      </c>
      <c r="AC63" s="7">
        <f t="shared" si="25"/>
        <v>0</v>
      </c>
      <c r="AD63" s="50"/>
      <c r="AE63" s="7"/>
      <c r="AF63" s="50"/>
      <c r="AG63" s="7"/>
      <c r="AH63" s="7">
        <f t="shared" si="22"/>
        <v>0</v>
      </c>
      <c r="AI63" s="27"/>
      <c r="AJ63" s="7">
        <v>1060584019</v>
      </c>
      <c r="AK63" s="841">
        <v>1060584019</v>
      </c>
      <c r="AL63" s="27">
        <f>AJ63-AK63</f>
        <v>0</v>
      </c>
      <c r="AM63" s="95"/>
      <c r="AN63" s="27">
        <v>2374932359</v>
      </c>
    </row>
    <row r="64" spans="1:40">
      <c r="A64" s="34"/>
      <c r="B64" s="26" t="s">
        <v>50</v>
      </c>
      <c r="C64" s="121">
        <f t="shared" si="15"/>
        <v>0</v>
      </c>
      <c r="D64" s="78">
        <v>2035005528</v>
      </c>
      <c r="E64" s="67">
        <f t="shared" si="27"/>
        <v>2035005528</v>
      </c>
      <c r="F64" s="280"/>
      <c r="G64" s="78"/>
      <c r="H64" s="280" t="str">
        <f>'AJE CAJE Des 24'!A121</f>
        <v>CAJE 16</v>
      </c>
      <c r="I64" s="78">
        <f>'AJE CAJE Des 24'!G121</f>
        <v>15153928</v>
      </c>
      <c r="J64" s="67">
        <f t="shared" si="17"/>
        <v>2019851600</v>
      </c>
      <c r="K64" s="67"/>
      <c r="L64" s="934"/>
      <c r="M64" s="912"/>
      <c r="N64" s="121">
        <f t="shared" si="28"/>
        <v>0</v>
      </c>
      <c r="O64" s="78">
        <v>1739932234</v>
      </c>
      <c r="P64" s="67">
        <f t="shared" si="29"/>
        <v>1739932234</v>
      </c>
      <c r="Q64" s="280" t="str">
        <f>'AJE CAJE Sept 24'!B79</f>
        <v>CAJE 15</v>
      </c>
      <c r="R64" s="78">
        <f>'AJE CAJE Sept 24'!G79</f>
        <v>1783098720</v>
      </c>
      <c r="S64" s="280"/>
      <c r="T64" s="78"/>
      <c r="U64" s="67">
        <f t="shared" si="30"/>
        <v>3523030954</v>
      </c>
      <c r="V64" s="103"/>
      <c r="W64" s="7">
        <v>0</v>
      </c>
      <c r="X64" s="794">
        <v>0</v>
      </c>
      <c r="Y64" s="27">
        <f>W65-X66</f>
        <v>0</v>
      </c>
      <c r="Z64" s="27"/>
      <c r="AA64" s="7">
        <f t="shared" si="23"/>
        <v>1678812320</v>
      </c>
      <c r="AB64" s="7">
        <v>-1694074378</v>
      </c>
      <c r="AC64" s="7">
        <f>AA64+AB64</f>
        <v>-15262058</v>
      </c>
      <c r="AD64" s="50" t="str">
        <f>'AJE CAJE Sept 23'!B64</f>
        <v>CAJE 12</v>
      </c>
      <c r="AE64" s="7">
        <f>'AJE CAJE Sept 23'!G64</f>
        <v>15262058</v>
      </c>
      <c r="AF64" s="50"/>
      <c r="AG64" s="7"/>
      <c r="AH64" s="7">
        <f t="shared" si="22"/>
        <v>0</v>
      </c>
      <c r="AI64" s="27"/>
      <c r="AJ64" s="7">
        <v>1678812320</v>
      </c>
      <c r="AK64" s="841">
        <v>1678812320</v>
      </c>
      <c r="AL64" s="27">
        <f>AJ64-AK64</f>
        <v>0</v>
      </c>
      <c r="AM64" s="95"/>
      <c r="AN64" s="27">
        <v>0</v>
      </c>
    </row>
    <row r="65" spans="1:40">
      <c r="A65" s="34"/>
      <c r="B65" s="26" t="s">
        <v>51</v>
      </c>
      <c r="C65" s="121">
        <f t="shared" si="15"/>
        <v>624270920</v>
      </c>
      <c r="D65" s="78">
        <v>127892398</v>
      </c>
      <c r="E65" s="67">
        <f t="shared" si="27"/>
        <v>752163318</v>
      </c>
      <c r="F65" s="280"/>
      <c r="G65" s="78"/>
      <c r="H65" s="280"/>
      <c r="I65" s="78"/>
      <c r="J65" s="67">
        <f t="shared" si="17"/>
        <v>752163318</v>
      </c>
      <c r="K65" s="67"/>
      <c r="L65" s="934"/>
      <c r="M65" s="912"/>
      <c r="N65" s="121">
        <f t="shared" si="28"/>
        <v>624270920</v>
      </c>
      <c r="O65" s="78">
        <v>-624270920</v>
      </c>
      <c r="P65" s="67">
        <f t="shared" si="29"/>
        <v>0</v>
      </c>
      <c r="Q65" s="280"/>
      <c r="R65" s="78"/>
      <c r="S65" s="280"/>
      <c r="T65" s="78"/>
      <c r="U65" s="67">
        <f t="shared" si="30"/>
        <v>0</v>
      </c>
      <c r="V65" s="103"/>
      <c r="W65" s="7">
        <v>624270920</v>
      </c>
      <c r="X65" s="794">
        <v>2028899760</v>
      </c>
      <c r="Y65" s="27"/>
      <c r="Z65" s="27"/>
      <c r="AA65" s="7">
        <f t="shared" si="23"/>
        <v>0</v>
      </c>
      <c r="AB65" s="7"/>
      <c r="AC65" s="7">
        <f t="shared" si="25"/>
        <v>0</v>
      </c>
      <c r="AD65" s="50"/>
      <c r="AE65" s="7"/>
      <c r="AF65" s="50"/>
      <c r="AG65" s="7"/>
      <c r="AH65" s="7">
        <f t="shared" si="22"/>
        <v>0</v>
      </c>
      <c r="AI65" s="27"/>
      <c r="AJ65" s="7">
        <v>0</v>
      </c>
      <c r="AK65" s="841"/>
      <c r="AL65" s="27"/>
      <c r="AM65" s="95"/>
      <c r="AN65" s="27">
        <v>0</v>
      </c>
    </row>
    <row r="66" spans="1:40">
      <c r="A66" s="34"/>
      <c r="B66" s="26" t="s">
        <v>52</v>
      </c>
      <c r="C66" s="121">
        <f t="shared" si="15"/>
        <v>890274000</v>
      </c>
      <c r="D66" s="78">
        <v>506174248</v>
      </c>
      <c r="E66" s="67">
        <f t="shared" si="27"/>
        <v>1396448248</v>
      </c>
      <c r="F66" s="280"/>
      <c r="G66" s="78"/>
      <c r="H66" s="280"/>
      <c r="I66" s="78"/>
      <c r="J66" s="67">
        <f t="shared" si="17"/>
        <v>1396448248</v>
      </c>
      <c r="K66" s="67"/>
      <c r="L66" s="934"/>
      <c r="M66" s="912"/>
      <c r="N66" s="121">
        <f t="shared" si="28"/>
        <v>890274000</v>
      </c>
      <c r="O66" s="78">
        <v>-890274000</v>
      </c>
      <c r="P66" s="67">
        <f t="shared" si="29"/>
        <v>0</v>
      </c>
      <c r="Q66" s="280"/>
      <c r="R66" s="78"/>
      <c r="S66" s="280"/>
      <c r="T66" s="78"/>
      <c r="U66" s="67">
        <f t="shared" si="30"/>
        <v>0</v>
      </c>
      <c r="V66" s="103"/>
      <c r="W66" s="7">
        <v>890274000</v>
      </c>
      <c r="X66" s="794">
        <v>624270920</v>
      </c>
      <c r="Y66" s="27">
        <f>W66-X63</f>
        <v>0</v>
      </c>
      <c r="Z66" s="27"/>
      <c r="AA66" s="7">
        <f t="shared" si="23"/>
        <v>0</v>
      </c>
      <c r="AB66" s="7"/>
      <c r="AC66" s="7">
        <f t="shared" si="25"/>
        <v>0</v>
      </c>
      <c r="AD66" s="50"/>
      <c r="AE66" s="7"/>
      <c r="AF66" s="50"/>
      <c r="AG66" s="7"/>
      <c r="AH66" s="7">
        <f t="shared" si="22"/>
        <v>0</v>
      </c>
      <c r="AI66" s="27"/>
      <c r="AJ66" s="7">
        <v>0</v>
      </c>
      <c r="AK66" s="841"/>
      <c r="AL66" s="27"/>
      <c r="AM66" s="95"/>
      <c r="AN66" s="7">
        <v>0</v>
      </c>
    </row>
    <row r="67" spans="1:40">
      <c r="A67" s="34"/>
      <c r="B67" s="26" t="s">
        <v>984</v>
      </c>
      <c r="C67" s="121">
        <f t="shared" si="15"/>
        <v>0</v>
      </c>
      <c r="D67" s="78"/>
      <c r="E67" s="67">
        <f t="shared" si="27"/>
        <v>0</v>
      </c>
      <c r="F67" s="280"/>
      <c r="G67" s="78"/>
      <c r="H67" s="280"/>
      <c r="I67" s="78"/>
      <c r="J67" s="67">
        <f t="shared" si="17"/>
        <v>0</v>
      </c>
      <c r="K67" s="67"/>
      <c r="L67" s="934"/>
      <c r="M67" s="912"/>
      <c r="N67" s="121"/>
      <c r="O67" s="78">
        <v>1981564200</v>
      </c>
      <c r="P67" s="67">
        <f t="shared" ref="P67" si="32">N67+O67</f>
        <v>1981564200</v>
      </c>
      <c r="Q67" s="280"/>
      <c r="R67" s="78"/>
      <c r="S67" s="280"/>
      <c r="T67" s="78"/>
      <c r="U67" s="67">
        <f t="shared" ref="U67" si="33">P67+R67-T67</f>
        <v>1981564200</v>
      </c>
      <c r="V67" s="103"/>
      <c r="W67" s="7"/>
      <c r="Y67" s="27"/>
      <c r="Z67" s="27"/>
      <c r="AA67" s="7"/>
      <c r="AB67" s="7"/>
      <c r="AC67" s="7"/>
      <c r="AD67" s="50"/>
      <c r="AE67" s="7"/>
      <c r="AF67" s="50"/>
      <c r="AG67" s="7"/>
      <c r="AH67" s="7"/>
      <c r="AI67" s="27"/>
      <c r="AJ67" s="7"/>
      <c r="AK67" s="841">
        <v>0</v>
      </c>
      <c r="AL67" s="27"/>
      <c r="AM67" s="95"/>
      <c r="AN67" s="7"/>
    </row>
    <row r="68" spans="1:40">
      <c r="A68" s="34"/>
      <c r="B68" s="26" t="s">
        <v>1256</v>
      </c>
      <c r="C68" s="121"/>
      <c r="D68" s="78">
        <v>7981424880</v>
      </c>
      <c r="E68" s="67">
        <f t="shared" si="27"/>
        <v>7981424880</v>
      </c>
      <c r="F68" s="280"/>
      <c r="G68" s="78"/>
      <c r="H68" s="280"/>
      <c r="I68" s="78"/>
      <c r="J68" s="67">
        <f t="shared" si="17"/>
        <v>7981424880</v>
      </c>
      <c r="K68" s="67"/>
      <c r="L68" s="934"/>
      <c r="M68" s="912"/>
      <c r="N68" s="121"/>
      <c r="O68" s="78"/>
      <c r="P68" s="67"/>
      <c r="Q68" s="280"/>
      <c r="R68" s="78"/>
      <c r="S68" s="280"/>
      <c r="T68" s="78"/>
      <c r="U68" s="67"/>
      <c r="V68" s="103"/>
      <c r="W68" s="7"/>
      <c r="Y68" s="27"/>
      <c r="Z68" s="27"/>
      <c r="AA68" s="7"/>
      <c r="AB68" s="7"/>
      <c r="AC68" s="7"/>
      <c r="AD68" s="50"/>
      <c r="AE68" s="7"/>
      <c r="AF68" s="50"/>
      <c r="AG68" s="7"/>
      <c r="AH68" s="7"/>
      <c r="AI68" s="27"/>
      <c r="AJ68" s="7"/>
      <c r="AK68" s="851"/>
      <c r="AL68" s="27"/>
      <c r="AM68" s="95"/>
      <c r="AN68" s="7"/>
    </row>
    <row r="69" spans="1:40">
      <c r="A69" s="34"/>
      <c r="B69" s="26"/>
      <c r="C69" s="121"/>
      <c r="D69" s="78"/>
      <c r="E69" s="67"/>
      <c r="F69" s="280"/>
      <c r="G69" s="78"/>
      <c r="H69" s="280"/>
      <c r="I69" s="78"/>
      <c r="J69" s="67"/>
      <c r="K69" s="67"/>
      <c r="L69" s="934"/>
      <c r="M69" s="912"/>
      <c r="N69" s="121"/>
      <c r="O69" s="78"/>
      <c r="P69" s="67"/>
      <c r="Q69" s="280"/>
      <c r="R69" s="78"/>
      <c r="S69" s="280"/>
      <c r="T69" s="78"/>
      <c r="U69" s="67"/>
      <c r="V69" s="103"/>
      <c r="W69" s="7"/>
      <c r="Y69" s="27"/>
      <c r="Z69" s="27"/>
      <c r="AA69" s="7"/>
      <c r="AB69" s="7"/>
      <c r="AC69" s="7"/>
      <c r="AD69" s="50"/>
      <c r="AE69" s="7"/>
      <c r="AF69" s="50"/>
      <c r="AG69" s="7"/>
      <c r="AH69" s="7"/>
      <c r="AI69" s="27"/>
      <c r="AJ69" s="7"/>
      <c r="AK69" s="851"/>
      <c r="AL69" s="27"/>
      <c r="AM69" s="95"/>
      <c r="AN69" s="7"/>
    </row>
    <row r="70" spans="1:40">
      <c r="A70" s="30"/>
      <c r="B70" s="20" t="s">
        <v>53</v>
      </c>
      <c r="C70" s="21">
        <f>SUM(C46:C66)</f>
        <v>14030303919</v>
      </c>
      <c r="D70" s="42"/>
      <c r="E70" s="21">
        <f>SUM(E46:E68)</f>
        <v>44717732779.800003</v>
      </c>
      <c r="F70" s="281"/>
      <c r="G70" s="42"/>
      <c r="H70" s="281"/>
      <c r="I70" s="42"/>
      <c r="J70" s="21">
        <f>SUM(J46:J68)</f>
        <v>44702578851.800003</v>
      </c>
      <c r="K70" s="21"/>
      <c r="L70" s="797"/>
      <c r="M70" s="913"/>
      <c r="N70" s="21">
        <f>SUM(N46:N66)</f>
        <v>14030303919</v>
      </c>
      <c r="O70" s="42"/>
      <c r="P70" s="21">
        <f>SUM(P46:P67)</f>
        <v>15854044275</v>
      </c>
      <c r="Q70" s="281"/>
      <c r="R70" s="42"/>
      <c r="S70" s="281"/>
      <c r="T70" s="42"/>
      <c r="U70" s="21">
        <f>SUM(U46:U67)</f>
        <v>23871074595</v>
      </c>
      <c r="V70" s="442"/>
      <c r="W70" s="21">
        <f>SUM(W46:W66)</f>
        <v>14030303919</v>
      </c>
      <c r="X70" s="795">
        <v>14030303919</v>
      </c>
      <c r="Y70" s="27">
        <f>W70-X70</f>
        <v>0</v>
      </c>
      <c r="Z70" s="27"/>
      <c r="AA70" s="21">
        <f>SUM(AA46:AA66)</f>
        <v>34879618171.509995</v>
      </c>
      <c r="AB70" s="21"/>
      <c r="AC70" s="21">
        <f>SUM(AC46:AC66)</f>
        <v>5208476343.9200001</v>
      </c>
      <c r="AD70" s="387"/>
      <c r="AE70" s="21"/>
      <c r="AF70" s="387"/>
      <c r="AG70" s="21"/>
      <c r="AH70" s="21">
        <f>SUM(AH46:AH66)</f>
        <v>5223738402</v>
      </c>
      <c r="AI70" s="36"/>
      <c r="AJ70" s="21">
        <f>SUM(AJ46:AJ66)</f>
        <v>34879618171.509995</v>
      </c>
      <c r="AK70" s="843">
        <v>34879618171.509995</v>
      </c>
      <c r="AL70" s="36">
        <f>AJ70-AK70</f>
        <v>0</v>
      </c>
      <c r="AM70" s="95"/>
      <c r="AN70" s="21">
        <f>SUM(AN46:AN66)</f>
        <v>23695306045</v>
      </c>
    </row>
    <row r="71" spans="1:40">
      <c r="A71" s="12" t="s">
        <v>54</v>
      </c>
      <c r="B71" s="12"/>
      <c r="C71" s="89"/>
      <c r="D71" s="89"/>
      <c r="E71" s="89"/>
      <c r="F71" s="280"/>
      <c r="G71" s="89"/>
      <c r="H71" s="280"/>
      <c r="I71" s="89"/>
      <c r="J71" s="89"/>
      <c r="K71" s="89"/>
      <c r="L71" s="933"/>
      <c r="M71" s="911"/>
      <c r="N71" s="89"/>
      <c r="O71" s="89"/>
      <c r="P71" s="89"/>
      <c r="Q71" s="280"/>
      <c r="R71" s="89"/>
      <c r="S71" s="280"/>
      <c r="T71" s="89"/>
      <c r="U71" s="89"/>
      <c r="V71" s="106"/>
      <c r="W71" s="36"/>
      <c r="X71" s="797"/>
      <c r="Y71" s="36"/>
      <c r="Z71" s="36"/>
      <c r="AA71" s="36"/>
      <c r="AB71" s="36"/>
      <c r="AC71" s="36"/>
      <c r="AD71" s="371"/>
      <c r="AE71" s="36"/>
      <c r="AF71" s="371"/>
      <c r="AG71" s="36"/>
      <c r="AH71" s="36"/>
      <c r="AI71" s="36"/>
      <c r="AJ71" s="36"/>
      <c r="AK71" s="845"/>
      <c r="AL71" s="36"/>
      <c r="AM71" s="95"/>
      <c r="AN71" s="36"/>
    </row>
    <row r="72" spans="1:40">
      <c r="A72" s="14"/>
      <c r="B72" s="14" t="s">
        <v>55</v>
      </c>
      <c r="C72" s="67">
        <f t="shared" ref="C72:C73" si="34">W72</f>
        <v>0</v>
      </c>
      <c r="D72" s="67"/>
      <c r="E72" s="67">
        <f>C72+D72</f>
        <v>0</v>
      </c>
      <c r="F72" s="280"/>
      <c r="G72" s="67"/>
      <c r="H72" s="280"/>
      <c r="I72" s="67"/>
      <c r="J72" s="67">
        <f>E72+G72-I72</f>
        <v>0</v>
      </c>
      <c r="K72" s="67"/>
      <c r="L72" s="934"/>
      <c r="M72" s="912"/>
      <c r="N72" s="121">
        <f>W72</f>
        <v>0</v>
      </c>
      <c r="O72" s="67"/>
      <c r="P72" s="67">
        <f>N72+O72</f>
        <v>0</v>
      </c>
      <c r="Q72" s="280"/>
      <c r="R72" s="67"/>
      <c r="S72" s="280"/>
      <c r="T72" s="67"/>
      <c r="U72" s="67">
        <f>P72+R72-T72</f>
        <v>0</v>
      </c>
      <c r="V72" s="103"/>
      <c r="W72" s="7">
        <v>0</v>
      </c>
      <c r="X72" s="798"/>
      <c r="Y72" s="27"/>
      <c r="Z72" s="27"/>
      <c r="AA72" s="7">
        <f>AJ72</f>
        <v>1390788401.5513177</v>
      </c>
      <c r="AB72" s="7">
        <v>-1590788402</v>
      </c>
      <c r="AC72" s="7">
        <f t="shared" ref="AC72:AC73" si="35">AA72+AB72</f>
        <v>-200000000.44868231</v>
      </c>
      <c r="AD72" s="50" t="str">
        <f>'AJE CAJE Sept 23'!B45</f>
        <v>RLKS 2</v>
      </c>
      <c r="AE72" s="7">
        <f>'AJE CAJE Sept 23'!G45</f>
        <v>200000000.44868201</v>
      </c>
      <c r="AF72" s="50"/>
      <c r="AG72" s="7"/>
      <c r="AH72" s="7">
        <f t="shared" ref="AH72:AH73" si="36">ROUND(AC72+AE72-AG72,0)</f>
        <v>0</v>
      </c>
      <c r="AI72" s="27"/>
      <c r="AJ72" s="7">
        <v>1390788401.5513177</v>
      </c>
      <c r="AK72" s="846">
        <v>1390788401.5513177</v>
      </c>
      <c r="AL72" s="27">
        <f>AJ72-AK72</f>
        <v>0</v>
      </c>
      <c r="AM72" s="95"/>
      <c r="AN72" s="7">
        <v>1391538506.5513177</v>
      </c>
    </row>
    <row r="73" spans="1:40">
      <c r="A73" s="14"/>
      <c r="B73" s="14" t="s">
        <v>56</v>
      </c>
      <c r="C73" s="67">
        <f t="shared" si="34"/>
        <v>8079657361</v>
      </c>
      <c r="D73" s="67"/>
      <c r="E73" s="67">
        <f>C73+D73</f>
        <v>8079657361</v>
      </c>
      <c r="F73" s="280"/>
      <c r="G73" s="67"/>
      <c r="H73" s="280"/>
      <c r="I73" s="67"/>
      <c r="J73" s="67">
        <f>E73+G73-I73</f>
        <v>8079657361</v>
      </c>
      <c r="K73" s="67"/>
      <c r="L73" s="934"/>
      <c r="M73" s="912"/>
      <c r="N73" s="121">
        <f>W73</f>
        <v>8079657361</v>
      </c>
      <c r="O73" s="67">
        <v>22158723367.489998</v>
      </c>
      <c r="P73" s="67">
        <f>N73+O73</f>
        <v>30238380728.489998</v>
      </c>
      <c r="Q73" s="280"/>
      <c r="R73" s="67"/>
      <c r="S73" s="280" t="str">
        <f>'AJE CAJE Sept 24'!B36</f>
        <v>CAJE 5</v>
      </c>
      <c r="T73" s="67">
        <f>'AJE CAJE Sept 24'!H36</f>
        <v>27601289940.34</v>
      </c>
      <c r="U73" s="67">
        <f>P73+R73-T73</f>
        <v>2637090788.1499977</v>
      </c>
      <c r="V73" s="103"/>
      <c r="W73" s="27">
        <v>8079657361</v>
      </c>
      <c r="X73" s="798">
        <v>8079657361</v>
      </c>
      <c r="Y73" s="27">
        <f>W73-X73</f>
        <v>0</v>
      </c>
      <c r="Z73" s="27"/>
      <c r="AA73" s="7">
        <f>AJ73</f>
        <v>15427025986</v>
      </c>
      <c r="AB73" s="27"/>
      <c r="AC73" s="27">
        <f t="shared" si="35"/>
        <v>15427025986</v>
      </c>
      <c r="AD73" s="371"/>
      <c r="AE73" s="27"/>
      <c r="AF73" s="371" t="str">
        <f>'AJE CAJE Sept 23'!B25</f>
        <v>CAJE 2</v>
      </c>
      <c r="AG73" s="27">
        <f>'AJE CAJE Sept 23'!H25</f>
        <v>8985620290.9300003</v>
      </c>
      <c r="AH73" s="7">
        <f t="shared" si="36"/>
        <v>6441405695</v>
      </c>
      <c r="AI73" s="27"/>
      <c r="AJ73" s="7">
        <v>15427025986</v>
      </c>
      <c r="AK73" s="846">
        <v>15427025986</v>
      </c>
      <c r="AL73" s="27">
        <f>AJ73-AK73</f>
        <v>0</v>
      </c>
      <c r="AM73" s="95"/>
      <c r="AN73" s="7">
        <v>11901358695</v>
      </c>
    </row>
    <row r="74" spans="1:40">
      <c r="A74" s="14"/>
      <c r="B74" s="14"/>
      <c r="C74" s="67"/>
      <c r="D74" s="67"/>
      <c r="E74" s="67"/>
      <c r="F74" s="280"/>
      <c r="G74" s="67"/>
      <c r="H74" s="280"/>
      <c r="I74" s="67"/>
      <c r="J74" s="67"/>
      <c r="K74" s="67"/>
      <c r="L74" s="934"/>
      <c r="M74" s="912"/>
      <c r="N74" s="67"/>
      <c r="O74" s="67"/>
      <c r="P74" s="67"/>
      <c r="Q74" s="280"/>
      <c r="R74" s="67"/>
      <c r="S74" s="280"/>
      <c r="T74" s="67"/>
      <c r="U74" s="67"/>
      <c r="V74" s="103"/>
      <c r="W74" s="7"/>
      <c r="X74" s="798">
        <v>0</v>
      </c>
      <c r="Y74" s="27"/>
      <c r="Z74" s="27"/>
      <c r="AA74" s="7"/>
      <c r="AB74" s="7"/>
      <c r="AC74" s="7"/>
      <c r="AD74" s="50"/>
      <c r="AE74" s="7"/>
      <c r="AF74" s="50"/>
      <c r="AG74" s="7"/>
      <c r="AH74" s="7"/>
      <c r="AI74" s="27"/>
      <c r="AJ74" s="7"/>
      <c r="AK74" s="846">
        <v>0</v>
      </c>
      <c r="AL74" s="27"/>
      <c r="AM74" s="95"/>
      <c r="AN74" s="7"/>
    </row>
    <row r="75" spans="1:40">
      <c r="A75" s="30"/>
      <c r="B75" s="20" t="s">
        <v>57</v>
      </c>
      <c r="C75" s="21">
        <f>SUM(C72:C73)</f>
        <v>8079657361</v>
      </c>
      <c r="D75" s="42"/>
      <c r="E75" s="21">
        <f>SUM(E72:E73)</f>
        <v>8079657361</v>
      </c>
      <c r="F75" s="281"/>
      <c r="G75" s="42"/>
      <c r="H75" s="281"/>
      <c r="I75" s="42"/>
      <c r="J75" s="21">
        <f>SUM(J72:J73)</f>
        <v>8079657361</v>
      </c>
      <c r="K75" s="21"/>
      <c r="L75" s="797"/>
      <c r="M75" s="913"/>
      <c r="N75" s="21">
        <f>SUM(N72:N73)</f>
        <v>8079657361</v>
      </c>
      <c r="O75" s="42"/>
      <c r="P75" s="21">
        <f>SUM(P72:P73)</f>
        <v>30238380728.489998</v>
      </c>
      <c r="Q75" s="281"/>
      <c r="R75" s="42"/>
      <c r="S75" s="281"/>
      <c r="T75" s="42"/>
      <c r="U75" s="21">
        <f>SUM(U72:U73)</f>
        <v>2637090788.1499977</v>
      </c>
      <c r="V75" s="442"/>
      <c r="W75" s="21">
        <f>SUM(W72:W73)</f>
        <v>8079657361</v>
      </c>
      <c r="X75" s="795">
        <v>8079657361</v>
      </c>
      <c r="Y75" s="27">
        <f>W75-X75</f>
        <v>0</v>
      </c>
      <c r="Z75" s="27"/>
      <c r="AA75" s="21">
        <f>SUM(AA72:AA73)</f>
        <v>16817814387.551317</v>
      </c>
      <c r="AB75" s="21"/>
      <c r="AC75" s="21">
        <f>SUM(AC72:AC73)</f>
        <v>15227025985.551317</v>
      </c>
      <c r="AD75" s="387"/>
      <c r="AE75" s="21"/>
      <c r="AF75" s="387"/>
      <c r="AG75" s="21"/>
      <c r="AH75" s="21">
        <f>SUM(AH72:AH73)</f>
        <v>6441405695</v>
      </c>
      <c r="AI75" s="36"/>
      <c r="AJ75" s="21">
        <f>SUM(AJ72:AJ73)</f>
        <v>16817814387.551317</v>
      </c>
      <c r="AK75" s="843">
        <v>16817814387.551317</v>
      </c>
      <c r="AL75" s="27">
        <f>AJ75-AK75</f>
        <v>0</v>
      </c>
      <c r="AM75" s="95"/>
      <c r="AN75" s="21">
        <f>SUM(AN72:AN73)</f>
        <v>13292897201.551317</v>
      </c>
    </row>
    <row r="76" spans="1:40">
      <c r="A76" s="12" t="s">
        <v>58</v>
      </c>
      <c r="B76" s="12"/>
      <c r="C76" s="89"/>
      <c r="D76" s="89"/>
      <c r="E76" s="89"/>
      <c r="F76" s="280"/>
      <c r="G76" s="89"/>
      <c r="H76" s="280"/>
      <c r="I76" s="89"/>
      <c r="J76" s="89"/>
      <c r="K76" s="89"/>
      <c r="L76" s="933"/>
      <c r="M76" s="911"/>
      <c r="N76" s="89"/>
      <c r="O76" s="89"/>
      <c r="P76" s="89"/>
      <c r="Q76" s="280"/>
      <c r="R76" s="89"/>
      <c r="S76" s="280"/>
      <c r="T76" s="89"/>
      <c r="U76" s="89"/>
      <c r="V76" s="106"/>
      <c r="W76" s="36"/>
      <c r="X76" s="799"/>
      <c r="Y76" s="36"/>
      <c r="Z76" s="36"/>
      <c r="AA76" s="36"/>
      <c r="AB76" s="36"/>
      <c r="AC76" s="36"/>
      <c r="AD76" s="371"/>
      <c r="AE76" s="36"/>
      <c r="AF76" s="371"/>
      <c r="AG76" s="36"/>
      <c r="AH76" s="36"/>
      <c r="AI76" s="36"/>
      <c r="AJ76" s="36"/>
      <c r="AK76" s="847"/>
      <c r="AL76" s="36"/>
      <c r="AM76" s="95"/>
      <c r="AN76" s="36"/>
    </row>
    <row r="77" spans="1:40">
      <c r="A77" s="14"/>
      <c r="B77" s="37" t="s">
        <v>59</v>
      </c>
      <c r="C77" s="67">
        <f>W77</f>
        <v>-907026824</v>
      </c>
      <c r="D77" s="67"/>
      <c r="E77" s="67">
        <f>C77+D77</f>
        <v>-907026824</v>
      </c>
      <c r="F77" s="280" t="str">
        <f>'AJE CAJE Des 24'!A106</f>
        <v>CAJE 13</v>
      </c>
      <c r="G77" s="67">
        <f>'AJE CAJE Des 24'!F106</f>
        <v>824199778.11700904</v>
      </c>
      <c r="H77" s="280"/>
      <c r="I77" s="67"/>
      <c r="J77" s="67">
        <f>E77+G77-I77</f>
        <v>-82827045.882990956</v>
      </c>
      <c r="K77" s="67"/>
      <c r="L77" s="934"/>
      <c r="M77" s="912"/>
      <c r="N77" s="121">
        <f>W77</f>
        <v>-907026824</v>
      </c>
      <c r="O77" s="67"/>
      <c r="P77" s="67">
        <f>N77+O77</f>
        <v>-907026824</v>
      </c>
      <c r="Q77" s="280"/>
      <c r="R77" s="67"/>
      <c r="S77" s="280"/>
      <c r="T77" s="67"/>
      <c r="U77" s="67">
        <f>P77+R77-T77</f>
        <v>-907026824</v>
      </c>
      <c r="V77" s="103"/>
      <c r="W77" s="7">
        <v>-907026824</v>
      </c>
      <c r="X77" s="798">
        <v>-907026824</v>
      </c>
      <c r="Y77" s="27">
        <f>W77-X77</f>
        <v>0</v>
      </c>
      <c r="Z77" s="27"/>
      <c r="AA77" s="7">
        <f>AJ77</f>
        <v>-787722759.57030439</v>
      </c>
      <c r="AB77" s="7"/>
      <c r="AC77" s="7">
        <f>AA77+AB77</f>
        <v>-787722759.57030439</v>
      </c>
      <c r="AD77" s="50"/>
      <c r="AE77" s="7"/>
      <c r="AF77" s="50"/>
      <c r="AG77" s="7"/>
      <c r="AH77" s="7">
        <f>ROUND(AC77+AE77-AG77,0)</f>
        <v>-787722760</v>
      </c>
      <c r="AI77" s="27"/>
      <c r="AJ77" s="7">
        <v>-787722759.57030439</v>
      </c>
      <c r="AK77" s="846">
        <v>-787722759.57030439</v>
      </c>
      <c r="AL77" s="27">
        <f>AJ77-AK77</f>
        <v>0</v>
      </c>
      <c r="AM77" s="95"/>
      <c r="AN77" s="7">
        <v>-408602568.44880682</v>
      </c>
    </row>
    <row r="78" spans="1:40">
      <c r="A78" s="14"/>
      <c r="B78" s="12"/>
      <c r="C78" s="89"/>
      <c r="D78" s="89"/>
      <c r="E78" s="89"/>
      <c r="F78" s="280"/>
      <c r="G78" s="89"/>
      <c r="H78" s="280"/>
      <c r="I78" s="89"/>
      <c r="J78" s="89"/>
      <c r="K78" s="89"/>
      <c r="L78" s="933"/>
      <c r="M78" s="911"/>
      <c r="N78" s="89"/>
      <c r="O78" s="89"/>
      <c r="P78" s="89"/>
      <c r="Q78" s="280"/>
      <c r="R78" s="89"/>
      <c r="S78" s="280"/>
      <c r="T78" s="89"/>
      <c r="U78" s="89"/>
      <c r="V78" s="106"/>
      <c r="W78" s="36"/>
      <c r="X78" s="798"/>
      <c r="Y78" s="36"/>
      <c r="Z78" s="36"/>
      <c r="AA78" s="36"/>
      <c r="AB78" s="36"/>
      <c r="AC78" s="36"/>
      <c r="AD78" s="371"/>
      <c r="AE78" s="36"/>
      <c r="AF78" s="371"/>
      <c r="AG78" s="36"/>
      <c r="AH78" s="36"/>
      <c r="AI78" s="36"/>
      <c r="AJ78" s="36"/>
      <c r="AK78" s="846"/>
      <c r="AL78" s="36"/>
      <c r="AM78" s="95"/>
      <c r="AN78" s="36"/>
    </row>
    <row r="79" spans="1:40">
      <c r="A79" s="30"/>
      <c r="B79" s="20" t="s">
        <v>60</v>
      </c>
      <c r="C79" s="21">
        <f>C77</f>
        <v>-907026824</v>
      </c>
      <c r="D79" s="42"/>
      <c r="E79" s="21">
        <f>E77</f>
        <v>-907026824</v>
      </c>
      <c r="F79" s="281"/>
      <c r="G79" s="42"/>
      <c r="H79" s="281"/>
      <c r="I79" s="42"/>
      <c r="J79" s="21">
        <f>J77</f>
        <v>-82827045.882990956</v>
      </c>
      <c r="K79" s="21"/>
      <c r="L79" s="797"/>
      <c r="M79" s="913"/>
      <c r="N79" s="21">
        <f>N77</f>
        <v>-907026824</v>
      </c>
      <c r="O79" s="42"/>
      <c r="P79" s="21">
        <f>P77</f>
        <v>-907026824</v>
      </c>
      <c r="Q79" s="281"/>
      <c r="R79" s="42"/>
      <c r="S79" s="281"/>
      <c r="T79" s="42"/>
      <c r="U79" s="21">
        <f>U77</f>
        <v>-907026824</v>
      </c>
      <c r="V79" s="442"/>
      <c r="W79" s="21">
        <f>W77</f>
        <v>-907026824</v>
      </c>
      <c r="X79" s="795">
        <v>-907026824</v>
      </c>
      <c r="Y79" s="27">
        <f>W79-X79</f>
        <v>0</v>
      </c>
      <c r="Z79" s="27"/>
      <c r="AA79" s="21">
        <f>AA77</f>
        <v>-787722759.57030439</v>
      </c>
      <c r="AB79" s="21"/>
      <c r="AC79" s="21">
        <f>AC77</f>
        <v>-787722759.57030439</v>
      </c>
      <c r="AD79" s="387"/>
      <c r="AE79" s="21"/>
      <c r="AF79" s="387"/>
      <c r="AG79" s="21"/>
      <c r="AH79" s="21">
        <f>AH77</f>
        <v>-787722760</v>
      </c>
      <c r="AI79" s="36"/>
      <c r="AJ79" s="21">
        <f>AJ77</f>
        <v>-787722759.57030439</v>
      </c>
      <c r="AK79" s="843">
        <v>-787722759.57030439</v>
      </c>
      <c r="AL79" s="27">
        <f>AJ79-AK79</f>
        <v>0</v>
      </c>
      <c r="AM79" s="95"/>
      <c r="AN79" s="21">
        <f>AN77</f>
        <v>-408602568.44880682</v>
      </c>
    </row>
    <row r="80" spans="1:40">
      <c r="A80" s="12" t="s">
        <v>61</v>
      </c>
      <c r="B80" s="14"/>
      <c r="C80" s="67"/>
      <c r="D80" s="67"/>
      <c r="E80" s="67"/>
      <c r="F80" s="280"/>
      <c r="G80" s="67"/>
      <c r="H80" s="280"/>
      <c r="I80" s="67"/>
      <c r="J80" s="67"/>
      <c r="K80" s="67"/>
      <c r="L80" s="934"/>
      <c r="M80" s="912"/>
      <c r="N80" s="67"/>
      <c r="O80" s="67"/>
      <c r="P80" s="67"/>
      <c r="Q80" s="280"/>
      <c r="R80" s="67"/>
      <c r="S80" s="280"/>
      <c r="T80" s="67"/>
      <c r="U80" s="67"/>
      <c r="V80" s="103"/>
      <c r="W80" s="15"/>
      <c r="X80" s="789"/>
      <c r="Y80" s="8"/>
      <c r="Z80" s="8"/>
      <c r="AA80" s="15"/>
      <c r="AB80" s="15"/>
      <c r="AC80" s="15"/>
      <c r="AD80" s="386"/>
      <c r="AE80" s="15"/>
      <c r="AF80" s="386"/>
      <c r="AG80" s="15"/>
      <c r="AH80" s="15"/>
      <c r="AI80" s="8"/>
      <c r="AJ80" s="15"/>
      <c r="AK80" s="836"/>
      <c r="AL80" s="8"/>
      <c r="AM80" s="95"/>
      <c r="AN80" s="15"/>
    </row>
    <row r="81" spans="1:40">
      <c r="A81" s="24" t="s">
        <v>32</v>
      </c>
      <c r="B81" s="14"/>
      <c r="C81" s="67"/>
      <c r="D81" s="67"/>
      <c r="E81" s="67"/>
      <c r="F81" s="280"/>
      <c r="G81" s="67"/>
      <c r="H81" s="280"/>
      <c r="I81" s="67"/>
      <c r="J81" s="67"/>
      <c r="K81" s="67"/>
      <c r="L81" s="934"/>
      <c r="M81" s="912"/>
      <c r="N81" s="67"/>
      <c r="O81" s="67"/>
      <c r="P81" s="67"/>
      <c r="Q81" s="280"/>
      <c r="R81" s="67"/>
      <c r="S81" s="280"/>
      <c r="T81" s="67"/>
      <c r="U81" s="67"/>
      <c r="V81" s="103"/>
      <c r="W81" s="15"/>
      <c r="X81" s="789"/>
      <c r="Y81" s="8"/>
      <c r="Z81" s="8"/>
      <c r="AA81" s="15"/>
      <c r="AB81" s="15"/>
      <c r="AC81" s="15"/>
      <c r="AD81" s="386"/>
      <c r="AE81" s="15"/>
      <c r="AF81" s="386"/>
      <c r="AG81" s="15"/>
      <c r="AH81" s="15"/>
      <c r="AI81" s="8"/>
      <c r="AJ81" s="15"/>
      <c r="AK81" s="836"/>
      <c r="AL81" s="8"/>
      <c r="AM81" s="95"/>
      <c r="AN81" s="15"/>
    </row>
    <row r="82" spans="1:40">
      <c r="A82" s="92" t="s">
        <v>54</v>
      </c>
      <c r="B82" s="14" t="s">
        <v>62</v>
      </c>
      <c r="C82" s="67"/>
      <c r="D82" s="67"/>
      <c r="E82" s="67"/>
      <c r="F82" s="280"/>
      <c r="G82" s="67"/>
      <c r="H82" s="280"/>
      <c r="I82" s="67"/>
      <c r="J82" s="67"/>
      <c r="K82" s="67"/>
      <c r="L82" s="934"/>
      <c r="M82" s="912"/>
      <c r="N82" s="67"/>
      <c r="O82" s="67"/>
      <c r="P82" s="67"/>
      <c r="Q82" s="280"/>
      <c r="R82" s="67"/>
      <c r="S82" s="280"/>
      <c r="T82" s="67"/>
      <c r="U82" s="67"/>
      <c r="V82" s="103"/>
      <c r="W82" s="38"/>
      <c r="X82" s="800">
        <v>0</v>
      </c>
      <c r="Y82" s="38"/>
      <c r="Z82" s="38"/>
      <c r="AA82" s="38"/>
      <c r="AB82" s="38"/>
      <c r="AC82" s="38"/>
      <c r="AD82" s="371"/>
      <c r="AE82" s="38"/>
      <c r="AF82" s="371"/>
      <c r="AG82" s="38"/>
      <c r="AH82" s="38"/>
      <c r="AI82" s="38"/>
      <c r="AJ82" s="38"/>
      <c r="AK82" s="848"/>
      <c r="AL82" s="38"/>
      <c r="AM82" s="95"/>
      <c r="AN82" s="38"/>
    </row>
    <row r="83" spans="1:40">
      <c r="A83" s="34"/>
      <c r="B83" s="14" t="s">
        <v>63</v>
      </c>
      <c r="C83" s="67">
        <f>W83</f>
        <v>132646777153</v>
      </c>
      <c r="D83" s="67">
        <v>-41694205602</v>
      </c>
      <c r="E83" s="67">
        <f>C83+D83</f>
        <v>90952571551</v>
      </c>
      <c r="F83" s="280"/>
      <c r="G83" s="67"/>
      <c r="H83" s="280"/>
      <c r="I83" s="67"/>
      <c r="J83" s="513">
        <f>E83+G83-I83</f>
        <v>90952571551</v>
      </c>
      <c r="K83" s="513"/>
      <c r="L83" s="934"/>
      <c r="M83" s="912"/>
      <c r="N83" s="121">
        <f>W83</f>
        <v>132646777153</v>
      </c>
      <c r="O83" s="67">
        <v>-37683078731</v>
      </c>
      <c r="P83" s="67">
        <f>N83+O83</f>
        <v>94963698422</v>
      </c>
      <c r="Q83" s="280"/>
      <c r="R83" s="67"/>
      <c r="S83" s="280"/>
      <c r="T83" s="67"/>
      <c r="U83" s="67">
        <f>P83+R83-T83</f>
        <v>94963698422</v>
      </c>
      <c r="V83" s="103"/>
      <c r="W83" s="7">
        <v>132646777153</v>
      </c>
      <c r="X83" s="800">
        <v>132646777153</v>
      </c>
      <c r="Y83" s="27">
        <f>W83-X83</f>
        <v>0</v>
      </c>
      <c r="Z83" s="27"/>
      <c r="AA83" s="7">
        <f>AJ83</f>
        <v>19472460196</v>
      </c>
      <c r="AB83" s="7">
        <v>103939262852</v>
      </c>
      <c r="AC83" s="7">
        <f t="shared" ref="AC83:AC89" si="37">AA83+AB83</f>
        <v>123411723048</v>
      </c>
      <c r="AD83" s="50"/>
      <c r="AE83" s="7"/>
      <c r="AF83" s="50"/>
      <c r="AG83" s="7"/>
      <c r="AH83" s="7">
        <f t="shared" ref="AH83:AH89" si="38">ROUND(AC83+AE83-AG83,0)</f>
        <v>123411723048</v>
      </c>
      <c r="AI83" s="27"/>
      <c r="AJ83" s="7">
        <v>19472460196</v>
      </c>
      <c r="AK83" s="848">
        <v>19472460196</v>
      </c>
      <c r="AL83" s="27">
        <f>AJ83-AK83</f>
        <v>0</v>
      </c>
      <c r="AM83" s="95"/>
      <c r="AN83" s="38">
        <v>21357353770</v>
      </c>
    </row>
    <row r="84" spans="1:40">
      <c r="A84" s="34"/>
      <c r="B84" s="14" t="s">
        <v>55</v>
      </c>
      <c r="C84" s="121">
        <f t="shared" ref="C84:C87" si="39">W84</f>
        <v>0</v>
      </c>
      <c r="D84" s="67">
        <v>222225120</v>
      </c>
      <c r="E84" s="67">
        <f>C84+D84</f>
        <v>222225120</v>
      </c>
      <c r="F84" s="280"/>
      <c r="G84" s="67"/>
      <c r="H84" s="280"/>
      <c r="I84" s="67"/>
      <c r="J84" s="67">
        <f>E84+G84-I84</f>
        <v>222225120</v>
      </c>
      <c r="K84" s="67"/>
      <c r="L84" s="934"/>
      <c r="M84" s="912"/>
      <c r="N84" s="121">
        <f>W84</f>
        <v>0</v>
      </c>
      <c r="O84" s="67"/>
      <c r="P84" s="67">
        <f>N84+O84</f>
        <v>0</v>
      </c>
      <c r="Q84" s="280"/>
      <c r="R84" s="67"/>
      <c r="S84" s="280"/>
      <c r="T84" s="67"/>
      <c r="U84" s="67">
        <f>P84+R84-T84</f>
        <v>0</v>
      </c>
      <c r="V84" s="103"/>
      <c r="W84" s="7">
        <v>0</v>
      </c>
      <c r="X84" s="800">
        <v>0</v>
      </c>
      <c r="Y84" s="27"/>
      <c r="Z84" s="27"/>
      <c r="AA84" s="7">
        <f>AJ84</f>
        <v>200000000</v>
      </c>
      <c r="AB84" s="7"/>
      <c r="AC84" s="7">
        <f t="shared" si="37"/>
        <v>200000000</v>
      </c>
      <c r="AD84" s="50"/>
      <c r="AE84" s="7"/>
      <c r="AF84" s="50" t="str">
        <f>'AJE CAJE Sept 23'!B46</f>
        <v>RLKS 2</v>
      </c>
      <c r="AG84" s="7">
        <f>'AJE CAJE Sept 23'!H46</f>
        <v>200000000.44868201</v>
      </c>
      <c r="AH84" s="27">
        <f t="shared" si="38"/>
        <v>0</v>
      </c>
      <c r="AI84" s="27"/>
      <c r="AJ84" s="7">
        <v>200000000</v>
      </c>
      <c r="AK84" s="848">
        <v>200000000</v>
      </c>
      <c r="AL84" s="27">
        <f>AJ84-AK84</f>
        <v>0</v>
      </c>
      <c r="AM84" s="95"/>
      <c r="AN84" s="38">
        <v>200000000</v>
      </c>
    </row>
    <row r="85" spans="1:40">
      <c r="A85" s="34"/>
      <c r="B85" s="26" t="s">
        <v>34</v>
      </c>
      <c r="C85" s="121">
        <f t="shared" si="39"/>
        <v>512207423</v>
      </c>
      <c r="D85" s="78">
        <v>-512207423</v>
      </c>
      <c r="E85" s="67">
        <f>C85+D85</f>
        <v>0</v>
      </c>
      <c r="F85" s="280"/>
      <c r="G85" s="78"/>
      <c r="H85" s="280"/>
      <c r="I85" s="78"/>
      <c r="J85" s="67">
        <f>E85+G85-I85</f>
        <v>0</v>
      </c>
      <c r="K85" s="67"/>
      <c r="L85" s="934"/>
      <c r="M85" s="912"/>
      <c r="N85" s="121">
        <f>W85</f>
        <v>512207423</v>
      </c>
      <c r="O85" s="78">
        <v>-512207423</v>
      </c>
      <c r="P85" s="67">
        <f>N85+O85</f>
        <v>0</v>
      </c>
      <c r="Q85" s="280"/>
      <c r="R85" s="78"/>
      <c r="S85" s="280"/>
      <c r="T85" s="78"/>
      <c r="U85" s="67">
        <f>P85+R85-T85</f>
        <v>0</v>
      </c>
      <c r="V85" s="103"/>
      <c r="W85" s="7">
        <v>512207423</v>
      </c>
      <c r="X85" s="790">
        <v>512207423</v>
      </c>
      <c r="Y85" s="27">
        <f>W85-X85</f>
        <v>0</v>
      </c>
      <c r="Z85" s="27"/>
      <c r="AA85" s="7">
        <f>AJ85</f>
        <v>486943207.08004802</v>
      </c>
      <c r="AB85" s="7">
        <v>512207423</v>
      </c>
      <c r="AC85" s="7">
        <f t="shared" si="37"/>
        <v>999150630.08004808</v>
      </c>
      <c r="AD85" s="50"/>
      <c r="AE85" s="7"/>
      <c r="AF85" s="50" t="str">
        <f>'AJE CAJE Sept 23'!B42</f>
        <v>CAJE 7</v>
      </c>
      <c r="AG85" s="7">
        <f>'AJE CAJE Sept 23'!H42</f>
        <v>360752996</v>
      </c>
      <c r="AH85" s="27">
        <f t="shared" si="38"/>
        <v>638397634</v>
      </c>
      <c r="AI85" s="27"/>
      <c r="AJ85" s="7">
        <v>486943207.08004802</v>
      </c>
      <c r="AK85" s="837">
        <v>486943207</v>
      </c>
      <c r="AL85" s="27">
        <f>AJ85-AK85</f>
        <v>8.0048024654388428E-2</v>
      </c>
      <c r="AM85" s="95"/>
      <c r="AN85" s="7">
        <v>126190211</v>
      </c>
    </row>
    <row r="86" spans="1:40">
      <c r="A86" s="34"/>
      <c r="B86" s="26" t="s">
        <v>966</v>
      </c>
      <c r="C86" s="121"/>
      <c r="D86" s="78"/>
      <c r="E86" s="67"/>
      <c r="F86" s="280"/>
      <c r="G86" s="78"/>
      <c r="H86" s="280"/>
      <c r="I86" s="78"/>
      <c r="J86" s="67"/>
      <c r="K86" s="67"/>
      <c r="L86" s="934"/>
      <c r="M86" s="912"/>
      <c r="N86" s="121"/>
      <c r="O86" s="78"/>
      <c r="P86" s="67"/>
      <c r="Q86" s="280"/>
      <c r="R86" s="78"/>
      <c r="S86" s="280"/>
      <c r="T86" s="78"/>
      <c r="U86" s="67"/>
      <c r="V86" s="103"/>
      <c r="W86" s="7"/>
      <c r="X86" s="790"/>
      <c r="Y86" s="27">
        <f>W86-X89</f>
        <v>0</v>
      </c>
      <c r="Z86" s="27"/>
      <c r="AA86" s="7"/>
      <c r="AB86" s="7">
        <v>100000</v>
      </c>
      <c r="AC86" s="7">
        <f t="shared" ref="AC86" si="40">AA86+AB86</f>
        <v>100000</v>
      </c>
      <c r="AD86" s="50"/>
      <c r="AE86" s="7"/>
      <c r="AF86" s="50"/>
      <c r="AG86" s="7"/>
      <c r="AH86" s="27">
        <f t="shared" ref="AH86" si="41">ROUND(AC86+AE86-AG86,0)</f>
        <v>100000</v>
      </c>
      <c r="AI86" s="27"/>
      <c r="AJ86" s="7"/>
      <c r="AK86" s="837"/>
      <c r="AL86" s="27"/>
      <c r="AM86" s="95"/>
      <c r="AN86" s="7"/>
    </row>
    <row r="87" spans="1:40">
      <c r="A87" s="34" t="s">
        <v>65</v>
      </c>
      <c r="B87" s="26" t="s">
        <v>66</v>
      </c>
      <c r="C87" s="121">
        <f t="shared" si="39"/>
        <v>0</v>
      </c>
      <c r="D87" s="78"/>
      <c r="E87" s="67">
        <f>C87+D87</f>
        <v>0</v>
      </c>
      <c r="F87" s="280"/>
      <c r="G87" s="78"/>
      <c r="H87" s="280"/>
      <c r="I87" s="78"/>
      <c r="J87" s="67">
        <f>E87+G87-I87</f>
        <v>0</v>
      </c>
      <c r="K87" s="67"/>
      <c r="L87" s="934"/>
      <c r="M87" s="912"/>
      <c r="N87" s="121">
        <f>W87</f>
        <v>0</v>
      </c>
      <c r="O87" s="78"/>
      <c r="P87" s="67">
        <f>N87+O87</f>
        <v>0</v>
      </c>
      <c r="Q87" s="280"/>
      <c r="R87" s="78"/>
      <c r="S87" s="280"/>
      <c r="T87" s="78"/>
      <c r="U87" s="67">
        <f>P87+R87-T87</f>
        <v>0</v>
      </c>
      <c r="V87" s="103"/>
      <c r="W87" s="7"/>
      <c r="X87" s="790"/>
      <c r="Y87" s="27"/>
      <c r="Z87" s="27"/>
      <c r="AA87" s="7">
        <f>AJ87</f>
        <v>0</v>
      </c>
      <c r="AB87" s="7"/>
      <c r="AC87" s="7">
        <f t="shared" si="37"/>
        <v>0</v>
      </c>
      <c r="AD87" s="50"/>
      <c r="AE87" s="7"/>
      <c r="AF87" s="50"/>
      <c r="AG87" s="7"/>
      <c r="AH87" s="27">
        <f t="shared" si="38"/>
        <v>0</v>
      </c>
      <c r="AI87" s="27"/>
      <c r="AJ87" s="7">
        <v>0</v>
      </c>
      <c r="AK87" s="837"/>
      <c r="AL87" s="27"/>
      <c r="AM87" s="95"/>
      <c r="AN87" s="27">
        <v>0</v>
      </c>
    </row>
    <row r="88" spans="1:40">
      <c r="A88" s="34"/>
      <c r="B88" s="26" t="s">
        <v>968</v>
      </c>
      <c r="C88" s="121"/>
      <c r="D88" s="78"/>
      <c r="E88" s="67">
        <f>C88+D88</f>
        <v>0</v>
      </c>
      <c r="F88" s="280"/>
      <c r="G88" s="78"/>
      <c r="H88" s="280"/>
      <c r="I88" s="78"/>
      <c r="J88" s="67">
        <f>E88+G88-I88</f>
        <v>0</v>
      </c>
      <c r="K88" s="67"/>
      <c r="L88" s="934"/>
      <c r="M88" s="912"/>
      <c r="N88" s="121"/>
      <c r="O88" s="78"/>
      <c r="P88" s="67"/>
      <c r="Q88" s="280"/>
      <c r="R88" s="78"/>
      <c r="S88" s="280"/>
      <c r="T88" s="78"/>
      <c r="U88" s="67"/>
      <c r="V88" s="103"/>
      <c r="W88" s="7"/>
      <c r="X88" s="790"/>
      <c r="Y88" s="27"/>
      <c r="Z88" s="27"/>
      <c r="AA88" s="7"/>
      <c r="AB88" s="7">
        <v>88924000</v>
      </c>
      <c r="AC88" s="7">
        <f t="shared" ref="AC88" si="42">AA88+AB88</f>
        <v>88924000</v>
      </c>
      <c r="AD88" s="50"/>
      <c r="AE88" s="7"/>
      <c r="AF88" s="50"/>
      <c r="AG88" s="7"/>
      <c r="AH88" s="7">
        <f t="shared" si="38"/>
        <v>88924000</v>
      </c>
      <c r="AI88" s="27"/>
      <c r="AJ88" s="7"/>
      <c r="AK88" s="837"/>
      <c r="AL88" s="27"/>
      <c r="AM88" s="95"/>
      <c r="AN88" s="27"/>
    </row>
    <row r="89" spans="1:40">
      <c r="A89" s="34"/>
      <c r="B89" s="26"/>
      <c r="C89" s="78"/>
      <c r="D89" s="78"/>
      <c r="E89" s="67">
        <f>C89+D89</f>
        <v>0</v>
      </c>
      <c r="F89" s="280"/>
      <c r="G89" s="78"/>
      <c r="H89" s="280"/>
      <c r="I89" s="78"/>
      <c r="J89" s="67">
        <f>E89+G89-I89</f>
        <v>0</v>
      </c>
      <c r="K89" s="67"/>
      <c r="L89" s="934"/>
      <c r="M89" s="912"/>
      <c r="N89" s="78"/>
      <c r="O89" s="78"/>
      <c r="P89" s="67">
        <f>N89+O89</f>
        <v>0</v>
      </c>
      <c r="Q89" s="280"/>
      <c r="R89" s="78"/>
      <c r="S89" s="280"/>
      <c r="T89" s="78"/>
      <c r="U89" s="67">
        <f>P89+R89-T89</f>
        <v>0</v>
      </c>
      <c r="V89" s="103"/>
      <c r="W89" s="7"/>
      <c r="X89" s="794">
        <v>0</v>
      </c>
      <c r="Y89" s="27"/>
      <c r="Z89" s="27"/>
      <c r="AA89" s="7"/>
      <c r="AB89" s="7"/>
      <c r="AC89" s="7">
        <f t="shared" si="37"/>
        <v>0</v>
      </c>
      <c r="AD89" s="50"/>
      <c r="AE89" s="7"/>
      <c r="AF89" s="50"/>
      <c r="AG89" s="7"/>
      <c r="AH89" s="7">
        <f t="shared" si="38"/>
        <v>0</v>
      </c>
      <c r="AI89" s="27"/>
      <c r="AJ89" s="7"/>
      <c r="AK89" s="841">
        <v>0</v>
      </c>
      <c r="AL89" s="27"/>
      <c r="AM89" s="95"/>
      <c r="AN89" s="27"/>
    </row>
    <row r="90" spans="1:40">
      <c r="A90" s="30"/>
      <c r="B90" s="20" t="s">
        <v>67</v>
      </c>
      <c r="C90" s="21">
        <f>SUM(C83:C89)</f>
        <v>133158984576</v>
      </c>
      <c r="D90" s="42"/>
      <c r="E90" s="21">
        <f>SUM(E83:E89)</f>
        <v>91174796671</v>
      </c>
      <c r="F90" s="281"/>
      <c r="G90" s="42"/>
      <c r="H90" s="281"/>
      <c r="I90" s="42"/>
      <c r="J90" s="21">
        <f>SUM(J83:J89)</f>
        <v>91174796671</v>
      </c>
      <c r="K90" s="21"/>
      <c r="L90" s="797"/>
      <c r="M90" s="913"/>
      <c r="N90" s="21">
        <f>SUM(N83:N89)</f>
        <v>133158984576</v>
      </c>
      <c r="O90" s="42"/>
      <c r="P90" s="21">
        <f>SUM(P83:P89)</f>
        <v>94963698422</v>
      </c>
      <c r="Q90" s="281"/>
      <c r="R90" s="42"/>
      <c r="S90" s="281"/>
      <c r="T90" s="42"/>
      <c r="U90" s="21">
        <f>SUM(U83:U89)</f>
        <v>94963698422</v>
      </c>
      <c r="V90" s="442"/>
      <c r="W90" s="21">
        <f>SUM(W83:W89)</f>
        <v>133158984576</v>
      </c>
      <c r="X90" s="795">
        <v>133158984576</v>
      </c>
      <c r="Y90" s="36">
        <f>W90-X90</f>
        <v>0</v>
      </c>
      <c r="Z90" s="36"/>
      <c r="AA90" s="21">
        <f>SUM(AA83:AA89)</f>
        <v>20159403403.080048</v>
      </c>
      <c r="AB90" s="21"/>
      <c r="AC90" s="21">
        <f>SUM(AC83:AC89)</f>
        <v>124699897678.08005</v>
      </c>
      <c r="AD90" s="387"/>
      <c r="AE90" s="21"/>
      <c r="AF90" s="387"/>
      <c r="AG90" s="21"/>
      <c r="AH90" s="21">
        <f>SUM(AH83:AH89)</f>
        <v>124139144682</v>
      </c>
      <c r="AI90" s="36"/>
      <c r="AJ90" s="21">
        <f>SUM(AJ83:AJ89)</f>
        <v>20159403403.080048</v>
      </c>
      <c r="AK90" s="843">
        <v>20159403403</v>
      </c>
      <c r="AL90" s="36">
        <f>AJ90-AK90</f>
        <v>8.0047607421875E-2</v>
      </c>
      <c r="AM90" s="95"/>
      <c r="AN90" s="21">
        <f>SUM(AN83:AN89)</f>
        <v>21683543981</v>
      </c>
    </row>
    <row r="91" spans="1:40">
      <c r="A91" s="12" t="s">
        <v>68</v>
      </c>
      <c r="B91" s="12"/>
      <c r="C91" s="89"/>
      <c r="D91" s="89"/>
      <c r="E91" s="89"/>
      <c r="F91" s="280"/>
      <c r="G91" s="89"/>
      <c r="H91" s="280"/>
      <c r="I91" s="89"/>
      <c r="J91" s="89"/>
      <c r="K91" s="89"/>
      <c r="L91" s="933"/>
      <c r="M91" s="911"/>
      <c r="N91" s="89"/>
      <c r="O91" s="89"/>
      <c r="P91" s="89"/>
      <c r="Q91" s="280"/>
      <c r="R91" s="89"/>
      <c r="S91" s="280"/>
      <c r="T91" s="89"/>
      <c r="U91" s="89"/>
      <c r="V91" s="106"/>
      <c r="W91" s="13"/>
      <c r="Y91" s="25"/>
      <c r="Z91" s="25"/>
      <c r="AA91" s="13"/>
      <c r="AB91" s="13"/>
      <c r="AC91" s="13"/>
      <c r="AD91" s="386"/>
      <c r="AE91" s="13"/>
      <c r="AF91" s="386"/>
      <c r="AG91" s="13"/>
      <c r="AH91" s="13"/>
      <c r="AI91" s="25"/>
      <c r="AJ91" s="13"/>
      <c r="AK91" s="835"/>
      <c r="AL91" s="25"/>
      <c r="AM91" s="95"/>
      <c r="AN91" s="13"/>
    </row>
    <row r="92" spans="1:40">
      <c r="A92" s="34"/>
      <c r="B92" s="26" t="s">
        <v>69</v>
      </c>
      <c r="C92" s="121">
        <f t="shared" ref="C92:C95" si="43">W92</f>
        <v>16305238543</v>
      </c>
      <c r="D92" s="78"/>
      <c r="E92" s="67">
        <v>16305238543</v>
      </c>
      <c r="F92" s="280"/>
      <c r="G92" s="78"/>
      <c r="H92" s="280"/>
      <c r="I92" s="78"/>
      <c r="J92" s="67">
        <f>E92+G92-I92</f>
        <v>16305238543</v>
      </c>
      <c r="K92" s="67"/>
      <c r="L92" s="934"/>
      <c r="M92" s="912"/>
      <c r="N92" s="121">
        <f>W92</f>
        <v>16305238543</v>
      </c>
      <c r="O92" s="78"/>
      <c r="P92" s="67">
        <v>20674773552.799999</v>
      </c>
      <c r="Q92" s="280"/>
      <c r="R92" s="78"/>
      <c r="S92" s="280"/>
      <c r="T92" s="78"/>
      <c r="U92" s="67">
        <f>P92+R92-T92</f>
        <v>20674773552.799999</v>
      </c>
      <c r="V92" s="103"/>
      <c r="W92" s="7">
        <v>16305238543</v>
      </c>
      <c r="X92" s="790">
        <v>16305238543</v>
      </c>
      <c r="Y92" s="36">
        <f>W92-X92</f>
        <v>0</v>
      </c>
      <c r="Z92" s="36"/>
      <c r="AA92" s="7">
        <f>AJ92</f>
        <v>12890764983.309999</v>
      </c>
      <c r="AB92" s="7"/>
      <c r="AC92" s="7">
        <v>17383013043.5</v>
      </c>
      <c r="AD92" s="50"/>
      <c r="AE92" s="7"/>
      <c r="AF92" s="50"/>
      <c r="AG92" s="7"/>
      <c r="AH92" s="7">
        <f t="shared" ref="AH92:AH95" si="44">ROUND(AC92+AE92-AG92,0)</f>
        <v>17383013044</v>
      </c>
      <c r="AI92" s="27"/>
      <c r="AJ92" s="7">
        <v>12890764983.309999</v>
      </c>
      <c r="AK92" s="837">
        <v>12890764983.309999</v>
      </c>
      <c r="AL92" s="27">
        <f>AJ92-AK92</f>
        <v>0</v>
      </c>
      <c r="AM92" s="95"/>
      <c r="AN92" s="7">
        <v>10637571304</v>
      </c>
    </row>
    <row r="93" spans="1:40">
      <c r="A93" s="34"/>
      <c r="B93" s="26" t="s">
        <v>70</v>
      </c>
      <c r="C93" s="121">
        <f t="shared" si="43"/>
        <v>76848942</v>
      </c>
      <c r="D93" s="78"/>
      <c r="E93" s="67">
        <v>76848942</v>
      </c>
      <c r="F93" s="280"/>
      <c r="G93" s="78"/>
      <c r="H93" s="280"/>
      <c r="I93" s="78"/>
      <c r="J93" s="67">
        <f>E93+G93-I93</f>
        <v>76848942</v>
      </c>
      <c r="K93" s="67"/>
      <c r="L93" s="934"/>
      <c r="M93" s="912"/>
      <c r="N93" s="121">
        <f>W93</f>
        <v>76848942</v>
      </c>
      <c r="O93" s="78"/>
      <c r="P93" s="67">
        <v>34860372.939999998</v>
      </c>
      <c r="Q93" s="280"/>
      <c r="R93" s="78"/>
      <c r="S93" s="280"/>
      <c r="T93" s="78"/>
      <c r="U93" s="67">
        <f>P93+R93-T93</f>
        <v>34860372.939999998</v>
      </c>
      <c r="V93" s="103"/>
      <c r="W93" s="7">
        <v>76848942</v>
      </c>
      <c r="X93" s="800">
        <v>76848942</v>
      </c>
      <c r="Y93" s="36">
        <f>W93-X93</f>
        <v>0</v>
      </c>
      <c r="Z93" s="36"/>
      <c r="AA93" s="7">
        <f t="shared" ref="AA93:AA95" si="45">AJ93</f>
        <v>96562754</v>
      </c>
      <c r="AB93" s="7"/>
      <c r="AC93" s="7">
        <v>84387985.879999995</v>
      </c>
      <c r="AD93" s="50"/>
      <c r="AE93" s="7"/>
      <c r="AF93" s="50"/>
      <c r="AG93" s="7"/>
      <c r="AH93" s="7">
        <f t="shared" si="44"/>
        <v>84387986</v>
      </c>
      <c r="AI93" s="27"/>
      <c r="AJ93" s="7">
        <v>96562754</v>
      </c>
      <c r="AK93" s="848">
        <v>96562754</v>
      </c>
      <c r="AL93" s="27">
        <f t="shared" ref="AL93:AL95" si="46">AJ93-AK93</f>
        <v>0</v>
      </c>
      <c r="AM93" s="95"/>
      <c r="AN93" s="38">
        <v>131498449</v>
      </c>
    </row>
    <row r="94" spans="1:40">
      <c r="A94" s="34"/>
      <c r="B94" s="26" t="s">
        <v>403</v>
      </c>
      <c r="C94" s="121">
        <f t="shared" si="43"/>
        <v>88132546606</v>
      </c>
      <c r="D94" s="78"/>
      <c r="E94" s="666">
        <f>88132546606+8931966487</f>
        <v>97064513093</v>
      </c>
      <c r="F94" s="280"/>
      <c r="G94" s="78"/>
      <c r="H94" s="280"/>
      <c r="I94" s="78"/>
      <c r="J94" s="67">
        <f>E94+G94-I94</f>
        <v>97064513093</v>
      </c>
      <c r="K94" s="67"/>
      <c r="L94" s="934"/>
      <c r="M94" s="912"/>
      <c r="N94" s="121">
        <f>W94</f>
        <v>88132546606</v>
      </c>
      <c r="O94" s="78"/>
      <c r="P94" s="666">
        <v>108490508463.89999</v>
      </c>
      <c r="Q94" s="280"/>
      <c r="R94" s="78"/>
      <c r="S94" s="280"/>
      <c r="T94" s="78"/>
      <c r="U94" s="67">
        <f>P94+R94-T94</f>
        <v>108490508463.89999</v>
      </c>
      <c r="V94" s="103"/>
      <c r="W94" s="7">
        <v>88132546606</v>
      </c>
      <c r="X94" s="800">
        <v>88132546606</v>
      </c>
      <c r="Y94" s="36">
        <f>W94-X94</f>
        <v>0</v>
      </c>
      <c r="Z94" s="36"/>
      <c r="AA94" s="7">
        <f t="shared" si="45"/>
        <v>50061246940</v>
      </c>
      <c r="AB94" s="7"/>
      <c r="AC94" s="7">
        <v>87174436355.360001</v>
      </c>
      <c r="AD94" s="50"/>
      <c r="AE94" s="7"/>
      <c r="AF94" s="50"/>
      <c r="AG94" s="7"/>
      <c r="AH94" s="7">
        <f t="shared" si="44"/>
        <v>87174436355</v>
      </c>
      <c r="AI94" s="27"/>
      <c r="AJ94" s="7">
        <v>50061246940</v>
      </c>
      <c r="AK94" s="848">
        <v>50061246940</v>
      </c>
      <c r="AL94" s="27">
        <f t="shared" si="46"/>
        <v>0</v>
      </c>
      <c r="AM94" s="95"/>
      <c r="AN94" s="38">
        <v>37360346019</v>
      </c>
    </row>
    <row r="95" spans="1:40">
      <c r="A95" s="34"/>
      <c r="B95" s="26" t="s">
        <v>994</v>
      </c>
      <c r="C95" s="121">
        <f t="shared" si="43"/>
        <v>3808188569</v>
      </c>
      <c r="D95" s="78"/>
      <c r="E95" s="67">
        <v>3808188569</v>
      </c>
      <c r="F95" s="280"/>
      <c r="G95" s="78"/>
      <c r="H95" s="280"/>
      <c r="I95" s="78"/>
      <c r="J95" s="67">
        <f>E95+G95-I95</f>
        <v>3808188569</v>
      </c>
      <c r="K95" s="67"/>
      <c r="L95" s="934"/>
      <c r="M95" s="912"/>
      <c r="N95" s="121">
        <f>W95</f>
        <v>3808188569</v>
      </c>
      <c r="O95" s="78"/>
      <c r="P95" s="67">
        <v>6129938496.79</v>
      </c>
      <c r="Q95" s="280"/>
      <c r="R95" s="78"/>
      <c r="S95" s="280"/>
      <c r="T95" s="78"/>
      <c r="U95" s="67">
        <f>P95+R95-T95</f>
        <v>6129938496.79</v>
      </c>
      <c r="V95" s="103"/>
      <c r="W95" s="7">
        <v>3808188569</v>
      </c>
      <c r="X95" s="800">
        <v>3808188569</v>
      </c>
      <c r="Y95" s="36">
        <f>W95-X95</f>
        <v>0</v>
      </c>
      <c r="Z95" s="36"/>
      <c r="AA95" s="7">
        <f t="shared" si="45"/>
        <v>4118553810</v>
      </c>
      <c r="AB95" s="7"/>
      <c r="AC95" s="7">
        <v>4720465278.1199999</v>
      </c>
      <c r="AD95" s="50"/>
      <c r="AE95" s="7"/>
      <c r="AF95" s="50"/>
      <c r="AG95" s="7"/>
      <c r="AH95" s="7">
        <f t="shared" si="44"/>
        <v>4720465278</v>
      </c>
      <c r="AI95" s="27"/>
      <c r="AJ95" s="7">
        <v>4118553810</v>
      </c>
      <c r="AK95" s="848">
        <v>4118553810</v>
      </c>
      <c r="AL95" s="27">
        <f t="shared" si="46"/>
        <v>0</v>
      </c>
      <c r="AM95" s="95"/>
      <c r="AN95" s="38">
        <v>3819276495</v>
      </c>
    </row>
    <row r="96" spans="1:40">
      <c r="A96" s="34"/>
      <c r="B96" s="26"/>
      <c r="C96" s="78"/>
      <c r="D96" s="78"/>
      <c r="E96" s="78"/>
      <c r="F96" s="280"/>
      <c r="G96" s="78"/>
      <c r="H96" s="280"/>
      <c r="I96" s="78"/>
      <c r="J96" s="78"/>
      <c r="K96" s="78"/>
      <c r="L96" s="936"/>
      <c r="M96" s="917"/>
      <c r="N96" s="78"/>
      <c r="O96" s="78"/>
      <c r="P96" s="78"/>
      <c r="Q96" s="280"/>
      <c r="R96" s="78"/>
      <c r="S96" s="280"/>
      <c r="T96" s="78"/>
      <c r="U96" s="78"/>
      <c r="V96" s="105"/>
      <c r="W96" s="7"/>
      <c r="X96" s="790"/>
      <c r="Y96" s="27"/>
      <c r="Z96" s="27"/>
      <c r="AA96" s="7"/>
      <c r="AB96" s="7"/>
      <c r="AC96" s="7"/>
      <c r="AD96" s="50"/>
      <c r="AE96" s="7"/>
      <c r="AF96" s="50"/>
      <c r="AG96" s="7"/>
      <c r="AH96" s="7"/>
      <c r="AI96" s="27"/>
      <c r="AJ96" s="7"/>
      <c r="AK96" s="837"/>
      <c r="AL96" s="27"/>
      <c r="AM96" s="95"/>
      <c r="AN96" s="7"/>
    </row>
    <row r="97" spans="1:40">
      <c r="A97" s="30"/>
      <c r="B97" s="20" t="s">
        <v>71</v>
      </c>
      <c r="C97" s="21">
        <f>SUM(C92:C95)</f>
        <v>108322822660</v>
      </c>
      <c r="D97" s="42"/>
      <c r="E97" s="21">
        <f>SUM(E92:E95)</f>
        <v>117254789147</v>
      </c>
      <c r="F97" s="281"/>
      <c r="G97" s="42"/>
      <c r="H97" s="281"/>
      <c r="I97" s="42"/>
      <c r="J97" s="21">
        <f>SUM(J92:J95)</f>
        <v>117254789147</v>
      </c>
      <c r="K97" s="21"/>
      <c r="L97" s="797"/>
      <c r="M97" s="913"/>
      <c r="N97" s="21">
        <f>SUM(N92:N95)</f>
        <v>108322822660</v>
      </c>
      <c r="O97" s="42"/>
      <c r="P97" s="21">
        <f>SUM(P92:P95)</f>
        <v>135330080886.42998</v>
      </c>
      <c r="Q97" s="281"/>
      <c r="R97" s="42"/>
      <c r="S97" s="281"/>
      <c r="T97" s="42"/>
      <c r="U97" s="21">
        <f>SUM(U92:U95)</f>
        <v>135330080886.42998</v>
      </c>
      <c r="V97" s="442"/>
      <c r="W97" s="21">
        <f>SUM(W92:W95)</f>
        <v>108322822660</v>
      </c>
      <c r="X97" s="791">
        <v>108322822660</v>
      </c>
      <c r="Y97" s="36">
        <f>W97-X97</f>
        <v>0</v>
      </c>
      <c r="Z97" s="36"/>
      <c r="AA97" s="21">
        <f>SUM(AA92:AA95)</f>
        <v>67167128487.309998</v>
      </c>
      <c r="AB97" s="21"/>
      <c r="AC97" s="21">
        <f>SUM(AC92:AC95)</f>
        <v>109362302662.86</v>
      </c>
      <c r="AD97" s="387"/>
      <c r="AE97" s="21"/>
      <c r="AF97" s="387"/>
      <c r="AG97" s="21"/>
      <c r="AH97" s="21">
        <f>SUM(AH92:AH95)</f>
        <v>109362302663</v>
      </c>
      <c r="AI97" s="36"/>
      <c r="AJ97" s="21">
        <f>SUM(AJ92:AJ95)</f>
        <v>67167128487.309998</v>
      </c>
      <c r="AK97" s="838">
        <v>67167128487.019997</v>
      </c>
      <c r="AL97" s="36">
        <f>AJ97-AK97</f>
        <v>0.29000091552734375</v>
      </c>
      <c r="AM97" s="95"/>
      <c r="AN97" s="21">
        <f>SUM(AN92:AN95)</f>
        <v>51948692267</v>
      </c>
    </row>
    <row r="98" spans="1:40">
      <c r="A98" s="12" t="s">
        <v>72</v>
      </c>
      <c r="B98" s="12"/>
      <c r="C98" s="89"/>
      <c r="D98" s="89"/>
      <c r="E98" s="89"/>
      <c r="F98" s="280"/>
      <c r="G98" s="89"/>
      <c r="H98" s="280"/>
      <c r="I98" s="89"/>
      <c r="J98" s="89"/>
      <c r="K98" s="89"/>
      <c r="L98" s="933"/>
      <c r="M98" s="911"/>
      <c r="N98" s="89"/>
      <c r="O98" s="89"/>
      <c r="P98" s="89"/>
      <c r="Q98" s="280"/>
      <c r="R98" s="89"/>
      <c r="S98" s="280"/>
      <c r="T98" s="89"/>
      <c r="U98" s="89"/>
      <c r="V98" s="106"/>
      <c r="W98" s="13"/>
      <c r="X98" s="788"/>
      <c r="Y98" s="25"/>
      <c r="Z98" s="25"/>
      <c r="AA98" s="13"/>
      <c r="AB98" s="13"/>
      <c r="AC98" s="13"/>
      <c r="AD98" s="386"/>
      <c r="AE98" s="13"/>
      <c r="AF98" s="386"/>
      <c r="AG98" s="13"/>
      <c r="AH98" s="13"/>
      <c r="AI98" s="25"/>
      <c r="AJ98" s="13"/>
      <c r="AK98" s="835"/>
      <c r="AL98" s="25"/>
      <c r="AM98" s="95"/>
      <c r="AN98" s="13"/>
    </row>
    <row r="99" spans="1:40">
      <c r="A99" s="34"/>
      <c r="B99" s="26" t="s">
        <v>73</v>
      </c>
      <c r="C99" s="121">
        <f t="shared" ref="C99:C103" si="47">W99</f>
        <v>6709080953</v>
      </c>
      <c r="D99" s="78">
        <v>1577716922.9100001</v>
      </c>
      <c r="E99" s="67">
        <f>C99+D99</f>
        <v>8286797875.9099998</v>
      </c>
      <c r="F99" s="280"/>
      <c r="G99" s="78"/>
      <c r="H99" s="280"/>
      <c r="I99" s="78"/>
      <c r="J99" s="67">
        <f t="shared" ref="J99:J104" si="48">E99+G99-I99</f>
        <v>8286797875.9099998</v>
      </c>
      <c r="K99" s="67"/>
      <c r="L99" s="934"/>
      <c r="M99" s="911"/>
      <c r="N99" s="121">
        <f>W99</f>
        <v>6709080953</v>
      </c>
      <c r="O99" s="78">
        <v>1196559561.8800001</v>
      </c>
      <c r="P99" s="67">
        <f>N99+O99</f>
        <v>7905640514.8800001</v>
      </c>
      <c r="Q99" s="280"/>
      <c r="R99" s="78"/>
      <c r="S99" s="280"/>
      <c r="T99" s="78"/>
      <c r="U99" s="67">
        <f>P99+R99-T99</f>
        <v>7905640514.8800001</v>
      </c>
      <c r="V99" s="103"/>
      <c r="W99" s="7">
        <v>6709080953</v>
      </c>
      <c r="X99" s="801">
        <v>6709080953</v>
      </c>
      <c r="Y99" s="38">
        <f>W99-X99</f>
        <v>0</v>
      </c>
      <c r="Z99" s="38"/>
      <c r="AA99" s="7">
        <f>AJ99</f>
        <v>5242697364</v>
      </c>
      <c r="AB99" s="7">
        <v>1168874189.52</v>
      </c>
      <c r="AC99" s="7">
        <f t="shared" ref="AC99:AC103" si="49">AA99+AB99</f>
        <v>6411571553.5200005</v>
      </c>
      <c r="AD99" s="50"/>
      <c r="AE99" s="7"/>
      <c r="AF99" s="50"/>
      <c r="AG99" s="7"/>
      <c r="AH99" s="665">
        <f t="shared" ref="AH99:AH103" si="50">ROUND(AC99+AE99-AG99,0)</f>
        <v>6411571554</v>
      </c>
      <c r="AI99" s="27"/>
      <c r="AJ99" s="7">
        <v>5242697364</v>
      </c>
      <c r="AK99" s="6">
        <v>5242697364</v>
      </c>
      <c r="AL99" s="27">
        <f>AJ99-AK99</f>
        <v>0</v>
      </c>
      <c r="AM99" s="95"/>
      <c r="AN99" s="6">
        <v>7180061865</v>
      </c>
    </row>
    <row r="100" spans="1:40">
      <c r="A100" s="34"/>
      <c r="B100" s="26" t="s">
        <v>74</v>
      </c>
      <c r="C100" s="121">
        <f t="shared" si="47"/>
        <v>98344793</v>
      </c>
      <c r="D100" s="78"/>
      <c r="E100" s="67">
        <f>C100+D100</f>
        <v>98344793</v>
      </c>
      <c r="F100" s="280"/>
      <c r="G100" s="78"/>
      <c r="H100" s="280"/>
      <c r="I100" s="78"/>
      <c r="J100" s="67">
        <f t="shared" si="48"/>
        <v>98344793</v>
      </c>
      <c r="K100" s="67"/>
      <c r="L100" s="934"/>
      <c r="M100" s="912"/>
      <c r="N100" s="121">
        <f>W100</f>
        <v>98344793</v>
      </c>
      <c r="O100" s="78"/>
      <c r="P100" s="67">
        <f>N100+O100</f>
        <v>98344793</v>
      </c>
      <c r="Q100" s="280"/>
      <c r="R100" s="78"/>
      <c r="S100" s="280"/>
      <c r="T100" s="78"/>
      <c r="U100" s="67">
        <f>P100+R100-T100</f>
        <v>98344793</v>
      </c>
      <c r="V100" s="103"/>
      <c r="W100" s="7">
        <v>98344793</v>
      </c>
      <c r="X100" s="801">
        <v>98344793</v>
      </c>
      <c r="Y100" s="38">
        <f>W100-X100</f>
        <v>0</v>
      </c>
      <c r="Z100" s="38"/>
      <c r="AA100" s="7">
        <f t="shared" ref="AA100:AA103" si="51">AJ100</f>
        <v>102056637</v>
      </c>
      <c r="AB100" s="7">
        <v>-3711844</v>
      </c>
      <c r="AC100" s="7">
        <f t="shared" si="49"/>
        <v>98344793</v>
      </c>
      <c r="AD100" s="50"/>
      <c r="AE100" s="7"/>
      <c r="AF100" s="50"/>
      <c r="AG100" s="7"/>
      <c r="AH100" s="7">
        <f t="shared" si="50"/>
        <v>98344793</v>
      </c>
      <c r="AI100" s="27"/>
      <c r="AJ100" s="7">
        <v>102056637</v>
      </c>
      <c r="AK100" s="6">
        <v>102056637</v>
      </c>
      <c r="AL100" s="27">
        <f>AJ100-AK100</f>
        <v>0</v>
      </c>
      <c r="AM100" s="95"/>
      <c r="AN100" s="6">
        <v>0</v>
      </c>
    </row>
    <row r="101" spans="1:40">
      <c r="A101" s="34"/>
      <c r="B101" s="14" t="s">
        <v>75</v>
      </c>
      <c r="C101" s="121">
        <f t="shared" si="47"/>
        <v>0</v>
      </c>
      <c r="D101" s="67"/>
      <c r="E101" s="67">
        <f>C101+D101</f>
        <v>0</v>
      </c>
      <c r="F101" s="280" t="str">
        <f>'AJE CAJE Des 24'!A62</f>
        <v>CAJE 8</v>
      </c>
      <c r="G101" s="67">
        <f>'AJE CAJE Des 24'!F62</f>
        <v>421615912</v>
      </c>
      <c r="H101" s="280" t="str">
        <f>'AJE CAJE Des 24'!A111</f>
        <v>CAJE 14</v>
      </c>
      <c r="I101" s="67">
        <f>'AJE CAJE Des 24'!G111</f>
        <v>421615912</v>
      </c>
      <c r="J101" s="513">
        <f t="shared" si="48"/>
        <v>0</v>
      </c>
      <c r="K101" s="513"/>
      <c r="L101" s="934"/>
      <c r="M101" s="918" t="s">
        <v>1237</v>
      </c>
      <c r="N101" s="121">
        <f>W101</f>
        <v>0</v>
      </c>
      <c r="O101" s="67"/>
      <c r="P101" s="67">
        <f>N101+O101</f>
        <v>0</v>
      </c>
      <c r="Q101" s="280" t="str">
        <f>'AJE CAJE Sept 24'!B44</f>
        <v>CAJE 8</v>
      </c>
      <c r="R101" s="67">
        <f>'AJE CAJE Sept 24'!G44</f>
        <v>316211934</v>
      </c>
      <c r="S101" s="280" t="str">
        <f>'AJE CAJE Sept 24'!B60</f>
        <v>CAJE 12</v>
      </c>
      <c r="T101" s="67">
        <f>'AJE CAJE Sept 24'!H61</f>
        <v>316211934</v>
      </c>
      <c r="U101" s="67">
        <f>P101+R101-T101</f>
        <v>0</v>
      </c>
      <c r="V101" s="103"/>
      <c r="W101" s="6">
        <v>0</v>
      </c>
      <c r="X101" s="802">
        <v>0</v>
      </c>
      <c r="Y101" s="6"/>
      <c r="Z101" s="6"/>
      <c r="AA101" s="7">
        <f t="shared" si="51"/>
        <v>0</v>
      </c>
      <c r="AB101" s="6"/>
      <c r="AC101" s="6">
        <f t="shared" si="49"/>
        <v>0</v>
      </c>
      <c r="AD101" s="391" t="str">
        <f>'AJE CAJE Sept 23'!B58</f>
        <v>CAJE 10</v>
      </c>
      <c r="AE101" s="6">
        <f>'AJE CAJE Sept 23'!G58</f>
        <v>41264112</v>
      </c>
      <c r="AF101" s="391" t="str">
        <f>'AJE CAJE Sept 23'!B68</f>
        <v>CAJE 13</v>
      </c>
      <c r="AG101" s="6">
        <f>'AJE CAJE Sept 23'!H68</f>
        <v>41264112</v>
      </c>
      <c r="AH101" s="7">
        <f t="shared" si="50"/>
        <v>0</v>
      </c>
      <c r="AI101" s="6"/>
      <c r="AJ101" s="7">
        <v>0</v>
      </c>
      <c r="AK101" s="6">
        <v>0</v>
      </c>
      <c r="AL101" s="27"/>
      <c r="AM101" s="95"/>
      <c r="AN101" s="6">
        <v>0</v>
      </c>
    </row>
    <row r="102" spans="1:40">
      <c r="A102" s="34"/>
      <c r="B102" s="14" t="s">
        <v>76</v>
      </c>
      <c r="C102" s="121">
        <f t="shared" si="47"/>
        <v>0</v>
      </c>
      <c r="D102" s="67"/>
      <c r="E102" s="67">
        <f>C102+D102</f>
        <v>0</v>
      </c>
      <c r="F102" s="280" t="str">
        <f>'AJE CAJE Des 24'!A58</f>
        <v>CAJE 7</v>
      </c>
      <c r="G102" s="67">
        <f>'AJE CAJE Des 24'!F58+'AJE CAJE Des 24'!F85</f>
        <v>34089140.090000033</v>
      </c>
      <c r="H102" s="280" t="str">
        <f>'AJE CAJE Des 24'!A112</f>
        <v>CAJE 14</v>
      </c>
      <c r="I102" s="67">
        <f>'AJE CAJE Des 24'!G112</f>
        <v>34089140.090000004</v>
      </c>
      <c r="J102" s="513">
        <f t="shared" si="48"/>
        <v>0</v>
      </c>
      <c r="K102" s="513"/>
      <c r="L102" s="934"/>
      <c r="M102" s="918" t="s">
        <v>1237</v>
      </c>
      <c r="N102" s="121">
        <f>W102</f>
        <v>0</v>
      </c>
      <c r="O102" s="67"/>
      <c r="P102" s="67">
        <f>N102+O102</f>
        <v>0</v>
      </c>
      <c r="Q102" s="280" t="str">
        <f>'AJE CAJE Sept 24'!B41</f>
        <v>CAJE 7</v>
      </c>
      <c r="R102" s="67">
        <f>'AJE CAJE Sept 24'!G41</f>
        <v>24522154.059999999</v>
      </c>
      <c r="S102" s="280" t="str">
        <f>'AJE CAJE Sept 24'!B61</f>
        <v>CAJE 12</v>
      </c>
      <c r="T102" s="67">
        <f>'AJE CAJE Sept 24'!H60</f>
        <v>24522154.059999999</v>
      </c>
      <c r="U102" s="67">
        <f>P102+R102-T102</f>
        <v>0</v>
      </c>
      <c r="V102" s="103"/>
      <c r="W102" s="6">
        <v>0</v>
      </c>
      <c r="X102" s="802">
        <v>0</v>
      </c>
      <c r="Y102" s="6"/>
      <c r="Z102" s="6"/>
      <c r="AA102" s="7">
        <f t="shared" si="51"/>
        <v>0</v>
      </c>
      <c r="AB102" s="6"/>
      <c r="AC102" s="6">
        <f t="shared" si="49"/>
        <v>0</v>
      </c>
      <c r="AD102" s="391" t="str">
        <f>'AJE CAJE Sept 23'!B55</f>
        <v>CAJE 9</v>
      </c>
      <c r="AE102" s="6">
        <f>'AJE CAJE Sept 23'!G55</f>
        <v>25660083.23</v>
      </c>
      <c r="AF102" s="391" t="str">
        <f>'AJE CAJE Sept 23'!B69</f>
        <v>CAJE 13</v>
      </c>
      <c r="AG102" s="6">
        <f>'AJE CAJE Sept 23'!H69</f>
        <v>25660083</v>
      </c>
      <c r="AH102" s="7">
        <f t="shared" si="50"/>
        <v>0</v>
      </c>
      <c r="AI102" s="6"/>
      <c r="AJ102" s="7">
        <v>0</v>
      </c>
      <c r="AK102" s="6">
        <v>0</v>
      </c>
      <c r="AL102" s="27"/>
      <c r="AM102" s="95"/>
      <c r="AN102" s="6">
        <v>0</v>
      </c>
    </row>
    <row r="103" spans="1:40">
      <c r="A103" s="34"/>
      <c r="B103" s="14" t="s">
        <v>77</v>
      </c>
      <c r="C103" s="121">
        <f t="shared" si="47"/>
        <v>0</v>
      </c>
      <c r="D103" s="67"/>
      <c r="E103" s="67">
        <f>C103+D103</f>
        <v>0</v>
      </c>
      <c r="F103" s="280"/>
      <c r="G103" s="67"/>
      <c r="H103" s="280"/>
      <c r="I103" s="67"/>
      <c r="J103" s="67">
        <f t="shared" si="48"/>
        <v>0</v>
      </c>
      <c r="K103" s="67"/>
      <c r="L103" s="934"/>
      <c r="M103" s="912"/>
      <c r="N103" s="121">
        <f>W103</f>
        <v>0</v>
      </c>
      <c r="O103" s="67"/>
      <c r="P103" s="67">
        <f>N103+O103</f>
        <v>0</v>
      </c>
      <c r="Q103" s="280"/>
      <c r="R103" s="67"/>
      <c r="S103" s="280"/>
      <c r="T103" s="67"/>
      <c r="U103" s="67">
        <f>P103+R103-T103</f>
        <v>0</v>
      </c>
      <c r="V103" s="103"/>
      <c r="W103" s="6">
        <v>0</v>
      </c>
      <c r="X103" s="800">
        <v>0</v>
      </c>
      <c r="Y103" s="6"/>
      <c r="Z103" s="6"/>
      <c r="AA103" s="7">
        <f t="shared" si="51"/>
        <v>0</v>
      </c>
      <c r="AB103" s="6"/>
      <c r="AC103" s="6">
        <f t="shared" si="49"/>
        <v>0</v>
      </c>
      <c r="AD103" s="391"/>
      <c r="AE103" s="6"/>
      <c r="AF103" s="391"/>
      <c r="AG103" s="6"/>
      <c r="AH103" s="7">
        <f t="shared" si="50"/>
        <v>0</v>
      </c>
      <c r="AI103" s="6"/>
      <c r="AJ103" s="7">
        <v>0</v>
      </c>
      <c r="AK103" s="848">
        <v>0</v>
      </c>
      <c r="AL103" s="27"/>
      <c r="AM103" s="95"/>
      <c r="AN103" s="6">
        <v>0</v>
      </c>
    </row>
    <row r="104" spans="1:40">
      <c r="A104" s="34"/>
      <c r="B104" s="14" t="s">
        <v>1266</v>
      </c>
      <c r="C104" s="121"/>
      <c r="D104" s="67"/>
      <c r="E104" s="67"/>
      <c r="F104" s="280" t="str">
        <f>'AJE CAJE Des 24'!A87</f>
        <v>CAJE 12</v>
      </c>
      <c r="G104" s="67">
        <f>'AJE CAJE Des 24'!F87</f>
        <v>3806151</v>
      </c>
      <c r="H104" s="280"/>
      <c r="I104" s="67"/>
      <c r="J104" s="67">
        <f t="shared" si="48"/>
        <v>3806151</v>
      </c>
      <c r="K104" s="67">
        <v>-3806151</v>
      </c>
      <c r="L104" s="934"/>
      <c r="M104" s="912">
        <f>J104+K104</f>
        <v>0</v>
      </c>
      <c r="N104" s="121"/>
      <c r="O104" s="67"/>
      <c r="P104" s="67"/>
      <c r="Q104" s="280"/>
      <c r="R104" s="67"/>
      <c r="S104" s="280"/>
      <c r="T104" s="67"/>
      <c r="U104" s="67"/>
      <c r="V104" s="103"/>
      <c r="W104" s="6"/>
      <c r="X104" s="800"/>
      <c r="Y104" s="6"/>
      <c r="Z104" s="6"/>
      <c r="AA104" s="7"/>
      <c r="AB104" s="6"/>
      <c r="AC104" s="6"/>
      <c r="AD104" s="391"/>
      <c r="AE104" s="6"/>
      <c r="AF104" s="391"/>
      <c r="AG104" s="6"/>
      <c r="AH104" s="7"/>
      <c r="AI104" s="6"/>
      <c r="AJ104" s="7"/>
      <c r="AK104" s="848"/>
      <c r="AL104" s="27"/>
      <c r="AM104" s="95"/>
      <c r="AN104" s="6"/>
    </row>
    <row r="105" spans="1:40">
      <c r="A105" s="12" t="s">
        <v>78</v>
      </c>
      <c r="B105" s="12"/>
      <c r="C105" s="89"/>
      <c r="D105" s="89"/>
      <c r="E105" s="89"/>
      <c r="F105" s="280"/>
      <c r="G105" s="89"/>
      <c r="H105" s="280"/>
      <c r="I105" s="89"/>
      <c r="J105" s="89"/>
      <c r="K105" s="89"/>
      <c r="L105" s="933"/>
      <c r="M105" s="911"/>
      <c r="N105" s="89"/>
      <c r="O105" s="89"/>
      <c r="P105" s="89"/>
      <c r="Q105" s="280"/>
      <c r="R105" s="89"/>
      <c r="S105" s="280"/>
      <c r="T105" s="89"/>
      <c r="U105" s="89"/>
      <c r="V105" s="106"/>
      <c r="W105" s="38"/>
      <c r="X105" s="800">
        <v>0</v>
      </c>
      <c r="Y105" s="38"/>
      <c r="Z105" s="38"/>
      <c r="AA105" s="38"/>
      <c r="AB105" s="38"/>
      <c r="AC105" s="38"/>
      <c r="AD105" s="371"/>
      <c r="AE105" s="38"/>
      <c r="AF105" s="371"/>
      <c r="AG105" s="38"/>
      <c r="AH105" s="38"/>
      <c r="AI105" s="38"/>
      <c r="AJ105" s="38"/>
      <c r="AK105" s="848">
        <v>0</v>
      </c>
      <c r="AL105" s="38"/>
      <c r="AM105" s="95"/>
      <c r="AN105" s="38"/>
    </row>
    <row r="106" spans="1:40">
      <c r="A106" s="34"/>
      <c r="B106" s="14" t="s">
        <v>79</v>
      </c>
      <c r="C106" s="121">
        <f t="shared" ref="C106" si="52">W106</f>
        <v>0</v>
      </c>
      <c r="D106" s="67">
        <v>10093167</v>
      </c>
      <c r="E106" s="67">
        <f>C106+D106</f>
        <v>10093167</v>
      </c>
      <c r="F106" s="280"/>
      <c r="G106" s="67"/>
      <c r="H106" s="280"/>
      <c r="I106" s="67"/>
      <c r="J106" s="67">
        <f>E106+G106-I106</f>
        <v>10093167</v>
      </c>
      <c r="K106" s="67"/>
      <c r="L106" s="934"/>
      <c r="M106" s="912"/>
      <c r="N106" s="121">
        <f>W106</f>
        <v>0</v>
      </c>
      <c r="O106" s="67">
        <v>40372668</v>
      </c>
      <c r="P106" s="67">
        <f>N106+O106</f>
        <v>40372668</v>
      </c>
      <c r="Q106" s="280"/>
      <c r="R106" s="67"/>
      <c r="S106" s="280"/>
      <c r="T106" s="67"/>
      <c r="U106" s="67">
        <f>P106+R106-T106</f>
        <v>40372668</v>
      </c>
      <c r="V106" s="103"/>
      <c r="W106" s="7">
        <v>0</v>
      </c>
      <c r="X106" s="800"/>
      <c r="Y106" s="27"/>
      <c r="Z106" s="27"/>
      <c r="AA106" s="7">
        <f>AJ106</f>
        <v>137236872</v>
      </c>
      <c r="AB106" s="7">
        <v>-110236455.09</v>
      </c>
      <c r="AC106" s="7">
        <f>AA106+AB106</f>
        <v>27000416.909999996</v>
      </c>
      <c r="AD106" s="50"/>
      <c r="AE106" s="7"/>
      <c r="AF106" s="50"/>
      <c r="AG106" s="7"/>
      <c r="AH106" s="7">
        <f>ROUND(AC106+AE106-AG106,0)</f>
        <v>27000417</v>
      </c>
      <c r="AI106" s="27"/>
      <c r="AJ106" s="7">
        <v>137236872</v>
      </c>
      <c r="AK106" s="841">
        <v>137236872</v>
      </c>
      <c r="AL106" s="27">
        <f>AJ106-AK106</f>
        <v>0</v>
      </c>
      <c r="AM106" s="95"/>
      <c r="AN106" s="27">
        <v>116757300</v>
      </c>
    </row>
    <row r="107" spans="1:40">
      <c r="A107" s="34"/>
      <c r="B107" s="14"/>
      <c r="C107" s="67"/>
      <c r="D107" s="67"/>
      <c r="E107" s="67"/>
      <c r="F107" s="280"/>
      <c r="G107" s="67"/>
      <c r="H107" s="280"/>
      <c r="I107" s="67"/>
      <c r="J107" s="67"/>
      <c r="K107" s="67"/>
      <c r="L107" s="934"/>
      <c r="M107" s="912"/>
      <c r="N107" s="67"/>
      <c r="O107" s="67"/>
      <c r="P107" s="67"/>
      <c r="Q107" s="280"/>
      <c r="R107" s="67"/>
      <c r="S107" s="280"/>
      <c r="T107" s="67"/>
      <c r="U107" s="67"/>
      <c r="V107" s="103"/>
      <c r="W107" s="7"/>
      <c r="X107" s="794">
        <v>0</v>
      </c>
      <c r="Y107" s="27"/>
      <c r="Z107" s="27"/>
      <c r="AA107" s="7"/>
      <c r="AB107" s="7"/>
      <c r="AC107" s="7"/>
      <c r="AD107" s="50"/>
      <c r="AE107" s="7"/>
      <c r="AF107" s="50"/>
      <c r="AG107" s="7"/>
      <c r="AH107" s="7"/>
      <c r="AI107" s="27"/>
      <c r="AJ107" s="7"/>
      <c r="AK107" s="841">
        <v>0</v>
      </c>
      <c r="AL107" s="27"/>
      <c r="AM107" s="95"/>
      <c r="AN107" s="27"/>
    </row>
    <row r="108" spans="1:40">
      <c r="A108" s="12" t="s">
        <v>80</v>
      </c>
      <c r="B108" s="12"/>
      <c r="C108" s="89"/>
      <c r="D108" s="89"/>
      <c r="E108" s="89"/>
      <c r="F108" s="280"/>
      <c r="G108" s="89"/>
      <c r="H108" s="280"/>
      <c r="I108" s="89"/>
      <c r="J108" s="89"/>
      <c r="K108" s="89"/>
      <c r="L108" s="933"/>
      <c r="M108" s="911"/>
      <c r="N108" s="89"/>
      <c r="O108" s="89"/>
      <c r="P108" s="89"/>
      <c r="Q108" s="280"/>
      <c r="R108" s="89"/>
      <c r="S108" s="280"/>
      <c r="T108" s="89"/>
      <c r="U108" s="89"/>
      <c r="V108" s="106"/>
      <c r="W108" s="38"/>
      <c r="X108" s="794">
        <v>0</v>
      </c>
      <c r="Y108" s="38"/>
      <c r="Z108" s="38"/>
      <c r="AA108" s="38"/>
      <c r="AB108" s="38"/>
      <c r="AC108" s="38"/>
      <c r="AD108" s="371"/>
      <c r="AE108" s="38"/>
      <c r="AF108" s="371"/>
      <c r="AG108" s="38"/>
      <c r="AH108" s="38"/>
      <c r="AI108" s="38"/>
      <c r="AJ108" s="38"/>
      <c r="AK108" s="841"/>
      <c r="AL108" s="38"/>
      <c r="AM108" s="95"/>
      <c r="AN108" s="38"/>
    </row>
    <row r="109" spans="1:40">
      <c r="A109" s="14"/>
      <c r="B109" s="14" t="s">
        <v>81</v>
      </c>
      <c r="C109" s="121">
        <f t="shared" ref="C109" si="53">W109</f>
        <v>897473228</v>
      </c>
      <c r="D109" s="67">
        <v>2218471687</v>
      </c>
      <c r="E109" s="67">
        <f>C109+D109</f>
        <v>3115944915</v>
      </c>
      <c r="F109" s="280"/>
      <c r="G109" s="67"/>
      <c r="H109" s="280" t="str">
        <f>'AJE CAJE Des 24'!A29</f>
        <v>CAJE 3</v>
      </c>
      <c r="I109" s="67">
        <f>'AJE CAJE Des 24'!G30</f>
        <v>3115944915</v>
      </c>
      <c r="J109" s="669">
        <f>E109+G109-I109</f>
        <v>0</v>
      </c>
      <c r="K109" s="669"/>
      <c r="L109" s="934"/>
      <c r="M109" s="912"/>
      <c r="N109" s="121">
        <f>W109</f>
        <v>897473228</v>
      </c>
      <c r="O109" s="67">
        <v>2250971687</v>
      </c>
      <c r="P109" s="67">
        <f>N109+O109</f>
        <v>3148444915</v>
      </c>
      <c r="Q109" s="280"/>
      <c r="R109" s="67"/>
      <c r="S109" s="280" t="s">
        <v>1034</v>
      </c>
      <c r="T109" s="67">
        <f>'AJE CAJE Sept 24'!H95+'AJE CAJE Sept 24'!H99</f>
        <v>3148444915</v>
      </c>
      <c r="U109" s="669">
        <f>P109+R109-T109</f>
        <v>0</v>
      </c>
      <c r="V109" s="103"/>
      <c r="W109" s="7">
        <v>897473228</v>
      </c>
      <c r="X109" s="794">
        <v>897473228</v>
      </c>
      <c r="Y109" s="27">
        <f>W109-X109</f>
        <v>0</v>
      </c>
      <c r="Z109" s="27"/>
      <c r="AA109" s="7">
        <f>AJ109</f>
        <v>0</v>
      </c>
      <c r="AB109" s="7">
        <v>897473228</v>
      </c>
      <c r="AC109" s="7">
        <f>AA109+AB109</f>
        <v>897473228</v>
      </c>
      <c r="AD109" s="50"/>
      <c r="AE109" s="7"/>
      <c r="AF109" s="50"/>
      <c r="AG109" s="7"/>
      <c r="AH109" s="7">
        <f>ROUND(AC109+AE109-AG109,0)</f>
        <v>897473228</v>
      </c>
      <c r="AI109" s="27"/>
      <c r="AJ109" s="7">
        <v>0</v>
      </c>
      <c r="AK109" s="841"/>
      <c r="AL109" s="27"/>
      <c r="AM109" s="95"/>
      <c r="AN109" s="7">
        <v>0</v>
      </c>
    </row>
    <row r="110" spans="1:40">
      <c r="A110" s="34"/>
      <c r="B110" s="39" t="s">
        <v>1003</v>
      </c>
      <c r="C110" s="123"/>
      <c r="D110" s="123"/>
      <c r="E110" s="123"/>
      <c r="F110" s="283" t="str">
        <f>'AJE CAJE Des 24'!A45</f>
        <v>RLKS 1</v>
      </c>
      <c r="G110" s="123">
        <f>'AJE CAJE Des 24'!F45</f>
        <v>27862788399.379997</v>
      </c>
      <c r="H110" s="283"/>
      <c r="I110" s="123"/>
      <c r="J110" s="67">
        <f>E110+G110-I110</f>
        <v>27862788399.379997</v>
      </c>
      <c r="K110" s="67"/>
      <c r="L110" s="934"/>
      <c r="M110" s="919"/>
      <c r="N110" s="123"/>
      <c r="O110" s="123"/>
      <c r="P110" s="123"/>
      <c r="Q110" s="283" t="str">
        <f>'AJE CAJE Sept 24'!B64</f>
        <v>CAJE 13</v>
      </c>
      <c r="R110" s="123">
        <f>'AJE CAJE Sept 24'!G64</f>
        <v>1168062258.8</v>
      </c>
      <c r="S110" s="283"/>
      <c r="T110" s="123"/>
      <c r="U110" s="67">
        <f>P110+R110-T110</f>
        <v>1168062258.8</v>
      </c>
      <c r="V110" s="445"/>
      <c r="W110" s="27"/>
      <c r="X110" s="794"/>
      <c r="Y110" s="27"/>
      <c r="Z110" s="27"/>
      <c r="AA110" s="27"/>
      <c r="AB110" s="27"/>
      <c r="AC110" s="27"/>
      <c r="AD110" s="371"/>
      <c r="AE110" s="27"/>
      <c r="AF110" s="371"/>
      <c r="AG110" s="27"/>
      <c r="AH110" s="27"/>
      <c r="AI110" s="27"/>
      <c r="AJ110" s="27"/>
      <c r="AK110" s="841"/>
      <c r="AL110" s="27"/>
      <c r="AM110" s="95"/>
      <c r="AN110" s="27"/>
    </row>
    <row r="111" spans="1:40">
      <c r="A111" s="34"/>
      <c r="B111" s="880" t="s">
        <v>1203</v>
      </c>
      <c r="C111" s="123"/>
      <c r="D111" s="123">
        <v>1585584000</v>
      </c>
      <c r="E111" s="67">
        <f>C111+D111</f>
        <v>1585584000</v>
      </c>
      <c r="F111" s="280"/>
      <c r="G111" s="67"/>
      <c r="H111" s="280"/>
      <c r="I111" s="67"/>
      <c r="J111" s="67">
        <f>E111+G111-I111</f>
        <v>1585584000</v>
      </c>
      <c r="K111" s="67"/>
      <c r="L111" s="934"/>
      <c r="M111" s="919"/>
      <c r="N111" s="123"/>
      <c r="O111" s="123"/>
      <c r="P111" s="123"/>
      <c r="Q111" s="283"/>
      <c r="R111" s="123"/>
      <c r="S111" s="283"/>
      <c r="T111" s="123"/>
      <c r="U111" s="67"/>
      <c r="V111" s="445"/>
      <c r="W111" s="27"/>
      <c r="X111" s="806"/>
      <c r="Y111" s="27"/>
      <c r="Z111" s="27"/>
      <c r="AA111" s="27"/>
      <c r="AB111" s="27"/>
      <c r="AC111" s="27"/>
      <c r="AD111" s="371"/>
      <c r="AE111" s="27"/>
      <c r="AF111" s="371"/>
      <c r="AG111" s="27"/>
      <c r="AH111" s="27"/>
      <c r="AI111" s="27"/>
      <c r="AJ111" s="27"/>
      <c r="AK111" s="851"/>
      <c r="AL111" s="27"/>
      <c r="AM111" s="95"/>
      <c r="AN111" s="27"/>
    </row>
    <row r="112" spans="1:40">
      <c r="A112" s="20"/>
      <c r="B112" s="20" t="s">
        <v>82</v>
      </c>
      <c r="C112" s="21">
        <f>SUM(C99:C109)</f>
        <v>7704898974</v>
      </c>
      <c r="D112" s="42"/>
      <c r="E112" s="21">
        <f>SUM(E99:E111)</f>
        <v>13096764750.91</v>
      </c>
      <c r="F112" s="281"/>
      <c r="G112" s="42"/>
      <c r="H112" s="281"/>
      <c r="I112" s="42"/>
      <c r="J112" s="21">
        <f>SUM(J99:J111)</f>
        <v>37847414386.289993</v>
      </c>
      <c r="K112" s="21"/>
      <c r="L112" s="797"/>
      <c r="M112" s="913"/>
      <c r="N112" s="21">
        <f>SUM(N99:N109)</f>
        <v>7704898974</v>
      </c>
      <c r="O112" s="42"/>
      <c r="P112" s="21">
        <f>SUM(P99:P109)</f>
        <v>11192802890.880001</v>
      </c>
      <c r="Q112" s="281"/>
      <c r="R112" s="42"/>
      <c r="S112" s="281"/>
      <c r="T112" s="42"/>
      <c r="U112" s="21">
        <f>SUM(U99:U110)</f>
        <v>9212420234.6800003</v>
      </c>
      <c r="V112" s="442"/>
      <c r="W112" s="21">
        <f>SUM(W99:W109)</f>
        <v>7704898974</v>
      </c>
      <c r="X112" s="795">
        <v>7704898974</v>
      </c>
      <c r="Y112" s="27">
        <f>W112-X112</f>
        <v>0</v>
      </c>
      <c r="Z112" s="27"/>
      <c r="AA112" s="21">
        <f>SUM(AA99:AA109)</f>
        <v>5481990873</v>
      </c>
      <c r="AB112" s="21"/>
      <c r="AC112" s="21">
        <f>SUM(AC99:AC109)</f>
        <v>7434389991.4300003</v>
      </c>
      <c r="AD112" s="387"/>
      <c r="AE112" s="21"/>
      <c r="AF112" s="387"/>
      <c r="AG112" s="21"/>
      <c r="AH112" s="21">
        <f>SUM(AH99:AH109)</f>
        <v>7434389992</v>
      </c>
      <c r="AI112" s="36"/>
      <c r="AJ112" s="21">
        <f>SUM(AJ99:AJ109)</f>
        <v>5481990873</v>
      </c>
      <c r="AK112" s="843">
        <v>5481990873</v>
      </c>
      <c r="AL112" s="36">
        <f>AJ112-AK112</f>
        <v>0</v>
      </c>
      <c r="AM112" s="95"/>
      <c r="AN112" s="21">
        <f>SUM(AN99:AN109)</f>
        <v>7296819165</v>
      </c>
    </row>
    <row r="113" spans="1:40">
      <c r="A113" s="96"/>
      <c r="B113" s="96" t="s">
        <v>83</v>
      </c>
      <c r="C113" s="97">
        <f>C112+C97+C90+C79+C75+C70+C43</f>
        <v>272548995622</v>
      </c>
      <c r="D113" s="124"/>
      <c r="E113" s="97">
        <f>E112+E97+E90+E79+E75+E70+E43</f>
        <v>273837396926.62</v>
      </c>
      <c r="F113" s="284"/>
      <c r="G113" s="124"/>
      <c r="H113" s="284"/>
      <c r="I113" s="124"/>
      <c r="J113" s="97">
        <f>J112+J97+J90+J79+J75+J70+J43</f>
        <v>299397091592.91693</v>
      </c>
      <c r="K113" s="97"/>
      <c r="L113" s="797"/>
      <c r="M113" s="914"/>
      <c r="N113" s="97">
        <f>N112+N97+N90+N79+N75+N70+N43</f>
        <v>272548995622</v>
      </c>
      <c r="O113" s="124"/>
      <c r="P113" s="97">
        <f>P112+P97+P90+P79+P75+P70+P43</f>
        <v>298070005240.28339</v>
      </c>
      <c r="Q113" s="284"/>
      <c r="R113" s="124"/>
      <c r="S113" s="284"/>
      <c r="T113" s="124"/>
      <c r="U113" s="97">
        <f>U112+U97+U90+U79+U75+U70+U43</f>
        <v>276505362963.74347</v>
      </c>
      <c r="V113" s="443"/>
      <c r="W113" s="97">
        <f>W112+W97+W90+W79+W75+W70+W43</f>
        <v>272548995622</v>
      </c>
      <c r="X113" s="803">
        <v>272548995622</v>
      </c>
      <c r="Y113" s="27">
        <f>W113-X113</f>
        <v>0</v>
      </c>
      <c r="Z113" s="27"/>
      <c r="AA113" s="97">
        <f>AA112+AA97+AA90+AA79+AA75+AA70+AA43</f>
        <v>146799803953.58105</v>
      </c>
      <c r="AB113" s="97"/>
      <c r="AC113" s="97">
        <f>AC112+AC97+AC90+AC79+AC75+AC70+AC43</f>
        <v>262943270104.80374</v>
      </c>
      <c r="AD113" s="392"/>
      <c r="AE113" s="97"/>
      <c r="AF113" s="392"/>
      <c r="AG113" s="97"/>
      <c r="AH113" s="97">
        <f>AH112+AH97+AH90+AH79+AH75+AH70+AH43</f>
        <v>253612158877</v>
      </c>
      <c r="AI113" s="36"/>
      <c r="AJ113" s="97">
        <f>AJ112+AJ97+AJ90+AJ79+AJ75+AJ70+AJ43</f>
        <v>146799803953.58105</v>
      </c>
      <c r="AK113" s="844">
        <v>146799803953.63101</v>
      </c>
      <c r="AL113" s="36">
        <f>AJ113-AK113</f>
        <v>-4.9957275390625E-2</v>
      </c>
      <c r="AM113" s="95"/>
      <c r="AN113" s="97">
        <f>AN112+AN97+AN90+AN79+AN75+AN70+AN43</f>
        <v>122018124457.10251</v>
      </c>
    </row>
    <row r="114" spans="1:40">
      <c r="A114" s="12" t="s">
        <v>84</v>
      </c>
      <c r="B114" s="14"/>
      <c r="C114" s="67"/>
      <c r="D114" s="67"/>
      <c r="E114" s="67"/>
      <c r="F114" s="280"/>
      <c r="G114" s="67"/>
      <c r="H114" s="280"/>
      <c r="I114" s="67"/>
      <c r="J114" s="67"/>
      <c r="K114" s="67"/>
      <c r="L114" s="934"/>
      <c r="M114" s="912"/>
      <c r="N114" s="67"/>
      <c r="O114" s="67"/>
      <c r="P114" s="67"/>
      <c r="Q114" s="280"/>
      <c r="R114" s="67"/>
      <c r="S114" s="280"/>
      <c r="T114" s="67"/>
      <c r="U114" s="67"/>
      <c r="V114" s="103"/>
      <c r="W114" s="15"/>
      <c r="X114" s="789"/>
      <c r="Y114" s="8"/>
      <c r="Z114" s="8"/>
      <c r="AA114" s="15"/>
      <c r="AB114" s="15"/>
      <c r="AC114" s="15"/>
      <c r="AD114" s="386"/>
      <c r="AE114" s="15"/>
      <c r="AF114" s="386"/>
      <c r="AG114" s="15"/>
      <c r="AH114" s="15"/>
      <c r="AI114" s="8"/>
      <c r="AJ114" s="15"/>
      <c r="AK114" s="836"/>
      <c r="AL114" s="8"/>
      <c r="AM114" s="95"/>
      <c r="AN114" s="15"/>
    </row>
    <row r="115" spans="1:40">
      <c r="A115" s="34"/>
      <c r="B115" s="26" t="s">
        <v>85</v>
      </c>
      <c r="C115" s="121">
        <f t="shared" ref="C115:C123" si="54">W115</f>
        <v>2598340000</v>
      </c>
      <c r="D115" s="78"/>
      <c r="E115" s="67">
        <f t="shared" ref="E115:E123" si="55">C115+D115</f>
        <v>2598340000</v>
      </c>
      <c r="F115" s="280"/>
      <c r="G115" s="78"/>
      <c r="H115" s="280"/>
      <c r="I115" s="78"/>
      <c r="J115" s="67">
        <f t="shared" ref="J115:J123" si="56">E115+G115-I115</f>
        <v>2598340000</v>
      </c>
      <c r="K115" s="67"/>
      <c r="L115" s="934"/>
      <c r="M115" s="912"/>
      <c r="N115" s="121">
        <f t="shared" ref="N115:N123" si="57">W115</f>
        <v>2598340000</v>
      </c>
      <c r="O115" s="78"/>
      <c r="P115" s="67">
        <f t="shared" ref="P115:P123" si="58">N115+O115</f>
        <v>2598340000</v>
      </c>
      <c r="Q115" s="280"/>
      <c r="R115" s="78"/>
      <c r="S115" s="280"/>
      <c r="T115" s="78"/>
      <c r="U115" s="67">
        <f t="shared" ref="U115:U123" si="59">P115+R115-T115</f>
        <v>2598340000</v>
      </c>
      <c r="V115" s="103"/>
      <c r="W115" s="7">
        <v>2598340000</v>
      </c>
      <c r="X115" s="790">
        <v>2598340000</v>
      </c>
      <c r="Y115" s="27">
        <f>W115-X115</f>
        <v>0</v>
      </c>
      <c r="Z115" s="27"/>
      <c r="AA115" s="7">
        <f>AJ115</f>
        <v>2598340000</v>
      </c>
      <c r="AB115" s="7"/>
      <c r="AC115" s="7">
        <f t="shared" ref="AC115:AC123" si="60">AA115+AB115</f>
        <v>2598340000</v>
      </c>
      <c r="AD115" s="50"/>
      <c r="AE115" s="7"/>
      <c r="AF115" s="50"/>
      <c r="AG115" s="7"/>
      <c r="AH115" s="7">
        <f t="shared" ref="AH115:AH123" si="61">ROUND(AC115+AE115-AG115,0)</f>
        <v>2598340000</v>
      </c>
      <c r="AI115" s="27"/>
      <c r="AJ115" s="7">
        <v>2598340000</v>
      </c>
      <c r="AK115" s="837">
        <v>2598340000</v>
      </c>
      <c r="AL115" s="27">
        <f>AJ115-AK115</f>
        <v>0</v>
      </c>
      <c r="AM115" s="95"/>
      <c r="AN115" s="7">
        <v>2598340000</v>
      </c>
    </row>
    <row r="116" spans="1:40">
      <c r="A116" s="34"/>
      <c r="B116" s="26" t="s">
        <v>86</v>
      </c>
      <c r="C116" s="121">
        <f t="shared" si="54"/>
        <v>24671108216</v>
      </c>
      <c r="D116" s="78"/>
      <c r="E116" s="67">
        <f t="shared" si="55"/>
        <v>24671108216</v>
      </c>
      <c r="F116" s="280"/>
      <c r="G116" s="78"/>
      <c r="H116" s="280"/>
      <c r="I116" s="78"/>
      <c r="J116" s="67">
        <f t="shared" si="56"/>
        <v>24671108216</v>
      </c>
      <c r="K116" s="67"/>
      <c r="L116" s="934"/>
      <c r="M116" s="912"/>
      <c r="N116" s="121">
        <f t="shared" si="57"/>
        <v>24671108216</v>
      </c>
      <c r="O116" s="78"/>
      <c r="P116" s="67">
        <f t="shared" si="58"/>
        <v>24671108216</v>
      </c>
      <c r="Q116" s="280"/>
      <c r="R116" s="78"/>
      <c r="S116" s="280"/>
      <c r="T116" s="78"/>
      <c r="U116" s="67">
        <f t="shared" si="59"/>
        <v>24671108216</v>
      </c>
      <c r="V116" s="103"/>
      <c r="W116" s="7">
        <v>24671108216</v>
      </c>
      <c r="X116" s="790">
        <v>24671108216</v>
      </c>
      <c r="Y116" s="27">
        <f>W116-X116</f>
        <v>0</v>
      </c>
      <c r="Z116" s="27"/>
      <c r="AA116" s="7">
        <f t="shared" ref="AA116:AA123" si="62">AJ116</f>
        <v>24671108216</v>
      </c>
      <c r="AB116" s="7"/>
      <c r="AC116" s="7">
        <f t="shared" si="60"/>
        <v>24671108216</v>
      </c>
      <c r="AD116" s="50"/>
      <c r="AE116" s="7"/>
      <c r="AF116" s="50"/>
      <c r="AG116" s="7"/>
      <c r="AH116" s="7">
        <f t="shared" si="61"/>
        <v>24671108216</v>
      </c>
      <c r="AI116" s="27"/>
      <c r="AJ116" s="7">
        <v>24671108216</v>
      </c>
      <c r="AK116" s="837">
        <v>24671108216</v>
      </c>
      <c r="AL116" s="27">
        <f t="shared" ref="AL116:AL124" si="63">AJ116-AK116</f>
        <v>0</v>
      </c>
      <c r="AM116" s="95"/>
      <c r="AN116" s="7">
        <v>24671108216</v>
      </c>
    </row>
    <row r="117" spans="1:40">
      <c r="A117" s="34"/>
      <c r="B117" s="26" t="s">
        <v>87</v>
      </c>
      <c r="C117" s="121">
        <f t="shared" si="54"/>
        <v>12464903552</v>
      </c>
      <c r="D117" s="78"/>
      <c r="E117" s="67">
        <f t="shared" si="55"/>
        <v>12464903552</v>
      </c>
      <c r="F117" s="280"/>
      <c r="G117" s="78"/>
      <c r="H117" s="280"/>
      <c r="I117" s="78"/>
      <c r="J117" s="67">
        <f t="shared" si="56"/>
        <v>12464903552</v>
      </c>
      <c r="K117" s="67"/>
      <c r="L117" s="934"/>
      <c r="M117" s="912"/>
      <c r="N117" s="121">
        <f t="shared" si="57"/>
        <v>12464903552</v>
      </c>
      <c r="O117" s="78"/>
      <c r="P117" s="67">
        <f t="shared" si="58"/>
        <v>12464903552</v>
      </c>
      <c r="Q117" s="280"/>
      <c r="R117" s="78"/>
      <c r="S117" s="280"/>
      <c r="T117" s="78"/>
      <c r="U117" s="67">
        <f t="shared" si="59"/>
        <v>12464903552</v>
      </c>
      <c r="V117" s="103"/>
      <c r="W117" s="7">
        <v>12464903552</v>
      </c>
      <c r="X117" s="790">
        <v>12464903552</v>
      </c>
      <c r="Y117" s="27">
        <f t="shared" ref="Y117:Y149" si="64">W117-X117</f>
        <v>0</v>
      </c>
      <c r="Z117" s="27"/>
      <c r="AA117" s="7">
        <f t="shared" si="62"/>
        <v>12464903552</v>
      </c>
      <c r="AB117" s="7"/>
      <c r="AC117" s="7">
        <f t="shared" si="60"/>
        <v>12464903552</v>
      </c>
      <c r="AD117" s="50"/>
      <c r="AE117" s="7"/>
      <c r="AF117" s="50"/>
      <c r="AG117" s="7"/>
      <c r="AH117" s="7">
        <f t="shared" si="61"/>
        <v>12464903552</v>
      </c>
      <c r="AI117" s="27"/>
      <c r="AJ117" s="7">
        <v>12464903552</v>
      </c>
      <c r="AK117" s="837">
        <v>12464903552</v>
      </c>
      <c r="AL117" s="27">
        <f t="shared" si="63"/>
        <v>0</v>
      </c>
      <c r="AM117" s="95"/>
      <c r="AN117" s="7">
        <v>12427073552</v>
      </c>
    </row>
    <row r="118" spans="1:40">
      <c r="A118" s="34"/>
      <c r="B118" s="26" t="s">
        <v>88</v>
      </c>
      <c r="C118" s="121">
        <f t="shared" si="54"/>
        <v>1630238788</v>
      </c>
      <c r="D118" s="78"/>
      <c r="E118" s="67">
        <f t="shared" si="55"/>
        <v>1630238788</v>
      </c>
      <c r="F118" s="280"/>
      <c r="G118" s="78"/>
      <c r="H118" s="280"/>
      <c r="I118" s="78"/>
      <c r="J118" s="67">
        <f t="shared" si="56"/>
        <v>1630238788</v>
      </c>
      <c r="K118" s="67"/>
      <c r="L118" s="934"/>
      <c r="M118" s="912"/>
      <c r="N118" s="121">
        <f t="shared" si="57"/>
        <v>1630238788</v>
      </c>
      <c r="O118" s="78"/>
      <c r="P118" s="67">
        <f t="shared" si="58"/>
        <v>1630238788</v>
      </c>
      <c r="Q118" s="280"/>
      <c r="R118" s="78"/>
      <c r="S118" s="280"/>
      <c r="T118" s="78"/>
      <c r="U118" s="67">
        <f t="shared" si="59"/>
        <v>1630238788</v>
      </c>
      <c r="V118" s="103"/>
      <c r="W118" s="7">
        <v>1630238788</v>
      </c>
      <c r="X118" s="790">
        <v>1630238788</v>
      </c>
      <c r="Y118" s="27">
        <f t="shared" si="64"/>
        <v>0</v>
      </c>
      <c r="Z118" s="27"/>
      <c r="AA118" s="7">
        <f t="shared" si="62"/>
        <v>1630238788</v>
      </c>
      <c r="AB118" s="7"/>
      <c r="AC118" s="7">
        <f t="shared" si="60"/>
        <v>1630238788</v>
      </c>
      <c r="AD118" s="50"/>
      <c r="AE118" s="7"/>
      <c r="AF118" s="50"/>
      <c r="AG118" s="7"/>
      <c r="AH118" s="7">
        <f t="shared" si="61"/>
        <v>1630238788</v>
      </c>
      <c r="AI118" s="27"/>
      <c r="AJ118" s="7">
        <v>1630238788</v>
      </c>
      <c r="AK118" s="837">
        <v>1630238788</v>
      </c>
      <c r="AL118" s="27">
        <f t="shared" si="63"/>
        <v>0</v>
      </c>
      <c r="AM118" s="95"/>
      <c r="AN118" s="7">
        <v>1431471000</v>
      </c>
    </row>
    <row r="119" spans="1:40">
      <c r="A119" s="34"/>
      <c r="B119" s="26" t="s">
        <v>89</v>
      </c>
      <c r="C119" s="121">
        <f t="shared" si="54"/>
        <v>545000000</v>
      </c>
      <c r="D119" s="78"/>
      <c r="E119" s="67">
        <f t="shared" si="55"/>
        <v>545000000</v>
      </c>
      <c r="F119" s="280"/>
      <c r="G119" s="78"/>
      <c r="H119" s="280"/>
      <c r="I119" s="78"/>
      <c r="J119" s="67">
        <f t="shared" si="56"/>
        <v>545000000</v>
      </c>
      <c r="K119" s="67"/>
      <c r="L119" s="934"/>
      <c r="M119" s="912"/>
      <c r="N119" s="121">
        <f t="shared" si="57"/>
        <v>545000000</v>
      </c>
      <c r="O119" s="78"/>
      <c r="P119" s="67">
        <f t="shared" si="58"/>
        <v>545000000</v>
      </c>
      <c r="Q119" s="280"/>
      <c r="R119" s="78"/>
      <c r="S119" s="280"/>
      <c r="T119" s="78"/>
      <c r="U119" s="67">
        <f t="shared" si="59"/>
        <v>545000000</v>
      </c>
      <c r="V119" s="103"/>
      <c r="W119" s="7">
        <v>545000000</v>
      </c>
      <c r="X119" s="790">
        <v>545000000</v>
      </c>
      <c r="Y119" s="27">
        <f t="shared" si="64"/>
        <v>0</v>
      </c>
      <c r="Z119" s="27"/>
      <c r="AA119" s="7">
        <f t="shared" si="62"/>
        <v>545000000</v>
      </c>
      <c r="AB119" s="7"/>
      <c r="AC119" s="7">
        <f t="shared" si="60"/>
        <v>545000000</v>
      </c>
      <c r="AD119" s="50"/>
      <c r="AE119" s="7"/>
      <c r="AF119" s="50"/>
      <c r="AG119" s="7"/>
      <c r="AH119" s="7">
        <f t="shared" si="61"/>
        <v>545000000</v>
      </c>
      <c r="AI119" s="27"/>
      <c r="AJ119" s="7">
        <v>545000000</v>
      </c>
      <c r="AK119" s="837">
        <v>545000000</v>
      </c>
      <c r="AL119" s="27">
        <f t="shared" si="63"/>
        <v>0</v>
      </c>
      <c r="AM119" s="95"/>
      <c r="AN119" s="7">
        <v>545000000</v>
      </c>
    </row>
    <row r="120" spans="1:40">
      <c r="A120" s="34"/>
      <c r="B120" s="26" t="s">
        <v>90</v>
      </c>
      <c r="C120" s="121">
        <f t="shared" si="54"/>
        <v>234184005</v>
      </c>
      <c r="D120" s="78"/>
      <c r="E120" s="67">
        <f t="shared" si="55"/>
        <v>234184005</v>
      </c>
      <c r="F120" s="280"/>
      <c r="G120" s="78"/>
      <c r="H120" s="280"/>
      <c r="I120" s="78"/>
      <c r="J120" s="67">
        <f t="shared" si="56"/>
        <v>234184005</v>
      </c>
      <c r="K120" s="67"/>
      <c r="L120" s="934"/>
      <c r="M120" s="912"/>
      <c r="N120" s="121">
        <f t="shared" si="57"/>
        <v>234184005</v>
      </c>
      <c r="O120" s="78"/>
      <c r="P120" s="67">
        <f t="shared" si="58"/>
        <v>234184005</v>
      </c>
      <c r="Q120" s="280"/>
      <c r="R120" s="78"/>
      <c r="S120" s="280"/>
      <c r="T120" s="78"/>
      <c r="U120" s="67">
        <f t="shared" si="59"/>
        <v>234184005</v>
      </c>
      <c r="V120" s="103"/>
      <c r="W120" s="7">
        <v>234184005</v>
      </c>
      <c r="X120" s="790">
        <v>234184005</v>
      </c>
      <c r="Y120" s="27">
        <f t="shared" si="64"/>
        <v>0</v>
      </c>
      <c r="Z120" s="27"/>
      <c r="AA120" s="7">
        <f t="shared" si="62"/>
        <v>234184005</v>
      </c>
      <c r="AB120" s="7"/>
      <c r="AC120" s="7">
        <f t="shared" si="60"/>
        <v>234184005</v>
      </c>
      <c r="AD120" s="50"/>
      <c r="AE120" s="7"/>
      <c r="AF120" s="50"/>
      <c r="AG120" s="7"/>
      <c r="AH120" s="7">
        <f t="shared" si="61"/>
        <v>234184005</v>
      </c>
      <c r="AI120" s="27"/>
      <c r="AJ120" s="7">
        <v>234184005</v>
      </c>
      <c r="AK120" s="837">
        <v>234184005</v>
      </c>
      <c r="AL120" s="27">
        <f t="shared" si="63"/>
        <v>0</v>
      </c>
      <c r="AM120" s="95"/>
      <c r="AN120" s="7">
        <v>229134005</v>
      </c>
    </row>
    <row r="121" spans="1:40">
      <c r="A121" s="34"/>
      <c r="B121" s="26" t="s">
        <v>91</v>
      </c>
      <c r="C121" s="121">
        <f t="shared" si="54"/>
        <v>1389452351</v>
      </c>
      <c r="D121" s="78"/>
      <c r="E121" s="67">
        <f t="shared" si="55"/>
        <v>1389452351</v>
      </c>
      <c r="F121" s="280"/>
      <c r="G121" s="78"/>
      <c r="H121" s="280"/>
      <c r="I121" s="78"/>
      <c r="J121" s="67">
        <f t="shared" si="56"/>
        <v>1389452351</v>
      </c>
      <c r="K121" s="67"/>
      <c r="L121" s="934"/>
      <c r="M121" s="912"/>
      <c r="N121" s="121">
        <f t="shared" si="57"/>
        <v>1389452351</v>
      </c>
      <c r="O121" s="78"/>
      <c r="P121" s="67">
        <f t="shared" si="58"/>
        <v>1389452351</v>
      </c>
      <c r="Q121" s="280"/>
      <c r="R121" s="78"/>
      <c r="S121" s="280"/>
      <c r="T121" s="78"/>
      <c r="U121" s="67">
        <f t="shared" si="59"/>
        <v>1389452351</v>
      </c>
      <c r="V121" s="103"/>
      <c r="W121" s="7">
        <v>1389452351</v>
      </c>
      <c r="X121" s="790">
        <v>1389452351</v>
      </c>
      <c r="Y121" s="27">
        <f t="shared" si="64"/>
        <v>0</v>
      </c>
      <c r="Z121" s="27"/>
      <c r="AA121" s="7">
        <f t="shared" si="62"/>
        <v>1389452351</v>
      </c>
      <c r="AB121" s="7"/>
      <c r="AC121" s="7">
        <f t="shared" si="60"/>
        <v>1389452351</v>
      </c>
      <c r="AD121" s="50"/>
      <c r="AE121" s="7"/>
      <c r="AF121" s="50"/>
      <c r="AG121" s="7"/>
      <c r="AH121" s="7">
        <f t="shared" si="61"/>
        <v>1389452351</v>
      </c>
      <c r="AI121" s="27"/>
      <c r="AJ121" s="7">
        <v>1389452351</v>
      </c>
      <c r="AK121" s="837">
        <v>1389452351</v>
      </c>
      <c r="AL121" s="27">
        <f t="shared" si="63"/>
        <v>0</v>
      </c>
      <c r="AM121" s="95"/>
      <c r="AN121" s="7">
        <v>1371567751</v>
      </c>
    </row>
    <row r="122" spans="1:40">
      <c r="A122" s="34"/>
      <c r="B122" s="26" t="s">
        <v>92</v>
      </c>
      <c r="C122" s="121">
        <f t="shared" si="54"/>
        <v>337941600</v>
      </c>
      <c r="D122" s="78"/>
      <c r="E122" s="67">
        <f t="shared" si="55"/>
        <v>337941600</v>
      </c>
      <c r="F122" s="280"/>
      <c r="G122" s="78"/>
      <c r="H122" s="280"/>
      <c r="I122" s="78"/>
      <c r="J122" s="67">
        <f t="shared" si="56"/>
        <v>337941600</v>
      </c>
      <c r="K122" s="67"/>
      <c r="L122" s="934"/>
      <c r="M122" s="912"/>
      <c r="N122" s="121">
        <f t="shared" si="57"/>
        <v>337941600</v>
      </c>
      <c r="O122" s="78"/>
      <c r="P122" s="67">
        <f t="shared" si="58"/>
        <v>337941600</v>
      </c>
      <c r="Q122" s="280"/>
      <c r="R122" s="78"/>
      <c r="S122" s="280"/>
      <c r="T122" s="78"/>
      <c r="U122" s="67">
        <f t="shared" si="59"/>
        <v>337941600</v>
      </c>
      <c r="V122" s="103"/>
      <c r="W122" s="7">
        <v>337941600</v>
      </c>
      <c r="X122" s="790">
        <v>337941600</v>
      </c>
      <c r="Y122" s="27">
        <f t="shared" si="64"/>
        <v>0</v>
      </c>
      <c r="Z122" s="27"/>
      <c r="AA122" s="7">
        <f t="shared" si="62"/>
        <v>337941600</v>
      </c>
      <c r="AB122" s="7"/>
      <c r="AC122" s="7">
        <f t="shared" si="60"/>
        <v>337941600</v>
      </c>
      <c r="AD122" s="50"/>
      <c r="AE122" s="7"/>
      <c r="AF122" s="50"/>
      <c r="AG122" s="7"/>
      <c r="AH122" s="7">
        <f t="shared" si="61"/>
        <v>337941600</v>
      </c>
      <c r="AI122" s="27"/>
      <c r="AJ122" s="7">
        <v>337941600</v>
      </c>
      <c r="AK122" s="837">
        <v>337941600</v>
      </c>
      <c r="AL122" s="27">
        <f t="shared" si="63"/>
        <v>0</v>
      </c>
      <c r="AM122" s="95"/>
      <c r="AN122" s="7">
        <v>337941600</v>
      </c>
    </row>
    <row r="123" spans="1:40">
      <c r="A123" s="34"/>
      <c r="B123" s="26" t="s">
        <v>93</v>
      </c>
      <c r="C123" s="121">
        <f t="shared" si="54"/>
        <v>112970000</v>
      </c>
      <c r="D123" s="78"/>
      <c r="E123" s="67">
        <f t="shared" si="55"/>
        <v>112970000</v>
      </c>
      <c r="F123" s="280"/>
      <c r="G123" s="78"/>
      <c r="H123" s="280"/>
      <c r="I123" s="78"/>
      <c r="J123" s="67">
        <f t="shared" si="56"/>
        <v>112970000</v>
      </c>
      <c r="K123" s="67"/>
      <c r="L123" s="934"/>
      <c r="M123" s="912"/>
      <c r="N123" s="121">
        <f t="shared" si="57"/>
        <v>112970000</v>
      </c>
      <c r="O123" s="78"/>
      <c r="P123" s="67">
        <f t="shared" si="58"/>
        <v>112970000</v>
      </c>
      <c r="Q123" s="280"/>
      <c r="R123" s="78"/>
      <c r="S123" s="280"/>
      <c r="T123" s="78"/>
      <c r="U123" s="67">
        <f t="shared" si="59"/>
        <v>112970000</v>
      </c>
      <c r="V123" s="103"/>
      <c r="W123" s="7">
        <v>112970000</v>
      </c>
      <c r="X123" s="790">
        <v>112970000</v>
      </c>
      <c r="Y123" s="27">
        <f t="shared" si="64"/>
        <v>0</v>
      </c>
      <c r="Z123" s="27"/>
      <c r="AA123" s="7">
        <f t="shared" si="62"/>
        <v>112970000</v>
      </c>
      <c r="AB123" s="7"/>
      <c r="AC123" s="7">
        <f t="shared" si="60"/>
        <v>112970000</v>
      </c>
      <c r="AD123" s="50"/>
      <c r="AE123" s="7"/>
      <c r="AF123" s="50"/>
      <c r="AG123" s="7"/>
      <c r="AH123" s="7">
        <f t="shared" si="61"/>
        <v>112970000</v>
      </c>
      <c r="AI123" s="27"/>
      <c r="AJ123" s="7">
        <v>112970000</v>
      </c>
      <c r="AK123" s="837">
        <v>112970000</v>
      </c>
      <c r="AL123" s="27">
        <f t="shared" si="63"/>
        <v>0</v>
      </c>
      <c r="AM123" s="95"/>
      <c r="AN123" s="7">
        <v>112970000</v>
      </c>
    </row>
    <row r="124" spans="1:40">
      <c r="A124" s="20"/>
      <c r="B124" s="20" t="s">
        <v>94</v>
      </c>
      <c r="C124" s="21">
        <f>SUM(C115:C123)</f>
        <v>43984138512</v>
      </c>
      <c r="D124" s="42"/>
      <c r="E124" s="21">
        <f>SUM(E115:E123)</f>
        <v>43984138512</v>
      </c>
      <c r="F124" s="281"/>
      <c r="G124" s="42"/>
      <c r="H124" s="281"/>
      <c r="I124" s="42"/>
      <c r="J124" s="21">
        <f>SUM(J115:J123)</f>
        <v>43984138512</v>
      </c>
      <c r="K124" s="21"/>
      <c r="L124" s="797"/>
      <c r="M124" s="913"/>
      <c r="N124" s="21">
        <f>SUM(N115:N123)</f>
        <v>43984138512</v>
      </c>
      <c r="O124" s="42"/>
      <c r="P124" s="21">
        <f>SUM(P115:P123)</f>
        <v>43984138512</v>
      </c>
      <c r="Q124" s="281"/>
      <c r="R124" s="42"/>
      <c r="S124" s="281"/>
      <c r="T124" s="42"/>
      <c r="U124" s="21">
        <f>SUM(U115:U123)</f>
        <v>43984138512</v>
      </c>
      <c r="V124" s="442"/>
      <c r="W124" s="21">
        <f>SUM(W115:W123)</f>
        <v>43984138512</v>
      </c>
      <c r="X124" s="791">
        <v>43984138512</v>
      </c>
      <c r="Y124" s="27">
        <f t="shared" si="64"/>
        <v>0</v>
      </c>
      <c r="Z124" s="27"/>
      <c r="AA124" s="21">
        <f>SUM(AA115:AA123)</f>
        <v>43984138512</v>
      </c>
      <c r="AB124" s="21"/>
      <c r="AC124" s="21">
        <f>SUM(AC115:AC123)</f>
        <v>43984138512</v>
      </c>
      <c r="AD124" s="387"/>
      <c r="AE124" s="21"/>
      <c r="AF124" s="387"/>
      <c r="AG124" s="21"/>
      <c r="AH124" s="21">
        <f>SUM(AH115:AH123)</f>
        <v>43984138512</v>
      </c>
      <c r="AI124" s="36"/>
      <c r="AJ124" s="21">
        <f>SUM(AJ115:AJ123)</f>
        <v>43984138512</v>
      </c>
      <c r="AK124" s="838">
        <v>43984138512</v>
      </c>
      <c r="AL124" s="27">
        <f t="shared" si="63"/>
        <v>0</v>
      </c>
      <c r="AM124" s="95"/>
      <c r="AN124" s="21">
        <f>SUM(AN115:AN123)</f>
        <v>43724606124</v>
      </c>
    </row>
    <row r="125" spans="1:40">
      <c r="A125" s="12" t="s">
        <v>95</v>
      </c>
      <c r="B125" s="14"/>
      <c r="C125" s="67"/>
      <c r="D125" s="67"/>
      <c r="E125" s="67"/>
      <c r="F125" s="280"/>
      <c r="G125" s="67"/>
      <c r="H125" s="280"/>
      <c r="I125" s="67"/>
      <c r="J125" s="67"/>
      <c r="K125" s="67"/>
      <c r="L125" s="934"/>
      <c r="M125" s="912"/>
      <c r="N125" s="67"/>
      <c r="O125" s="67"/>
      <c r="P125" s="67"/>
      <c r="Q125" s="280"/>
      <c r="R125" s="67"/>
      <c r="S125" s="280"/>
      <c r="T125" s="67"/>
      <c r="U125" s="67"/>
      <c r="V125" s="103"/>
      <c r="W125" s="15"/>
      <c r="X125" s="789"/>
      <c r="Y125" s="8"/>
      <c r="Z125" s="8"/>
      <c r="AA125" s="15"/>
      <c r="AB125" s="15"/>
      <c r="AC125" s="15"/>
      <c r="AD125" s="386"/>
      <c r="AE125" s="15"/>
      <c r="AF125" s="386"/>
      <c r="AG125" s="15"/>
      <c r="AH125" s="15"/>
      <c r="AI125" s="8"/>
      <c r="AJ125" s="15"/>
      <c r="AK125" s="836"/>
      <c r="AL125" s="8"/>
      <c r="AM125" s="95"/>
      <c r="AN125" s="15"/>
    </row>
    <row r="126" spans="1:40">
      <c r="A126" s="34"/>
      <c r="B126" s="93" t="s">
        <v>96</v>
      </c>
      <c r="C126" s="121">
        <f t="shared" ref="C126:C133" si="65">W126</f>
        <v>7121305004</v>
      </c>
      <c r="D126" s="125">
        <v>-1233555408</v>
      </c>
      <c r="E126" s="125">
        <f t="shared" ref="E126:E133" si="66">C126-D126</f>
        <v>8354860412</v>
      </c>
      <c r="F126" s="280"/>
      <c r="G126" s="125"/>
      <c r="H126" s="280" t="str">
        <f>'AJE CAJE Des 24'!A5</f>
        <v>CAJE 1</v>
      </c>
      <c r="I126" s="125">
        <f>'AJE CAJE Des 24'!G10</f>
        <v>3.2833337783813441</v>
      </c>
      <c r="J126" s="67">
        <f t="shared" ref="J126:J133" si="67">E126-G126+I126</f>
        <v>8354860415.2833338</v>
      </c>
      <c r="K126" s="67"/>
      <c r="L126" s="934"/>
      <c r="M126" s="912"/>
      <c r="N126" s="121">
        <f t="shared" ref="N126:N133" si="68">W126</f>
        <v>7121305004</v>
      </c>
      <c r="O126" s="125">
        <v>-925166556</v>
      </c>
      <c r="P126" s="125">
        <f t="shared" ref="P126:P133" si="69">N126-O126</f>
        <v>8046471560</v>
      </c>
      <c r="Q126" s="280"/>
      <c r="R126" s="125"/>
      <c r="S126" s="280" t="str">
        <f>'AJE CAJE Sept 24'!B10</f>
        <v>CAJE 2</v>
      </c>
      <c r="T126" s="125">
        <f>'AJE CAJE Sept 24'!H10</f>
        <v>3</v>
      </c>
      <c r="U126" s="67">
        <f t="shared" ref="U126:U133" si="70">P126-R126+T126</f>
        <v>8046471563</v>
      </c>
      <c r="V126" s="103"/>
      <c r="W126" s="7">
        <v>7121305004</v>
      </c>
      <c r="X126" s="794">
        <v>7121305004</v>
      </c>
      <c r="Y126" s="27">
        <f t="shared" si="64"/>
        <v>0</v>
      </c>
      <c r="Z126" s="27"/>
      <c r="AA126" s="7">
        <f>AJ126</f>
        <v>5887749593.6833344</v>
      </c>
      <c r="AB126" s="7">
        <v>-933347847</v>
      </c>
      <c r="AC126" s="7">
        <f>AA126-AB126</f>
        <v>6821097440.6833344</v>
      </c>
      <c r="AD126" s="50" t="str">
        <f>'AJE CAJE Sept 23'!B5</f>
        <v>CAJE 1</v>
      </c>
      <c r="AE126" s="7">
        <f>'AJE CAJE Sept 23'!G12</f>
        <v>8181288.8999999799</v>
      </c>
      <c r="AF126" s="50"/>
      <c r="AG126" s="7"/>
      <c r="AH126" s="7">
        <f>ROUND(AC126-AE126+AG126,0)</f>
        <v>6812916152</v>
      </c>
      <c r="AI126" s="27"/>
      <c r="AJ126" s="7">
        <v>5887749593.6833344</v>
      </c>
      <c r="AK126" s="841">
        <v>5887749593.6833344</v>
      </c>
      <c r="AL126" s="27">
        <f>AJ126-AK126</f>
        <v>0</v>
      </c>
      <c r="AM126" s="95"/>
      <c r="AN126" s="27">
        <v>4654194182.8833332</v>
      </c>
    </row>
    <row r="127" spans="1:40">
      <c r="A127" s="34"/>
      <c r="B127" s="93" t="s">
        <v>97</v>
      </c>
      <c r="C127" s="121">
        <f t="shared" si="65"/>
        <v>6038277169</v>
      </c>
      <c r="D127" s="125">
        <v>-779056476</v>
      </c>
      <c r="E127" s="125">
        <f t="shared" si="66"/>
        <v>6817333645</v>
      </c>
      <c r="F127" s="280" t="str">
        <f>'AJE CAJE Des 24'!A6</f>
        <v>CAJE 1</v>
      </c>
      <c r="G127" s="125">
        <f>'AJE CAJE Des 24'!F7</f>
        <v>4.4739589691162109</v>
      </c>
      <c r="H127" s="280"/>
      <c r="I127" s="125"/>
      <c r="J127" s="67">
        <f t="shared" si="67"/>
        <v>6817333640.526041</v>
      </c>
      <c r="K127" s="67"/>
      <c r="L127" s="934"/>
      <c r="M127" s="912"/>
      <c r="N127" s="121">
        <f t="shared" si="68"/>
        <v>6038277169</v>
      </c>
      <c r="O127" s="125">
        <v>-584292357</v>
      </c>
      <c r="P127" s="125">
        <f t="shared" si="69"/>
        <v>6622569526</v>
      </c>
      <c r="Q127" s="280"/>
      <c r="R127" s="125"/>
      <c r="S127" s="280" t="str">
        <f>'AJE CAJE Sept 24'!B11</f>
        <v>CAJE 2</v>
      </c>
      <c r="T127" s="125">
        <f>'AJE CAJE Sept 24'!H11</f>
        <v>63019277.937499002</v>
      </c>
      <c r="U127" s="67">
        <f t="shared" si="70"/>
        <v>6685588803.937499</v>
      </c>
      <c r="V127" s="103"/>
      <c r="W127" s="7">
        <v>6038277169</v>
      </c>
      <c r="X127" s="794">
        <v>6038277169</v>
      </c>
      <c r="Y127" s="27">
        <f t="shared" si="64"/>
        <v>0</v>
      </c>
      <c r="Z127" s="27"/>
      <c r="AA127" s="7">
        <f t="shared" ref="AA127:AA133" si="71">AJ127</f>
        <v>5259220696.526042</v>
      </c>
      <c r="AB127" s="7">
        <v>-590292348</v>
      </c>
      <c r="AC127" s="7">
        <f t="shared" ref="AC127:AC133" si="72">AA127-AB127</f>
        <v>5849513044.526042</v>
      </c>
      <c r="AD127" s="50" t="str">
        <f>'AJE CAJE Sept 23'!B6</f>
        <v>CAJE 1</v>
      </c>
      <c r="AE127" s="7">
        <f>'AJE CAJE Sept 23'!G5</f>
        <v>5999994</v>
      </c>
      <c r="AF127" s="50"/>
      <c r="AG127" s="7"/>
      <c r="AH127" s="7">
        <f t="shared" ref="AH127:AH133" si="73">ROUND(AC127-AE127+AG127,0)</f>
        <v>5843513051</v>
      </c>
      <c r="AI127" s="27"/>
      <c r="AJ127" s="7">
        <v>5259220696.526042</v>
      </c>
      <c r="AK127" s="841">
        <v>5259220696.526042</v>
      </c>
      <c r="AL127" s="27">
        <f t="shared" ref="AL127:AL134" si="74">AJ127-AK127</f>
        <v>0</v>
      </c>
      <c r="AM127" s="95"/>
      <c r="AN127" s="27">
        <v>4481937505.776042</v>
      </c>
    </row>
    <row r="128" spans="1:40">
      <c r="A128" s="34"/>
      <c r="B128" s="26" t="s">
        <v>98</v>
      </c>
      <c r="C128" s="121">
        <f t="shared" si="65"/>
        <v>983355262</v>
      </c>
      <c r="D128" s="78">
        <v>-228154848</v>
      </c>
      <c r="E128" s="125">
        <f t="shared" si="66"/>
        <v>1211510110</v>
      </c>
      <c r="F128" s="280" t="s">
        <v>975</v>
      </c>
      <c r="G128" s="78">
        <f>'AJE CAJE Des 24'!F9+'AJE CAJE Des 24'!F18</f>
        <v>24375000</v>
      </c>
      <c r="H128" s="280"/>
      <c r="I128" s="78"/>
      <c r="J128" s="67">
        <f t="shared" si="67"/>
        <v>1187135110</v>
      </c>
      <c r="K128" s="67"/>
      <c r="L128" s="934"/>
      <c r="M128" s="912"/>
      <c r="N128" s="121">
        <f t="shared" si="68"/>
        <v>983355262</v>
      </c>
      <c r="O128" s="78">
        <v>-171116136</v>
      </c>
      <c r="P128" s="125">
        <f t="shared" si="69"/>
        <v>1154471398</v>
      </c>
      <c r="Q128" s="280" t="str">
        <f>'AJE CAJE Sept 24'!B6</f>
        <v>CAJE 1</v>
      </c>
      <c r="R128" s="78">
        <f>'AJE CAJE Sept 24'!G6</f>
        <v>13076155.875</v>
      </c>
      <c r="S128" s="280"/>
      <c r="T128" s="78"/>
      <c r="U128" s="67">
        <f t="shared" si="70"/>
        <v>1141395242.125</v>
      </c>
      <c r="V128" s="103"/>
      <c r="W128" s="7">
        <v>983355262</v>
      </c>
      <c r="X128" s="794">
        <v>983355262</v>
      </c>
      <c r="Y128" s="27">
        <f t="shared" si="64"/>
        <v>0</v>
      </c>
      <c r="Z128" s="27"/>
      <c r="AA128" s="7">
        <f t="shared" si="71"/>
        <v>779575411</v>
      </c>
      <c r="AB128" s="7">
        <v>-171116136</v>
      </c>
      <c r="AC128" s="7">
        <f t="shared" si="72"/>
        <v>950691547</v>
      </c>
      <c r="AD128" s="50" t="str">
        <f>'AJE CAJE Sept 23'!B49</f>
        <v>RLKS 3</v>
      </c>
      <c r="AE128" s="7">
        <f>'AJE CAJE Sept 23'!G49</f>
        <v>18281250</v>
      </c>
      <c r="AF128" s="50"/>
      <c r="AG128" s="7">
        <f>'AJE CAJE Sept 23'!H53</f>
        <v>2</v>
      </c>
      <c r="AH128" s="7">
        <f t="shared" si="73"/>
        <v>932410299</v>
      </c>
      <c r="AI128" s="27"/>
      <c r="AJ128" s="7">
        <v>779575411</v>
      </c>
      <c r="AK128" s="841">
        <v>779575411</v>
      </c>
      <c r="AL128" s="27">
        <f t="shared" si="74"/>
        <v>0</v>
      </c>
      <c r="AM128" s="95"/>
      <c r="AN128" s="27">
        <v>575795562.5</v>
      </c>
    </row>
    <row r="129" spans="1:40">
      <c r="A129" s="34"/>
      <c r="B129" s="26" t="s">
        <v>99</v>
      </c>
      <c r="C129" s="121">
        <f t="shared" si="65"/>
        <v>526718750</v>
      </c>
      <c r="D129" s="78"/>
      <c r="E129" s="125">
        <f t="shared" si="66"/>
        <v>526718750</v>
      </c>
      <c r="F129" s="280"/>
      <c r="G129" s="78"/>
      <c r="H129" s="280" t="str">
        <f>'AJE CAJE Des 24'!A19</f>
        <v>RLKS 1</v>
      </c>
      <c r="I129" s="78">
        <f>'AJE CAJE Des 24'!G19</f>
        <v>18281250</v>
      </c>
      <c r="J129" s="67">
        <f t="shared" si="67"/>
        <v>545000000</v>
      </c>
      <c r="K129" s="67"/>
      <c r="L129" s="934"/>
      <c r="M129" s="912"/>
      <c r="N129" s="121">
        <f t="shared" si="68"/>
        <v>526718750</v>
      </c>
      <c r="O129" s="78"/>
      <c r="P129" s="125">
        <f t="shared" si="69"/>
        <v>526718750</v>
      </c>
      <c r="Q129" s="280"/>
      <c r="R129" s="78"/>
      <c r="S129" s="280" t="str">
        <f>'AJE CAJE Sept 24'!B8</f>
        <v>CAJE 1</v>
      </c>
      <c r="T129" s="78">
        <f>'AJE CAJE Sept 24'!H8</f>
        <v>18281250</v>
      </c>
      <c r="U129" s="67">
        <f t="shared" si="70"/>
        <v>545000000</v>
      </c>
      <c r="V129" s="103"/>
      <c r="W129" s="7">
        <v>526718750</v>
      </c>
      <c r="X129" s="794">
        <v>526718750</v>
      </c>
      <c r="Y129" s="27">
        <f t="shared" si="64"/>
        <v>0</v>
      </c>
      <c r="Z129" s="27"/>
      <c r="AA129" s="7">
        <f t="shared" si="71"/>
        <v>502343750</v>
      </c>
      <c r="AB129" s="7"/>
      <c r="AC129" s="7">
        <f t="shared" si="72"/>
        <v>502343750</v>
      </c>
      <c r="AD129" s="50"/>
      <c r="AE129" s="7"/>
      <c r="AF129" s="50" t="str">
        <f>'AJE CAJE Sept 23'!B50</f>
        <v>RLKS 3</v>
      </c>
      <c r="AG129" s="7">
        <f>'AJE CAJE Sept 23'!H50</f>
        <v>18281250</v>
      </c>
      <c r="AH129" s="7">
        <f t="shared" si="73"/>
        <v>520625000</v>
      </c>
      <c r="AI129" s="27"/>
      <c r="AJ129" s="7">
        <v>502343750</v>
      </c>
      <c r="AK129" s="841">
        <v>502343750</v>
      </c>
      <c r="AL129" s="27">
        <f t="shared" si="74"/>
        <v>0</v>
      </c>
      <c r="AM129" s="95"/>
      <c r="AN129" s="27">
        <v>463385416.66666669</v>
      </c>
    </row>
    <row r="130" spans="1:40">
      <c r="A130" s="34"/>
      <c r="B130" s="26" t="s">
        <v>100</v>
      </c>
      <c r="C130" s="121">
        <f t="shared" si="65"/>
        <v>221690505</v>
      </c>
      <c r="D130" s="78">
        <v>-12401832</v>
      </c>
      <c r="E130" s="125">
        <f t="shared" si="66"/>
        <v>234092337</v>
      </c>
      <c r="F130" s="280" t="s">
        <v>571</v>
      </c>
      <c r="G130" s="78">
        <f>'AJE CAJE Des 24'!F8</f>
        <v>2289582</v>
      </c>
      <c r="H130" s="280"/>
      <c r="I130" s="78"/>
      <c r="J130" s="67">
        <f t="shared" si="67"/>
        <v>231802755</v>
      </c>
      <c r="K130" s="67"/>
      <c r="L130" s="934"/>
      <c r="M130" s="912"/>
      <c r="N130" s="121">
        <f t="shared" si="68"/>
        <v>221690505</v>
      </c>
      <c r="O130" s="78">
        <v>-9301374</v>
      </c>
      <c r="P130" s="125">
        <f t="shared" si="69"/>
        <v>230991879</v>
      </c>
      <c r="Q130" s="280" t="str">
        <f>'AJE CAJE Sept 24'!B10</f>
        <v>CAJE 2</v>
      </c>
      <c r="R130" s="78">
        <f>'AJE CAJE Sept 24'!G12</f>
        <v>340165.66666659701</v>
      </c>
      <c r="S130" s="280"/>
      <c r="T130" s="78"/>
      <c r="U130" s="67">
        <f t="shared" si="70"/>
        <v>230651713.3333334</v>
      </c>
      <c r="V130" s="103"/>
      <c r="W130" s="7">
        <v>221690505</v>
      </c>
      <c r="X130" s="794">
        <v>221690505</v>
      </c>
      <c r="Y130" s="27">
        <f t="shared" si="64"/>
        <v>0</v>
      </c>
      <c r="Z130" s="27"/>
      <c r="AA130" s="7">
        <f t="shared" si="71"/>
        <v>202395263.22916669</v>
      </c>
      <c r="AB130" s="7">
        <v>-14973244</v>
      </c>
      <c r="AC130" s="7">
        <f t="shared" si="72"/>
        <v>217368507.22916669</v>
      </c>
      <c r="AD130" s="50" t="str">
        <f>'AJE CAJE Sept 23'!B9</f>
        <v>CAJE 1</v>
      </c>
      <c r="AE130" s="7">
        <f>'AJE CAJE Sept 23'!G6</f>
        <v>133252.22916666599</v>
      </c>
      <c r="AF130" s="50"/>
      <c r="AG130" s="7"/>
      <c r="AH130" s="7">
        <f t="shared" si="73"/>
        <v>217235255</v>
      </c>
      <c r="AI130" s="27"/>
      <c r="AJ130" s="7">
        <v>202395263.22916669</v>
      </c>
      <c r="AK130" s="841">
        <v>202395263.22916669</v>
      </c>
      <c r="AL130" s="27">
        <f t="shared" si="74"/>
        <v>0</v>
      </c>
      <c r="AM130" s="95"/>
      <c r="AN130" s="27">
        <v>174858778.64583337</v>
      </c>
    </row>
    <row r="131" spans="1:40">
      <c r="A131" s="34"/>
      <c r="B131" s="26" t="s">
        <v>101</v>
      </c>
      <c r="C131" s="121">
        <f t="shared" si="65"/>
        <v>1367237044</v>
      </c>
      <c r="D131" s="78">
        <v>-18968580</v>
      </c>
      <c r="E131" s="125">
        <f t="shared" si="66"/>
        <v>1386205624</v>
      </c>
      <c r="F131" s="280" t="s">
        <v>571</v>
      </c>
      <c r="G131" s="78">
        <f>'AJE CAJE Des 24'!F6</f>
        <v>5036130.8333335686</v>
      </c>
      <c r="H131" s="280"/>
      <c r="I131" s="78"/>
      <c r="J131" s="67">
        <f t="shared" si="67"/>
        <v>1381169493.1666665</v>
      </c>
      <c r="K131" s="67"/>
      <c r="L131" s="934"/>
      <c r="M131" s="912"/>
      <c r="N131" s="121">
        <f t="shared" si="68"/>
        <v>1367237044</v>
      </c>
      <c r="O131" s="78">
        <v>-14226435</v>
      </c>
      <c r="P131" s="125">
        <f t="shared" si="69"/>
        <v>1381463479</v>
      </c>
      <c r="Q131" s="280" t="str">
        <f>'AJE CAJE Sept 24'!B13</f>
        <v>CAJE 2</v>
      </c>
      <c r="R131" s="78">
        <f>'AJE CAJE Sept 24'!G13</f>
        <v>2364210.83333349</v>
      </c>
      <c r="S131" s="280"/>
      <c r="T131" s="78"/>
      <c r="U131" s="67">
        <f t="shared" si="70"/>
        <v>1379099268.1666665</v>
      </c>
      <c r="V131" s="103"/>
      <c r="W131" s="7">
        <v>1367237044</v>
      </c>
      <c r="X131" s="794">
        <v>1367237044</v>
      </c>
      <c r="Y131" s="27">
        <f t="shared" si="64"/>
        <v>0</v>
      </c>
      <c r="Z131" s="27"/>
      <c r="AA131" s="7">
        <f t="shared" si="71"/>
        <v>1323116932.5624995</v>
      </c>
      <c r="AB131" s="7">
        <v>-33090084</v>
      </c>
      <c r="AC131" s="7">
        <f t="shared" si="72"/>
        <v>1356207016.5624995</v>
      </c>
      <c r="AD131" s="50" t="str">
        <f>'AJE CAJE Sept 23'!B10</f>
        <v>CAJE 1</v>
      </c>
      <c r="AE131" s="7">
        <f>'AJE CAJE Sept 23'!G13</f>
        <v>0.5625</v>
      </c>
      <c r="AF131" s="50"/>
      <c r="AG131" s="7"/>
      <c r="AH131" s="7">
        <f t="shared" si="73"/>
        <v>1356207016</v>
      </c>
      <c r="AI131" s="27"/>
      <c r="AJ131" s="7">
        <v>1323116932.5624995</v>
      </c>
      <c r="AK131" s="841">
        <v>1323116932.5624995</v>
      </c>
      <c r="AL131" s="27">
        <f t="shared" si="74"/>
        <v>0</v>
      </c>
      <c r="AM131" s="95"/>
      <c r="AN131" s="27">
        <v>1279490989.7499995</v>
      </c>
    </row>
    <row r="132" spans="1:40">
      <c r="A132" s="34"/>
      <c r="B132" s="26" t="s">
        <v>102</v>
      </c>
      <c r="C132" s="121">
        <f t="shared" si="65"/>
        <v>310221206</v>
      </c>
      <c r="D132" s="78">
        <v>-26018820</v>
      </c>
      <c r="E132" s="125">
        <f t="shared" si="66"/>
        <v>336240026</v>
      </c>
      <c r="F132" s="280" t="s">
        <v>571</v>
      </c>
      <c r="G132" s="78">
        <f>'AJE CAJE Des 24'!F5</f>
        <v>5655776</v>
      </c>
      <c r="H132" s="280"/>
      <c r="I132" s="78"/>
      <c r="J132" s="67">
        <f t="shared" si="67"/>
        <v>330584250</v>
      </c>
      <c r="K132" s="67"/>
      <c r="L132" s="934"/>
      <c r="M132" s="912"/>
      <c r="N132" s="121">
        <f t="shared" si="68"/>
        <v>310221206</v>
      </c>
      <c r="O132" s="78">
        <v>-19514115</v>
      </c>
      <c r="P132" s="125">
        <f t="shared" si="69"/>
        <v>329735321</v>
      </c>
      <c r="Q132" s="280"/>
      <c r="R132" s="78"/>
      <c r="S132" s="280" t="str">
        <f>'AJE CAJE Sept 24'!B14</f>
        <v>CAJE 2</v>
      </c>
      <c r="T132" s="78">
        <f>'AJE CAJE Sept 24'!H14</f>
        <v>4</v>
      </c>
      <c r="U132" s="67">
        <f t="shared" si="70"/>
        <v>329735325</v>
      </c>
      <c r="V132" s="103"/>
      <c r="W132" s="7">
        <v>310221206</v>
      </c>
      <c r="X132" s="794">
        <v>310221206</v>
      </c>
      <c r="Y132" s="27">
        <f t="shared" si="64"/>
        <v>0</v>
      </c>
      <c r="Z132" s="27"/>
      <c r="AA132" s="7">
        <f t="shared" si="71"/>
        <v>284202381.25</v>
      </c>
      <c r="AB132" s="7">
        <v>-19514115</v>
      </c>
      <c r="AC132" s="7">
        <f t="shared" si="72"/>
        <v>303716496.25</v>
      </c>
      <c r="AD132" s="50"/>
      <c r="AE132" s="7"/>
      <c r="AF132" s="50" t="s">
        <v>571</v>
      </c>
      <c r="AG132" s="7">
        <f>'AJE CAJE Sept 23'!H8</f>
        <v>3.75</v>
      </c>
      <c r="AH132" s="7">
        <f t="shared" si="73"/>
        <v>303716500</v>
      </c>
      <c r="AI132" s="27"/>
      <c r="AJ132" s="7">
        <v>284202381.25</v>
      </c>
      <c r="AK132" s="841">
        <v>284202381.25</v>
      </c>
      <c r="AL132" s="27">
        <f t="shared" si="74"/>
        <v>0</v>
      </c>
      <c r="AM132" s="95"/>
      <c r="AN132" s="27">
        <v>246015650</v>
      </c>
    </row>
    <row r="133" spans="1:40">
      <c r="A133" s="34"/>
      <c r="B133" s="26" t="s">
        <v>103</v>
      </c>
      <c r="C133" s="121">
        <f t="shared" si="65"/>
        <v>112970000</v>
      </c>
      <c r="D133" s="78"/>
      <c r="E133" s="125">
        <f t="shared" si="66"/>
        <v>112970000</v>
      </c>
      <c r="F133" s="280"/>
      <c r="G133" s="78"/>
      <c r="H133" s="280"/>
      <c r="I133" s="78"/>
      <c r="J133" s="67">
        <f t="shared" si="67"/>
        <v>112970000</v>
      </c>
      <c r="K133" s="67"/>
      <c r="L133" s="934"/>
      <c r="M133" s="912"/>
      <c r="N133" s="121">
        <f t="shared" si="68"/>
        <v>112970000</v>
      </c>
      <c r="O133" s="78"/>
      <c r="P133" s="125">
        <f t="shared" si="69"/>
        <v>112970000</v>
      </c>
      <c r="Q133" s="280"/>
      <c r="R133" s="78"/>
      <c r="S133" s="280"/>
      <c r="T133" s="78"/>
      <c r="U133" s="67">
        <f t="shared" si="70"/>
        <v>112970000</v>
      </c>
      <c r="V133" s="103"/>
      <c r="W133" s="7">
        <v>112970000</v>
      </c>
      <c r="X133" s="794">
        <v>112970000</v>
      </c>
      <c r="Y133" s="27">
        <f t="shared" si="64"/>
        <v>0</v>
      </c>
      <c r="Z133" s="27"/>
      <c r="AA133" s="7">
        <f t="shared" si="71"/>
        <v>112970000</v>
      </c>
      <c r="AB133" s="7"/>
      <c r="AC133" s="7">
        <f t="shared" si="72"/>
        <v>112970000</v>
      </c>
      <c r="AD133" s="50"/>
      <c r="AE133" s="7"/>
      <c r="AF133" s="50"/>
      <c r="AG133" s="7"/>
      <c r="AH133" s="7">
        <f t="shared" si="73"/>
        <v>112970000</v>
      </c>
      <c r="AI133" s="27"/>
      <c r="AJ133" s="7">
        <v>112970000</v>
      </c>
      <c r="AK133" s="841">
        <v>112970000</v>
      </c>
      <c r="AL133" s="27">
        <f t="shared" si="74"/>
        <v>0</v>
      </c>
      <c r="AM133" s="95"/>
      <c r="AN133" s="27">
        <v>96085000</v>
      </c>
    </row>
    <row r="134" spans="1:40">
      <c r="A134" s="20"/>
      <c r="B134" s="20" t="s">
        <v>104</v>
      </c>
      <c r="C134" s="21">
        <f>SUM(C126:C133)</f>
        <v>16681774940</v>
      </c>
      <c r="D134" s="42"/>
      <c r="E134" s="21">
        <f>SUM(E126:E133)</f>
        <v>18979930904</v>
      </c>
      <c r="F134" s="281"/>
      <c r="G134" s="42"/>
      <c r="H134" s="281"/>
      <c r="I134" s="42"/>
      <c r="J134" s="21">
        <f>SUM(J126:J133)</f>
        <v>18960855663.976044</v>
      </c>
      <c r="K134" s="21"/>
      <c r="L134" s="797"/>
      <c r="M134" s="913"/>
      <c r="N134" s="21">
        <f>SUM(N126:N133)</f>
        <v>16681774940</v>
      </c>
      <c r="O134" s="42"/>
      <c r="P134" s="21">
        <f>SUM(P126:P133)</f>
        <v>18405391913</v>
      </c>
      <c r="Q134" s="281"/>
      <c r="R134" s="42"/>
      <c r="S134" s="281"/>
      <c r="T134" s="42"/>
      <c r="U134" s="21">
        <f>SUM(U126:U133)</f>
        <v>18470911915.5625</v>
      </c>
      <c r="V134" s="442"/>
      <c r="W134" s="21">
        <f>SUM(W126:W133)</f>
        <v>16681774940</v>
      </c>
      <c r="X134" s="791">
        <v>16681774940</v>
      </c>
      <c r="Y134" s="27">
        <f t="shared" si="64"/>
        <v>0</v>
      </c>
      <c r="Z134" s="27"/>
      <c r="AA134" s="21">
        <f>SUM(AA126:AA133)</f>
        <v>14351574028.251043</v>
      </c>
      <c r="AB134" s="21"/>
      <c r="AC134" s="21">
        <f>SUM(AC126:AC133)</f>
        <v>16113907802.251043</v>
      </c>
      <c r="AD134" s="387"/>
      <c r="AE134" s="21"/>
      <c r="AF134" s="387"/>
      <c r="AG134" s="21"/>
      <c r="AH134" s="21">
        <f>SUM(AH126:AH133)</f>
        <v>16099593273</v>
      </c>
      <c r="AI134" s="36"/>
      <c r="AJ134" s="21">
        <f>SUM(AJ126:AJ133)</f>
        <v>14351574028.251043</v>
      </c>
      <c r="AK134" s="838">
        <v>14351574028.251043</v>
      </c>
      <c r="AL134" s="27">
        <f t="shared" si="74"/>
        <v>0</v>
      </c>
      <c r="AM134" s="95"/>
      <c r="AN134" s="21">
        <f>SUM(AN126:AN133)</f>
        <v>11971763086.221874</v>
      </c>
    </row>
    <row r="135" spans="1:40">
      <c r="A135" s="12" t="s">
        <v>105</v>
      </c>
      <c r="B135" s="12"/>
      <c r="C135" s="89"/>
      <c r="D135" s="89"/>
      <c r="E135" s="89"/>
      <c r="F135" s="280"/>
      <c r="G135" s="89"/>
      <c r="H135" s="280"/>
      <c r="I135" s="89"/>
      <c r="J135" s="89"/>
      <c r="K135" s="89"/>
      <c r="L135" s="933"/>
      <c r="M135" s="911"/>
      <c r="N135" s="89"/>
      <c r="O135" s="89"/>
      <c r="P135" s="89"/>
      <c r="Q135" s="280"/>
      <c r="R135" s="89"/>
      <c r="S135" s="280"/>
      <c r="T135" s="89"/>
      <c r="U135" s="89"/>
      <c r="V135" s="106"/>
      <c r="W135" s="36"/>
      <c r="X135" s="797"/>
      <c r="Y135" s="36"/>
      <c r="Z135" s="36"/>
      <c r="AA135" s="36"/>
      <c r="AB135" s="36"/>
      <c r="AC135" s="36"/>
      <c r="AD135" s="371"/>
      <c r="AE135" s="36"/>
      <c r="AF135" s="371"/>
      <c r="AG135" s="36"/>
      <c r="AH135" s="36"/>
      <c r="AI135" s="36"/>
      <c r="AJ135" s="36"/>
      <c r="AK135" s="845"/>
      <c r="AL135" s="36"/>
      <c r="AM135" s="95"/>
      <c r="AN135" s="36"/>
    </row>
    <row r="136" spans="1:40">
      <c r="A136" s="14"/>
      <c r="B136" s="14" t="s">
        <v>106</v>
      </c>
      <c r="C136" s="121">
        <f t="shared" ref="C136:C137" si="75">W136</f>
        <v>0</v>
      </c>
      <c r="D136" s="67"/>
      <c r="E136" s="67">
        <f>C136+D136</f>
        <v>0</v>
      </c>
      <c r="F136" s="280"/>
      <c r="G136" s="67"/>
      <c r="H136" s="280"/>
      <c r="I136" s="67"/>
      <c r="J136" s="67">
        <f>E136+G136-I136</f>
        <v>0</v>
      </c>
      <c r="K136" s="67"/>
      <c r="L136" s="934"/>
      <c r="M136" s="912"/>
      <c r="N136" s="121">
        <f>W136</f>
        <v>0</v>
      </c>
      <c r="O136" s="67"/>
      <c r="P136" s="67">
        <f>N136+O136</f>
        <v>0</v>
      </c>
      <c r="Q136" s="280"/>
      <c r="R136" s="67"/>
      <c r="S136" s="280"/>
      <c r="T136" s="67"/>
      <c r="U136" s="67">
        <f>P136+R136-T136</f>
        <v>0</v>
      </c>
      <c r="V136" s="103"/>
      <c r="W136" s="7">
        <v>0</v>
      </c>
      <c r="X136" s="798">
        <v>0</v>
      </c>
      <c r="Y136" s="27">
        <f t="shared" si="64"/>
        <v>0</v>
      </c>
      <c r="Z136" s="27"/>
      <c r="AA136" s="7">
        <f>AJ136</f>
        <v>0</v>
      </c>
      <c r="AB136" s="7">
        <v>-168752996</v>
      </c>
      <c r="AC136" s="7">
        <f>AA136+AB136</f>
        <v>-168752996</v>
      </c>
      <c r="AD136" s="50" t="str">
        <f>'AJE CAJE Sept 23'!B40</f>
        <v>CAJE 7</v>
      </c>
      <c r="AE136" s="7">
        <f>'AJE CAJE Sept 23'!G40</f>
        <v>168752996</v>
      </c>
      <c r="AF136" s="50"/>
      <c r="AG136" s="7"/>
      <c r="AH136" s="7">
        <f>ROUND(AC136+AE136-AG136,0)</f>
        <v>0</v>
      </c>
      <c r="AI136" s="27"/>
      <c r="AJ136" s="7">
        <v>0</v>
      </c>
      <c r="AK136" s="846">
        <v>0</v>
      </c>
      <c r="AL136" s="27"/>
      <c r="AM136" s="95"/>
      <c r="AN136" s="7">
        <v>0</v>
      </c>
    </row>
    <row r="137" spans="1:40">
      <c r="A137" s="14"/>
      <c r="B137" s="14" t="s">
        <v>107</v>
      </c>
      <c r="C137" s="121">
        <f t="shared" si="75"/>
        <v>0</v>
      </c>
      <c r="D137" s="67"/>
      <c r="E137" s="67">
        <f>C137+D137</f>
        <v>0</v>
      </c>
      <c r="F137" s="280"/>
      <c r="G137" s="67"/>
      <c r="H137" s="280"/>
      <c r="I137" s="67"/>
      <c r="J137" s="67">
        <f>E137+G137-I137</f>
        <v>0</v>
      </c>
      <c r="K137" s="67"/>
      <c r="L137" s="934"/>
      <c r="M137" s="912"/>
      <c r="N137" s="121">
        <f>W137</f>
        <v>0</v>
      </c>
      <c r="O137" s="67"/>
      <c r="P137" s="67">
        <f>N137+O137</f>
        <v>0</v>
      </c>
      <c r="Q137" s="280"/>
      <c r="R137" s="67"/>
      <c r="S137" s="280"/>
      <c r="T137" s="67"/>
      <c r="U137" s="67">
        <f>P137+R137-T137</f>
        <v>0</v>
      </c>
      <c r="V137" s="103"/>
      <c r="W137" s="7">
        <v>0</v>
      </c>
      <c r="X137" s="798">
        <v>0</v>
      </c>
      <c r="Y137" s="27">
        <f t="shared" si="64"/>
        <v>0</v>
      </c>
      <c r="Z137" s="27"/>
      <c r="AA137" s="7">
        <f>AJ137</f>
        <v>0</v>
      </c>
      <c r="AB137" s="7">
        <v>-192000000</v>
      </c>
      <c r="AC137" s="7">
        <f>AA137+AB137</f>
        <v>-192000000</v>
      </c>
      <c r="AD137" s="50" t="str">
        <f>'AJE CAJE Sept 23'!B41</f>
        <v>CAJE 7</v>
      </c>
      <c r="AE137" s="7">
        <f>'AJE CAJE Sept 23'!G41</f>
        <v>192000000</v>
      </c>
      <c r="AF137" s="50"/>
      <c r="AG137" s="7"/>
      <c r="AH137" s="7">
        <f>ROUND(AC137+AE137-AG137,0)</f>
        <v>0</v>
      </c>
      <c r="AI137" s="27"/>
      <c r="AJ137" s="7">
        <v>0</v>
      </c>
      <c r="AK137" s="846">
        <v>0</v>
      </c>
      <c r="AL137" s="27"/>
      <c r="AM137" s="95"/>
      <c r="AN137" s="7">
        <v>0</v>
      </c>
    </row>
    <row r="138" spans="1:40">
      <c r="A138" s="20"/>
      <c r="B138" s="20" t="s">
        <v>108</v>
      </c>
      <c r="C138" s="21">
        <f>SUM(C136:C137)</f>
        <v>0</v>
      </c>
      <c r="D138" s="42"/>
      <c r="E138" s="21">
        <f>SUM(E136:E137)</f>
        <v>0</v>
      </c>
      <c r="F138" s="281"/>
      <c r="G138" s="42"/>
      <c r="H138" s="281"/>
      <c r="I138" s="42"/>
      <c r="J138" s="21">
        <f>SUM(J136:J137)</f>
        <v>0</v>
      </c>
      <c r="K138" s="21"/>
      <c r="L138" s="797"/>
      <c r="M138" s="913"/>
      <c r="N138" s="21">
        <f>SUM(N136:N137)</f>
        <v>0</v>
      </c>
      <c r="O138" s="42"/>
      <c r="P138" s="21">
        <f>SUM(P136:P137)</f>
        <v>0</v>
      </c>
      <c r="Q138" s="281"/>
      <c r="R138" s="42"/>
      <c r="S138" s="281"/>
      <c r="T138" s="42"/>
      <c r="U138" s="21">
        <f>SUM(U136:U137)</f>
        <v>0</v>
      </c>
      <c r="V138" s="442"/>
      <c r="W138" s="21">
        <f>SUM(W136:W137)</f>
        <v>0</v>
      </c>
      <c r="X138" s="795">
        <v>0</v>
      </c>
      <c r="Y138" s="36"/>
      <c r="Z138" s="36"/>
      <c r="AA138" s="21">
        <f>SUM(AA136:AA137)</f>
        <v>0</v>
      </c>
      <c r="AB138" s="21"/>
      <c r="AC138" s="21">
        <f>SUM(AC136:AC137)</f>
        <v>-360752996</v>
      </c>
      <c r="AD138" s="387"/>
      <c r="AE138" s="21"/>
      <c r="AF138" s="387"/>
      <c r="AG138" s="21"/>
      <c r="AH138" s="21">
        <f>SUM(AH136:AH137)</f>
        <v>0</v>
      </c>
      <c r="AI138" s="36"/>
      <c r="AJ138" s="21">
        <f>SUM(AJ136:AJ137)</f>
        <v>0</v>
      </c>
      <c r="AK138" s="843">
        <v>0</v>
      </c>
      <c r="AL138" s="36"/>
      <c r="AM138" s="95"/>
      <c r="AN138" s="21">
        <f>SUM(AN136:AN137)</f>
        <v>0</v>
      </c>
    </row>
    <row r="139" spans="1:40">
      <c r="A139" s="31"/>
      <c r="B139" s="31" t="s">
        <v>109</v>
      </c>
      <c r="C139" s="32">
        <f>(C124+C138)-C134</f>
        <v>27302363572</v>
      </c>
      <c r="D139" s="119"/>
      <c r="E139" s="32">
        <f>(E124+E138)-E134</f>
        <v>25004207608</v>
      </c>
      <c r="F139" s="282"/>
      <c r="G139" s="119"/>
      <c r="H139" s="282"/>
      <c r="I139" s="119"/>
      <c r="J139" s="32">
        <f>(J124+J138)-J134</f>
        <v>25023282848.023956</v>
      </c>
      <c r="K139" s="32"/>
      <c r="L139" s="797"/>
      <c r="M139" s="914"/>
      <c r="N139" s="32">
        <f>(N124+N138)-N134</f>
        <v>27302363572</v>
      </c>
      <c r="O139" s="119"/>
      <c r="P139" s="32">
        <f>(P124+P138)-P134</f>
        <v>25578746599</v>
      </c>
      <c r="Q139" s="282"/>
      <c r="R139" s="119"/>
      <c r="S139" s="282"/>
      <c r="T139" s="119"/>
      <c r="U139" s="32">
        <f>(U124+U138)-U134</f>
        <v>25513226596.4375</v>
      </c>
      <c r="V139" s="443"/>
      <c r="W139" s="32">
        <f>(W124+W138)-W134</f>
        <v>27302363572</v>
      </c>
      <c r="X139" s="796">
        <v>27302363572</v>
      </c>
      <c r="Y139" s="27">
        <f t="shared" si="64"/>
        <v>0</v>
      </c>
      <c r="Z139" s="27"/>
      <c r="AA139" s="32">
        <f>(AA124+AA138)-AA134</f>
        <v>29632564483.748955</v>
      </c>
      <c r="AB139" s="32"/>
      <c r="AC139" s="32">
        <f>(AC124+AC138)-AC134</f>
        <v>27509477713.748955</v>
      </c>
      <c r="AD139" s="390"/>
      <c r="AE139" s="32"/>
      <c r="AF139" s="390"/>
      <c r="AG139" s="32"/>
      <c r="AH139" s="32">
        <f>(AH124+AH138)-AH134</f>
        <v>27884545239</v>
      </c>
      <c r="AI139" s="36"/>
      <c r="AJ139" s="32">
        <f>(AJ124+AJ138)-AJ134</f>
        <v>29632564483.748955</v>
      </c>
      <c r="AK139" s="844">
        <v>29632564483.748955</v>
      </c>
      <c r="AL139" s="36">
        <f>AJ139-AK139</f>
        <v>0</v>
      </c>
      <c r="AM139" s="95"/>
      <c r="AN139" s="32">
        <f>(AN124+AN138)-AN134</f>
        <v>31752843037.778126</v>
      </c>
    </row>
    <row r="140" spans="1:40">
      <c r="A140" s="40" t="s">
        <v>110</v>
      </c>
      <c r="B140" s="12"/>
      <c r="C140" s="89"/>
      <c r="D140" s="89"/>
      <c r="E140" s="89"/>
      <c r="F140" s="280"/>
      <c r="G140" s="89"/>
      <c r="H140" s="280"/>
      <c r="I140" s="89"/>
      <c r="J140" s="89"/>
      <c r="K140" s="89"/>
      <c r="L140" s="933"/>
      <c r="M140" s="911"/>
      <c r="N140" s="89"/>
      <c r="O140" s="89"/>
      <c r="P140" s="89"/>
      <c r="Q140" s="280"/>
      <c r="R140" s="89"/>
      <c r="S140" s="280"/>
      <c r="T140" s="89"/>
      <c r="U140" s="89"/>
      <c r="V140" s="106"/>
      <c r="W140" s="36"/>
      <c r="X140" s="804"/>
      <c r="Y140" s="36"/>
      <c r="Z140" s="36"/>
      <c r="AA140" s="36"/>
      <c r="AB140" s="36"/>
      <c r="AC140" s="36"/>
      <c r="AD140" s="371"/>
      <c r="AE140" s="36"/>
      <c r="AF140" s="371"/>
      <c r="AG140" s="36"/>
      <c r="AH140" s="36"/>
      <c r="AI140" s="36"/>
      <c r="AJ140" s="36"/>
      <c r="AK140" s="849"/>
      <c r="AL140" s="36"/>
      <c r="AM140" s="95"/>
      <c r="AN140" s="36"/>
    </row>
    <row r="141" spans="1:40">
      <c r="A141" s="12"/>
      <c r="B141" s="14" t="s">
        <v>111</v>
      </c>
      <c r="C141" s="121">
        <f t="shared" ref="C141" si="76">W141</f>
        <v>1050000000</v>
      </c>
      <c r="D141" s="67"/>
      <c r="E141" s="67">
        <f>C141+D141</f>
        <v>1050000000</v>
      </c>
      <c r="F141" s="280"/>
      <c r="G141" s="67"/>
      <c r="H141" s="280"/>
      <c r="I141" s="67"/>
      <c r="J141" s="67">
        <f>E141+G141-I141</f>
        <v>1050000000</v>
      </c>
      <c r="K141" s="67"/>
      <c r="L141" s="934"/>
      <c r="M141" s="912"/>
      <c r="N141" s="121">
        <f>W141</f>
        <v>1050000000</v>
      </c>
      <c r="O141" s="67"/>
      <c r="P141" s="67">
        <f>N141+O141</f>
        <v>1050000000</v>
      </c>
      <c r="Q141" s="280"/>
      <c r="R141" s="67"/>
      <c r="S141" s="280"/>
      <c r="T141" s="67"/>
      <c r="U141" s="67">
        <f>P141+R141-T141</f>
        <v>1050000000</v>
      </c>
      <c r="V141" s="103"/>
      <c r="W141" s="38">
        <v>1050000000</v>
      </c>
      <c r="X141" s="413">
        <v>1050000000</v>
      </c>
      <c r="Y141" s="27">
        <f t="shared" si="64"/>
        <v>0</v>
      </c>
      <c r="Z141" s="27"/>
      <c r="AA141" s="38">
        <f>AJ141</f>
        <v>0</v>
      </c>
      <c r="AB141" s="38"/>
      <c r="AC141" s="38">
        <f>AA141+AB141</f>
        <v>0</v>
      </c>
      <c r="AD141" s="371"/>
      <c r="AE141" s="38"/>
      <c r="AF141" s="371"/>
      <c r="AG141" s="38"/>
      <c r="AH141" s="7">
        <f>ROUND(AC141+AE141-AG141,0)</f>
        <v>0</v>
      </c>
      <c r="AI141" s="38"/>
      <c r="AJ141" s="36">
        <v>0</v>
      </c>
      <c r="AK141" s="849"/>
      <c r="AL141" s="36"/>
      <c r="AM141" s="95"/>
      <c r="AN141" s="36">
        <v>0</v>
      </c>
    </row>
    <row r="142" spans="1:40">
      <c r="A142" s="12"/>
      <c r="B142" s="12"/>
      <c r="C142" s="89"/>
      <c r="D142" s="89"/>
      <c r="E142" s="89"/>
      <c r="F142" s="280"/>
      <c r="G142" s="89"/>
      <c r="H142" s="280"/>
      <c r="I142" s="89"/>
      <c r="J142" s="89"/>
      <c r="K142" s="89"/>
      <c r="L142" s="933"/>
      <c r="M142" s="911"/>
      <c r="N142" s="89"/>
      <c r="O142" s="89"/>
      <c r="P142" s="89"/>
      <c r="Q142" s="280"/>
      <c r="R142" s="89"/>
      <c r="S142" s="280"/>
      <c r="T142" s="89"/>
      <c r="U142" s="89"/>
      <c r="V142" s="106"/>
      <c r="W142" s="36"/>
      <c r="X142" s="804"/>
      <c r="Y142" s="36"/>
      <c r="Z142" s="36"/>
      <c r="AA142" s="36"/>
      <c r="AB142" s="36"/>
      <c r="AC142" s="36"/>
      <c r="AD142" s="371"/>
      <c r="AE142" s="36"/>
      <c r="AF142" s="371"/>
      <c r="AG142" s="36"/>
      <c r="AH142" s="36"/>
      <c r="AI142" s="36"/>
      <c r="AJ142" s="36"/>
      <c r="AK142" s="849"/>
      <c r="AL142" s="36"/>
      <c r="AM142" s="95"/>
      <c r="AN142" s="36"/>
    </row>
    <row r="143" spans="1:40">
      <c r="A143" s="20"/>
      <c r="B143" s="41" t="s">
        <v>112</v>
      </c>
      <c r="C143" s="42">
        <f>SUM(C141:C142)</f>
        <v>1050000000</v>
      </c>
      <c r="D143" s="126"/>
      <c r="E143" s="42">
        <f>SUM(E141:E142)</f>
        <v>1050000000</v>
      </c>
      <c r="F143" s="285"/>
      <c r="G143" s="126"/>
      <c r="H143" s="285"/>
      <c r="I143" s="126"/>
      <c r="J143" s="42">
        <f>SUM(J141:J142)</f>
        <v>1050000000</v>
      </c>
      <c r="K143" s="42"/>
      <c r="L143" s="933"/>
      <c r="M143" s="920"/>
      <c r="N143" s="42">
        <f>SUM(N141:N142)</f>
        <v>1050000000</v>
      </c>
      <c r="O143" s="126"/>
      <c r="P143" s="42">
        <f>SUM(P141:P142)</f>
        <v>1050000000</v>
      </c>
      <c r="Q143" s="285"/>
      <c r="R143" s="126"/>
      <c r="S143" s="285"/>
      <c r="T143" s="126"/>
      <c r="U143" s="42">
        <f>SUM(U141:U142)</f>
        <v>1050000000</v>
      </c>
      <c r="V143" s="446"/>
      <c r="W143" s="42">
        <f>SUM(W141:W142)</f>
        <v>1050000000</v>
      </c>
      <c r="X143" s="805">
        <v>1050000000</v>
      </c>
      <c r="Y143" s="27">
        <f t="shared" si="64"/>
        <v>0</v>
      </c>
      <c r="Z143" s="27"/>
      <c r="AA143" s="42">
        <f>SUM(AA141:AA142)</f>
        <v>0</v>
      </c>
      <c r="AB143" s="42"/>
      <c r="AC143" s="42">
        <f>SUM(AC141:AC142)</f>
        <v>0</v>
      </c>
      <c r="AD143" s="393"/>
      <c r="AE143" s="42"/>
      <c r="AF143" s="393"/>
      <c r="AG143" s="42"/>
      <c r="AH143" s="42">
        <f>SUM(AH141:AH142)</f>
        <v>0</v>
      </c>
      <c r="AI143" s="89"/>
      <c r="AJ143" s="42">
        <f>SUM(AJ141:AJ142)</f>
        <v>0</v>
      </c>
      <c r="AK143" s="850">
        <v>0</v>
      </c>
      <c r="AL143" s="36">
        <f>AJ143-AK143</f>
        <v>0</v>
      </c>
      <c r="AM143" s="95"/>
      <c r="AN143" s="42">
        <f>SUM(AN141:AN142)</f>
        <v>0</v>
      </c>
    </row>
    <row r="144" spans="1:40">
      <c r="A144" s="12" t="s">
        <v>113</v>
      </c>
      <c r="B144" s="14"/>
      <c r="C144" s="67"/>
      <c r="D144" s="67"/>
      <c r="E144" s="67"/>
      <c r="F144" s="280"/>
      <c r="G144" s="67"/>
      <c r="H144" s="280"/>
      <c r="I144" s="67"/>
      <c r="J144" s="67"/>
      <c r="K144" s="67"/>
      <c r="L144" s="934"/>
      <c r="M144" s="912"/>
      <c r="N144" s="67"/>
      <c r="O144" s="67"/>
      <c r="P144" s="67"/>
      <c r="Q144" s="280"/>
      <c r="R144" s="67"/>
      <c r="S144" s="280"/>
      <c r="T144" s="67"/>
      <c r="U144" s="67"/>
      <c r="V144" s="103"/>
      <c r="W144" s="15"/>
      <c r="X144" s="804"/>
      <c r="Y144" s="8"/>
      <c r="Z144" s="8"/>
      <c r="AA144" s="15"/>
      <c r="AB144" s="15"/>
      <c r="AC144" s="15"/>
      <c r="AD144" s="386"/>
      <c r="AE144" s="15"/>
      <c r="AF144" s="386"/>
      <c r="AG144" s="15"/>
      <c r="AH144" s="15"/>
      <c r="AI144" s="8"/>
      <c r="AJ144" s="15"/>
      <c r="AK144" s="849"/>
      <c r="AL144" s="8"/>
      <c r="AM144" s="95"/>
      <c r="AN144" s="15"/>
    </row>
    <row r="145" spans="1:40">
      <c r="A145" s="12"/>
      <c r="B145" s="14" t="s">
        <v>58</v>
      </c>
      <c r="C145" s="121">
        <f t="shared" ref="C145:C146" si="77">W145</f>
        <v>150529856.17453313</v>
      </c>
      <c r="D145" s="67"/>
      <c r="E145" s="67">
        <f>C145+D145</f>
        <v>150529856.17453313</v>
      </c>
      <c r="F145" s="280"/>
      <c r="G145" s="67"/>
      <c r="H145" s="280"/>
      <c r="I145" s="67"/>
      <c r="J145" s="67">
        <f>E145+G145-I145</f>
        <v>150529856.17453313</v>
      </c>
      <c r="K145" s="67"/>
      <c r="L145" s="934"/>
      <c r="M145" s="912"/>
      <c r="N145" s="121">
        <f>W145</f>
        <v>150529856.17453313</v>
      </c>
      <c r="O145" s="67"/>
      <c r="P145" s="67">
        <f>N145+O145</f>
        <v>150529856.17453313</v>
      </c>
      <c r="Q145" s="280"/>
      <c r="R145" s="67"/>
      <c r="S145" s="280"/>
      <c r="T145" s="67"/>
      <c r="U145" s="67">
        <f>P145+R145-T145</f>
        <v>150529856.17453313</v>
      </c>
      <c r="V145" s="103"/>
      <c r="W145" s="7">
        <v>150529856.17453313</v>
      </c>
      <c r="X145" s="794">
        <v>150529856.17453313</v>
      </c>
      <c r="Y145" s="27">
        <f t="shared" si="64"/>
        <v>0</v>
      </c>
      <c r="Z145" s="27"/>
      <c r="AA145" s="7">
        <f>AJ145</f>
        <v>124282962.30523783</v>
      </c>
      <c r="AB145" s="7"/>
      <c r="AC145" s="7">
        <f t="shared" ref="AC145:AC146" si="78">AA145+AB145</f>
        <v>124282962.30523783</v>
      </c>
      <c r="AD145" s="50"/>
      <c r="AE145" s="7"/>
      <c r="AF145" s="50"/>
      <c r="AG145" s="7"/>
      <c r="AH145" s="7">
        <f t="shared" ref="AH145:AH146" si="79">ROUND(AC145+AE145-AG145,0)</f>
        <v>124282962</v>
      </c>
      <c r="AI145" s="27"/>
      <c r="AJ145" s="7">
        <v>124282962.30523783</v>
      </c>
      <c r="AK145" s="851">
        <v>124282962.30523783</v>
      </c>
      <c r="AL145" s="27">
        <f>AJ145-AK145</f>
        <v>0</v>
      </c>
      <c r="AM145" s="95"/>
      <c r="AN145" s="27">
        <v>0</v>
      </c>
    </row>
    <row r="146" spans="1:40">
      <c r="A146" s="34"/>
      <c r="B146" s="26" t="s">
        <v>114</v>
      </c>
      <c r="C146" s="121">
        <f t="shared" si="77"/>
        <v>143502898.41999999</v>
      </c>
      <c r="D146" s="78"/>
      <c r="E146" s="67">
        <f>C146+D146</f>
        <v>143502898.41999999</v>
      </c>
      <c r="F146" s="280"/>
      <c r="G146" s="78"/>
      <c r="H146" s="280"/>
      <c r="I146" s="78"/>
      <c r="J146" s="67">
        <f>E146+G146-I146</f>
        <v>143502898.41999999</v>
      </c>
      <c r="K146" s="67"/>
      <c r="L146" s="934"/>
      <c r="M146" s="912"/>
      <c r="N146" s="121">
        <f>W146</f>
        <v>143502898.41999999</v>
      </c>
      <c r="O146" s="78"/>
      <c r="P146" s="67">
        <f>N146+O146</f>
        <v>143502898.41999999</v>
      </c>
      <c r="Q146" s="280"/>
      <c r="R146" s="78"/>
      <c r="S146" s="280"/>
      <c r="T146" s="78"/>
      <c r="U146" s="67">
        <f>P146+R146-T146</f>
        <v>143502898.41999999</v>
      </c>
      <c r="V146" s="103"/>
      <c r="W146" s="7">
        <v>143502898.41999999</v>
      </c>
      <c r="X146" s="794">
        <v>143502898.41999999</v>
      </c>
      <c r="Y146" s="27">
        <f t="shared" si="64"/>
        <v>0</v>
      </c>
      <c r="Z146" s="27"/>
      <c r="AA146" s="7">
        <f>AJ146</f>
        <v>80811167.737729251</v>
      </c>
      <c r="AB146" s="7"/>
      <c r="AC146" s="7">
        <f t="shared" si="78"/>
        <v>80811167.737729251</v>
      </c>
      <c r="AD146" s="50"/>
      <c r="AE146" s="7"/>
      <c r="AF146" s="50"/>
      <c r="AG146" s="7"/>
      <c r="AH146" s="7">
        <f t="shared" si="79"/>
        <v>80811168</v>
      </c>
      <c r="AI146" s="27"/>
      <c r="AJ146" s="7">
        <v>80811167.737729251</v>
      </c>
      <c r="AK146" s="841">
        <v>80811167.737729251</v>
      </c>
      <c r="AL146" s="27">
        <f>AJ146-AK146</f>
        <v>0</v>
      </c>
      <c r="AM146" s="95"/>
      <c r="AN146" s="27">
        <v>620209995.05873752</v>
      </c>
    </row>
    <row r="147" spans="1:40">
      <c r="A147" s="12" t="s">
        <v>115</v>
      </c>
      <c r="B147" s="26"/>
      <c r="C147" s="78"/>
      <c r="D147" s="78"/>
      <c r="E147" s="78"/>
      <c r="F147" s="280"/>
      <c r="G147" s="78"/>
      <c r="H147" s="280"/>
      <c r="I147" s="78"/>
      <c r="J147" s="78"/>
      <c r="K147" s="78"/>
      <c r="L147" s="936"/>
      <c r="M147" s="917"/>
      <c r="N147" s="78"/>
      <c r="O147" s="78"/>
      <c r="P147" s="78"/>
      <c r="Q147" s="280"/>
      <c r="R147" s="78"/>
      <c r="S147" s="280"/>
      <c r="T147" s="78"/>
      <c r="U147" s="78"/>
      <c r="V147" s="105"/>
      <c r="W147" s="27"/>
      <c r="X147" s="806"/>
      <c r="Y147" s="27"/>
      <c r="Z147" s="27"/>
      <c r="AA147" s="27"/>
      <c r="AB147" s="27"/>
      <c r="AC147" s="27"/>
      <c r="AD147" s="371"/>
      <c r="AE147" s="27"/>
      <c r="AF147" s="371"/>
      <c r="AG147" s="27"/>
      <c r="AH147" s="27"/>
      <c r="AI147" s="27"/>
      <c r="AJ147" s="27"/>
      <c r="AK147" s="851"/>
      <c r="AL147" s="27"/>
      <c r="AM147" s="95"/>
      <c r="AN147" s="27"/>
    </row>
    <row r="148" spans="1:40">
      <c r="A148" s="34"/>
      <c r="B148" s="26" t="s">
        <v>116</v>
      </c>
      <c r="C148" s="121">
        <f t="shared" ref="C148" si="80">W148</f>
        <v>51462969.5625</v>
      </c>
      <c r="D148" s="78"/>
      <c r="E148" s="67">
        <f>C148+D148</f>
        <v>51462969.5625</v>
      </c>
      <c r="F148" s="280"/>
      <c r="G148" s="78"/>
      <c r="H148" s="280"/>
      <c r="I148" s="78"/>
      <c r="J148" s="67">
        <f>E148-G148+I148</f>
        <v>51462969.5625</v>
      </c>
      <c r="K148" s="67"/>
      <c r="L148" s="934"/>
      <c r="M148" s="912"/>
      <c r="N148" s="121">
        <f>W148</f>
        <v>51462969.5625</v>
      </c>
      <c r="O148" s="78"/>
      <c r="P148" s="67">
        <f>N148+O148</f>
        <v>51462969.5625</v>
      </c>
      <c r="Q148" s="280"/>
      <c r="R148" s="78"/>
      <c r="S148" s="280"/>
      <c r="T148" s="78"/>
      <c r="U148" s="67">
        <f>P148-R148+T148</f>
        <v>51462969.5625</v>
      </c>
      <c r="V148" s="103"/>
      <c r="W148" s="7">
        <v>51462969.5625</v>
      </c>
      <c r="X148" s="806">
        <v>51462969.5625</v>
      </c>
      <c r="Y148" s="27">
        <f t="shared" si="64"/>
        <v>0</v>
      </c>
      <c r="Z148" s="27"/>
      <c r="AA148" s="7">
        <f>AJ148</f>
        <v>25536423.6875</v>
      </c>
      <c r="AB148" s="7"/>
      <c r="AC148" s="7">
        <f>AA148+AB148</f>
        <v>25536423.6875</v>
      </c>
      <c r="AD148" s="50"/>
      <c r="AE148" s="7"/>
      <c r="AF148" s="50"/>
      <c r="AG148" s="7"/>
      <c r="AH148" s="7">
        <f>ROUND(AC148-AE148+AG148,0)</f>
        <v>25536424</v>
      </c>
      <c r="AI148" s="27"/>
      <c r="AJ148" s="7">
        <v>25536423.6875</v>
      </c>
      <c r="AK148" s="851">
        <v>25536423.6875</v>
      </c>
      <c r="AL148" s="27">
        <f>AJ148-AK148</f>
        <v>0</v>
      </c>
      <c r="AM148" s="95"/>
      <c r="AN148" s="27">
        <v>488017253.38250005</v>
      </c>
    </row>
    <row r="149" spans="1:40">
      <c r="A149" s="20"/>
      <c r="B149" s="20" t="s">
        <v>117</v>
      </c>
      <c r="C149" s="21">
        <f>SUM(C145:C146)-C148</f>
        <v>242569785.03203309</v>
      </c>
      <c r="D149" s="42"/>
      <c r="E149" s="21">
        <f>SUM(E145:E146)-E148</f>
        <v>242569785.03203309</v>
      </c>
      <c r="F149" s="281"/>
      <c r="G149" s="42"/>
      <c r="H149" s="281"/>
      <c r="I149" s="42"/>
      <c r="J149" s="21">
        <f>SUM(J145:J146)-J148</f>
        <v>242569785.03203309</v>
      </c>
      <c r="K149" s="21"/>
      <c r="L149" s="797"/>
      <c r="M149" s="913"/>
      <c r="N149" s="21">
        <f>SUM(N145:N146)-N148</f>
        <v>242569785.03203309</v>
      </c>
      <c r="O149" s="42"/>
      <c r="P149" s="21">
        <f>SUM(P145:P146)-P148</f>
        <v>242569785.03203309</v>
      </c>
      <c r="Q149" s="281"/>
      <c r="R149" s="42"/>
      <c r="S149" s="281"/>
      <c r="T149" s="42"/>
      <c r="U149" s="21">
        <f>SUM(U145:U146)-U148</f>
        <v>242569785.03203309</v>
      </c>
      <c r="V149" s="442"/>
      <c r="W149" s="21">
        <f>SUM(W145:W146)-W148</f>
        <v>242569785.03203309</v>
      </c>
      <c r="X149" s="791">
        <v>242569785.03203309</v>
      </c>
      <c r="Y149" s="27">
        <f t="shared" si="64"/>
        <v>0</v>
      </c>
      <c r="Z149" s="27"/>
      <c r="AA149" s="21">
        <f>SUM(AA145:AA146)-AA148</f>
        <v>179557706.35546708</v>
      </c>
      <c r="AB149" s="21"/>
      <c r="AC149" s="21">
        <f>SUM(AC145:AC146)-AC148</f>
        <v>179557706.35546708</v>
      </c>
      <c r="AD149" s="387"/>
      <c r="AE149" s="21"/>
      <c r="AF149" s="387"/>
      <c r="AG149" s="21"/>
      <c r="AH149" s="21">
        <f>SUM(AH145:AH146)-AH148</f>
        <v>179557706</v>
      </c>
      <c r="AI149" s="36"/>
      <c r="AJ149" s="21">
        <f>SUM(AJ145:AJ146)-AJ148</f>
        <v>179557706.35546708</v>
      </c>
      <c r="AK149" s="21">
        <f>SUM(AK145:AK146)-AK148</f>
        <v>179557706.35546708</v>
      </c>
      <c r="AL149" s="36"/>
      <c r="AM149" s="95"/>
      <c r="AN149" s="21">
        <f>SUM(AN145:AN146)-AN148</f>
        <v>132192741.67623746</v>
      </c>
    </row>
    <row r="150" spans="1:40" hidden="1">
      <c r="A150" s="12" t="s">
        <v>118</v>
      </c>
      <c r="B150" s="12"/>
      <c r="C150" s="89"/>
      <c r="D150" s="89"/>
      <c r="E150" s="89"/>
      <c r="F150" s="280"/>
      <c r="G150" s="89"/>
      <c r="H150" s="280"/>
      <c r="I150" s="89"/>
      <c r="J150" s="89"/>
      <c r="K150" s="89"/>
      <c r="L150" s="933"/>
      <c r="M150" s="911"/>
      <c r="N150" s="89"/>
      <c r="O150" s="89"/>
      <c r="P150" s="89"/>
      <c r="Q150" s="280"/>
      <c r="R150" s="89"/>
      <c r="S150" s="280"/>
      <c r="T150" s="89"/>
      <c r="U150" s="89"/>
      <c r="V150" s="106"/>
      <c r="W150" s="36"/>
      <c r="X150" s="797"/>
      <c r="Y150" s="36"/>
      <c r="Z150" s="36"/>
      <c r="AA150" s="36"/>
      <c r="AB150" s="36"/>
      <c r="AC150" s="36"/>
      <c r="AD150" s="371"/>
      <c r="AE150" s="36"/>
      <c r="AF150" s="371"/>
      <c r="AG150" s="36"/>
      <c r="AH150" s="36"/>
      <c r="AI150" s="36"/>
      <c r="AJ150" s="36"/>
      <c r="AK150" s="851"/>
      <c r="AL150" s="36"/>
      <c r="AM150" s="95"/>
      <c r="AN150" s="36"/>
    </row>
    <row r="151" spans="1:40" hidden="1">
      <c r="A151" s="14"/>
      <c r="B151" s="14" t="s">
        <v>119</v>
      </c>
      <c r="C151" s="121">
        <f>N151</f>
        <v>0</v>
      </c>
      <c r="D151" s="67"/>
      <c r="E151" s="67">
        <f>C151+D151</f>
        <v>0</v>
      </c>
      <c r="F151" s="280"/>
      <c r="G151" s="67"/>
      <c r="H151" s="280"/>
      <c r="I151" s="67"/>
      <c r="J151" s="67">
        <f>E151+G151-I151</f>
        <v>0</v>
      </c>
      <c r="K151" s="67"/>
      <c r="L151" s="934"/>
      <c r="M151" s="912"/>
      <c r="N151" s="121">
        <f>W151</f>
        <v>0</v>
      </c>
      <c r="O151" s="67"/>
      <c r="P151" s="67">
        <f>N151+O151</f>
        <v>0</v>
      </c>
      <c r="Q151" s="280"/>
      <c r="R151" s="67"/>
      <c r="S151" s="280"/>
      <c r="T151" s="67"/>
      <c r="U151" s="67">
        <f>P151+R151-T151</f>
        <v>0</v>
      </c>
      <c r="V151" s="103"/>
      <c r="W151" s="7"/>
      <c r="X151" s="808">
        <v>28594933357.032032</v>
      </c>
      <c r="Y151" s="27"/>
      <c r="Z151" s="27"/>
      <c r="AA151" s="7">
        <f>AJ151</f>
        <v>0</v>
      </c>
      <c r="AB151" s="7"/>
      <c r="AC151" s="7">
        <f>AA151+AB151</f>
        <v>0</v>
      </c>
      <c r="AD151" s="50"/>
      <c r="AE151" s="7"/>
      <c r="AF151" s="50"/>
      <c r="AG151" s="7"/>
      <c r="AH151" s="7">
        <f t="shared" ref="AH151" si="81">ROUND(AC151+AE151-AG151,0)</f>
        <v>0</v>
      </c>
      <c r="AI151" s="27"/>
      <c r="AJ151" s="7">
        <v>0</v>
      </c>
      <c r="AK151" s="851"/>
      <c r="AL151" s="27"/>
      <c r="AM151" s="95"/>
      <c r="AN151" s="7">
        <v>0</v>
      </c>
    </row>
    <row r="152" spans="1:40" hidden="1">
      <c r="A152" s="30"/>
      <c r="B152" s="20" t="s">
        <v>120</v>
      </c>
      <c r="C152" s="21">
        <v>0</v>
      </c>
      <c r="D152" s="42"/>
      <c r="E152" s="21">
        <v>0</v>
      </c>
      <c r="F152" s="281"/>
      <c r="G152" s="42"/>
      <c r="H152" s="281"/>
      <c r="I152" s="42"/>
      <c r="J152" s="21">
        <v>0</v>
      </c>
      <c r="K152" s="21"/>
      <c r="L152" s="797"/>
      <c r="M152" s="913"/>
      <c r="N152" s="21">
        <v>0</v>
      </c>
      <c r="O152" s="42"/>
      <c r="P152" s="21">
        <v>0</v>
      </c>
      <c r="Q152" s="281"/>
      <c r="R152" s="42"/>
      <c r="S152" s="281"/>
      <c r="T152" s="42"/>
      <c r="U152" s="21">
        <v>0</v>
      </c>
      <c r="V152" s="442"/>
      <c r="W152" s="21">
        <v>0</v>
      </c>
      <c r="X152" s="809">
        <v>301143928979.03204</v>
      </c>
      <c r="Y152" s="36"/>
      <c r="Z152" s="36"/>
      <c r="AA152" s="21">
        <v>0</v>
      </c>
      <c r="AB152" s="21"/>
      <c r="AC152" s="21">
        <v>0</v>
      </c>
      <c r="AD152" s="387"/>
      <c r="AE152" s="21"/>
      <c r="AF152" s="387"/>
      <c r="AG152" s="21"/>
      <c r="AH152" s="21">
        <v>0</v>
      </c>
      <c r="AI152" s="36"/>
      <c r="AJ152" s="21">
        <v>0</v>
      </c>
      <c r="AK152" s="852">
        <v>179557706.35546708</v>
      </c>
      <c r="AL152" s="36"/>
      <c r="AM152" s="95"/>
      <c r="AN152" s="21">
        <v>0</v>
      </c>
    </row>
    <row r="153" spans="1:40" hidden="1">
      <c r="A153" s="12" t="s">
        <v>121</v>
      </c>
      <c r="B153" s="14"/>
      <c r="C153" s="67"/>
      <c r="D153" s="67"/>
      <c r="E153" s="67"/>
      <c r="F153" s="280"/>
      <c r="G153" s="67"/>
      <c r="H153" s="280"/>
      <c r="I153" s="67"/>
      <c r="J153" s="67"/>
      <c r="K153" s="67"/>
      <c r="L153" s="934"/>
      <c r="M153" s="912"/>
      <c r="N153" s="67"/>
      <c r="O153" s="67"/>
      <c r="P153" s="67"/>
      <c r="Q153" s="280"/>
      <c r="R153" s="67"/>
      <c r="S153" s="280"/>
      <c r="T153" s="67"/>
      <c r="U153" s="67"/>
      <c r="V153" s="103"/>
      <c r="W153" s="15"/>
      <c r="X153" s="810" t="s">
        <v>145</v>
      </c>
      <c r="Y153" s="8"/>
      <c r="Z153" s="8"/>
      <c r="AA153" s="15"/>
      <c r="AB153" s="15"/>
      <c r="AC153" s="15"/>
      <c r="AD153" s="386"/>
      <c r="AE153" s="15"/>
      <c r="AF153" s="386"/>
      <c r="AG153" s="15"/>
      <c r="AH153" s="15"/>
      <c r="AI153" s="8"/>
      <c r="AJ153" s="15"/>
      <c r="AK153" s="845"/>
      <c r="AL153" s="8"/>
      <c r="AM153" s="95"/>
      <c r="AN153" s="15"/>
    </row>
    <row r="154" spans="1:40" hidden="1">
      <c r="A154" s="34"/>
      <c r="B154" s="26" t="s">
        <v>122</v>
      </c>
      <c r="C154" s="121">
        <f>N154</f>
        <v>0</v>
      </c>
      <c r="D154" s="78"/>
      <c r="E154" s="67">
        <f>C154+D154</f>
        <v>0</v>
      </c>
      <c r="F154" s="280"/>
      <c r="G154" s="78"/>
      <c r="H154" s="280"/>
      <c r="I154" s="78"/>
      <c r="J154" s="67">
        <f>E154+G154-I154</f>
        <v>0</v>
      </c>
      <c r="K154" s="67"/>
      <c r="L154" s="934"/>
      <c r="M154" s="912"/>
      <c r="N154" s="121">
        <f>W154</f>
        <v>0</v>
      </c>
      <c r="O154" s="78"/>
      <c r="P154" s="67">
        <f>N154+O154</f>
        <v>0</v>
      </c>
      <c r="Q154" s="280"/>
      <c r="R154" s="78"/>
      <c r="S154" s="280"/>
      <c r="T154" s="78"/>
      <c r="U154" s="67">
        <f>P154+R154-T154</f>
        <v>0</v>
      </c>
      <c r="V154" s="103"/>
      <c r="W154" s="7"/>
      <c r="X154" s="810"/>
      <c r="Y154" s="27"/>
      <c r="Z154" s="27"/>
      <c r="AA154" s="7">
        <f>AJ154</f>
        <v>0</v>
      </c>
      <c r="AB154" s="7"/>
      <c r="AC154" s="7">
        <f>AA154+AB154</f>
        <v>0</v>
      </c>
      <c r="AD154" s="50"/>
      <c r="AE154" s="7"/>
      <c r="AF154" s="50"/>
      <c r="AG154" s="7"/>
      <c r="AH154" s="7">
        <f t="shared" ref="AH154" si="82">ROUND(AC154+AE154-AG154,0)</f>
        <v>0</v>
      </c>
      <c r="AI154" s="27"/>
      <c r="AJ154" s="7">
        <v>0</v>
      </c>
      <c r="AK154" s="846">
        <v>0</v>
      </c>
      <c r="AL154" s="27"/>
      <c r="AM154" s="95"/>
      <c r="AN154" s="7">
        <v>0</v>
      </c>
    </row>
    <row r="155" spans="1:40" hidden="1">
      <c r="A155" s="12"/>
      <c r="B155" s="26"/>
      <c r="C155" s="78"/>
      <c r="D155" s="78"/>
      <c r="E155" s="78"/>
      <c r="F155" s="280"/>
      <c r="G155" s="78"/>
      <c r="H155" s="280"/>
      <c r="I155" s="78"/>
      <c r="J155" s="78"/>
      <c r="K155" s="78"/>
      <c r="L155" s="936"/>
      <c r="M155" s="917"/>
      <c r="N155" s="78"/>
      <c r="O155" s="78"/>
      <c r="P155" s="78"/>
      <c r="Q155" s="280"/>
      <c r="R155" s="78"/>
      <c r="S155" s="280"/>
      <c r="T155" s="78"/>
      <c r="U155" s="78"/>
      <c r="V155" s="105"/>
      <c r="W155" s="7"/>
      <c r="X155" s="797"/>
      <c r="Y155" s="27"/>
      <c r="Z155" s="27"/>
      <c r="AA155" s="7"/>
      <c r="AB155" s="7"/>
      <c r="AC155" s="7"/>
      <c r="AD155" s="50"/>
      <c r="AE155" s="7"/>
      <c r="AF155" s="50"/>
      <c r="AG155" s="7"/>
      <c r="AH155" s="7"/>
      <c r="AI155" s="27"/>
      <c r="AJ155" s="7"/>
      <c r="AK155" s="843">
        <v>0</v>
      </c>
      <c r="AL155" s="27"/>
      <c r="AM155" s="95"/>
      <c r="AN155" s="7"/>
    </row>
    <row r="156" spans="1:40" hidden="1">
      <c r="A156" s="20"/>
      <c r="B156" s="20" t="s">
        <v>123</v>
      </c>
      <c r="C156" s="21">
        <v>0</v>
      </c>
      <c r="D156" s="42"/>
      <c r="E156" s="21">
        <v>0</v>
      </c>
      <c r="F156" s="281"/>
      <c r="G156" s="42"/>
      <c r="H156" s="281"/>
      <c r="I156" s="42"/>
      <c r="J156" s="21">
        <v>0</v>
      </c>
      <c r="K156" s="21"/>
      <c r="L156" s="797"/>
      <c r="M156" s="913"/>
      <c r="N156" s="21">
        <v>0</v>
      </c>
      <c r="O156" s="42"/>
      <c r="P156" s="21">
        <v>0</v>
      </c>
      <c r="Q156" s="281"/>
      <c r="R156" s="42"/>
      <c r="S156" s="281"/>
      <c r="T156" s="42"/>
      <c r="U156" s="21">
        <v>0</v>
      </c>
      <c r="V156" s="442"/>
      <c r="W156" s="21">
        <v>0</v>
      </c>
      <c r="X156" s="797"/>
      <c r="Y156" s="36"/>
      <c r="Z156" s="36"/>
      <c r="AA156" s="21">
        <v>0</v>
      </c>
      <c r="AB156" s="21"/>
      <c r="AC156" s="21">
        <v>0</v>
      </c>
      <c r="AD156" s="387"/>
      <c r="AE156" s="21"/>
      <c r="AF156" s="387"/>
      <c r="AG156" s="21"/>
      <c r="AH156" s="21">
        <v>0</v>
      </c>
      <c r="AI156" s="36"/>
      <c r="AJ156" s="21">
        <v>0</v>
      </c>
      <c r="AK156" s="838">
        <v>0</v>
      </c>
      <c r="AL156" s="36"/>
      <c r="AM156" s="95"/>
      <c r="AN156" s="21">
        <v>0</v>
      </c>
    </row>
    <row r="157" spans="1:40" hidden="1">
      <c r="A157" s="12"/>
      <c r="B157" s="12"/>
      <c r="C157" s="89"/>
      <c r="D157" s="89"/>
      <c r="E157" s="89"/>
      <c r="F157" s="280"/>
      <c r="G157" s="89"/>
      <c r="H157" s="280"/>
      <c r="I157" s="89"/>
      <c r="J157" s="89"/>
      <c r="K157" s="89"/>
      <c r="L157" s="933"/>
      <c r="M157" s="911"/>
      <c r="N157" s="89"/>
      <c r="O157" s="89"/>
      <c r="P157" s="89"/>
      <c r="Q157" s="280"/>
      <c r="R157" s="89"/>
      <c r="S157" s="280"/>
      <c r="T157" s="89"/>
      <c r="U157" s="89"/>
      <c r="V157" s="106"/>
      <c r="W157" s="36"/>
      <c r="X157" s="811">
        <v>0</v>
      </c>
      <c r="Y157" s="36"/>
      <c r="Z157" s="36"/>
      <c r="AA157" s="36"/>
      <c r="AB157" s="36"/>
      <c r="AC157" s="36"/>
      <c r="AD157" s="371"/>
      <c r="AE157" s="36"/>
      <c r="AF157" s="371"/>
      <c r="AG157" s="36"/>
      <c r="AH157" s="36"/>
      <c r="AI157" s="36"/>
      <c r="AJ157" s="36"/>
      <c r="AK157" s="845"/>
      <c r="AL157" s="36"/>
      <c r="AM157" s="95"/>
      <c r="AN157" s="36"/>
    </row>
    <row r="158" spans="1:40">
      <c r="A158" s="43"/>
      <c r="B158" s="43" t="s">
        <v>124</v>
      </c>
      <c r="C158" s="44">
        <f>C139+C143+C149+C152+C156</f>
        <v>28594933357.032032</v>
      </c>
      <c r="D158" s="127"/>
      <c r="E158" s="44">
        <f>E139+E143+E149+E152+E156</f>
        <v>26296777393.032032</v>
      </c>
      <c r="F158" s="286"/>
      <c r="G158" s="127"/>
      <c r="H158" s="286"/>
      <c r="I158" s="127"/>
      <c r="J158" s="44">
        <f>J139+J143+J149+J152+J156</f>
        <v>26315852633.055988</v>
      </c>
      <c r="K158" s="44"/>
      <c r="L158" s="797"/>
      <c r="M158" s="921"/>
      <c r="N158" s="44">
        <f>N139+N143+N149+N152+N156</f>
        <v>28594933357.032032</v>
      </c>
      <c r="O158" s="127"/>
      <c r="P158" s="44">
        <f>P139+P143+P149+P152+P156</f>
        <v>26871316384.032032</v>
      </c>
      <c r="Q158" s="286"/>
      <c r="R158" s="127"/>
      <c r="S158" s="286"/>
      <c r="T158" s="127"/>
      <c r="U158" s="44">
        <f>U139+U143+U149+U152+U156</f>
        <v>26805796381.469532</v>
      </c>
      <c r="V158" s="447"/>
      <c r="W158" s="44">
        <f>W139+W143+W149+W152+W156</f>
        <v>28594933357.032032</v>
      </c>
      <c r="X158" s="808">
        <v>28594933357.032032</v>
      </c>
      <c r="Y158" s="27">
        <f t="shared" ref="Y158:Y159" si="83">W158-X158</f>
        <v>0</v>
      </c>
      <c r="Z158" s="27"/>
      <c r="AA158" s="44">
        <f>AA139+AA143+AA149+AA152+AA156</f>
        <v>29812122190.104424</v>
      </c>
      <c r="AB158" s="44"/>
      <c r="AC158" s="44">
        <f>AC139+AC143+AC149+AC152+AC156</f>
        <v>27689035420.104424</v>
      </c>
      <c r="AD158" s="394"/>
      <c r="AE158" s="44"/>
      <c r="AF158" s="394"/>
      <c r="AG158" s="44"/>
      <c r="AH158" s="44">
        <f>AH139+AH143+AH149+AH152+AH156</f>
        <v>28064102945</v>
      </c>
      <c r="AI158" s="36"/>
      <c r="AJ158" s="44">
        <f>AJ139+AJ143+AJ149+AJ152+AJ156</f>
        <v>29812122190.104424</v>
      </c>
      <c r="AK158" s="808">
        <v>29812122190.104424</v>
      </c>
      <c r="AL158" s="27">
        <f>AJ158-AK158</f>
        <v>0</v>
      </c>
      <c r="AM158" s="95"/>
      <c r="AN158" s="44">
        <f>AN139+AN143+AN149+AN152+AN156</f>
        <v>31885035779.454365</v>
      </c>
    </row>
    <row r="159" spans="1:40">
      <c r="A159" s="45"/>
      <c r="B159" s="45" t="s">
        <v>125</v>
      </c>
      <c r="C159" s="46">
        <f>C158+C113</f>
        <v>301143928979.03204</v>
      </c>
      <c r="D159" s="128"/>
      <c r="E159" s="46">
        <f>E158+E113</f>
        <v>300134174319.65204</v>
      </c>
      <c r="F159" s="287"/>
      <c r="G159" s="128"/>
      <c r="H159" s="287"/>
      <c r="I159" s="128"/>
      <c r="J159" s="46">
        <f>J158+J113</f>
        <v>325712944225.9729</v>
      </c>
      <c r="K159" s="46"/>
      <c r="L159" s="937"/>
      <c r="M159" s="922"/>
      <c r="N159" s="46">
        <f>N158+N113</f>
        <v>301143928979.03204</v>
      </c>
      <c r="O159" s="128"/>
      <c r="P159" s="46">
        <f>P158+P113</f>
        <v>324941321624.31543</v>
      </c>
      <c r="Q159" s="287"/>
      <c r="R159" s="128"/>
      <c r="S159" s="287"/>
      <c r="T159" s="128"/>
      <c r="U159" s="46">
        <f>U158+U113</f>
        <v>303311159345.21301</v>
      </c>
      <c r="V159" s="448"/>
      <c r="W159" s="46">
        <f>W158+W113</f>
        <v>301143928979.03204</v>
      </c>
      <c r="X159" s="809">
        <v>301143928979.03204</v>
      </c>
      <c r="Y159" s="27">
        <f t="shared" si="83"/>
        <v>0</v>
      </c>
      <c r="Z159" s="27"/>
      <c r="AA159" s="46">
        <f>AA158+AA113</f>
        <v>176611926143.68549</v>
      </c>
      <c r="AB159" s="46"/>
      <c r="AC159" s="46">
        <f>AC158+AC113</f>
        <v>290632305524.90814</v>
      </c>
      <c r="AD159" s="395"/>
      <c r="AE159" s="46"/>
      <c r="AF159" s="395"/>
      <c r="AG159" s="46"/>
      <c r="AH159" s="46">
        <f>AH158+AH113</f>
        <v>281676261822</v>
      </c>
      <c r="AI159" s="370"/>
      <c r="AJ159" s="46">
        <f>AJ158+AJ113</f>
        <v>176611926143.68549</v>
      </c>
      <c r="AK159" s="853">
        <v>176611926143.73544</v>
      </c>
      <c r="AL159" s="27">
        <f>AJ159-AK159</f>
        <v>-4.9957275390625E-2</v>
      </c>
      <c r="AM159" s="95"/>
      <c r="AN159" s="46">
        <f>AN158+AN113</f>
        <v>153903160236.55688</v>
      </c>
    </row>
    <row r="160" spans="1:40">
      <c r="A160" s="12" t="s">
        <v>126</v>
      </c>
      <c r="B160" s="12"/>
      <c r="C160" s="89"/>
      <c r="D160" s="89"/>
      <c r="E160" s="89"/>
      <c r="F160" s="280"/>
      <c r="G160" s="89"/>
      <c r="H160" s="280"/>
      <c r="I160" s="89"/>
      <c r="J160" s="89"/>
      <c r="K160" s="89"/>
      <c r="L160" s="933"/>
      <c r="M160" s="911"/>
      <c r="N160" s="89"/>
      <c r="O160" s="89"/>
      <c r="P160" s="89"/>
      <c r="Q160" s="280"/>
      <c r="R160" s="89"/>
      <c r="S160" s="280"/>
      <c r="T160" s="89"/>
      <c r="U160" s="89"/>
      <c r="V160" s="106"/>
      <c r="W160" s="47"/>
      <c r="X160" s="811">
        <v>0</v>
      </c>
      <c r="Y160" s="82"/>
      <c r="Z160" s="82"/>
      <c r="AA160" s="47"/>
      <c r="AB160" s="47"/>
      <c r="AC160" s="47"/>
      <c r="AD160" s="50"/>
      <c r="AE160" s="47"/>
      <c r="AF160" s="50"/>
      <c r="AG160" s="47"/>
      <c r="AH160" s="47"/>
      <c r="AI160" s="82"/>
      <c r="AJ160" s="47"/>
      <c r="AK160" s="854"/>
      <c r="AL160" s="82"/>
      <c r="AM160" s="95"/>
      <c r="AN160" s="47"/>
    </row>
    <row r="161" spans="1:40">
      <c r="A161" s="12" t="s">
        <v>127</v>
      </c>
      <c r="B161" s="12"/>
      <c r="C161" s="89"/>
      <c r="D161" s="89"/>
      <c r="E161" s="89"/>
      <c r="F161" s="280"/>
      <c r="G161" s="89"/>
      <c r="H161" s="280"/>
      <c r="I161" s="89"/>
      <c r="J161" s="89"/>
      <c r="K161" s="89"/>
      <c r="L161" s="933"/>
      <c r="M161" s="911"/>
      <c r="N161" s="89"/>
      <c r="O161" s="89"/>
      <c r="P161" s="89"/>
      <c r="Q161" s="280"/>
      <c r="R161" s="89"/>
      <c r="S161" s="280"/>
      <c r="T161" s="89"/>
      <c r="U161" s="89"/>
      <c r="V161" s="106"/>
      <c r="W161" s="47"/>
      <c r="X161" s="811"/>
      <c r="Y161" s="82"/>
      <c r="Z161" s="82"/>
      <c r="AA161" s="47"/>
      <c r="AB161" s="47"/>
      <c r="AC161" s="47"/>
      <c r="AD161" s="50"/>
      <c r="AE161" s="47"/>
      <c r="AF161" s="50"/>
      <c r="AG161" s="47"/>
      <c r="AH161" s="47"/>
      <c r="AI161" s="82"/>
      <c r="AJ161" s="47"/>
      <c r="AK161" s="854"/>
      <c r="AL161" s="82"/>
      <c r="AM161" s="95"/>
      <c r="AN161" s="47"/>
    </row>
    <row r="162" spans="1:40">
      <c r="A162" s="12" t="s">
        <v>128</v>
      </c>
      <c r="B162" s="12"/>
      <c r="C162" s="89"/>
      <c r="D162" s="89"/>
      <c r="E162" s="89"/>
      <c r="F162" s="280"/>
      <c r="G162" s="89"/>
      <c r="H162" s="280"/>
      <c r="I162" s="89"/>
      <c r="J162" s="89"/>
      <c r="K162" s="89"/>
      <c r="L162" s="933"/>
      <c r="M162" s="911"/>
      <c r="N162" s="89"/>
      <c r="O162" s="89"/>
      <c r="P162" s="89"/>
      <c r="Q162" s="280"/>
      <c r="R162" s="89"/>
      <c r="S162" s="280"/>
      <c r="T162" s="89"/>
      <c r="U162" s="89"/>
      <c r="V162" s="106"/>
      <c r="W162" s="36"/>
      <c r="X162" s="811"/>
      <c r="Y162" s="36"/>
      <c r="Z162" s="36"/>
      <c r="AA162" s="36"/>
      <c r="AB162" s="36"/>
      <c r="AC162" s="36"/>
      <c r="AD162" s="371"/>
      <c r="AE162" s="36"/>
      <c r="AF162" s="371"/>
      <c r="AG162" s="36"/>
      <c r="AH162" s="36"/>
      <c r="AI162" s="36"/>
      <c r="AJ162" s="36"/>
      <c r="AK162" s="845"/>
      <c r="AL162" s="36"/>
      <c r="AM162" s="95"/>
      <c r="AN162" s="36"/>
    </row>
    <row r="163" spans="1:40">
      <c r="A163" s="12" t="s">
        <v>129</v>
      </c>
      <c r="B163" s="12"/>
      <c r="C163" s="89"/>
      <c r="D163" s="89"/>
      <c r="E163" s="89"/>
      <c r="F163" s="280"/>
      <c r="G163" s="89"/>
      <c r="H163" s="280"/>
      <c r="I163" s="89"/>
      <c r="J163" s="89"/>
      <c r="K163" s="89"/>
      <c r="L163" s="933"/>
      <c r="M163" s="911"/>
      <c r="N163" s="89"/>
      <c r="O163" s="89"/>
      <c r="P163" s="89"/>
      <c r="Q163" s="280"/>
      <c r="R163" s="89"/>
      <c r="S163" s="280"/>
      <c r="T163" s="89"/>
      <c r="U163" s="89"/>
      <c r="V163" s="106"/>
      <c r="W163" s="36"/>
      <c r="X163" s="811"/>
      <c r="Y163" s="36"/>
      <c r="Z163" s="36"/>
      <c r="AA163" s="36"/>
      <c r="AB163" s="36"/>
      <c r="AC163" s="36"/>
      <c r="AD163" s="371"/>
      <c r="AE163" s="36"/>
      <c r="AF163" s="371"/>
      <c r="AG163" s="36"/>
      <c r="AH163" s="36"/>
      <c r="AI163" s="36"/>
      <c r="AJ163" s="36"/>
      <c r="AK163" s="845"/>
      <c r="AL163" s="36"/>
      <c r="AM163" s="95"/>
      <c r="AN163" s="36"/>
    </row>
    <row r="164" spans="1:40">
      <c r="A164" s="14"/>
      <c r="B164" s="14" t="s">
        <v>130</v>
      </c>
      <c r="C164" s="121">
        <f t="shared" ref="C164:C167" si="84">W164</f>
        <v>0</v>
      </c>
      <c r="D164" s="67"/>
      <c r="E164" s="67">
        <f>C164-D164</f>
        <v>0</v>
      </c>
      <c r="F164" s="280"/>
      <c r="G164" s="67"/>
      <c r="H164" s="280"/>
      <c r="I164" s="67"/>
      <c r="J164" s="67">
        <f>E164-G164+I164</f>
        <v>0</v>
      </c>
      <c r="K164" s="67"/>
      <c r="L164" s="934"/>
      <c r="M164" s="912"/>
      <c r="N164" s="67">
        <f>W164</f>
        <v>0</v>
      </c>
      <c r="O164" s="67"/>
      <c r="P164" s="67">
        <f>N164-O164</f>
        <v>0</v>
      </c>
      <c r="Q164" s="280"/>
      <c r="R164" s="67"/>
      <c r="S164" s="280"/>
      <c r="T164" s="67"/>
      <c r="U164" s="67">
        <f>P164-R164+T164</f>
        <v>0</v>
      </c>
      <c r="V164" s="103"/>
      <c r="W164" s="7">
        <v>0</v>
      </c>
      <c r="X164" s="811"/>
      <c r="Y164" s="27"/>
      <c r="Z164" s="27"/>
      <c r="AA164" s="7">
        <f>AJ164</f>
        <v>29888900000</v>
      </c>
      <c r="AB164" s="7">
        <v>389500000</v>
      </c>
      <c r="AC164" s="7">
        <f>AA164-AB164</f>
        <v>29499400000</v>
      </c>
      <c r="AD164" s="50"/>
      <c r="AE164" s="7"/>
      <c r="AF164" s="50"/>
      <c r="AG164" s="7"/>
      <c r="AH164" s="7">
        <f>ROUND(AC164-AE164+AG164,0)</f>
        <v>29499400000</v>
      </c>
      <c r="AI164" s="27"/>
      <c r="AJ164" s="7">
        <v>29888900000</v>
      </c>
      <c r="AK164" s="855">
        <v>29888900000</v>
      </c>
      <c r="AL164" s="27">
        <f t="shared" ref="AL164:AL166" si="85">AJ164-AK164</f>
        <v>0</v>
      </c>
      <c r="AM164" s="95"/>
      <c r="AN164" s="38">
        <v>27111100000</v>
      </c>
    </row>
    <row r="165" spans="1:40">
      <c r="A165" s="14"/>
      <c r="B165" s="14" t="s">
        <v>131</v>
      </c>
      <c r="C165" s="121">
        <f t="shared" si="84"/>
        <v>0</v>
      </c>
      <c r="D165" s="67"/>
      <c r="E165" s="67">
        <f>C165-D165</f>
        <v>0</v>
      </c>
      <c r="F165" s="280"/>
      <c r="G165" s="67"/>
      <c r="H165" s="280"/>
      <c r="I165" s="67"/>
      <c r="J165" s="67">
        <f>E165-G165+I165</f>
        <v>0</v>
      </c>
      <c r="K165" s="67"/>
      <c r="L165" s="934"/>
      <c r="M165" s="912"/>
      <c r="N165" s="67">
        <f>W165</f>
        <v>0</v>
      </c>
      <c r="O165" s="67"/>
      <c r="P165" s="67">
        <f>N165-O165</f>
        <v>0</v>
      </c>
      <c r="Q165" s="280"/>
      <c r="R165" s="67"/>
      <c r="S165" s="280"/>
      <c r="T165" s="67"/>
      <c r="U165" s="67">
        <f>P165-R165+T165</f>
        <v>0</v>
      </c>
      <c r="V165" s="103"/>
      <c r="W165" s="7">
        <v>0</v>
      </c>
      <c r="X165" s="811"/>
      <c r="Y165" s="27"/>
      <c r="Z165" s="27"/>
      <c r="AA165" s="7">
        <f t="shared" ref="AA165:AA167" si="86">AJ165</f>
        <v>32428172070</v>
      </c>
      <c r="AB165" s="7">
        <v>-42164711</v>
      </c>
      <c r="AC165" s="7">
        <f t="shared" ref="AC165:AC167" si="87">AA165-AB165</f>
        <v>32470336781</v>
      </c>
      <c r="AD165" s="50"/>
      <c r="AE165" s="7"/>
      <c r="AF165" s="50"/>
      <c r="AG165" s="7"/>
      <c r="AH165" s="7">
        <f t="shared" ref="AH165:AH166" si="88">ROUND(AC165-AE165+AG165,0)</f>
        <v>32470336781</v>
      </c>
      <c r="AI165" s="27"/>
      <c r="AJ165" s="7">
        <v>32428172070</v>
      </c>
      <c r="AK165" s="855">
        <v>32428172070</v>
      </c>
      <c r="AL165" s="27">
        <f t="shared" si="85"/>
        <v>0</v>
      </c>
      <c r="AM165" s="95"/>
      <c r="AN165" s="38">
        <v>10131101106</v>
      </c>
    </row>
    <row r="166" spans="1:40">
      <c r="A166" s="14"/>
      <c r="B166" s="14" t="s">
        <v>132</v>
      </c>
      <c r="C166" s="121">
        <f t="shared" si="84"/>
        <v>0</v>
      </c>
      <c r="D166" s="67"/>
      <c r="E166" s="67">
        <f>C166-D166</f>
        <v>0</v>
      </c>
      <c r="F166" s="280"/>
      <c r="G166" s="67"/>
      <c r="H166" s="280"/>
      <c r="I166" s="67"/>
      <c r="J166" s="67">
        <f>E166-G166+I166</f>
        <v>0</v>
      </c>
      <c r="K166" s="67"/>
      <c r="L166" s="934"/>
      <c r="M166" s="912"/>
      <c r="N166" s="67">
        <f>W166</f>
        <v>0</v>
      </c>
      <c r="O166" s="67"/>
      <c r="P166" s="67">
        <f>N166-O166</f>
        <v>0</v>
      </c>
      <c r="Q166" s="280"/>
      <c r="R166" s="67"/>
      <c r="S166" s="280"/>
      <c r="T166" s="67"/>
      <c r="U166" s="67">
        <f>P166-R166+T166</f>
        <v>0</v>
      </c>
      <c r="V166" s="103"/>
      <c r="W166" s="7">
        <v>0</v>
      </c>
      <c r="X166" s="811"/>
      <c r="Y166" s="27"/>
      <c r="Z166" s="27"/>
      <c r="AA166" s="7">
        <f t="shared" si="86"/>
        <v>10000000000</v>
      </c>
      <c r="AB166" s="7"/>
      <c r="AC166" s="7">
        <f t="shared" si="87"/>
        <v>10000000000</v>
      </c>
      <c r="AD166" s="50"/>
      <c r="AE166" s="7"/>
      <c r="AF166" s="50"/>
      <c r="AG166" s="7"/>
      <c r="AH166" s="7">
        <f t="shared" si="88"/>
        <v>10000000000</v>
      </c>
      <c r="AI166" s="27"/>
      <c r="AJ166" s="7">
        <v>10000000000</v>
      </c>
      <c r="AK166" s="855">
        <v>10000000000</v>
      </c>
      <c r="AL166" s="27">
        <f t="shared" si="85"/>
        <v>0</v>
      </c>
      <c r="AM166" s="95"/>
      <c r="AN166" s="38">
        <v>9997780749</v>
      </c>
    </row>
    <row r="167" spans="1:40">
      <c r="A167" s="14"/>
      <c r="B167" s="14" t="s">
        <v>133</v>
      </c>
      <c r="C167" s="121">
        <f t="shared" si="84"/>
        <v>0</v>
      </c>
      <c r="D167" s="67"/>
      <c r="E167" s="67">
        <f>C167-D167</f>
        <v>0</v>
      </c>
      <c r="F167" s="280"/>
      <c r="G167" s="67"/>
      <c r="H167" s="280"/>
      <c r="I167" s="67"/>
      <c r="J167" s="67">
        <f>E167-G167+I167</f>
        <v>0</v>
      </c>
      <c r="K167" s="67"/>
      <c r="L167" s="934"/>
      <c r="M167" s="912"/>
      <c r="N167" s="67">
        <f>W167</f>
        <v>0</v>
      </c>
      <c r="O167" s="67"/>
      <c r="P167" s="67">
        <f>N167-O167</f>
        <v>0</v>
      </c>
      <c r="Q167" s="280"/>
      <c r="R167" s="67"/>
      <c r="S167" s="280"/>
      <c r="T167" s="67"/>
      <c r="U167" s="67">
        <f>P167-R167+T167</f>
        <v>0</v>
      </c>
      <c r="V167" s="103"/>
      <c r="W167" s="7">
        <v>0</v>
      </c>
      <c r="X167" s="811">
        <v>0</v>
      </c>
      <c r="Y167" s="27"/>
      <c r="Z167" s="27"/>
      <c r="AA167" s="7">
        <f t="shared" si="86"/>
        <v>0</v>
      </c>
      <c r="AB167" s="7"/>
      <c r="AC167" s="7">
        <f t="shared" si="87"/>
        <v>0</v>
      </c>
      <c r="AD167" s="50"/>
      <c r="AE167" s="7"/>
      <c r="AF167" s="50"/>
      <c r="AG167" s="7"/>
      <c r="AH167" s="7">
        <f>ROUND(AC167-AE167+AG167,0)</f>
        <v>0</v>
      </c>
      <c r="AI167" s="27"/>
      <c r="AJ167" s="7">
        <v>0</v>
      </c>
      <c r="AK167" s="855">
        <v>0</v>
      </c>
      <c r="AL167" s="27"/>
      <c r="AM167" s="95"/>
      <c r="AN167" s="38">
        <v>3075000000</v>
      </c>
    </row>
    <row r="168" spans="1:40">
      <c r="A168" s="12" t="s">
        <v>135</v>
      </c>
      <c r="B168" s="14"/>
      <c r="C168" s="67"/>
      <c r="D168" s="67"/>
      <c r="E168" s="67"/>
      <c r="F168" s="280"/>
      <c r="G168" s="67"/>
      <c r="H168" s="280"/>
      <c r="I168" s="67"/>
      <c r="J168" s="67"/>
      <c r="K168" s="67"/>
      <c r="L168" s="934"/>
      <c r="M168" s="912"/>
      <c r="N168" s="67"/>
      <c r="O168" s="67"/>
      <c r="P168" s="67"/>
      <c r="Q168" s="280"/>
      <c r="R168" s="67"/>
      <c r="S168" s="280"/>
      <c r="T168" s="67"/>
      <c r="U168" s="67"/>
      <c r="V168" s="103"/>
      <c r="W168" s="7"/>
      <c r="X168" s="811">
        <v>0</v>
      </c>
      <c r="Y168" s="27"/>
      <c r="Z168" s="27"/>
      <c r="AA168" s="7"/>
      <c r="AB168" s="7"/>
      <c r="AC168" s="7"/>
      <c r="AD168" s="50"/>
      <c r="AE168" s="7"/>
      <c r="AF168" s="50"/>
      <c r="AG168" s="7"/>
      <c r="AH168" s="7"/>
      <c r="AI168" s="27"/>
      <c r="AJ168" s="7"/>
      <c r="AK168" s="855">
        <v>0</v>
      </c>
      <c r="AL168" s="27"/>
      <c r="AM168" s="95"/>
      <c r="AN168" s="38"/>
    </row>
    <row r="169" spans="1:40">
      <c r="A169" s="12"/>
      <c r="B169" s="14" t="s">
        <v>136</v>
      </c>
      <c r="C169" s="121">
        <f t="shared" ref="C169:C174" si="89">W169</f>
        <v>27745785208</v>
      </c>
      <c r="D169" s="67">
        <v>-16603913663</v>
      </c>
      <c r="E169" s="67">
        <f t="shared" ref="E169:E174" si="90">C169-D169</f>
        <v>44349698871</v>
      </c>
      <c r="F169" s="280"/>
      <c r="G169" s="67"/>
      <c r="H169" s="280"/>
      <c r="I169" s="67"/>
      <c r="J169" s="67">
        <f t="shared" ref="J169:J174" si="91">E169-G169+I169</f>
        <v>44349698871</v>
      </c>
      <c r="K169" s="67"/>
      <c r="L169" s="934"/>
      <c r="M169" s="912"/>
      <c r="N169" s="67">
        <f t="shared" ref="N169:N174" si="92">W169</f>
        <v>27745785208</v>
      </c>
      <c r="O169" s="67">
        <v>3197599054</v>
      </c>
      <c r="P169" s="67">
        <f t="shared" ref="P169:P174" si="93">N169-O169</f>
        <v>24548186154</v>
      </c>
      <c r="Q169" s="280"/>
      <c r="R169" s="67"/>
      <c r="S169" s="280"/>
      <c r="T169" s="67"/>
      <c r="U169" s="67">
        <f t="shared" ref="U169:U174" si="94">P169-R169+T169</f>
        <v>24548186154</v>
      </c>
      <c r="V169" s="103"/>
      <c r="W169" s="7">
        <v>27745785208</v>
      </c>
      <c r="X169" s="811">
        <v>27745785208</v>
      </c>
      <c r="Y169" s="27">
        <f>W169-X169</f>
        <v>0</v>
      </c>
      <c r="Z169" s="27"/>
      <c r="AA169" s="7">
        <f>AJ169</f>
        <v>0</v>
      </c>
      <c r="AB169" s="7">
        <v>-31768780647</v>
      </c>
      <c r="AC169" s="7">
        <f t="shared" ref="AC169:AC174" si="95">AA169-AB169</f>
        <v>31768780647</v>
      </c>
      <c r="AD169" s="50"/>
      <c r="AE169" s="7"/>
      <c r="AF169" s="50"/>
      <c r="AG169" s="7"/>
      <c r="AH169" s="7">
        <f t="shared" ref="AH169:AH174" si="96">ROUND(AC169-AE169+AG169,0)</f>
        <v>31768780647</v>
      </c>
      <c r="AI169" s="27"/>
      <c r="AJ169" s="7"/>
      <c r="AK169" s="855">
        <v>0</v>
      </c>
      <c r="AL169" s="27"/>
      <c r="AM169" s="95"/>
      <c r="AN169" s="38"/>
    </row>
    <row r="170" spans="1:40">
      <c r="A170" s="12"/>
      <c r="B170" s="14" t="s">
        <v>137</v>
      </c>
      <c r="C170" s="121">
        <f t="shared" si="89"/>
        <v>33713322258</v>
      </c>
      <c r="D170" s="67">
        <v>33713322258</v>
      </c>
      <c r="E170" s="67">
        <f t="shared" si="90"/>
        <v>0</v>
      </c>
      <c r="F170" s="280"/>
      <c r="G170" s="67"/>
      <c r="H170" s="280"/>
      <c r="I170" s="67"/>
      <c r="J170" s="67">
        <f t="shared" si="91"/>
        <v>0</v>
      </c>
      <c r="K170" s="67"/>
      <c r="L170" s="934"/>
      <c r="M170" s="912" t="s">
        <v>1268</v>
      </c>
      <c r="N170" s="67">
        <f t="shared" si="92"/>
        <v>33713322258</v>
      </c>
      <c r="O170" s="67">
        <v>33713322258</v>
      </c>
      <c r="P170" s="67">
        <f t="shared" si="93"/>
        <v>0</v>
      </c>
      <c r="Q170" s="280"/>
      <c r="R170" s="67"/>
      <c r="S170" s="280"/>
      <c r="T170" s="67"/>
      <c r="U170" s="67">
        <f t="shared" si="94"/>
        <v>0</v>
      </c>
      <c r="V170" s="103"/>
      <c r="W170" s="7">
        <v>33713322258</v>
      </c>
      <c r="X170" s="811">
        <v>33713322258</v>
      </c>
      <c r="Y170" s="27">
        <f t="shared" ref="Y170:Y175" si="97">W170-X170</f>
        <v>0</v>
      </c>
      <c r="Z170" s="27"/>
      <c r="AA170" s="7">
        <f t="shared" ref="AA170:AA174" si="98">AJ170</f>
        <v>0</v>
      </c>
      <c r="AB170" s="7"/>
      <c r="AC170" s="7">
        <f t="shared" si="95"/>
        <v>0</v>
      </c>
      <c r="AD170" s="50"/>
      <c r="AE170" s="7"/>
      <c r="AF170" s="50"/>
      <c r="AG170" s="7"/>
      <c r="AH170" s="7">
        <f t="shared" si="96"/>
        <v>0</v>
      </c>
      <c r="AI170" s="27"/>
      <c r="AJ170" s="7"/>
      <c r="AK170" s="855">
        <v>0</v>
      </c>
      <c r="AL170" s="27"/>
      <c r="AM170" s="95"/>
      <c r="AN170" s="38"/>
    </row>
    <row r="171" spans="1:40">
      <c r="A171" s="12"/>
      <c r="B171" s="14" t="s">
        <v>138</v>
      </c>
      <c r="C171" s="121">
        <f t="shared" si="89"/>
        <v>29290400000</v>
      </c>
      <c r="D171" s="67">
        <v>29290400000</v>
      </c>
      <c r="E171" s="67">
        <f t="shared" si="90"/>
        <v>0</v>
      </c>
      <c r="F171" s="280"/>
      <c r="G171" s="67"/>
      <c r="H171" s="280"/>
      <c r="I171" s="67"/>
      <c r="J171" s="67">
        <f t="shared" si="91"/>
        <v>0</v>
      </c>
      <c r="K171" s="67"/>
      <c r="L171" s="934"/>
      <c r="M171" s="912" t="s">
        <v>1268</v>
      </c>
      <c r="N171" s="67">
        <f t="shared" si="92"/>
        <v>29290400000</v>
      </c>
      <c r="O171" s="67">
        <v>29290400000</v>
      </c>
      <c r="P171" s="67">
        <f t="shared" si="93"/>
        <v>0</v>
      </c>
      <c r="Q171" s="280"/>
      <c r="R171" s="67"/>
      <c r="S171" s="280"/>
      <c r="T171" s="67"/>
      <c r="U171" s="67">
        <f t="shared" si="94"/>
        <v>0</v>
      </c>
      <c r="V171" s="103"/>
      <c r="W171" s="7">
        <v>29290400000</v>
      </c>
      <c r="X171" s="811">
        <v>29290400000</v>
      </c>
      <c r="Y171" s="27">
        <f t="shared" si="97"/>
        <v>0</v>
      </c>
      <c r="Z171" s="27"/>
      <c r="AA171" s="7">
        <f t="shared" si="98"/>
        <v>0</v>
      </c>
      <c r="AB171" s="7"/>
      <c r="AC171" s="7">
        <f t="shared" si="95"/>
        <v>0</v>
      </c>
      <c r="AD171" s="50"/>
      <c r="AE171" s="7"/>
      <c r="AF171" s="50"/>
      <c r="AG171" s="7"/>
      <c r="AH171" s="7">
        <f t="shared" si="96"/>
        <v>0</v>
      </c>
      <c r="AI171" s="27"/>
      <c r="AJ171" s="7"/>
      <c r="AK171" s="855"/>
      <c r="AL171" s="27"/>
      <c r="AM171" s="95"/>
      <c r="AN171" s="38"/>
    </row>
    <row r="172" spans="1:40">
      <c r="A172" s="12"/>
      <c r="B172" s="14" t="s">
        <v>1226</v>
      </c>
      <c r="C172" s="121">
        <f t="shared" si="89"/>
        <v>15924728000</v>
      </c>
      <c r="D172" s="67">
        <v>-11663806000</v>
      </c>
      <c r="E172" s="67">
        <f t="shared" si="90"/>
        <v>27588534000</v>
      </c>
      <c r="F172" s="280"/>
      <c r="G172" s="67"/>
      <c r="H172" s="280"/>
      <c r="I172" s="67"/>
      <c r="J172" s="89">
        <f t="shared" si="91"/>
        <v>27588534000</v>
      </c>
      <c r="K172" s="89"/>
      <c r="L172" s="933"/>
      <c r="M172" s="912"/>
      <c r="N172" s="67">
        <f t="shared" si="92"/>
        <v>15924728000</v>
      </c>
      <c r="O172" s="67">
        <v>-15043160000</v>
      </c>
      <c r="P172" s="67">
        <f t="shared" si="93"/>
        <v>30967888000</v>
      </c>
      <c r="Q172" s="280"/>
      <c r="R172" s="67"/>
      <c r="S172" s="280"/>
      <c r="T172" s="67"/>
      <c r="U172" s="89">
        <f t="shared" si="94"/>
        <v>30967888000</v>
      </c>
      <c r="V172" s="103"/>
      <c r="W172" s="7">
        <v>15924728000</v>
      </c>
      <c r="X172" s="811">
        <v>15924728000</v>
      </c>
      <c r="Y172" s="27">
        <f t="shared" si="97"/>
        <v>0</v>
      </c>
      <c r="Z172" s="27"/>
      <c r="AA172" s="7">
        <f t="shared" si="98"/>
        <v>0</v>
      </c>
      <c r="AB172" s="7">
        <v>-13181574000</v>
      </c>
      <c r="AC172" s="7">
        <f t="shared" si="95"/>
        <v>13181574000</v>
      </c>
      <c r="AD172" s="50"/>
      <c r="AE172" s="7"/>
      <c r="AF172" s="50"/>
      <c r="AG172" s="7"/>
      <c r="AH172" s="7">
        <f t="shared" si="96"/>
        <v>13181574000</v>
      </c>
      <c r="AI172" s="27"/>
      <c r="AJ172" s="7"/>
      <c r="AK172" s="855"/>
      <c r="AL172" s="27"/>
      <c r="AM172" s="95"/>
      <c r="AN172" s="38"/>
    </row>
    <row r="173" spans="1:40">
      <c r="A173" s="12"/>
      <c r="B173" s="14" t="s">
        <v>140</v>
      </c>
      <c r="C173" s="121">
        <f t="shared" si="89"/>
        <v>20494030400</v>
      </c>
      <c r="D173" s="67">
        <v>-11829969600</v>
      </c>
      <c r="E173" s="67">
        <f t="shared" si="90"/>
        <v>32324000000</v>
      </c>
      <c r="F173" s="280"/>
      <c r="G173" s="67"/>
      <c r="H173" s="280"/>
      <c r="I173" s="67"/>
      <c r="J173" s="89">
        <f t="shared" si="91"/>
        <v>32324000000</v>
      </c>
      <c r="K173" s="89"/>
      <c r="L173" s="933"/>
      <c r="M173" s="912"/>
      <c r="N173" s="67">
        <f t="shared" si="92"/>
        <v>20494030400</v>
      </c>
      <c r="O173" s="67">
        <v>-2154634600</v>
      </c>
      <c r="P173" s="67">
        <f t="shared" si="93"/>
        <v>22648665000</v>
      </c>
      <c r="Q173" s="280"/>
      <c r="R173" s="67"/>
      <c r="S173" s="280"/>
      <c r="T173" s="67"/>
      <c r="U173" s="89">
        <f t="shared" si="94"/>
        <v>22648665000</v>
      </c>
      <c r="V173" s="103"/>
      <c r="W173" s="7">
        <v>20494030400</v>
      </c>
      <c r="X173" s="811">
        <v>20494030400</v>
      </c>
      <c r="Y173" s="27">
        <f t="shared" si="97"/>
        <v>0</v>
      </c>
      <c r="Z173" s="27"/>
      <c r="AA173" s="7">
        <f t="shared" si="98"/>
        <v>0</v>
      </c>
      <c r="AB173" s="7"/>
      <c r="AC173" s="7">
        <f t="shared" si="95"/>
        <v>0</v>
      </c>
      <c r="AD173" s="50"/>
      <c r="AE173" s="7"/>
      <c r="AF173" s="50"/>
      <c r="AG173" s="7"/>
      <c r="AH173" s="7">
        <f t="shared" si="96"/>
        <v>0</v>
      </c>
      <c r="AI173" s="27"/>
      <c r="AJ173" s="7"/>
      <c r="AK173" s="855"/>
      <c r="AL173" s="27"/>
      <c r="AM173" s="95"/>
      <c r="AN173" s="38"/>
    </row>
    <row r="174" spans="1:40">
      <c r="A174" s="12"/>
      <c r="B174" s="14" t="s">
        <v>141</v>
      </c>
      <c r="C174" s="121">
        <f t="shared" si="89"/>
        <v>8600000000</v>
      </c>
      <c r="D174" s="67">
        <v>-13750000000</v>
      </c>
      <c r="E174" s="67">
        <f t="shared" si="90"/>
        <v>22350000000</v>
      </c>
      <c r="F174" s="280"/>
      <c r="G174" s="67"/>
      <c r="H174" s="280"/>
      <c r="I174" s="67"/>
      <c r="J174" s="89">
        <f t="shared" si="91"/>
        <v>22350000000</v>
      </c>
      <c r="K174" s="89"/>
      <c r="L174" s="933"/>
      <c r="M174" s="912"/>
      <c r="N174" s="67">
        <f t="shared" si="92"/>
        <v>8600000000</v>
      </c>
      <c r="O174" s="67">
        <v>-13400000000</v>
      </c>
      <c r="P174" s="67">
        <f t="shared" si="93"/>
        <v>22000000000</v>
      </c>
      <c r="Q174" s="280"/>
      <c r="R174" s="67"/>
      <c r="S174" s="280"/>
      <c r="T174" s="67"/>
      <c r="U174" s="89">
        <f t="shared" si="94"/>
        <v>22000000000</v>
      </c>
      <c r="V174" s="103"/>
      <c r="W174" s="7">
        <v>8600000000</v>
      </c>
      <c r="X174" s="811">
        <v>8600000000</v>
      </c>
      <c r="Y174" s="27">
        <f t="shared" si="97"/>
        <v>0</v>
      </c>
      <c r="Z174" s="27"/>
      <c r="AA174" s="7">
        <f t="shared" si="98"/>
        <v>0</v>
      </c>
      <c r="AB174" s="7"/>
      <c r="AC174" s="7">
        <f t="shared" si="95"/>
        <v>0</v>
      </c>
      <c r="AD174" s="50"/>
      <c r="AE174" s="7"/>
      <c r="AF174" s="50"/>
      <c r="AG174" s="7"/>
      <c r="AH174" s="7">
        <f t="shared" si="96"/>
        <v>0</v>
      </c>
      <c r="AI174" s="27"/>
      <c r="AJ174" s="7"/>
      <c r="AK174" s="855"/>
      <c r="AL174" s="27"/>
      <c r="AM174" s="95"/>
      <c r="AN174" s="38"/>
    </row>
    <row r="175" spans="1:40">
      <c r="A175" s="20"/>
      <c r="B175" s="20" t="s">
        <v>142</v>
      </c>
      <c r="C175" s="21">
        <f>SUM(C164:C174)</f>
        <v>135768265866</v>
      </c>
      <c r="D175" s="42"/>
      <c r="E175" s="21">
        <f>SUM(E164:E174)</f>
        <v>126612232871</v>
      </c>
      <c r="F175" s="281"/>
      <c r="G175" s="42"/>
      <c r="H175" s="281"/>
      <c r="I175" s="42"/>
      <c r="J175" s="21">
        <f>SUM(J164:J174)</f>
        <v>126612232871</v>
      </c>
      <c r="K175" s="21"/>
      <c r="L175" s="797"/>
      <c r="M175" s="913"/>
      <c r="N175" s="21">
        <f>SUM(N164:N174)</f>
        <v>135768265866</v>
      </c>
      <c r="O175" s="42"/>
      <c r="P175" s="21">
        <f>SUM(P164:P174)</f>
        <v>100164739154</v>
      </c>
      <c r="Q175" s="281"/>
      <c r="R175" s="42"/>
      <c r="S175" s="281"/>
      <c r="T175" s="42"/>
      <c r="U175" s="21">
        <f>SUM(U164:U174)</f>
        <v>100164739154</v>
      </c>
      <c r="V175" s="442"/>
      <c r="W175" s="21">
        <f>SUM(W164:W174)</f>
        <v>135768265866</v>
      </c>
      <c r="X175" s="795">
        <v>135768265866</v>
      </c>
      <c r="Y175" s="27">
        <f t="shared" si="97"/>
        <v>0</v>
      </c>
      <c r="Z175" s="27"/>
      <c r="AA175" s="21">
        <f>SUM(AA164:AA174)</f>
        <v>72317072070</v>
      </c>
      <c r="AB175" s="21"/>
      <c r="AC175" s="21">
        <f>SUM(AC164:AC174)</f>
        <v>116920091428</v>
      </c>
      <c r="AD175" s="387"/>
      <c r="AE175" s="21"/>
      <c r="AF175" s="387"/>
      <c r="AG175" s="21"/>
      <c r="AH175" s="21">
        <f>SUM(AH164:AH174)</f>
        <v>116920091428</v>
      </c>
      <c r="AI175" s="36"/>
      <c r="AJ175" s="21">
        <f>SUM(AJ164:AJ174)</f>
        <v>72317072070</v>
      </c>
      <c r="AK175" s="843">
        <v>72317072070</v>
      </c>
      <c r="AL175" s="36">
        <f>AJ175-AK175</f>
        <v>0</v>
      </c>
      <c r="AM175" s="95"/>
      <c r="AN175" s="21">
        <f>SUM(AN164:AN174)</f>
        <v>50314981855</v>
      </c>
    </row>
    <row r="176" spans="1:40">
      <c r="A176" s="12" t="s">
        <v>143</v>
      </c>
      <c r="B176" s="48"/>
      <c r="C176" s="89"/>
      <c r="D176" s="89"/>
      <c r="E176" s="89"/>
      <c r="F176" s="280"/>
      <c r="G176" s="89"/>
      <c r="H176" s="280"/>
      <c r="I176" s="89"/>
      <c r="J176" s="89"/>
      <c r="K176" s="89"/>
      <c r="L176" s="933"/>
      <c r="M176" s="911"/>
      <c r="N176" s="89"/>
      <c r="O176" s="89"/>
      <c r="P176" s="89"/>
      <c r="Q176" s="280"/>
      <c r="R176" s="89"/>
      <c r="S176" s="280"/>
      <c r="T176" s="89"/>
      <c r="U176" s="89"/>
      <c r="V176" s="106"/>
      <c r="W176" s="7"/>
      <c r="X176" s="790"/>
      <c r="Y176" s="27"/>
      <c r="Z176" s="27"/>
      <c r="AA176" s="7"/>
      <c r="AB176" s="7"/>
      <c r="AC176" s="7"/>
      <c r="AD176" s="50"/>
      <c r="AE176" s="7"/>
      <c r="AF176" s="50"/>
      <c r="AG176" s="7"/>
      <c r="AH176" s="7"/>
      <c r="AI176" s="27"/>
      <c r="AJ176" s="7"/>
      <c r="AK176" s="837"/>
      <c r="AL176" s="27"/>
      <c r="AM176" s="95"/>
      <c r="AN176" s="7"/>
    </row>
    <row r="177" spans="1:40">
      <c r="A177" s="38" t="s">
        <v>145</v>
      </c>
      <c r="B177" s="26" t="s">
        <v>146</v>
      </c>
      <c r="C177" s="121">
        <f t="shared" ref="C177:C218" si="99">W177</f>
        <v>0</v>
      </c>
      <c r="D177" s="78">
        <v>-494401450.36000061</v>
      </c>
      <c r="E177" s="67">
        <f t="shared" ref="E177:E225" si="100">C177-D177</f>
        <v>494401450.36000061</v>
      </c>
      <c r="F177" s="280"/>
      <c r="G177" s="78"/>
      <c r="H177" s="280"/>
      <c r="I177" s="78"/>
      <c r="J177" s="67">
        <f t="shared" ref="J177:J235" si="101">E177-G177+I177</f>
        <v>494401450.36000061</v>
      </c>
      <c r="K177" s="67"/>
      <c r="L177" s="934"/>
      <c r="M177" s="912"/>
      <c r="N177" s="67">
        <f t="shared" ref="N177:N208" si="102">W177</f>
        <v>0</v>
      </c>
      <c r="O177" s="78">
        <v>-287627286.03999996</v>
      </c>
      <c r="P177" s="67">
        <f t="shared" ref="P177:P217" si="103">N177-O177</f>
        <v>287627286.03999996</v>
      </c>
      <c r="Q177" s="280"/>
      <c r="R177" s="78"/>
      <c r="S177" s="280"/>
      <c r="T177" s="78"/>
      <c r="U177" s="67">
        <f t="shared" ref="U177:U217" si="104">P177-R177+T177</f>
        <v>287627286.03999996</v>
      </c>
      <c r="V177" s="103"/>
      <c r="W177" s="7">
        <v>0</v>
      </c>
      <c r="X177" s="794">
        <v>0</v>
      </c>
      <c r="Y177" s="27"/>
      <c r="Z177" s="27"/>
      <c r="AA177" s="7">
        <f>AJ177</f>
        <v>436878374.12</v>
      </c>
      <c r="AB177" s="7">
        <v>46119449.730000019</v>
      </c>
      <c r="AC177" s="7">
        <f t="shared" ref="AC177:AC235" si="105">AA177-AB177</f>
        <v>390758924.38999999</v>
      </c>
      <c r="AD177" s="50"/>
      <c r="AE177" s="7"/>
      <c r="AF177" s="50"/>
      <c r="AG177" s="7"/>
      <c r="AH177" s="7">
        <f t="shared" ref="AH177:AH225" si="106">ROUND(AC177-AE177+AG177,0)</f>
        <v>390758924</v>
      </c>
      <c r="AI177" s="27"/>
      <c r="AJ177" s="7">
        <v>436878374.12</v>
      </c>
      <c r="AK177" s="841">
        <v>436878374.12</v>
      </c>
      <c r="AL177" s="27">
        <f>AJ177-AK177</f>
        <v>0</v>
      </c>
      <c r="AM177" s="95"/>
      <c r="AN177" s="27">
        <v>953248911</v>
      </c>
    </row>
    <row r="178" spans="1:40">
      <c r="A178" s="38" t="s">
        <v>145</v>
      </c>
      <c r="B178" s="26" t="s">
        <v>147</v>
      </c>
      <c r="C178" s="121">
        <f t="shared" si="99"/>
        <v>1356603529</v>
      </c>
      <c r="D178" s="78">
        <v>1356603529</v>
      </c>
      <c r="E178" s="67">
        <f t="shared" si="100"/>
        <v>0</v>
      </c>
      <c r="F178" s="280"/>
      <c r="G178" s="78"/>
      <c r="H178" s="280"/>
      <c r="I178" s="78"/>
      <c r="J178" s="67">
        <f t="shared" si="101"/>
        <v>0</v>
      </c>
      <c r="K178" s="67"/>
      <c r="L178" s="934"/>
      <c r="M178" s="912"/>
      <c r="N178" s="67">
        <f t="shared" si="102"/>
        <v>1356603529</v>
      </c>
      <c r="O178" s="78">
        <v>1356603529</v>
      </c>
      <c r="P178" s="67">
        <f t="shared" si="103"/>
        <v>0</v>
      </c>
      <c r="Q178" s="280"/>
      <c r="R178" s="78"/>
      <c r="S178" s="280"/>
      <c r="T178" s="78"/>
      <c r="U178" s="67">
        <f t="shared" si="104"/>
        <v>0</v>
      </c>
      <c r="V178" s="103"/>
      <c r="W178" s="7">
        <v>1356603529</v>
      </c>
      <c r="X178" s="794">
        <v>1356603529</v>
      </c>
      <c r="Y178" s="27">
        <f>W178-X178</f>
        <v>0</v>
      </c>
      <c r="Z178" s="27"/>
      <c r="AA178" s="7">
        <f t="shared" ref="AA178:AA185" si="107">AJ178</f>
        <v>0</v>
      </c>
      <c r="AB178" s="7"/>
      <c r="AC178" s="7">
        <f t="shared" si="105"/>
        <v>0</v>
      </c>
      <c r="AD178" s="50"/>
      <c r="AE178" s="7"/>
      <c r="AF178" s="50"/>
      <c r="AG178" s="7"/>
      <c r="AH178" s="7">
        <f t="shared" si="106"/>
        <v>0</v>
      </c>
      <c r="AI178" s="27"/>
      <c r="AJ178" s="7"/>
      <c r="AK178" s="841"/>
      <c r="AL178" s="27"/>
      <c r="AM178" s="95"/>
      <c r="AN178" s="27"/>
    </row>
    <row r="179" spans="1:40">
      <c r="A179" s="34"/>
      <c r="B179" s="26" t="s">
        <v>148</v>
      </c>
      <c r="C179" s="121">
        <f t="shared" si="99"/>
        <v>0</v>
      </c>
      <c r="D179" s="78"/>
      <c r="E179" s="67">
        <f t="shared" si="100"/>
        <v>0</v>
      </c>
      <c r="F179" s="280"/>
      <c r="G179" s="78"/>
      <c r="H179" s="280"/>
      <c r="I179" s="78"/>
      <c r="J179" s="67">
        <f t="shared" si="101"/>
        <v>0</v>
      </c>
      <c r="K179" s="67"/>
      <c r="L179" s="934"/>
      <c r="M179" s="912"/>
      <c r="N179" s="67">
        <f t="shared" si="102"/>
        <v>0</v>
      </c>
      <c r="O179" s="78"/>
      <c r="P179" s="67">
        <f t="shared" si="103"/>
        <v>0</v>
      </c>
      <c r="Q179" s="280"/>
      <c r="R179" s="78"/>
      <c r="S179" s="280"/>
      <c r="T179" s="78"/>
      <c r="U179" s="67">
        <f t="shared" si="104"/>
        <v>0</v>
      </c>
      <c r="V179" s="103"/>
      <c r="W179" s="7">
        <v>0</v>
      </c>
      <c r="X179" s="794">
        <v>0</v>
      </c>
      <c r="Y179" s="27"/>
      <c r="Z179" s="27"/>
      <c r="AA179" s="7">
        <f t="shared" si="107"/>
        <v>668696842.70000005</v>
      </c>
      <c r="AB179" s="7">
        <v>452693420.46000004</v>
      </c>
      <c r="AC179" s="7">
        <f t="shared" si="105"/>
        <v>216003422.24000001</v>
      </c>
      <c r="AD179" s="50"/>
      <c r="AE179" s="7"/>
      <c r="AF179" s="50"/>
      <c r="AG179" s="7"/>
      <c r="AH179" s="7">
        <f t="shared" si="106"/>
        <v>216003422</v>
      </c>
      <c r="AI179" s="27"/>
      <c r="AJ179" s="7">
        <v>668696842.70000005</v>
      </c>
      <c r="AK179" s="841">
        <v>668696842.70000005</v>
      </c>
      <c r="AL179" s="27">
        <f>AJ179-AK179</f>
        <v>0</v>
      </c>
      <c r="AM179" s="95"/>
      <c r="AN179" s="38">
        <v>0</v>
      </c>
    </row>
    <row r="180" spans="1:40">
      <c r="A180" s="34"/>
      <c r="B180" s="26" t="s">
        <v>149</v>
      </c>
      <c r="C180" s="121">
        <f t="shared" si="99"/>
        <v>0</v>
      </c>
      <c r="D180" s="78"/>
      <c r="E180" s="67">
        <f t="shared" si="100"/>
        <v>0</v>
      </c>
      <c r="F180" s="280"/>
      <c r="G180" s="78"/>
      <c r="H180" s="280"/>
      <c r="I180" s="78"/>
      <c r="J180" s="67">
        <f t="shared" si="101"/>
        <v>0</v>
      </c>
      <c r="K180" s="67"/>
      <c r="L180" s="934"/>
      <c r="M180" s="912"/>
      <c r="N180" s="67">
        <f t="shared" si="102"/>
        <v>0</v>
      </c>
      <c r="O180" s="78"/>
      <c r="P180" s="67">
        <f t="shared" si="103"/>
        <v>0</v>
      </c>
      <c r="Q180" s="280"/>
      <c r="R180" s="78"/>
      <c r="S180" s="280"/>
      <c r="T180" s="78"/>
      <c r="U180" s="67">
        <f t="shared" si="104"/>
        <v>0</v>
      </c>
      <c r="V180" s="103"/>
      <c r="W180" s="7">
        <v>0</v>
      </c>
      <c r="X180" s="794">
        <v>0</v>
      </c>
      <c r="Y180" s="27"/>
      <c r="Z180" s="27"/>
      <c r="AA180" s="7">
        <f t="shared" si="107"/>
        <v>547903749.5</v>
      </c>
      <c r="AB180" s="7">
        <v>-769414176.93000031</v>
      </c>
      <c r="AC180" s="7">
        <f t="shared" si="105"/>
        <v>1317317926.4300003</v>
      </c>
      <c r="AD180" s="50"/>
      <c r="AE180" s="7"/>
      <c r="AF180" s="50"/>
      <c r="AG180" s="7"/>
      <c r="AH180" s="7">
        <f t="shared" si="106"/>
        <v>1317317926</v>
      </c>
      <c r="AI180" s="27"/>
      <c r="AJ180" s="7">
        <v>547903749.5</v>
      </c>
      <c r="AK180" s="841">
        <v>547903749.5</v>
      </c>
      <c r="AL180" s="27">
        <f>AJ180-AK180</f>
        <v>0</v>
      </c>
      <c r="AM180" s="95"/>
      <c r="AN180" s="38">
        <v>0</v>
      </c>
    </row>
    <row r="181" spans="1:40">
      <c r="A181" s="34"/>
      <c r="B181" s="26" t="s">
        <v>150</v>
      </c>
      <c r="C181" s="121">
        <f t="shared" si="99"/>
        <v>668830500</v>
      </c>
      <c r="D181" s="78">
        <v>668830500</v>
      </c>
      <c r="E181" s="67">
        <f t="shared" si="100"/>
        <v>0</v>
      </c>
      <c r="F181" s="280"/>
      <c r="G181" s="78"/>
      <c r="H181" s="280"/>
      <c r="I181" s="78"/>
      <c r="J181" s="67">
        <f t="shared" si="101"/>
        <v>0</v>
      </c>
      <c r="K181" s="67"/>
      <c r="L181" s="934"/>
      <c r="M181" s="912"/>
      <c r="N181" s="67">
        <f t="shared" si="102"/>
        <v>668830500</v>
      </c>
      <c r="O181" s="78">
        <v>668830500</v>
      </c>
      <c r="P181" s="67">
        <f t="shared" si="103"/>
        <v>0</v>
      </c>
      <c r="Q181" s="280"/>
      <c r="R181" s="78"/>
      <c r="S181" s="280"/>
      <c r="T181" s="78"/>
      <c r="U181" s="67">
        <f t="shared" si="104"/>
        <v>0</v>
      </c>
      <c r="V181" s="103"/>
      <c r="W181" s="7">
        <v>668830500</v>
      </c>
      <c r="X181" s="794">
        <v>668830500</v>
      </c>
      <c r="Y181" s="27">
        <f>W181-X181</f>
        <v>0</v>
      </c>
      <c r="Z181" s="27"/>
      <c r="AA181" s="7">
        <f t="shared" si="107"/>
        <v>494810250</v>
      </c>
      <c r="AB181" s="7">
        <v>-697662750</v>
      </c>
      <c r="AC181" s="7">
        <f t="shared" si="105"/>
        <v>1192473000</v>
      </c>
      <c r="AD181" s="50"/>
      <c r="AE181" s="7"/>
      <c r="AF181" s="50"/>
      <c r="AG181" s="7"/>
      <c r="AH181" s="7">
        <f t="shared" si="106"/>
        <v>1192473000</v>
      </c>
      <c r="AI181" s="27"/>
      <c r="AJ181" s="7">
        <v>494810250</v>
      </c>
      <c r="AK181" s="841">
        <v>494810250</v>
      </c>
      <c r="AL181" s="27">
        <f>AJ181-AK181</f>
        <v>0</v>
      </c>
      <c r="AM181" s="95"/>
      <c r="AN181" s="27">
        <v>59895000</v>
      </c>
    </row>
    <row r="182" spans="1:40">
      <c r="A182" s="34"/>
      <c r="B182" s="26" t="s">
        <v>151</v>
      </c>
      <c r="C182" s="121">
        <f t="shared" si="99"/>
        <v>0</v>
      </c>
      <c r="D182" s="78"/>
      <c r="E182" s="67">
        <f t="shared" si="100"/>
        <v>0</v>
      </c>
      <c r="F182" s="280"/>
      <c r="G182" s="78"/>
      <c r="H182" s="280"/>
      <c r="I182" s="78"/>
      <c r="J182" s="67">
        <f t="shared" si="101"/>
        <v>0</v>
      </c>
      <c r="K182" s="67"/>
      <c r="L182" s="934"/>
      <c r="M182" s="912"/>
      <c r="N182" s="67">
        <f t="shared" si="102"/>
        <v>0</v>
      </c>
      <c r="O182" s="78"/>
      <c r="P182" s="67">
        <f t="shared" si="103"/>
        <v>0</v>
      </c>
      <c r="Q182" s="280"/>
      <c r="R182" s="78"/>
      <c r="S182" s="280"/>
      <c r="T182" s="78"/>
      <c r="U182" s="67">
        <f t="shared" si="104"/>
        <v>0</v>
      </c>
      <c r="V182" s="103"/>
      <c r="W182" s="27">
        <v>0</v>
      </c>
      <c r="X182" s="794">
        <v>0</v>
      </c>
      <c r="Y182" s="27"/>
      <c r="Z182" s="27"/>
      <c r="AA182" s="7">
        <f t="shared" si="107"/>
        <v>0</v>
      </c>
      <c r="AB182" s="27"/>
      <c r="AC182" s="27">
        <f t="shared" si="105"/>
        <v>0</v>
      </c>
      <c r="AD182" s="371"/>
      <c r="AE182" s="27"/>
      <c r="AF182" s="371"/>
      <c r="AG182" s="27"/>
      <c r="AH182" s="7">
        <f t="shared" si="106"/>
        <v>0</v>
      </c>
      <c r="AI182" s="27"/>
      <c r="AJ182" s="27">
        <v>0</v>
      </c>
      <c r="AK182" s="841">
        <v>0</v>
      </c>
      <c r="AL182" s="27"/>
      <c r="AM182" s="95"/>
      <c r="AN182" s="27">
        <v>2440021651</v>
      </c>
    </row>
    <row r="183" spans="1:40">
      <c r="A183" s="34"/>
      <c r="B183" s="26" t="s">
        <v>152</v>
      </c>
      <c r="C183" s="121">
        <f t="shared" si="99"/>
        <v>304771930</v>
      </c>
      <c r="D183" s="78">
        <v>-33374872.400000095</v>
      </c>
      <c r="E183" s="67">
        <f t="shared" si="100"/>
        <v>338146802.4000001</v>
      </c>
      <c r="F183" s="280"/>
      <c r="G183" s="78"/>
      <c r="H183" s="280"/>
      <c r="I183" s="78"/>
      <c r="J183" s="67">
        <f t="shared" si="101"/>
        <v>338146802.4000001</v>
      </c>
      <c r="K183" s="67"/>
      <c r="L183" s="934"/>
      <c r="M183" s="912"/>
      <c r="N183" s="67">
        <f t="shared" si="102"/>
        <v>304771930</v>
      </c>
      <c r="O183" s="78">
        <v>-195533902.5</v>
      </c>
      <c r="P183" s="67">
        <f t="shared" si="103"/>
        <v>500305832.5</v>
      </c>
      <c r="Q183" s="280"/>
      <c r="R183" s="78"/>
      <c r="S183" s="280"/>
      <c r="T183" s="78"/>
      <c r="U183" s="67">
        <f t="shared" si="104"/>
        <v>500305832.5</v>
      </c>
      <c r="V183" s="103"/>
      <c r="W183" s="7">
        <v>304771930</v>
      </c>
      <c r="X183" s="794">
        <v>304771930</v>
      </c>
      <c r="Y183" s="27">
        <f>W183-X183</f>
        <v>0</v>
      </c>
      <c r="Z183" s="27"/>
      <c r="AA183" s="7">
        <f t="shared" si="107"/>
        <v>588467205.5</v>
      </c>
      <c r="AB183" s="7">
        <v>261423627.5</v>
      </c>
      <c r="AC183" s="7">
        <f t="shared" si="105"/>
        <v>327043578</v>
      </c>
      <c r="AD183" s="50"/>
      <c r="AE183" s="7"/>
      <c r="AF183" s="50"/>
      <c r="AG183" s="7"/>
      <c r="AH183" s="7">
        <f t="shared" si="106"/>
        <v>327043578</v>
      </c>
      <c r="AI183" s="27"/>
      <c r="AJ183" s="7">
        <v>588467205.5</v>
      </c>
      <c r="AK183" s="841">
        <v>588467205.5</v>
      </c>
      <c r="AL183" s="27">
        <f>AJ183-AK183</f>
        <v>0</v>
      </c>
      <c r="AM183" s="95"/>
      <c r="AN183" s="27">
        <v>157746574</v>
      </c>
    </row>
    <row r="184" spans="1:40">
      <c r="A184" s="34"/>
      <c r="B184" s="26" t="s">
        <v>153</v>
      </c>
      <c r="C184" s="121">
        <f t="shared" si="99"/>
        <v>0</v>
      </c>
      <c r="D184" s="78"/>
      <c r="E184" s="67">
        <f t="shared" si="100"/>
        <v>0</v>
      </c>
      <c r="F184" s="280"/>
      <c r="G184" s="78"/>
      <c r="H184" s="280"/>
      <c r="I184" s="78"/>
      <c r="J184" s="67">
        <f t="shared" si="101"/>
        <v>0</v>
      </c>
      <c r="K184" s="67"/>
      <c r="L184" s="934"/>
      <c r="M184" s="912"/>
      <c r="N184" s="67">
        <f t="shared" si="102"/>
        <v>0</v>
      </c>
      <c r="O184" s="78"/>
      <c r="P184" s="67">
        <f t="shared" si="103"/>
        <v>0</v>
      </c>
      <c r="Q184" s="280"/>
      <c r="R184" s="78"/>
      <c r="S184" s="280"/>
      <c r="T184" s="78"/>
      <c r="U184" s="67">
        <f t="shared" si="104"/>
        <v>0</v>
      </c>
      <c r="V184" s="103"/>
      <c r="W184" s="7">
        <v>0</v>
      </c>
      <c r="X184" s="794">
        <v>0</v>
      </c>
      <c r="Y184" s="27"/>
      <c r="Z184" s="27"/>
      <c r="AA184" s="7">
        <f t="shared" si="107"/>
        <v>0</v>
      </c>
      <c r="AB184" s="7"/>
      <c r="AC184" s="7">
        <f t="shared" si="105"/>
        <v>0</v>
      </c>
      <c r="AD184" s="50"/>
      <c r="AE184" s="7"/>
      <c r="AF184" s="50"/>
      <c r="AG184" s="7"/>
      <c r="AH184" s="7">
        <f t="shared" si="106"/>
        <v>0</v>
      </c>
      <c r="AI184" s="27"/>
      <c r="AJ184" s="7">
        <v>0</v>
      </c>
      <c r="AK184" s="841">
        <v>0</v>
      </c>
      <c r="AL184" s="27"/>
      <c r="AM184" s="95"/>
      <c r="AN184" s="27">
        <v>40577268</v>
      </c>
    </row>
    <row r="185" spans="1:40">
      <c r="A185" s="34"/>
      <c r="B185" s="26" t="s">
        <v>154</v>
      </c>
      <c r="C185" s="121">
        <f t="shared" si="99"/>
        <v>0</v>
      </c>
      <c r="D185" s="78"/>
      <c r="E185" s="67">
        <f t="shared" si="100"/>
        <v>0</v>
      </c>
      <c r="F185" s="280"/>
      <c r="G185" s="78"/>
      <c r="H185" s="280"/>
      <c r="I185" s="78"/>
      <c r="J185" s="67">
        <f t="shared" si="101"/>
        <v>0</v>
      </c>
      <c r="K185" s="67"/>
      <c r="L185" s="934"/>
      <c r="M185" s="912"/>
      <c r="N185" s="67">
        <f t="shared" si="102"/>
        <v>0</v>
      </c>
      <c r="O185" s="78"/>
      <c r="P185" s="67">
        <f t="shared" si="103"/>
        <v>0</v>
      </c>
      <c r="Q185" s="280"/>
      <c r="R185" s="78"/>
      <c r="S185" s="280"/>
      <c r="T185" s="78"/>
      <c r="U185" s="67">
        <f t="shared" si="104"/>
        <v>0</v>
      </c>
      <c r="V185" s="103"/>
      <c r="W185" s="7">
        <v>0</v>
      </c>
      <c r="X185" s="794">
        <v>0</v>
      </c>
      <c r="Y185" s="27"/>
      <c r="Z185" s="27"/>
      <c r="AA185" s="7">
        <f t="shared" si="107"/>
        <v>0</v>
      </c>
      <c r="AB185" s="7"/>
      <c r="AC185" s="7">
        <f t="shared" si="105"/>
        <v>0</v>
      </c>
      <c r="AD185" s="50"/>
      <c r="AE185" s="7"/>
      <c r="AF185" s="50"/>
      <c r="AG185" s="7"/>
      <c r="AH185" s="7">
        <f t="shared" si="106"/>
        <v>0</v>
      </c>
      <c r="AI185" s="27"/>
      <c r="AJ185" s="7">
        <v>0</v>
      </c>
      <c r="AK185" s="841">
        <v>0</v>
      </c>
      <c r="AL185" s="27"/>
      <c r="AM185" s="95"/>
      <c r="AN185" s="27">
        <v>49322145</v>
      </c>
    </row>
    <row r="186" spans="1:40">
      <c r="A186" s="34"/>
      <c r="B186" s="26" t="s">
        <v>560</v>
      </c>
      <c r="C186" s="121">
        <f t="shared" si="99"/>
        <v>0</v>
      </c>
      <c r="D186" s="268">
        <v>0</v>
      </c>
      <c r="E186" s="67">
        <f t="shared" si="100"/>
        <v>0</v>
      </c>
      <c r="F186" s="280"/>
      <c r="G186" s="78"/>
      <c r="H186" s="280"/>
      <c r="I186" s="78"/>
      <c r="J186" s="67">
        <f t="shared" si="101"/>
        <v>0</v>
      </c>
      <c r="K186" s="67"/>
      <c r="L186" s="934"/>
      <c r="M186" s="912"/>
      <c r="N186" s="67">
        <f t="shared" si="102"/>
        <v>0</v>
      </c>
      <c r="O186" s="78"/>
      <c r="P186" s="67">
        <f t="shared" si="103"/>
        <v>0</v>
      </c>
      <c r="Q186" s="280"/>
      <c r="R186" s="78"/>
      <c r="S186" s="280"/>
      <c r="T186" s="78"/>
      <c r="U186" s="67">
        <f t="shared" si="104"/>
        <v>0</v>
      </c>
      <c r="V186" s="103"/>
      <c r="W186" s="7"/>
      <c r="X186" s="794">
        <v>0</v>
      </c>
      <c r="Y186" s="27"/>
      <c r="Z186" s="27"/>
      <c r="AA186" s="7"/>
      <c r="AB186" s="7">
        <v>-128205000</v>
      </c>
      <c r="AC186" s="7">
        <f t="shared" si="105"/>
        <v>128205000</v>
      </c>
      <c r="AD186" s="50"/>
      <c r="AE186" s="7"/>
      <c r="AF186" s="50"/>
      <c r="AG186" s="7"/>
      <c r="AH186" s="7">
        <f t="shared" si="106"/>
        <v>128205000</v>
      </c>
      <c r="AI186" s="27"/>
      <c r="AJ186" s="7"/>
      <c r="AK186" s="841"/>
      <c r="AL186" s="27"/>
      <c r="AM186" s="95"/>
      <c r="AN186" s="27"/>
    </row>
    <row r="187" spans="1:40">
      <c r="A187" s="34"/>
      <c r="B187" s="26" t="s">
        <v>155</v>
      </c>
      <c r="C187" s="121">
        <f t="shared" si="99"/>
        <v>0</v>
      </c>
      <c r="D187" s="268">
        <v>0</v>
      </c>
      <c r="E187" s="67">
        <f t="shared" si="100"/>
        <v>0</v>
      </c>
      <c r="F187" s="280"/>
      <c r="G187" s="78"/>
      <c r="H187" s="280"/>
      <c r="I187" s="78"/>
      <c r="J187" s="67">
        <f t="shared" si="101"/>
        <v>0</v>
      </c>
      <c r="K187" s="67"/>
      <c r="L187" s="934"/>
      <c r="M187" s="912"/>
      <c r="N187" s="67">
        <f t="shared" si="102"/>
        <v>0</v>
      </c>
      <c r="O187" s="78">
        <v>-64380000</v>
      </c>
      <c r="P187" s="67">
        <f t="shared" si="103"/>
        <v>64380000</v>
      </c>
      <c r="Q187" s="280"/>
      <c r="R187" s="78"/>
      <c r="S187" s="280"/>
      <c r="T187" s="78"/>
      <c r="U187" s="67">
        <f t="shared" si="104"/>
        <v>64380000</v>
      </c>
      <c r="V187" s="103"/>
      <c r="W187" s="7">
        <v>0</v>
      </c>
      <c r="X187" s="794">
        <v>0</v>
      </c>
      <c r="Y187" s="27"/>
      <c r="Z187" s="27"/>
      <c r="AA187" s="7">
        <f>AJ187</f>
        <v>388500000</v>
      </c>
      <c r="AB187" s="7">
        <v>210900000</v>
      </c>
      <c r="AC187" s="7">
        <f t="shared" si="105"/>
        <v>177600000</v>
      </c>
      <c r="AD187" s="50"/>
      <c r="AE187" s="7"/>
      <c r="AF187" s="50"/>
      <c r="AG187" s="7"/>
      <c r="AH187" s="7">
        <f t="shared" si="106"/>
        <v>177600000</v>
      </c>
      <c r="AI187" s="27"/>
      <c r="AJ187" s="7">
        <v>388500000</v>
      </c>
      <c r="AK187" s="841">
        <v>388500000</v>
      </c>
      <c r="AL187" s="27">
        <f t="shared" ref="AL187:AL189" si="108">AJ187-AK187</f>
        <v>0</v>
      </c>
      <c r="AM187" s="95"/>
      <c r="AN187" s="27">
        <v>112750000</v>
      </c>
    </row>
    <row r="188" spans="1:40">
      <c r="A188" s="34"/>
      <c r="B188" s="26" t="s">
        <v>156</v>
      </c>
      <c r="C188" s="121">
        <f t="shared" si="99"/>
        <v>0</v>
      </c>
      <c r="D188" s="78">
        <v>0</v>
      </c>
      <c r="E188" s="67">
        <f t="shared" si="100"/>
        <v>0</v>
      </c>
      <c r="F188" s="280"/>
      <c r="G188" s="78"/>
      <c r="H188" s="280"/>
      <c r="I188" s="78"/>
      <c r="J188" s="513">
        <f t="shared" si="101"/>
        <v>0</v>
      </c>
      <c r="K188" s="513"/>
      <c r="L188" s="934"/>
      <c r="M188" s="912"/>
      <c r="N188" s="67">
        <f t="shared" si="102"/>
        <v>0</v>
      </c>
      <c r="O188" s="78">
        <v>72788250</v>
      </c>
      <c r="P188" s="67">
        <f t="shared" si="103"/>
        <v>-72788250</v>
      </c>
      <c r="Q188" s="280"/>
      <c r="R188" s="78"/>
      <c r="S188" s="280" t="str">
        <f>'AJE CAJE Sept 24'!B69</f>
        <v>CAJE 14</v>
      </c>
      <c r="T188" s="78">
        <f>'AJE CAJE Sept 24'!H69</f>
        <v>72788250</v>
      </c>
      <c r="U188" s="513">
        <f t="shared" si="104"/>
        <v>0</v>
      </c>
      <c r="V188" s="103"/>
      <c r="W188" s="7">
        <v>0</v>
      </c>
      <c r="X188" s="794">
        <v>0</v>
      </c>
      <c r="Y188" s="27"/>
      <c r="Z188" s="27"/>
      <c r="AA188" s="7">
        <f t="shared" ref="AA188:AA196" si="109">AJ188</f>
        <v>281731500</v>
      </c>
      <c r="AB188" s="7">
        <v>-120072960</v>
      </c>
      <c r="AC188" s="7">
        <f t="shared" si="105"/>
        <v>401804460</v>
      </c>
      <c r="AD188" s="50"/>
      <c r="AE188" s="7"/>
      <c r="AF188" s="50"/>
      <c r="AG188" s="7"/>
      <c r="AH188" s="7">
        <f t="shared" si="106"/>
        <v>401804460</v>
      </c>
      <c r="AI188" s="27"/>
      <c r="AJ188" s="7">
        <v>281731500</v>
      </c>
      <c r="AK188" s="841">
        <v>281731500</v>
      </c>
      <c r="AL188" s="27">
        <f t="shared" si="108"/>
        <v>0</v>
      </c>
      <c r="AM188" s="95"/>
      <c r="AN188" s="38">
        <v>0</v>
      </c>
    </row>
    <row r="189" spans="1:40">
      <c r="A189" s="34"/>
      <c r="B189" s="26" t="s">
        <v>157</v>
      </c>
      <c r="C189" s="121">
        <f t="shared" si="99"/>
        <v>0</v>
      </c>
      <c r="D189" s="78"/>
      <c r="E189" s="67">
        <f t="shared" si="100"/>
        <v>0</v>
      </c>
      <c r="F189" s="280"/>
      <c r="G189" s="78"/>
      <c r="H189" s="280"/>
      <c r="I189" s="78"/>
      <c r="J189" s="67">
        <f t="shared" si="101"/>
        <v>0</v>
      </c>
      <c r="K189" s="67"/>
      <c r="L189" s="934"/>
      <c r="M189" s="912"/>
      <c r="N189" s="67">
        <f t="shared" si="102"/>
        <v>0</v>
      </c>
      <c r="O189" s="78">
        <v>-158625000</v>
      </c>
      <c r="P189" s="67">
        <f t="shared" si="103"/>
        <v>158625000</v>
      </c>
      <c r="Q189" s="280"/>
      <c r="R189" s="78"/>
      <c r="S189" s="280"/>
      <c r="T189" s="78"/>
      <c r="U189" s="67">
        <f t="shared" si="104"/>
        <v>158625000</v>
      </c>
      <c r="V189" s="103"/>
      <c r="W189" s="7">
        <v>0</v>
      </c>
      <c r="X189" s="794">
        <v>0</v>
      </c>
      <c r="Y189" s="27"/>
      <c r="Z189" s="27"/>
      <c r="AA189" s="7">
        <f t="shared" si="109"/>
        <v>228562500</v>
      </c>
      <c r="AB189" s="7">
        <v>228562500</v>
      </c>
      <c r="AC189" s="7">
        <f t="shared" si="105"/>
        <v>0</v>
      </c>
      <c r="AD189" s="50"/>
      <c r="AE189" s="7"/>
      <c r="AF189" s="50"/>
      <c r="AG189" s="7"/>
      <c r="AH189" s="7">
        <f t="shared" si="106"/>
        <v>0</v>
      </c>
      <c r="AI189" s="27"/>
      <c r="AJ189" s="7">
        <v>228562500</v>
      </c>
      <c r="AK189" s="841">
        <v>228562500</v>
      </c>
      <c r="AL189" s="27">
        <f t="shared" si="108"/>
        <v>0</v>
      </c>
      <c r="AM189" s="95"/>
      <c r="AN189" s="38">
        <v>0</v>
      </c>
    </row>
    <row r="190" spans="1:40">
      <c r="A190" s="34"/>
      <c r="B190" s="26" t="s">
        <v>158</v>
      </c>
      <c r="C190" s="121">
        <f t="shared" si="99"/>
        <v>1618149192</v>
      </c>
      <c r="D190" s="78">
        <v>1627205126</v>
      </c>
      <c r="E190" s="67">
        <f t="shared" si="100"/>
        <v>-9055934</v>
      </c>
      <c r="F190" s="280"/>
      <c r="G190" s="78"/>
      <c r="H190" s="280" t="str">
        <f>'AJE CAJE Des 24'!A82</f>
        <v>CAJE 11</v>
      </c>
      <c r="I190" s="78">
        <f>'AJE CAJE Des 24'!G82</f>
        <v>9055934</v>
      </c>
      <c r="J190" s="513">
        <f t="shared" si="101"/>
        <v>0</v>
      </c>
      <c r="K190" s="513"/>
      <c r="L190" s="934"/>
      <c r="M190" s="912"/>
      <c r="N190" s="67">
        <f t="shared" si="102"/>
        <v>1618149192</v>
      </c>
      <c r="O190" s="78">
        <v>1627205126</v>
      </c>
      <c r="P190" s="67">
        <f t="shared" si="103"/>
        <v>-9055934</v>
      </c>
      <c r="Q190" s="280"/>
      <c r="R190" s="78"/>
      <c r="S190" s="280" t="str">
        <f>'AJE CAJE Sept 24'!B69</f>
        <v>CAJE 14</v>
      </c>
      <c r="T190" s="78">
        <f>'AJE CAJE Sept 24'!H70</f>
        <v>9055934</v>
      </c>
      <c r="U190" s="513">
        <f t="shared" si="104"/>
        <v>0</v>
      </c>
      <c r="V190" s="103"/>
      <c r="W190" s="7">
        <v>1618149192</v>
      </c>
      <c r="X190" s="794">
        <v>1618149192</v>
      </c>
      <c r="Y190" s="27">
        <f>W190-X190</f>
        <v>0</v>
      </c>
      <c r="Z190" s="27"/>
      <c r="AA190" s="7">
        <f t="shared" si="109"/>
        <v>0</v>
      </c>
      <c r="AB190" s="7">
        <v>-1518184626.6999998</v>
      </c>
      <c r="AC190" s="7">
        <f t="shared" si="105"/>
        <v>1518184626.6999998</v>
      </c>
      <c r="AD190" s="50"/>
      <c r="AE190" s="7"/>
      <c r="AF190" s="50"/>
      <c r="AG190" s="7"/>
      <c r="AH190" s="7">
        <f t="shared" si="106"/>
        <v>1518184627</v>
      </c>
      <c r="AI190" s="27"/>
      <c r="AJ190" s="7"/>
      <c r="AK190" s="841"/>
      <c r="AL190" s="27"/>
      <c r="AM190" s="95"/>
      <c r="AN190" s="38"/>
    </row>
    <row r="191" spans="1:40">
      <c r="A191" s="34"/>
      <c r="B191" s="26" t="s">
        <v>159</v>
      </c>
      <c r="C191" s="121">
        <f t="shared" si="99"/>
        <v>0</v>
      </c>
      <c r="D191" s="78">
        <v>0</v>
      </c>
      <c r="E191" s="67">
        <f t="shared" si="100"/>
        <v>0</v>
      </c>
      <c r="F191" s="280"/>
      <c r="G191" s="78"/>
      <c r="H191" s="280"/>
      <c r="I191" s="78"/>
      <c r="J191" s="67">
        <f t="shared" si="101"/>
        <v>0</v>
      </c>
      <c r="K191" s="67"/>
      <c r="L191" s="934"/>
      <c r="M191" s="912"/>
      <c r="N191" s="67">
        <f t="shared" si="102"/>
        <v>0</v>
      </c>
      <c r="O191" s="78">
        <v>-129507783.42000008</v>
      </c>
      <c r="P191" s="67">
        <f t="shared" si="103"/>
        <v>129507783.42000008</v>
      </c>
      <c r="Q191" s="280"/>
      <c r="R191" s="78"/>
      <c r="S191" s="280"/>
      <c r="T191" s="78"/>
      <c r="U191" s="674">
        <f t="shared" si="104"/>
        <v>129507783.42000008</v>
      </c>
      <c r="V191" s="103"/>
      <c r="W191" s="7">
        <v>0</v>
      </c>
      <c r="X191" s="794">
        <v>0</v>
      </c>
      <c r="Y191" s="27"/>
      <c r="Z191" s="27"/>
      <c r="AA191" s="7">
        <f t="shared" si="109"/>
        <v>0</v>
      </c>
      <c r="AB191" s="7"/>
      <c r="AC191" s="7">
        <f t="shared" si="105"/>
        <v>0</v>
      </c>
      <c r="AD191" s="50"/>
      <c r="AE191" s="7"/>
      <c r="AF191" s="50"/>
      <c r="AG191" s="7"/>
      <c r="AH191" s="7">
        <f t="shared" si="106"/>
        <v>0</v>
      </c>
      <c r="AI191" s="27"/>
      <c r="AJ191" s="7">
        <v>0</v>
      </c>
      <c r="AK191" s="841">
        <v>0</v>
      </c>
      <c r="AL191" s="27"/>
      <c r="AM191" s="95"/>
      <c r="AN191" s="27">
        <v>1026636958</v>
      </c>
    </row>
    <row r="192" spans="1:40">
      <c r="A192" s="34"/>
      <c r="B192" s="26" t="s">
        <v>160</v>
      </c>
      <c r="C192" s="121">
        <f t="shared" si="99"/>
        <v>0</v>
      </c>
      <c r="D192" s="78">
        <v>12469178128.26</v>
      </c>
      <c r="E192" s="67">
        <f t="shared" si="100"/>
        <v>-12469178128.26</v>
      </c>
      <c r="F192" s="280"/>
      <c r="G192" s="78"/>
      <c r="H192" s="280" t="str">
        <f>'AJE CAJE Des 24'!A49</f>
        <v>RLKS 1</v>
      </c>
      <c r="I192" s="78">
        <f>'AJE CAJE Des 24'!G49</f>
        <v>12469178128.26</v>
      </c>
      <c r="J192" s="513">
        <f t="shared" si="101"/>
        <v>0</v>
      </c>
      <c r="K192" s="513"/>
      <c r="L192" s="934"/>
      <c r="M192" s="912"/>
      <c r="N192" s="67">
        <f t="shared" si="102"/>
        <v>0</v>
      </c>
      <c r="O192" s="78"/>
      <c r="P192" s="67">
        <f t="shared" si="103"/>
        <v>0</v>
      </c>
      <c r="Q192" s="280"/>
      <c r="R192" s="78"/>
      <c r="S192" s="280"/>
      <c r="T192" s="78"/>
      <c r="U192" s="67">
        <f t="shared" si="104"/>
        <v>0</v>
      </c>
      <c r="V192" s="103"/>
      <c r="W192" s="7">
        <v>0</v>
      </c>
      <c r="X192" s="794">
        <v>0</v>
      </c>
      <c r="Y192" s="27"/>
      <c r="Z192" s="27"/>
      <c r="AA192" s="7">
        <f t="shared" si="109"/>
        <v>0</v>
      </c>
      <c r="AB192" s="7"/>
      <c r="AC192" s="7">
        <f t="shared" si="105"/>
        <v>0</v>
      </c>
      <c r="AD192" s="50"/>
      <c r="AE192" s="7"/>
      <c r="AF192" s="50"/>
      <c r="AG192" s="7"/>
      <c r="AH192" s="7">
        <f t="shared" si="106"/>
        <v>0</v>
      </c>
      <c r="AI192" s="27"/>
      <c r="AJ192" s="7">
        <v>0</v>
      </c>
      <c r="AK192" s="841">
        <v>0</v>
      </c>
      <c r="AL192" s="27"/>
      <c r="AM192" s="95"/>
      <c r="AN192" s="27">
        <v>412948483</v>
      </c>
    </row>
    <row r="193" spans="1:40">
      <c r="A193" s="34"/>
      <c r="B193" s="26" t="s">
        <v>161</v>
      </c>
      <c r="C193" s="121">
        <f t="shared" si="99"/>
        <v>0</v>
      </c>
      <c r="D193" s="78">
        <v>-31635000</v>
      </c>
      <c r="E193" s="67">
        <f t="shared" si="100"/>
        <v>31635000</v>
      </c>
      <c r="F193" s="280"/>
      <c r="G193" s="78"/>
      <c r="H193" s="280"/>
      <c r="I193" s="78"/>
      <c r="J193" s="67">
        <f t="shared" si="101"/>
        <v>31635000</v>
      </c>
      <c r="K193" s="67"/>
      <c r="L193" s="934"/>
      <c r="M193" s="912"/>
      <c r="N193" s="67">
        <f t="shared" si="102"/>
        <v>0</v>
      </c>
      <c r="O193" s="78">
        <v>-31635000</v>
      </c>
      <c r="P193" s="67">
        <f t="shared" si="103"/>
        <v>31635000</v>
      </c>
      <c r="Q193" s="280"/>
      <c r="R193" s="78"/>
      <c r="S193" s="280"/>
      <c r="T193" s="78"/>
      <c r="U193" s="67">
        <f t="shared" si="104"/>
        <v>31635000</v>
      </c>
      <c r="V193" s="103"/>
      <c r="W193" s="7">
        <v>0</v>
      </c>
      <c r="X193" s="794">
        <v>0</v>
      </c>
      <c r="Y193" s="27"/>
      <c r="Z193" s="27"/>
      <c r="AA193" s="7">
        <f t="shared" si="109"/>
        <v>49950000.18</v>
      </c>
      <c r="AB193" s="7">
        <v>49950000.18</v>
      </c>
      <c r="AC193" s="7">
        <f t="shared" si="105"/>
        <v>0</v>
      </c>
      <c r="AD193" s="50"/>
      <c r="AE193" s="7"/>
      <c r="AF193" s="50"/>
      <c r="AG193" s="7"/>
      <c r="AH193" s="7">
        <f t="shared" si="106"/>
        <v>0</v>
      </c>
      <c r="AI193" s="27"/>
      <c r="AJ193" s="7">
        <v>49950000.18</v>
      </c>
      <c r="AK193" s="841">
        <v>49950000.18</v>
      </c>
      <c r="AL193" s="27">
        <f>AJ193-AK193</f>
        <v>0</v>
      </c>
      <c r="AM193" s="95"/>
      <c r="AN193" s="27">
        <v>217800000</v>
      </c>
    </row>
    <row r="194" spans="1:40">
      <c r="A194" s="34"/>
      <c r="B194" s="26" t="s">
        <v>162</v>
      </c>
      <c r="C194" s="121">
        <f t="shared" si="99"/>
        <v>0</v>
      </c>
      <c r="D194" s="78"/>
      <c r="E194" s="67">
        <f t="shared" si="100"/>
        <v>0</v>
      </c>
      <c r="F194" s="280"/>
      <c r="G194" s="78"/>
      <c r="H194" s="280"/>
      <c r="I194" s="78"/>
      <c r="J194" s="67">
        <f t="shared" si="101"/>
        <v>0</v>
      </c>
      <c r="K194" s="67"/>
      <c r="L194" s="934"/>
      <c r="M194" s="912"/>
      <c r="N194" s="67">
        <f t="shared" si="102"/>
        <v>0</v>
      </c>
      <c r="O194" s="78"/>
      <c r="P194" s="67">
        <f t="shared" si="103"/>
        <v>0</v>
      </c>
      <c r="Q194" s="280"/>
      <c r="R194" s="78"/>
      <c r="S194" s="280"/>
      <c r="T194" s="78"/>
      <c r="U194" s="67">
        <f t="shared" si="104"/>
        <v>0</v>
      </c>
      <c r="V194" s="103"/>
      <c r="W194" s="7">
        <v>0</v>
      </c>
      <c r="X194" s="794">
        <v>0</v>
      </c>
      <c r="Y194" s="27"/>
      <c r="Z194" s="27"/>
      <c r="AA194" s="7">
        <f t="shared" si="109"/>
        <v>107651080</v>
      </c>
      <c r="AB194" s="7">
        <v>103751080</v>
      </c>
      <c r="AC194" s="7">
        <f t="shared" si="105"/>
        <v>3900000</v>
      </c>
      <c r="AD194" s="50"/>
      <c r="AE194" s="7"/>
      <c r="AF194" s="50"/>
      <c r="AG194" s="7"/>
      <c r="AH194" s="7">
        <f t="shared" si="106"/>
        <v>3900000</v>
      </c>
      <c r="AI194" s="27"/>
      <c r="AJ194" s="7">
        <v>107651080</v>
      </c>
      <c r="AK194" s="841">
        <v>107651080</v>
      </c>
      <c r="AL194" s="27">
        <f>AJ194-AK194</f>
        <v>0</v>
      </c>
      <c r="AM194" s="95"/>
      <c r="AN194" s="27">
        <v>84517538</v>
      </c>
    </row>
    <row r="195" spans="1:40">
      <c r="A195" s="34"/>
      <c r="B195" s="26" t="s">
        <v>163</v>
      </c>
      <c r="C195" s="121">
        <f t="shared" si="99"/>
        <v>0</v>
      </c>
      <c r="D195" s="78">
        <v>0</v>
      </c>
      <c r="E195" s="67">
        <f t="shared" si="100"/>
        <v>0</v>
      </c>
      <c r="F195" s="280"/>
      <c r="G195" s="78"/>
      <c r="H195" s="280"/>
      <c r="I195" s="78"/>
      <c r="J195" s="67">
        <f t="shared" si="101"/>
        <v>0</v>
      </c>
      <c r="K195" s="67"/>
      <c r="L195" s="934"/>
      <c r="M195" s="912"/>
      <c r="N195" s="67">
        <f t="shared" si="102"/>
        <v>0</v>
      </c>
      <c r="O195" s="78">
        <v>48965375</v>
      </c>
      <c r="P195" s="67">
        <f t="shared" si="103"/>
        <v>-48965375</v>
      </c>
      <c r="Q195" s="280"/>
      <c r="R195" s="78"/>
      <c r="S195" s="280" t="str">
        <f>'AJE CAJE Sept 24'!B71</f>
        <v>CAJE 14</v>
      </c>
      <c r="T195" s="78">
        <f>'AJE CAJE Sept 24'!H71</f>
        <v>48965375</v>
      </c>
      <c r="U195" s="513">
        <f t="shared" si="104"/>
        <v>0</v>
      </c>
      <c r="V195" s="103"/>
      <c r="W195" s="7">
        <v>0</v>
      </c>
      <c r="X195" s="794">
        <v>0</v>
      </c>
      <c r="Y195" s="27"/>
      <c r="Z195" s="27"/>
      <c r="AA195" s="7">
        <f t="shared" si="109"/>
        <v>152973595</v>
      </c>
      <c r="AB195" s="7">
        <v>-32531447.5</v>
      </c>
      <c r="AC195" s="7">
        <f t="shared" si="105"/>
        <v>185505042.5</v>
      </c>
      <c r="AD195" s="50"/>
      <c r="AE195" s="7"/>
      <c r="AF195" s="50"/>
      <c r="AG195" s="7"/>
      <c r="AH195" s="7">
        <f t="shared" si="106"/>
        <v>185505043</v>
      </c>
      <c r="AI195" s="27"/>
      <c r="AJ195" s="7">
        <v>152973595</v>
      </c>
      <c r="AK195" s="841">
        <v>152973595</v>
      </c>
      <c r="AL195" s="27">
        <f t="shared" ref="AL195:AL196" si="110">AJ195-AK195</f>
        <v>0</v>
      </c>
      <c r="AM195" s="95"/>
      <c r="AN195" s="27">
        <v>93952188</v>
      </c>
    </row>
    <row r="196" spans="1:40">
      <c r="A196" s="34"/>
      <c r="B196" s="26" t="s">
        <v>164</v>
      </c>
      <c r="C196" s="121">
        <f t="shared" si="99"/>
        <v>2634498031</v>
      </c>
      <c r="D196" s="78">
        <v>564440647.04000092</v>
      </c>
      <c r="E196" s="67">
        <f t="shared" si="100"/>
        <v>2070057383.9599991</v>
      </c>
      <c r="F196" s="280" t="str">
        <f>'AJE CAJE Des 24'!A54</f>
        <v>CAJE 6</v>
      </c>
      <c r="G196" s="78">
        <f>'AJE CAJE Des 24'!F54</f>
        <v>0</v>
      </c>
      <c r="H196" s="280"/>
      <c r="I196" s="78"/>
      <c r="J196" s="666">
        <f t="shared" si="101"/>
        <v>2070057383.9599991</v>
      </c>
      <c r="K196" s="666"/>
      <c r="L196" s="934"/>
      <c r="M196" s="912"/>
      <c r="N196" s="67">
        <f t="shared" si="102"/>
        <v>2634498031</v>
      </c>
      <c r="O196" s="78">
        <v>1239037326.8500004</v>
      </c>
      <c r="P196" s="67">
        <f t="shared" si="103"/>
        <v>1395460704.1499996</v>
      </c>
      <c r="Q196" s="280" t="str">
        <f>'AJE CAJE Sept 24'!B91</f>
        <v>CAJE 17</v>
      </c>
      <c r="R196" s="78">
        <f>'AJE CAJE Sept 24'!G91</f>
        <v>804952539</v>
      </c>
      <c r="S196" s="280"/>
      <c r="T196" s="78"/>
      <c r="U196" s="674">
        <f t="shared" si="104"/>
        <v>590508165.14999962</v>
      </c>
      <c r="V196" s="103">
        <f>W196-U196</f>
        <v>2043989865.8500004</v>
      </c>
      <c r="W196" s="7">
        <v>2634498031</v>
      </c>
      <c r="X196" s="794">
        <v>2634498031</v>
      </c>
      <c r="Y196" s="27">
        <f>W196-X196</f>
        <v>0</v>
      </c>
      <c r="Z196" s="27"/>
      <c r="AA196" s="7">
        <f t="shared" si="109"/>
        <v>144108923.00999999</v>
      </c>
      <c r="AB196" s="7">
        <v>-1176851677.5299997</v>
      </c>
      <c r="AC196" s="7">
        <f t="shared" si="105"/>
        <v>1320960600.5399997</v>
      </c>
      <c r="AD196" s="50"/>
      <c r="AE196" s="7"/>
      <c r="AF196" s="50"/>
      <c r="AG196" s="7"/>
      <c r="AH196" s="7">
        <f t="shared" si="106"/>
        <v>1320960601</v>
      </c>
      <c r="AI196" s="27"/>
      <c r="AJ196" s="7">
        <v>144108923.00999999</v>
      </c>
      <c r="AK196" s="841">
        <v>144108923.00999999</v>
      </c>
      <c r="AL196" s="27">
        <f t="shared" si="110"/>
        <v>0</v>
      </c>
      <c r="AM196" s="95"/>
      <c r="AN196" s="38">
        <v>0</v>
      </c>
    </row>
    <row r="197" spans="1:40">
      <c r="A197" s="34"/>
      <c r="B197" s="26" t="s">
        <v>561</v>
      </c>
      <c r="C197" s="121">
        <f t="shared" si="99"/>
        <v>0</v>
      </c>
      <c r="D197" s="78">
        <v>0</v>
      </c>
      <c r="E197" s="67">
        <f t="shared" si="100"/>
        <v>0</v>
      </c>
      <c r="F197" s="280"/>
      <c r="G197" s="78"/>
      <c r="H197" s="280"/>
      <c r="I197" s="78"/>
      <c r="J197" s="67">
        <f t="shared" si="101"/>
        <v>0</v>
      </c>
      <c r="K197" s="67"/>
      <c r="L197" s="934"/>
      <c r="M197" s="912"/>
      <c r="N197" s="67">
        <f t="shared" si="102"/>
        <v>0</v>
      </c>
      <c r="O197" s="78">
        <v>-200753868.44999981</v>
      </c>
      <c r="P197" s="67">
        <f t="shared" si="103"/>
        <v>200753868.44999981</v>
      </c>
      <c r="Q197" s="280" t="str">
        <f>'AJE CAJE Sept 24'!B106</f>
        <v>CAJE 21</v>
      </c>
      <c r="R197" s="78">
        <f>'AJE CAJE Sept 24'!G106</f>
        <v>200753868.44999999</v>
      </c>
      <c r="S197" s="280"/>
      <c r="T197" s="78"/>
      <c r="U197" s="67">
        <f t="shared" si="104"/>
        <v>-1.7881393432617188E-7</v>
      </c>
      <c r="V197" s="103"/>
      <c r="W197" s="7"/>
      <c r="X197" s="794">
        <v>0</v>
      </c>
      <c r="Y197" s="27"/>
      <c r="Z197" s="27"/>
      <c r="AA197" s="7"/>
      <c r="AB197" s="7">
        <v>-329270072.36999989</v>
      </c>
      <c r="AC197" s="7">
        <f t="shared" si="105"/>
        <v>329270072.36999989</v>
      </c>
      <c r="AD197" s="50"/>
      <c r="AE197" s="7"/>
      <c r="AF197" s="50"/>
      <c r="AG197" s="7"/>
      <c r="AH197" s="7">
        <f t="shared" si="106"/>
        <v>329270072</v>
      </c>
      <c r="AI197" s="27"/>
      <c r="AJ197" s="7"/>
      <c r="AK197" s="841"/>
      <c r="AL197" s="27"/>
      <c r="AM197" s="95"/>
      <c r="AN197" s="38"/>
    </row>
    <row r="198" spans="1:40">
      <c r="A198" s="34"/>
      <c r="B198" s="26" t="s">
        <v>165</v>
      </c>
      <c r="C198" s="121">
        <f t="shared" si="99"/>
        <v>4355506677</v>
      </c>
      <c r="D198" s="78">
        <v>4355506677</v>
      </c>
      <c r="E198" s="67">
        <f t="shared" si="100"/>
        <v>0</v>
      </c>
      <c r="F198" s="280"/>
      <c r="G198" s="78"/>
      <c r="H198" s="280"/>
      <c r="I198" s="78"/>
      <c r="J198" s="67">
        <f t="shared" si="101"/>
        <v>0</v>
      </c>
      <c r="K198" s="67"/>
      <c r="L198" s="934"/>
      <c r="M198" s="912"/>
      <c r="N198" s="67">
        <f t="shared" si="102"/>
        <v>4355506677</v>
      </c>
      <c r="O198" s="78">
        <v>4355506677</v>
      </c>
      <c r="P198" s="67">
        <f t="shared" si="103"/>
        <v>0</v>
      </c>
      <c r="Q198" s="280"/>
      <c r="R198" s="78"/>
      <c r="S198" s="280"/>
      <c r="T198" s="78"/>
      <c r="U198" s="67">
        <f t="shared" si="104"/>
        <v>0</v>
      </c>
      <c r="V198" s="103"/>
      <c r="W198" s="7">
        <v>4355506677</v>
      </c>
      <c r="X198" s="794">
        <v>4355506677</v>
      </c>
      <c r="Y198" s="27">
        <f>W198-X198</f>
        <v>0</v>
      </c>
      <c r="Z198" s="27"/>
      <c r="AA198" s="7">
        <f t="shared" ref="AA198:AA217" si="111">AJ198</f>
        <v>0</v>
      </c>
      <c r="AB198" s="7"/>
      <c r="AC198" s="7">
        <f t="shared" si="105"/>
        <v>0</v>
      </c>
      <c r="AD198" s="50"/>
      <c r="AE198" s="7"/>
      <c r="AF198" s="50"/>
      <c r="AG198" s="7"/>
      <c r="AH198" s="7">
        <f t="shared" si="106"/>
        <v>0</v>
      </c>
      <c r="AI198" s="27"/>
      <c r="AJ198" s="7"/>
      <c r="AK198" s="841"/>
      <c r="AL198" s="27"/>
      <c r="AM198" s="95"/>
      <c r="AN198" s="38"/>
    </row>
    <row r="199" spans="1:40">
      <c r="A199" s="34"/>
      <c r="B199" s="26" t="s">
        <v>166</v>
      </c>
      <c r="C199" s="121">
        <f t="shared" si="99"/>
        <v>0</v>
      </c>
      <c r="D199" s="78"/>
      <c r="E199" s="67">
        <f t="shared" si="100"/>
        <v>0</v>
      </c>
      <c r="F199" s="280"/>
      <c r="G199" s="78"/>
      <c r="H199" s="280"/>
      <c r="I199" s="78"/>
      <c r="J199" s="67">
        <f t="shared" si="101"/>
        <v>0</v>
      </c>
      <c r="K199" s="67"/>
      <c r="L199" s="934"/>
      <c r="M199" s="912"/>
      <c r="N199" s="67">
        <f t="shared" si="102"/>
        <v>0</v>
      </c>
      <c r="O199" s="78"/>
      <c r="P199" s="67">
        <f t="shared" si="103"/>
        <v>0</v>
      </c>
      <c r="Q199" s="280"/>
      <c r="R199" s="78"/>
      <c r="S199" s="280"/>
      <c r="T199" s="78"/>
      <c r="U199" s="67">
        <f t="shared" si="104"/>
        <v>0</v>
      </c>
      <c r="V199" s="103"/>
      <c r="W199" s="7">
        <v>0</v>
      </c>
      <c r="X199" s="794">
        <v>0</v>
      </c>
      <c r="Y199" s="27"/>
      <c r="Z199" s="27"/>
      <c r="AA199" s="7">
        <f t="shared" si="111"/>
        <v>96000000</v>
      </c>
      <c r="AB199" s="7">
        <v>96000000</v>
      </c>
      <c r="AC199" s="7">
        <f t="shared" si="105"/>
        <v>0</v>
      </c>
      <c r="AD199" s="50"/>
      <c r="AE199" s="7"/>
      <c r="AF199" s="50"/>
      <c r="AG199" s="7"/>
      <c r="AH199" s="7">
        <f t="shared" si="106"/>
        <v>0</v>
      </c>
      <c r="AI199" s="27"/>
      <c r="AJ199" s="7">
        <v>96000000</v>
      </c>
      <c r="AK199" s="841">
        <v>96000000</v>
      </c>
      <c r="AL199" s="27">
        <f>AJ199-AK199</f>
        <v>0</v>
      </c>
      <c r="AM199" s="95"/>
      <c r="AN199" s="38">
        <v>0</v>
      </c>
    </row>
    <row r="200" spans="1:40">
      <c r="A200" s="34"/>
      <c r="B200" s="26" t="s">
        <v>167</v>
      </c>
      <c r="C200" s="121">
        <f t="shared" si="99"/>
        <v>75821880</v>
      </c>
      <c r="D200" s="78">
        <v>75821880</v>
      </c>
      <c r="E200" s="67">
        <f t="shared" si="100"/>
        <v>0</v>
      </c>
      <c r="F200" s="280"/>
      <c r="G200" s="78"/>
      <c r="H200" s="280"/>
      <c r="I200" s="78"/>
      <c r="J200" s="67">
        <f t="shared" si="101"/>
        <v>0</v>
      </c>
      <c r="K200" s="67"/>
      <c r="L200" s="934"/>
      <c r="M200" s="912"/>
      <c r="N200" s="67">
        <f t="shared" si="102"/>
        <v>75821880</v>
      </c>
      <c r="O200" s="78">
        <v>-174554160</v>
      </c>
      <c r="P200" s="67">
        <f t="shared" si="103"/>
        <v>250376040</v>
      </c>
      <c r="Q200" s="280"/>
      <c r="R200" s="78"/>
      <c r="S200" s="280"/>
      <c r="T200" s="78"/>
      <c r="U200" s="67">
        <f t="shared" si="104"/>
        <v>250376040</v>
      </c>
      <c r="V200" s="103"/>
      <c r="W200" s="7">
        <v>75821880</v>
      </c>
      <c r="X200" s="794">
        <v>75821880</v>
      </c>
      <c r="Y200" s="27">
        <f>W200-X200</f>
        <v>0</v>
      </c>
      <c r="Z200" s="27"/>
      <c r="AA200" s="7">
        <f t="shared" si="111"/>
        <v>0</v>
      </c>
      <c r="AB200" s="7">
        <v>-75258000</v>
      </c>
      <c r="AC200" s="7">
        <f t="shared" si="105"/>
        <v>75258000</v>
      </c>
      <c r="AD200" s="50"/>
      <c r="AE200" s="7"/>
      <c r="AF200" s="50"/>
      <c r="AG200" s="7"/>
      <c r="AH200" s="7">
        <f t="shared" si="106"/>
        <v>75258000</v>
      </c>
      <c r="AI200" s="27"/>
      <c r="AJ200" s="7">
        <v>0</v>
      </c>
      <c r="AK200" s="841">
        <v>0</v>
      </c>
      <c r="AL200" s="27"/>
      <c r="AM200" s="95"/>
      <c r="AN200" s="27">
        <v>65806587</v>
      </c>
    </row>
    <row r="201" spans="1:40">
      <c r="A201" s="34"/>
      <c r="B201" s="26" t="s">
        <v>168</v>
      </c>
      <c r="C201" s="121">
        <f t="shared" si="99"/>
        <v>40182000</v>
      </c>
      <c r="D201" s="78">
        <v>-18958800</v>
      </c>
      <c r="E201" s="67">
        <f t="shared" si="100"/>
        <v>59140800</v>
      </c>
      <c r="F201" s="280"/>
      <c r="G201" s="78"/>
      <c r="H201" s="280"/>
      <c r="I201" s="78"/>
      <c r="J201" s="67">
        <f t="shared" si="101"/>
        <v>59140800</v>
      </c>
      <c r="K201" s="67"/>
      <c r="L201" s="934"/>
      <c r="M201" s="912"/>
      <c r="N201" s="67">
        <f t="shared" si="102"/>
        <v>40182000</v>
      </c>
      <c r="O201" s="78">
        <v>-30147600</v>
      </c>
      <c r="P201" s="67">
        <f t="shared" si="103"/>
        <v>70329600</v>
      </c>
      <c r="Q201" s="280"/>
      <c r="R201" s="78"/>
      <c r="S201" s="280"/>
      <c r="T201" s="78"/>
      <c r="U201" s="67">
        <f t="shared" si="104"/>
        <v>70329600</v>
      </c>
      <c r="V201" s="103"/>
      <c r="W201" s="7">
        <v>40182000</v>
      </c>
      <c r="X201" s="794">
        <v>40182000</v>
      </c>
      <c r="Y201" s="27">
        <f>W201-X201</f>
        <v>0</v>
      </c>
      <c r="Z201" s="27"/>
      <c r="AA201" s="7">
        <f t="shared" si="111"/>
        <v>119880000</v>
      </c>
      <c r="AB201" s="7">
        <v>79698000</v>
      </c>
      <c r="AC201" s="7">
        <f t="shared" si="105"/>
        <v>40182000</v>
      </c>
      <c r="AD201" s="50"/>
      <c r="AE201" s="7"/>
      <c r="AF201" s="50"/>
      <c r="AG201" s="7"/>
      <c r="AH201" s="7">
        <f t="shared" si="106"/>
        <v>40182000</v>
      </c>
      <c r="AI201" s="27"/>
      <c r="AJ201" s="7">
        <v>119880000</v>
      </c>
      <c r="AK201" s="841">
        <v>119880000</v>
      </c>
      <c r="AL201" s="27">
        <f>AJ201-AK201</f>
        <v>0</v>
      </c>
      <c r="AM201" s="95"/>
      <c r="AN201" s="27">
        <v>47520000</v>
      </c>
    </row>
    <row r="202" spans="1:40">
      <c r="A202" s="34"/>
      <c r="B202" s="26" t="s">
        <v>169</v>
      </c>
      <c r="C202" s="121">
        <f t="shared" si="99"/>
        <v>28510258</v>
      </c>
      <c r="D202" s="78">
        <v>-3925045</v>
      </c>
      <c r="E202" s="67">
        <f t="shared" si="100"/>
        <v>32435303</v>
      </c>
      <c r="F202" s="280"/>
      <c r="G202" s="78"/>
      <c r="H202" s="280"/>
      <c r="I202" s="78"/>
      <c r="J202" s="67">
        <f t="shared" si="101"/>
        <v>32435303</v>
      </c>
      <c r="K202" s="67"/>
      <c r="L202" s="934"/>
      <c r="M202" s="912"/>
      <c r="N202" s="67">
        <f t="shared" si="102"/>
        <v>28510258</v>
      </c>
      <c r="O202" s="78">
        <v>28510258</v>
      </c>
      <c r="P202" s="67">
        <f t="shared" si="103"/>
        <v>0</v>
      </c>
      <c r="Q202" s="280"/>
      <c r="R202" s="78"/>
      <c r="S202" s="280"/>
      <c r="T202" s="78"/>
      <c r="U202" s="67">
        <f t="shared" si="104"/>
        <v>0</v>
      </c>
      <c r="V202" s="103"/>
      <c r="W202" s="7">
        <v>28510258</v>
      </c>
      <c r="X202" s="794">
        <v>28510258</v>
      </c>
      <c r="Y202" s="27">
        <f>W202-X202</f>
        <v>0</v>
      </c>
      <c r="Z202" s="27"/>
      <c r="AA202" s="7">
        <f t="shared" si="111"/>
        <v>29023539</v>
      </c>
      <c r="AB202" s="7">
        <v>-9843</v>
      </c>
      <c r="AC202" s="7">
        <f t="shared" si="105"/>
        <v>29033382</v>
      </c>
      <c r="AD202" s="50"/>
      <c r="AE202" s="7"/>
      <c r="AF202" s="50"/>
      <c r="AG202" s="7"/>
      <c r="AH202" s="7">
        <f t="shared" si="106"/>
        <v>29033382</v>
      </c>
      <c r="AI202" s="27"/>
      <c r="AJ202" s="7">
        <v>29023539</v>
      </c>
      <c r="AK202" s="841">
        <v>29023539</v>
      </c>
      <c r="AL202" s="27">
        <f>AJ202-AK202</f>
        <v>0</v>
      </c>
      <c r="AM202" s="95"/>
      <c r="AN202" s="38">
        <v>0</v>
      </c>
    </row>
    <row r="203" spans="1:40">
      <c r="A203" s="34"/>
      <c r="B203" s="26" t="s">
        <v>170</v>
      </c>
      <c r="C203" s="121">
        <f t="shared" si="99"/>
        <v>34965000</v>
      </c>
      <c r="D203" s="78">
        <v>14430000</v>
      </c>
      <c r="E203" s="67">
        <f t="shared" si="100"/>
        <v>20535000</v>
      </c>
      <c r="F203" s="280"/>
      <c r="G203" s="78"/>
      <c r="H203" s="280"/>
      <c r="I203" s="78"/>
      <c r="J203" s="67">
        <f t="shared" si="101"/>
        <v>20535000</v>
      </c>
      <c r="K203" s="67"/>
      <c r="L203" s="934"/>
      <c r="M203" s="912"/>
      <c r="N203" s="67">
        <f t="shared" si="102"/>
        <v>34965000</v>
      </c>
      <c r="O203" s="78">
        <v>14430000</v>
      </c>
      <c r="P203" s="67">
        <f t="shared" si="103"/>
        <v>20535000</v>
      </c>
      <c r="Q203" s="280"/>
      <c r="R203" s="78"/>
      <c r="S203" s="280"/>
      <c r="T203" s="78"/>
      <c r="U203" s="67">
        <f t="shared" si="104"/>
        <v>20535000</v>
      </c>
      <c r="V203" s="103"/>
      <c r="W203" s="7">
        <v>34965000</v>
      </c>
      <c r="X203" s="794">
        <v>34965000</v>
      </c>
      <c r="Y203" s="27">
        <f>W203-X203</f>
        <v>0</v>
      </c>
      <c r="Z203" s="27"/>
      <c r="AA203" s="7">
        <f t="shared" si="111"/>
        <v>28302780</v>
      </c>
      <c r="AB203" s="7">
        <v>-44227950</v>
      </c>
      <c r="AC203" s="7">
        <f t="shared" si="105"/>
        <v>72530730</v>
      </c>
      <c r="AD203" s="50"/>
      <c r="AE203" s="7"/>
      <c r="AF203" s="50"/>
      <c r="AG203" s="7"/>
      <c r="AH203" s="7">
        <f t="shared" si="106"/>
        <v>72530730</v>
      </c>
      <c r="AI203" s="27"/>
      <c r="AJ203" s="7">
        <v>28302780</v>
      </c>
      <c r="AK203" s="841">
        <v>28302780</v>
      </c>
      <c r="AL203" s="27">
        <f>AJ203-AK203</f>
        <v>0</v>
      </c>
      <c r="AM203" s="95"/>
      <c r="AN203" s="38">
        <v>0</v>
      </c>
    </row>
    <row r="204" spans="1:40">
      <c r="A204" s="34"/>
      <c r="B204" s="26" t="s">
        <v>171</v>
      </c>
      <c r="C204" s="121">
        <f t="shared" si="99"/>
        <v>0</v>
      </c>
      <c r="D204" s="78"/>
      <c r="E204" s="67">
        <f t="shared" si="100"/>
        <v>0</v>
      </c>
      <c r="F204" s="280"/>
      <c r="G204" s="78"/>
      <c r="H204" s="280"/>
      <c r="I204" s="78"/>
      <c r="J204" s="67">
        <f t="shared" si="101"/>
        <v>0</v>
      </c>
      <c r="K204" s="67"/>
      <c r="L204" s="934"/>
      <c r="M204" s="912"/>
      <c r="N204" s="67">
        <f t="shared" si="102"/>
        <v>0</v>
      </c>
      <c r="O204" s="78">
        <v>-43330000</v>
      </c>
      <c r="P204" s="67">
        <f t="shared" si="103"/>
        <v>43330000</v>
      </c>
      <c r="Q204" s="280"/>
      <c r="R204" s="78"/>
      <c r="S204" s="280"/>
      <c r="T204" s="78"/>
      <c r="U204" s="67">
        <f t="shared" si="104"/>
        <v>43330000</v>
      </c>
      <c r="V204" s="103"/>
      <c r="W204" s="7">
        <v>0</v>
      </c>
      <c r="X204" s="794">
        <v>0</v>
      </c>
      <c r="Y204" s="27"/>
      <c r="Z204" s="27"/>
      <c r="AA204" s="7">
        <f t="shared" si="111"/>
        <v>26460000</v>
      </c>
      <c r="AB204" s="7">
        <v>26187000</v>
      </c>
      <c r="AC204" s="7">
        <f t="shared" si="105"/>
        <v>273000</v>
      </c>
      <c r="AD204" s="50"/>
      <c r="AE204" s="7"/>
      <c r="AF204" s="50"/>
      <c r="AG204" s="7"/>
      <c r="AH204" s="7">
        <f t="shared" si="106"/>
        <v>273000</v>
      </c>
      <c r="AI204" s="27"/>
      <c r="AJ204" s="7">
        <v>26460000</v>
      </c>
      <c r="AK204" s="841">
        <v>26460000</v>
      </c>
      <c r="AL204" s="27">
        <f>AJ204-AK204</f>
        <v>0</v>
      </c>
      <c r="AM204" s="95"/>
      <c r="AN204" s="38">
        <v>0</v>
      </c>
    </row>
    <row r="205" spans="1:40">
      <c r="A205" s="34"/>
      <c r="B205" s="26" t="s">
        <v>172</v>
      </c>
      <c r="C205" s="121">
        <f t="shared" si="99"/>
        <v>0</v>
      </c>
      <c r="D205" s="78"/>
      <c r="E205" s="67">
        <f t="shared" si="100"/>
        <v>0</v>
      </c>
      <c r="F205" s="280"/>
      <c r="G205" s="78"/>
      <c r="H205" s="280"/>
      <c r="I205" s="78"/>
      <c r="J205" s="67">
        <f t="shared" si="101"/>
        <v>0</v>
      </c>
      <c r="K205" s="67"/>
      <c r="L205" s="934"/>
      <c r="M205" s="912"/>
      <c r="N205" s="67">
        <f t="shared" si="102"/>
        <v>0</v>
      </c>
      <c r="O205" s="78"/>
      <c r="P205" s="67">
        <f t="shared" si="103"/>
        <v>0</v>
      </c>
      <c r="Q205" s="280"/>
      <c r="R205" s="78"/>
      <c r="S205" s="280"/>
      <c r="T205" s="78"/>
      <c r="U205" s="67">
        <f t="shared" si="104"/>
        <v>0</v>
      </c>
      <c r="V205" s="103"/>
      <c r="W205" s="7">
        <v>0</v>
      </c>
      <c r="X205" s="794">
        <v>0</v>
      </c>
      <c r="Y205" s="27"/>
      <c r="Z205" s="27"/>
      <c r="AA205" s="7">
        <f t="shared" si="111"/>
        <v>0</v>
      </c>
      <c r="AB205" s="7"/>
      <c r="AC205" s="7">
        <f t="shared" si="105"/>
        <v>0</v>
      </c>
      <c r="AD205" s="50"/>
      <c r="AE205" s="7"/>
      <c r="AF205" s="50"/>
      <c r="AG205" s="7"/>
      <c r="AH205" s="7">
        <f t="shared" si="106"/>
        <v>0</v>
      </c>
      <c r="AI205" s="27"/>
      <c r="AJ205" s="7">
        <v>0</v>
      </c>
      <c r="AK205" s="841">
        <v>0</v>
      </c>
      <c r="AL205" s="27"/>
      <c r="AM205" s="95"/>
      <c r="AN205" s="27">
        <v>25739120</v>
      </c>
    </row>
    <row r="206" spans="1:40">
      <c r="A206" s="34"/>
      <c r="B206" s="26" t="s">
        <v>173</v>
      </c>
      <c r="C206" s="121">
        <f t="shared" si="99"/>
        <v>0</v>
      </c>
      <c r="D206" s="78"/>
      <c r="E206" s="67">
        <f t="shared" si="100"/>
        <v>0</v>
      </c>
      <c r="F206" s="280"/>
      <c r="G206" s="78"/>
      <c r="H206" s="280"/>
      <c r="I206" s="78"/>
      <c r="J206" s="67">
        <f t="shared" si="101"/>
        <v>0</v>
      </c>
      <c r="K206" s="67"/>
      <c r="L206" s="934"/>
      <c r="M206" s="912"/>
      <c r="N206" s="67">
        <f t="shared" si="102"/>
        <v>0</v>
      </c>
      <c r="O206" s="78"/>
      <c r="P206" s="67">
        <f t="shared" si="103"/>
        <v>0</v>
      </c>
      <c r="Q206" s="280"/>
      <c r="R206" s="78"/>
      <c r="S206" s="280"/>
      <c r="T206" s="78"/>
      <c r="U206" s="67">
        <f t="shared" si="104"/>
        <v>0</v>
      </c>
      <c r="V206" s="103"/>
      <c r="W206" s="7">
        <v>0</v>
      </c>
      <c r="X206" s="794">
        <v>0</v>
      </c>
      <c r="Y206" s="27"/>
      <c r="Z206" s="27"/>
      <c r="AA206" s="7">
        <f t="shared" si="111"/>
        <v>0</v>
      </c>
      <c r="AB206" s="7"/>
      <c r="AC206" s="7">
        <f t="shared" si="105"/>
        <v>0</v>
      </c>
      <c r="AD206" s="50"/>
      <c r="AE206" s="7"/>
      <c r="AF206" s="50"/>
      <c r="AG206" s="7"/>
      <c r="AH206" s="7">
        <f t="shared" si="106"/>
        <v>0</v>
      </c>
      <c r="AI206" s="27"/>
      <c r="AJ206" s="7">
        <v>0</v>
      </c>
      <c r="AK206" s="841">
        <v>0</v>
      </c>
      <c r="AL206" s="27"/>
      <c r="AM206" s="95"/>
      <c r="AN206" s="27">
        <v>28050000</v>
      </c>
    </row>
    <row r="207" spans="1:40">
      <c r="A207" s="34"/>
      <c r="B207" s="26" t="s">
        <v>174</v>
      </c>
      <c r="C207" s="121">
        <f t="shared" si="99"/>
        <v>22200000</v>
      </c>
      <c r="D207" s="78">
        <v>22200000</v>
      </c>
      <c r="E207" s="67">
        <f t="shared" si="100"/>
        <v>0</v>
      </c>
      <c r="F207" s="280"/>
      <c r="G207" s="78"/>
      <c r="H207" s="280"/>
      <c r="I207" s="78"/>
      <c r="J207" s="67">
        <f t="shared" si="101"/>
        <v>0</v>
      </c>
      <c r="K207" s="67"/>
      <c r="L207" s="934"/>
      <c r="M207" s="912"/>
      <c r="N207" s="67">
        <f t="shared" si="102"/>
        <v>22200000</v>
      </c>
      <c r="O207" s="78">
        <v>-11100000</v>
      </c>
      <c r="P207" s="67">
        <f t="shared" si="103"/>
        <v>33300000</v>
      </c>
      <c r="Q207" s="280"/>
      <c r="R207" s="78"/>
      <c r="S207" s="280"/>
      <c r="T207" s="78"/>
      <c r="U207" s="67">
        <f t="shared" si="104"/>
        <v>33300000</v>
      </c>
      <c r="V207" s="103"/>
      <c r="W207" s="7">
        <v>22200000</v>
      </c>
      <c r="X207" s="794">
        <v>22200000</v>
      </c>
      <c r="Y207" s="27">
        <f>W207-X207</f>
        <v>0</v>
      </c>
      <c r="Z207" s="27"/>
      <c r="AA207" s="7">
        <f t="shared" si="111"/>
        <v>28860000</v>
      </c>
      <c r="AB207" s="7">
        <v>6660000</v>
      </c>
      <c r="AC207" s="7">
        <f t="shared" si="105"/>
        <v>22200000</v>
      </c>
      <c r="AD207" s="50"/>
      <c r="AE207" s="7"/>
      <c r="AF207" s="50"/>
      <c r="AG207" s="7"/>
      <c r="AH207" s="7">
        <f t="shared" si="106"/>
        <v>22200000</v>
      </c>
      <c r="AI207" s="27"/>
      <c r="AJ207" s="7">
        <v>28860000</v>
      </c>
      <c r="AK207" s="841">
        <v>28860000</v>
      </c>
      <c r="AL207" s="27">
        <f>AJ207-AK207</f>
        <v>0</v>
      </c>
      <c r="AM207" s="95"/>
      <c r="AN207" s="27">
        <v>41250000</v>
      </c>
    </row>
    <row r="208" spans="1:40">
      <c r="A208" s="34"/>
      <c r="B208" s="26" t="s">
        <v>175</v>
      </c>
      <c r="C208" s="121">
        <f t="shared" si="99"/>
        <v>0</v>
      </c>
      <c r="D208" s="78"/>
      <c r="E208" s="67">
        <f t="shared" si="100"/>
        <v>0</v>
      </c>
      <c r="F208" s="280"/>
      <c r="G208" s="78"/>
      <c r="H208" s="280"/>
      <c r="I208" s="78"/>
      <c r="J208" s="67">
        <f t="shared" si="101"/>
        <v>0</v>
      </c>
      <c r="K208" s="67"/>
      <c r="L208" s="934"/>
      <c r="M208" s="912"/>
      <c r="N208" s="67">
        <f t="shared" si="102"/>
        <v>0</v>
      </c>
      <c r="O208" s="78"/>
      <c r="P208" s="67">
        <f t="shared" si="103"/>
        <v>0</v>
      </c>
      <c r="Q208" s="280"/>
      <c r="R208" s="78"/>
      <c r="S208" s="280"/>
      <c r="T208" s="78"/>
      <c r="U208" s="67">
        <f t="shared" si="104"/>
        <v>0</v>
      </c>
      <c r="V208" s="103"/>
      <c r="W208" s="7">
        <v>0</v>
      </c>
      <c r="X208" s="794">
        <v>0</v>
      </c>
      <c r="Y208" s="27"/>
      <c r="Z208" s="27"/>
      <c r="AA208" s="7">
        <f t="shared" si="111"/>
        <v>0</v>
      </c>
      <c r="AB208" s="7"/>
      <c r="AC208" s="7">
        <f t="shared" si="105"/>
        <v>0</v>
      </c>
      <c r="AD208" s="50"/>
      <c r="AE208" s="7"/>
      <c r="AF208" s="50"/>
      <c r="AG208" s="7"/>
      <c r="AH208" s="7">
        <f t="shared" si="106"/>
        <v>0</v>
      </c>
      <c r="AI208" s="27"/>
      <c r="AJ208" s="7">
        <v>0</v>
      </c>
      <c r="AK208" s="841">
        <v>0</v>
      </c>
      <c r="AL208" s="27"/>
      <c r="AM208" s="95"/>
      <c r="AN208" s="27">
        <v>26390000</v>
      </c>
    </row>
    <row r="209" spans="1:40">
      <c r="A209" s="34"/>
      <c r="B209" s="26" t="s">
        <v>176</v>
      </c>
      <c r="C209" s="121">
        <f t="shared" si="99"/>
        <v>0</v>
      </c>
      <c r="D209" s="78"/>
      <c r="E209" s="67">
        <f t="shared" si="100"/>
        <v>0</v>
      </c>
      <c r="F209" s="280"/>
      <c r="G209" s="78"/>
      <c r="H209" s="280"/>
      <c r="I209" s="78"/>
      <c r="J209" s="67">
        <f t="shared" si="101"/>
        <v>0</v>
      </c>
      <c r="K209" s="67"/>
      <c r="L209" s="934"/>
      <c r="M209" s="912"/>
      <c r="N209" s="67">
        <f t="shared" ref="N209:N225" si="112">W209</f>
        <v>0</v>
      </c>
      <c r="O209" s="78"/>
      <c r="P209" s="67">
        <f t="shared" si="103"/>
        <v>0</v>
      </c>
      <c r="Q209" s="280"/>
      <c r="R209" s="78"/>
      <c r="S209" s="280"/>
      <c r="T209" s="78"/>
      <c r="U209" s="67">
        <f t="shared" si="104"/>
        <v>0</v>
      </c>
      <c r="V209" s="103"/>
      <c r="W209" s="7">
        <v>0</v>
      </c>
      <c r="X209" s="794">
        <v>0</v>
      </c>
      <c r="Y209" s="27"/>
      <c r="Z209" s="27"/>
      <c r="AA209" s="7">
        <f t="shared" si="111"/>
        <v>0</v>
      </c>
      <c r="AB209" s="7"/>
      <c r="AC209" s="7">
        <f t="shared" si="105"/>
        <v>0</v>
      </c>
      <c r="AD209" s="50"/>
      <c r="AE209" s="7"/>
      <c r="AF209" s="50"/>
      <c r="AG209" s="7"/>
      <c r="AH209" s="7">
        <f t="shared" si="106"/>
        <v>0</v>
      </c>
      <c r="AI209" s="27"/>
      <c r="AJ209" s="7">
        <v>0</v>
      </c>
      <c r="AK209" s="841">
        <v>0</v>
      </c>
      <c r="AL209" s="27"/>
      <c r="AM209" s="95"/>
      <c r="AN209" s="27">
        <v>46975500</v>
      </c>
    </row>
    <row r="210" spans="1:40">
      <c r="A210" s="34"/>
      <c r="B210" s="26" t="s">
        <v>177</v>
      </c>
      <c r="C210" s="121">
        <f t="shared" si="99"/>
        <v>0</v>
      </c>
      <c r="D210" s="78"/>
      <c r="E210" s="67">
        <f t="shared" si="100"/>
        <v>0</v>
      </c>
      <c r="F210" s="280"/>
      <c r="G210" s="78"/>
      <c r="H210" s="280"/>
      <c r="I210" s="78"/>
      <c r="J210" s="67">
        <f t="shared" si="101"/>
        <v>0</v>
      </c>
      <c r="K210" s="67"/>
      <c r="L210" s="934"/>
      <c r="M210" s="912"/>
      <c r="N210" s="67">
        <f t="shared" si="112"/>
        <v>0</v>
      </c>
      <c r="O210" s="78"/>
      <c r="P210" s="67">
        <f t="shared" si="103"/>
        <v>0</v>
      </c>
      <c r="Q210" s="280"/>
      <c r="R210" s="78"/>
      <c r="S210" s="280"/>
      <c r="T210" s="78"/>
      <c r="U210" s="67">
        <f t="shared" si="104"/>
        <v>0</v>
      </c>
      <c r="V210" s="103"/>
      <c r="W210" s="7">
        <v>0</v>
      </c>
      <c r="X210" s="794">
        <v>0</v>
      </c>
      <c r="Y210" s="27"/>
      <c r="Z210" s="27"/>
      <c r="AA210" s="7">
        <f t="shared" si="111"/>
        <v>41590000</v>
      </c>
      <c r="AB210" s="7">
        <v>41590000</v>
      </c>
      <c r="AC210" s="7">
        <f t="shared" si="105"/>
        <v>0</v>
      </c>
      <c r="AD210" s="50"/>
      <c r="AE210" s="7"/>
      <c r="AF210" s="50"/>
      <c r="AG210" s="7"/>
      <c r="AH210" s="7">
        <f t="shared" si="106"/>
        <v>0</v>
      </c>
      <c r="AI210" s="27"/>
      <c r="AJ210" s="7">
        <v>41590000</v>
      </c>
      <c r="AK210" s="841">
        <v>41590000</v>
      </c>
      <c r="AL210" s="27">
        <f t="shared" ref="AL210:AL211" si="113">AJ210-AK210</f>
        <v>0</v>
      </c>
      <c r="AM210" s="95"/>
      <c r="AN210" s="27">
        <v>49819312</v>
      </c>
    </row>
    <row r="211" spans="1:40">
      <c r="A211" s="34"/>
      <c r="B211" s="26" t="s">
        <v>178</v>
      </c>
      <c r="C211" s="121">
        <f t="shared" si="99"/>
        <v>0</v>
      </c>
      <c r="D211" s="78"/>
      <c r="E211" s="67">
        <f t="shared" si="100"/>
        <v>0</v>
      </c>
      <c r="F211" s="280"/>
      <c r="G211" s="78"/>
      <c r="H211" s="280"/>
      <c r="I211" s="78"/>
      <c r="J211" s="67">
        <f t="shared" si="101"/>
        <v>0</v>
      </c>
      <c r="K211" s="67"/>
      <c r="L211" s="934"/>
      <c r="M211" s="912"/>
      <c r="N211" s="67">
        <f t="shared" si="112"/>
        <v>0</v>
      </c>
      <c r="O211" s="78"/>
      <c r="P211" s="67">
        <f t="shared" si="103"/>
        <v>0</v>
      </c>
      <c r="Q211" s="280"/>
      <c r="R211" s="78"/>
      <c r="S211" s="280"/>
      <c r="T211" s="78"/>
      <c r="U211" s="67">
        <f t="shared" si="104"/>
        <v>0</v>
      </c>
      <c r="V211" s="103"/>
      <c r="W211" s="7">
        <v>0</v>
      </c>
      <c r="X211" s="794">
        <v>0</v>
      </c>
      <c r="Y211" s="27"/>
      <c r="Z211" s="27"/>
      <c r="AA211" s="7">
        <f t="shared" si="111"/>
        <v>61228600</v>
      </c>
      <c r="AB211" s="7">
        <v>61228600</v>
      </c>
      <c r="AC211" s="7">
        <f t="shared" si="105"/>
        <v>0</v>
      </c>
      <c r="AD211" s="50"/>
      <c r="AE211" s="7"/>
      <c r="AF211" s="50"/>
      <c r="AG211" s="7"/>
      <c r="AH211" s="7">
        <f t="shared" si="106"/>
        <v>0</v>
      </c>
      <c r="AI211" s="27"/>
      <c r="AJ211" s="7">
        <v>61228600</v>
      </c>
      <c r="AK211" s="841">
        <v>61228600</v>
      </c>
      <c r="AL211" s="27">
        <f t="shared" si="113"/>
        <v>0</v>
      </c>
      <c r="AM211" s="95"/>
      <c r="AN211" s="27">
        <v>51877880</v>
      </c>
    </row>
    <row r="212" spans="1:40">
      <c r="A212" s="34"/>
      <c r="B212" s="26" t="s">
        <v>179</v>
      </c>
      <c r="C212" s="121">
        <f t="shared" si="99"/>
        <v>8980462</v>
      </c>
      <c r="D212" s="78">
        <v>-16521538.5</v>
      </c>
      <c r="E212" s="67">
        <f t="shared" si="100"/>
        <v>25502000.5</v>
      </c>
      <c r="F212" s="280"/>
      <c r="G212" s="78"/>
      <c r="H212" s="280"/>
      <c r="I212" s="78"/>
      <c r="J212" s="513">
        <f t="shared" si="101"/>
        <v>25502000.5</v>
      </c>
      <c r="K212" s="513"/>
      <c r="L212" s="934"/>
      <c r="M212" s="912"/>
      <c r="N212" s="67">
        <f t="shared" si="112"/>
        <v>8980462</v>
      </c>
      <c r="O212" s="78">
        <v>20532000</v>
      </c>
      <c r="P212" s="67">
        <f t="shared" si="103"/>
        <v>-11551538</v>
      </c>
      <c r="Q212" s="280"/>
      <c r="R212" s="78"/>
      <c r="S212" s="280" t="str">
        <f>'AJE CAJE Sept 24'!B72</f>
        <v>CAJE 14</v>
      </c>
      <c r="T212" s="78">
        <f>'AJE CAJE Sept 24'!H72</f>
        <v>11551538</v>
      </c>
      <c r="U212" s="513">
        <f t="shared" si="104"/>
        <v>0</v>
      </c>
      <c r="V212" s="103"/>
      <c r="W212" s="7">
        <v>8980462</v>
      </c>
      <c r="X212" s="794">
        <v>8980462</v>
      </c>
      <c r="Y212" s="27">
        <f t="shared" ref="Y212:Y216" si="114">W212-X212</f>
        <v>0</v>
      </c>
      <c r="Z212" s="27"/>
      <c r="AA212" s="7"/>
      <c r="AB212" s="7"/>
      <c r="AC212" s="7">
        <f t="shared" si="105"/>
        <v>0</v>
      </c>
      <c r="AD212" s="50"/>
      <c r="AE212" s="7"/>
      <c r="AF212" s="50"/>
      <c r="AG212" s="7"/>
      <c r="AH212" s="7">
        <f t="shared" si="106"/>
        <v>0</v>
      </c>
      <c r="AI212" s="27"/>
      <c r="AJ212" s="7"/>
      <c r="AK212" s="841"/>
      <c r="AL212" s="27"/>
      <c r="AM212" s="95"/>
      <c r="AN212" s="27"/>
    </row>
    <row r="213" spans="1:40">
      <c r="A213" s="34"/>
      <c r="B213" s="26" t="s">
        <v>180</v>
      </c>
      <c r="C213" s="121">
        <f t="shared" si="99"/>
        <v>11070021</v>
      </c>
      <c r="D213" s="78">
        <v>11070021</v>
      </c>
      <c r="E213" s="67">
        <f t="shared" si="100"/>
        <v>0</v>
      </c>
      <c r="F213" s="280"/>
      <c r="G213" s="78"/>
      <c r="H213" s="280"/>
      <c r="I213" s="78"/>
      <c r="J213" s="67">
        <f t="shared" si="101"/>
        <v>0</v>
      </c>
      <c r="K213" s="67"/>
      <c r="L213" s="934"/>
      <c r="M213" s="912"/>
      <c r="N213" s="67">
        <f t="shared" si="112"/>
        <v>11070021</v>
      </c>
      <c r="O213" s="78">
        <v>11070021</v>
      </c>
      <c r="P213" s="67">
        <f t="shared" si="103"/>
        <v>0</v>
      </c>
      <c r="Q213" s="280"/>
      <c r="R213" s="78"/>
      <c r="S213" s="280"/>
      <c r="T213" s="78"/>
      <c r="U213" s="67">
        <f t="shared" si="104"/>
        <v>0</v>
      </c>
      <c r="V213" s="103"/>
      <c r="W213" s="7">
        <v>11070021</v>
      </c>
      <c r="X213" s="794">
        <v>11070021</v>
      </c>
      <c r="Y213" s="27">
        <f t="shared" si="114"/>
        <v>0</v>
      </c>
      <c r="Z213" s="27"/>
      <c r="AA213" s="7"/>
      <c r="AB213" s="7"/>
      <c r="AC213" s="7">
        <f t="shared" si="105"/>
        <v>0</v>
      </c>
      <c r="AD213" s="50"/>
      <c r="AE213" s="7"/>
      <c r="AF213" s="50"/>
      <c r="AG213" s="7"/>
      <c r="AH213" s="7">
        <f t="shared" si="106"/>
        <v>0</v>
      </c>
      <c r="AI213" s="27"/>
      <c r="AJ213" s="7"/>
      <c r="AK213" s="841"/>
      <c r="AL213" s="27"/>
      <c r="AM213" s="95"/>
      <c r="AN213" s="27"/>
    </row>
    <row r="214" spans="1:40">
      <c r="A214" s="34"/>
      <c r="B214" s="26" t="s">
        <v>144</v>
      </c>
      <c r="C214" s="121">
        <f t="shared" si="99"/>
        <v>58393893</v>
      </c>
      <c r="D214" s="78">
        <v>40747323</v>
      </c>
      <c r="E214" s="67">
        <f t="shared" si="100"/>
        <v>17646570</v>
      </c>
      <c r="F214" s="280"/>
      <c r="G214" s="78"/>
      <c r="H214" s="280"/>
      <c r="I214" s="78"/>
      <c r="J214" s="67">
        <f t="shared" si="101"/>
        <v>17646570</v>
      </c>
      <c r="K214" s="67"/>
      <c r="L214" s="934"/>
      <c r="M214" s="912"/>
      <c r="N214" s="67">
        <f t="shared" si="112"/>
        <v>58393893</v>
      </c>
      <c r="O214" s="78">
        <v>58148793</v>
      </c>
      <c r="P214" s="67">
        <f t="shared" si="103"/>
        <v>245100</v>
      </c>
      <c r="Q214" s="280"/>
      <c r="R214" s="78"/>
      <c r="S214" s="280"/>
      <c r="T214" s="78"/>
      <c r="U214" s="67">
        <f t="shared" si="104"/>
        <v>245100</v>
      </c>
      <c r="V214" s="103"/>
      <c r="W214" s="7">
        <v>58393893</v>
      </c>
      <c r="X214" s="794">
        <v>58393893</v>
      </c>
      <c r="Y214" s="27">
        <f t="shared" si="114"/>
        <v>0</v>
      </c>
      <c r="Z214" s="27"/>
      <c r="AA214" s="7">
        <f t="shared" si="111"/>
        <v>0</v>
      </c>
      <c r="AB214" s="7">
        <v>-44456454</v>
      </c>
      <c r="AC214" s="7">
        <f t="shared" si="105"/>
        <v>44456454</v>
      </c>
      <c r="AD214" s="50"/>
      <c r="AE214" s="7"/>
      <c r="AF214" s="50"/>
      <c r="AG214" s="7"/>
      <c r="AH214" s="7">
        <f t="shared" si="106"/>
        <v>44456454</v>
      </c>
      <c r="AI214" s="27"/>
      <c r="AJ214" s="7"/>
      <c r="AK214" s="841"/>
      <c r="AL214" s="27"/>
      <c r="AM214" s="95"/>
      <c r="AN214" s="27"/>
    </row>
    <row r="215" spans="1:40">
      <c r="A215" s="34"/>
      <c r="B215" s="26" t="s">
        <v>181</v>
      </c>
      <c r="C215" s="121">
        <f t="shared" si="99"/>
        <v>121624520</v>
      </c>
      <c r="D215" s="78">
        <v>121624520</v>
      </c>
      <c r="E215" s="67">
        <f t="shared" si="100"/>
        <v>0</v>
      </c>
      <c r="F215" s="280"/>
      <c r="G215" s="78"/>
      <c r="H215" s="280"/>
      <c r="I215" s="78"/>
      <c r="J215" s="67">
        <f t="shared" si="101"/>
        <v>0</v>
      </c>
      <c r="K215" s="67"/>
      <c r="L215" s="934"/>
      <c r="M215" s="912"/>
      <c r="N215" s="67">
        <f t="shared" si="112"/>
        <v>121624520</v>
      </c>
      <c r="O215" s="78">
        <v>112533620</v>
      </c>
      <c r="P215" s="67">
        <f t="shared" si="103"/>
        <v>9090900</v>
      </c>
      <c r="Q215" s="280"/>
      <c r="R215" s="78"/>
      <c r="S215" s="280"/>
      <c r="T215" s="78"/>
      <c r="U215" s="67">
        <f t="shared" si="104"/>
        <v>9090900</v>
      </c>
      <c r="V215" s="103"/>
      <c r="W215" s="7">
        <v>121624520</v>
      </c>
      <c r="X215" s="794">
        <v>121624520</v>
      </c>
      <c r="Y215" s="27">
        <f t="shared" si="114"/>
        <v>0</v>
      </c>
      <c r="Z215" s="27"/>
      <c r="AA215" s="7">
        <f t="shared" si="111"/>
        <v>0</v>
      </c>
      <c r="AB215" s="7"/>
      <c r="AC215" s="7">
        <f t="shared" si="105"/>
        <v>0</v>
      </c>
      <c r="AD215" s="50"/>
      <c r="AE215" s="7"/>
      <c r="AF215" s="50"/>
      <c r="AG215" s="7"/>
      <c r="AH215" s="7">
        <f t="shared" si="106"/>
        <v>0</v>
      </c>
      <c r="AI215" s="27"/>
      <c r="AJ215" s="7"/>
      <c r="AK215" s="841">
        <v>0</v>
      </c>
      <c r="AL215" s="27"/>
      <c r="AM215" s="95"/>
      <c r="AN215" s="38"/>
    </row>
    <row r="216" spans="1:40">
      <c r="A216" s="34"/>
      <c r="B216" s="26" t="s">
        <v>182</v>
      </c>
      <c r="C216" s="121">
        <f t="shared" si="99"/>
        <v>31635000</v>
      </c>
      <c r="D216" s="78">
        <v>31635000</v>
      </c>
      <c r="E216" s="67">
        <f t="shared" si="100"/>
        <v>0</v>
      </c>
      <c r="F216" s="280"/>
      <c r="G216" s="78"/>
      <c r="H216" s="280"/>
      <c r="I216" s="78"/>
      <c r="J216" s="67">
        <f t="shared" si="101"/>
        <v>0</v>
      </c>
      <c r="K216" s="67"/>
      <c r="L216" s="934"/>
      <c r="M216" s="912"/>
      <c r="N216" s="67">
        <f t="shared" si="112"/>
        <v>31635000</v>
      </c>
      <c r="O216" s="78">
        <v>31635000</v>
      </c>
      <c r="P216" s="67">
        <f t="shared" si="103"/>
        <v>0</v>
      </c>
      <c r="Q216" s="280"/>
      <c r="R216" s="78"/>
      <c r="S216" s="280"/>
      <c r="T216" s="78"/>
      <c r="U216" s="67">
        <f t="shared" si="104"/>
        <v>0</v>
      </c>
      <c r="V216" s="103"/>
      <c r="W216" s="7">
        <v>31635000</v>
      </c>
      <c r="X216" s="794">
        <v>31635000</v>
      </c>
      <c r="Y216" s="27">
        <f t="shared" si="114"/>
        <v>0</v>
      </c>
      <c r="Z216" s="27"/>
      <c r="AA216" s="7">
        <f t="shared" si="111"/>
        <v>0</v>
      </c>
      <c r="AB216" s="7"/>
      <c r="AC216" s="7">
        <f t="shared" si="105"/>
        <v>0</v>
      </c>
      <c r="AD216" s="50"/>
      <c r="AE216" s="7"/>
      <c r="AF216" s="50"/>
      <c r="AG216" s="7"/>
      <c r="AH216" s="7">
        <f t="shared" si="106"/>
        <v>0</v>
      </c>
      <c r="AI216" s="27"/>
      <c r="AJ216" s="7"/>
      <c r="AK216" s="841"/>
      <c r="AL216" s="27"/>
      <c r="AM216" s="95"/>
      <c r="AN216" s="38"/>
    </row>
    <row r="217" spans="1:40">
      <c r="A217" s="34"/>
      <c r="B217" s="26" t="s">
        <v>559</v>
      </c>
      <c r="C217" s="121">
        <v>11094848</v>
      </c>
      <c r="D217" s="78">
        <v>-33284547</v>
      </c>
      <c r="E217" s="67">
        <f t="shared" si="100"/>
        <v>44379395</v>
      </c>
      <c r="F217" s="280"/>
      <c r="G217" s="78"/>
      <c r="H217" s="280"/>
      <c r="I217" s="78"/>
      <c r="J217" s="67">
        <f t="shared" si="101"/>
        <v>44379395</v>
      </c>
      <c r="K217" s="67"/>
      <c r="L217" s="934"/>
      <c r="M217" s="912"/>
      <c r="N217" s="67">
        <v>11094848</v>
      </c>
      <c r="O217" s="78">
        <v>-33284548</v>
      </c>
      <c r="P217" s="67">
        <f t="shared" si="103"/>
        <v>44379396</v>
      </c>
      <c r="Q217" s="280"/>
      <c r="R217" s="78"/>
      <c r="S217" s="280"/>
      <c r="T217" s="78"/>
      <c r="U217" s="67">
        <f t="shared" si="104"/>
        <v>44379396</v>
      </c>
      <c r="V217" s="103"/>
      <c r="W217" s="7"/>
      <c r="X217" s="794"/>
      <c r="Y217" s="27"/>
      <c r="Z217" s="27"/>
      <c r="AA217" s="7">
        <f t="shared" si="111"/>
        <v>0</v>
      </c>
      <c r="AB217" s="7"/>
      <c r="AC217" s="7">
        <f t="shared" si="105"/>
        <v>0</v>
      </c>
      <c r="AD217" s="50"/>
      <c r="AE217" s="7"/>
      <c r="AF217" s="50"/>
      <c r="AG217" s="7"/>
      <c r="AH217" s="7">
        <f t="shared" si="106"/>
        <v>0</v>
      </c>
      <c r="AI217" s="27"/>
      <c r="AJ217" s="7"/>
      <c r="AK217" s="841"/>
      <c r="AL217" s="27"/>
      <c r="AM217" s="95"/>
      <c r="AN217" s="38"/>
    </row>
    <row r="218" spans="1:40">
      <c r="A218" s="34"/>
      <c r="B218" s="26" t="s">
        <v>663</v>
      </c>
      <c r="C218" s="121">
        <f t="shared" si="99"/>
        <v>0</v>
      </c>
      <c r="D218" s="78"/>
      <c r="E218" s="67">
        <f t="shared" si="100"/>
        <v>0</v>
      </c>
      <c r="F218" s="280"/>
      <c r="G218" s="78"/>
      <c r="H218" s="280"/>
      <c r="I218" s="78"/>
      <c r="J218" s="67">
        <f t="shared" si="101"/>
        <v>0</v>
      </c>
      <c r="K218" s="67"/>
      <c r="L218" s="934"/>
      <c r="M218" s="912"/>
      <c r="N218" s="67">
        <f t="shared" si="112"/>
        <v>0</v>
      </c>
      <c r="O218" s="78"/>
      <c r="P218" s="67">
        <f t="shared" ref="P218:P225" si="115">N218-O218</f>
        <v>0</v>
      </c>
      <c r="Q218" s="280"/>
      <c r="R218" s="78"/>
      <c r="S218" s="280"/>
      <c r="T218" s="78"/>
      <c r="U218" s="67">
        <f t="shared" ref="U218:U225" si="116">P218-R218+T218</f>
        <v>0</v>
      </c>
      <c r="V218" s="103"/>
      <c r="W218" s="7"/>
      <c r="X218" s="794"/>
      <c r="Y218" s="27"/>
      <c r="Z218" s="27"/>
      <c r="AA218" s="7"/>
      <c r="AB218" s="7">
        <v>-130030310.37</v>
      </c>
      <c r="AC218" s="7">
        <f t="shared" si="105"/>
        <v>130030310.37</v>
      </c>
      <c r="AD218" s="50"/>
      <c r="AE218" s="7"/>
      <c r="AF218" s="50"/>
      <c r="AG218" s="7"/>
      <c r="AH218" s="7">
        <f t="shared" si="106"/>
        <v>130030310</v>
      </c>
      <c r="AI218" s="27"/>
      <c r="AJ218" s="7"/>
      <c r="AK218" s="841">
        <v>0</v>
      </c>
      <c r="AL218" s="27"/>
      <c r="AM218" s="95"/>
      <c r="AN218" s="38"/>
    </row>
    <row r="219" spans="1:40">
      <c r="A219" s="34"/>
      <c r="B219" s="26" t="s">
        <v>967</v>
      </c>
      <c r="C219" s="67"/>
      <c r="D219" s="78">
        <v>5839653542.6599998</v>
      </c>
      <c r="E219" s="67">
        <f t="shared" si="100"/>
        <v>-5839653542.6599998</v>
      </c>
      <c r="F219" s="280"/>
      <c r="G219" s="78"/>
      <c r="H219" s="280" t="str">
        <f>'AJE CAJE Des 24'!A47</f>
        <v>RLKS 1</v>
      </c>
      <c r="I219" s="78">
        <f>'AJE CAJE Des 24'!G48</f>
        <v>5839653542.6599998</v>
      </c>
      <c r="J219" s="513">
        <f t="shared" si="101"/>
        <v>0</v>
      </c>
      <c r="K219" s="513"/>
      <c r="L219" s="934"/>
      <c r="M219" s="912"/>
      <c r="N219" s="67"/>
      <c r="O219" s="78"/>
      <c r="P219" s="67">
        <f t="shared" si="115"/>
        <v>0</v>
      </c>
      <c r="Q219" s="280"/>
      <c r="R219" s="78"/>
      <c r="S219" s="280"/>
      <c r="T219" s="78"/>
      <c r="U219" s="67">
        <f t="shared" si="116"/>
        <v>0</v>
      </c>
      <c r="V219" s="103"/>
      <c r="W219" s="7"/>
      <c r="X219" s="794"/>
      <c r="Y219" s="27"/>
      <c r="Z219" s="27"/>
      <c r="AA219" s="7"/>
      <c r="AB219" s="7">
        <v>-187770548.8499999</v>
      </c>
      <c r="AC219" s="7">
        <f t="shared" ref="AC219" si="117">AA219-AB219</f>
        <v>187770548.8499999</v>
      </c>
      <c r="AD219" s="50"/>
      <c r="AE219" s="7"/>
      <c r="AF219" s="50"/>
      <c r="AG219" s="7"/>
      <c r="AH219" s="665">
        <f t="shared" ref="AH219" si="118">ROUND(AC219-AE219+AG219,0)</f>
        <v>187770549</v>
      </c>
      <c r="AI219" s="27"/>
      <c r="AJ219" s="7"/>
      <c r="AK219" s="841"/>
      <c r="AL219" s="27"/>
      <c r="AM219" s="95"/>
      <c r="AN219" s="38"/>
    </row>
    <row r="220" spans="1:40">
      <c r="A220" s="34"/>
      <c r="B220" s="26" t="s">
        <v>662</v>
      </c>
      <c r="C220" s="121">
        <f t="shared" ref="C220:C225" si="119">W220</f>
        <v>0</v>
      </c>
      <c r="D220" s="78"/>
      <c r="E220" s="67">
        <f t="shared" si="100"/>
        <v>0</v>
      </c>
      <c r="F220" s="280"/>
      <c r="G220" s="78"/>
      <c r="H220" s="280"/>
      <c r="I220" s="78"/>
      <c r="J220" s="67">
        <f t="shared" si="101"/>
        <v>0</v>
      </c>
      <c r="K220" s="67"/>
      <c r="L220" s="934"/>
      <c r="M220" s="912"/>
      <c r="N220" s="67">
        <f t="shared" si="112"/>
        <v>0</v>
      </c>
      <c r="O220" s="78"/>
      <c r="P220" s="67">
        <f t="shared" si="115"/>
        <v>0</v>
      </c>
      <c r="Q220" s="280"/>
      <c r="R220" s="78"/>
      <c r="S220" s="280"/>
      <c r="T220" s="78"/>
      <c r="U220" s="67">
        <f t="shared" si="116"/>
        <v>0</v>
      </c>
      <c r="V220" s="103"/>
      <c r="W220" s="7"/>
      <c r="X220" s="794"/>
      <c r="Y220" s="27"/>
      <c r="Z220" s="27"/>
      <c r="AA220" s="7"/>
      <c r="AB220" s="7">
        <v>-486180168.27999997</v>
      </c>
      <c r="AC220" s="7">
        <f t="shared" si="105"/>
        <v>486180168.27999997</v>
      </c>
      <c r="AD220" s="50"/>
      <c r="AE220" s="7"/>
      <c r="AF220" s="50"/>
      <c r="AG220" s="7"/>
      <c r="AH220" s="665">
        <f t="shared" si="106"/>
        <v>486180168</v>
      </c>
      <c r="AI220" s="27"/>
      <c r="AJ220" s="7"/>
      <c r="AK220" s="841"/>
      <c r="AL220" s="27"/>
      <c r="AM220" s="95"/>
      <c r="AN220" s="38"/>
    </row>
    <row r="221" spans="1:40">
      <c r="A221" s="34"/>
      <c r="B221" s="26" t="s">
        <v>657</v>
      </c>
      <c r="C221" s="121">
        <f t="shared" si="119"/>
        <v>0</v>
      </c>
      <c r="D221" s="78">
        <v>-199585238.75</v>
      </c>
      <c r="E221" s="67">
        <f t="shared" si="100"/>
        <v>199585238.75</v>
      </c>
      <c r="F221" s="280"/>
      <c r="G221" s="78"/>
      <c r="H221" s="280"/>
      <c r="I221" s="78"/>
      <c r="J221" s="67">
        <f t="shared" si="101"/>
        <v>199585238.75</v>
      </c>
      <c r="K221" s="67"/>
      <c r="L221" s="934"/>
      <c r="M221" s="912"/>
      <c r="N221" s="67">
        <f t="shared" si="112"/>
        <v>0</v>
      </c>
      <c r="O221" s="78">
        <v>-471004404.69999981</v>
      </c>
      <c r="P221" s="67">
        <f t="shared" si="115"/>
        <v>471004404.69999981</v>
      </c>
      <c r="Q221" s="280"/>
      <c r="R221" s="78"/>
      <c r="S221" s="280"/>
      <c r="T221" s="78"/>
      <c r="U221" s="674">
        <f t="shared" si="116"/>
        <v>471004404.69999981</v>
      </c>
      <c r="V221" s="103"/>
      <c r="W221" s="7"/>
      <c r="X221" s="794"/>
      <c r="Y221" s="27"/>
      <c r="Z221" s="27"/>
      <c r="AA221" s="7"/>
      <c r="AB221" s="7">
        <v>-716684027.44000053</v>
      </c>
      <c r="AC221" s="7">
        <f t="shared" si="105"/>
        <v>716684027.44000053</v>
      </c>
      <c r="AD221" s="50"/>
      <c r="AE221" s="7"/>
      <c r="AF221" s="50"/>
      <c r="AG221" s="7"/>
      <c r="AH221" s="7">
        <f t="shared" si="106"/>
        <v>716684027</v>
      </c>
      <c r="AI221" s="27"/>
      <c r="AJ221" s="7"/>
      <c r="AK221" s="841"/>
      <c r="AL221" s="27"/>
      <c r="AM221" s="95"/>
      <c r="AN221" s="38"/>
    </row>
    <row r="222" spans="1:40">
      <c r="A222" s="34"/>
      <c r="B222" s="26" t="s">
        <v>658</v>
      </c>
      <c r="C222" s="121">
        <f t="shared" si="119"/>
        <v>0</v>
      </c>
      <c r="D222" s="78"/>
      <c r="E222" s="67">
        <f t="shared" si="100"/>
        <v>0</v>
      </c>
      <c r="F222" s="280"/>
      <c r="G222" s="78"/>
      <c r="H222" s="280"/>
      <c r="I222" s="78"/>
      <c r="J222" s="67">
        <f t="shared" si="101"/>
        <v>0</v>
      </c>
      <c r="K222" s="67"/>
      <c r="L222" s="934"/>
      <c r="M222" s="912"/>
      <c r="N222" s="67">
        <f t="shared" si="112"/>
        <v>0</v>
      </c>
      <c r="O222" s="78"/>
      <c r="P222" s="67">
        <f t="shared" si="115"/>
        <v>0</v>
      </c>
      <c r="Q222" s="280"/>
      <c r="R222" s="78"/>
      <c r="S222" s="280"/>
      <c r="T222" s="78"/>
      <c r="U222" s="67">
        <f t="shared" si="116"/>
        <v>0</v>
      </c>
      <c r="V222" s="103"/>
      <c r="W222" s="7"/>
      <c r="X222" s="794"/>
      <c r="Y222" s="27"/>
      <c r="Z222" s="27"/>
      <c r="AA222" s="7"/>
      <c r="AB222" s="7">
        <v>-515696525.26000023</v>
      </c>
      <c r="AC222" s="7">
        <f t="shared" si="105"/>
        <v>515696525.26000023</v>
      </c>
      <c r="AD222" s="50"/>
      <c r="AE222" s="7"/>
      <c r="AF222" s="50"/>
      <c r="AG222" s="7"/>
      <c r="AH222" s="7">
        <f t="shared" si="106"/>
        <v>515696525</v>
      </c>
      <c r="AI222" s="27"/>
      <c r="AJ222" s="7"/>
      <c r="AK222" s="841"/>
      <c r="AL222" s="27"/>
      <c r="AM222" s="95"/>
      <c r="AN222" s="38"/>
    </row>
    <row r="223" spans="1:40">
      <c r="A223" s="34"/>
      <c r="B223" s="26" t="s">
        <v>659</v>
      </c>
      <c r="C223" s="121">
        <f t="shared" si="119"/>
        <v>0</v>
      </c>
      <c r="D223" s="78"/>
      <c r="E223" s="67">
        <f t="shared" si="100"/>
        <v>0</v>
      </c>
      <c r="F223" s="280"/>
      <c r="G223" s="78"/>
      <c r="H223" s="280"/>
      <c r="I223" s="78"/>
      <c r="J223" s="67">
        <f t="shared" si="101"/>
        <v>0</v>
      </c>
      <c r="K223" s="67"/>
      <c r="L223" s="934"/>
      <c r="M223" s="912"/>
      <c r="N223" s="67">
        <f t="shared" si="112"/>
        <v>0</v>
      </c>
      <c r="O223" s="78"/>
      <c r="P223" s="67">
        <f t="shared" si="115"/>
        <v>0</v>
      </c>
      <c r="Q223" s="280"/>
      <c r="R223" s="78"/>
      <c r="S223" s="280"/>
      <c r="T223" s="78"/>
      <c r="U223" s="67">
        <f t="shared" si="116"/>
        <v>0</v>
      </c>
      <c r="V223" s="103"/>
      <c r="W223" s="7"/>
      <c r="X223" s="794"/>
      <c r="Y223" s="27"/>
      <c r="Z223" s="27"/>
      <c r="AA223" s="7"/>
      <c r="AB223" s="7">
        <v>-530622929.75</v>
      </c>
      <c r="AC223" s="7">
        <f t="shared" si="105"/>
        <v>530622929.75</v>
      </c>
      <c r="AD223" s="50"/>
      <c r="AE223" s="7"/>
      <c r="AF223" s="50"/>
      <c r="AG223" s="7"/>
      <c r="AH223" s="7">
        <f>ROUNDUP(AC223-AE223+AG223,0)</f>
        <v>530622930</v>
      </c>
      <c r="AI223" s="27"/>
      <c r="AJ223" s="7"/>
      <c r="AK223" s="841"/>
      <c r="AL223" s="27"/>
      <c r="AM223" s="95"/>
      <c r="AN223" s="38"/>
    </row>
    <row r="224" spans="1:40">
      <c r="A224" s="34"/>
      <c r="B224" s="26" t="s">
        <v>660</v>
      </c>
      <c r="C224" s="121">
        <f t="shared" si="119"/>
        <v>0</v>
      </c>
      <c r="D224" s="78"/>
      <c r="E224" s="67">
        <f t="shared" si="100"/>
        <v>0</v>
      </c>
      <c r="F224" s="280"/>
      <c r="G224" s="78"/>
      <c r="H224" s="280"/>
      <c r="I224" s="78"/>
      <c r="J224" s="67">
        <f t="shared" si="101"/>
        <v>0</v>
      </c>
      <c r="K224" s="67"/>
      <c r="L224" s="934"/>
      <c r="M224" s="912"/>
      <c r="N224" s="67">
        <f t="shared" si="112"/>
        <v>0</v>
      </c>
      <c r="O224" s="78"/>
      <c r="P224" s="67">
        <f t="shared" si="115"/>
        <v>0</v>
      </c>
      <c r="Q224" s="280"/>
      <c r="R224" s="78"/>
      <c r="S224" s="280"/>
      <c r="T224" s="78"/>
      <c r="U224" s="67">
        <f t="shared" si="116"/>
        <v>0</v>
      </c>
      <c r="V224" s="103"/>
      <c r="W224" s="7"/>
      <c r="X224" s="794"/>
      <c r="Y224" s="27"/>
      <c r="Z224" s="27"/>
      <c r="AA224" s="7"/>
      <c r="AB224" s="7"/>
      <c r="AC224" s="7">
        <f t="shared" si="105"/>
        <v>0</v>
      </c>
      <c r="AD224" s="50"/>
      <c r="AE224" s="7"/>
      <c r="AF224" s="50"/>
      <c r="AG224" s="7"/>
      <c r="AH224" s="7">
        <f t="shared" si="106"/>
        <v>0</v>
      </c>
      <c r="AI224" s="27"/>
      <c r="AJ224" s="7"/>
      <c r="AK224" s="841"/>
      <c r="AL224" s="27"/>
      <c r="AM224" s="95"/>
      <c r="AN224" s="38"/>
    </row>
    <row r="225" spans="1:40">
      <c r="A225" s="34"/>
      <c r="B225" s="26" t="s">
        <v>661</v>
      </c>
      <c r="C225" s="121">
        <f t="shared" si="119"/>
        <v>0</v>
      </c>
      <c r="D225" s="78">
        <v>0</v>
      </c>
      <c r="E225" s="67">
        <f t="shared" si="100"/>
        <v>0</v>
      </c>
      <c r="F225" s="280" t="str">
        <f>'AJE CAJE Des 24'!A53</f>
        <v>CAJE 6</v>
      </c>
      <c r="G225" s="78">
        <f>'AJE CAJE Des 24'!F53</f>
        <v>0</v>
      </c>
      <c r="H225" s="280"/>
      <c r="I225" s="78"/>
      <c r="J225" s="666">
        <f t="shared" si="101"/>
        <v>0</v>
      </c>
      <c r="K225" s="666"/>
      <c r="L225" s="934"/>
      <c r="M225" s="912"/>
      <c r="N225" s="67">
        <f t="shared" si="112"/>
        <v>0</v>
      </c>
      <c r="O225" s="78"/>
      <c r="P225" s="67">
        <f t="shared" si="115"/>
        <v>0</v>
      </c>
      <c r="Q225" s="280"/>
      <c r="R225" s="78"/>
      <c r="S225" s="280"/>
      <c r="T225" s="78"/>
      <c r="U225" s="67">
        <f t="shared" si="116"/>
        <v>0</v>
      </c>
      <c r="V225" s="103"/>
      <c r="W225" s="7"/>
      <c r="X225" s="794"/>
      <c r="Y225" s="27"/>
      <c r="Z225" s="27"/>
      <c r="AA225" s="7"/>
      <c r="AB225" s="7">
        <v>-659209101.69999981</v>
      </c>
      <c r="AC225" s="7">
        <f t="shared" si="105"/>
        <v>659209101.69999981</v>
      </c>
      <c r="AD225" s="50"/>
      <c r="AE225" s="7"/>
      <c r="AF225" s="50"/>
      <c r="AG225" s="7"/>
      <c r="AH225" s="7">
        <f t="shared" si="106"/>
        <v>659209102</v>
      </c>
      <c r="AI225" s="27"/>
      <c r="AJ225" s="7"/>
      <c r="AK225" s="841"/>
      <c r="AL225" s="27"/>
      <c r="AM225" s="95"/>
      <c r="AN225" s="38"/>
    </row>
    <row r="226" spans="1:40">
      <c r="A226" s="34"/>
      <c r="B226" s="26" t="s">
        <v>985</v>
      </c>
      <c r="C226" s="67"/>
      <c r="D226" s="78"/>
      <c r="E226" s="67">
        <f t="shared" ref="E226:E234" si="120">C226-D226</f>
        <v>0</v>
      </c>
      <c r="F226" s="280"/>
      <c r="G226" s="78"/>
      <c r="H226" s="280"/>
      <c r="I226" s="78"/>
      <c r="J226" s="67">
        <f t="shared" si="101"/>
        <v>0</v>
      </c>
      <c r="K226" s="67"/>
      <c r="L226" s="934"/>
      <c r="M226" s="912"/>
      <c r="N226" s="67"/>
      <c r="O226" s="78">
        <v>-390700399.72000027</v>
      </c>
      <c r="P226" s="67">
        <f>N226-O226</f>
        <v>390700399.72000027</v>
      </c>
      <c r="Q226" s="280" t="str">
        <f>'AJE CAJE Sept 24'!B105</f>
        <v>CAJE 21</v>
      </c>
      <c r="R226" s="78">
        <f>'AJE CAJE Sept 24'!G105</f>
        <v>390700399.72000003</v>
      </c>
      <c r="S226" s="280"/>
      <c r="T226" s="78"/>
      <c r="U226" s="674">
        <f t="shared" ref="U226:U235" si="121">P226-R226+T226</f>
        <v>2.384185791015625E-7</v>
      </c>
      <c r="V226" s="103"/>
      <c r="W226" s="7"/>
      <c r="X226" s="794"/>
      <c r="Y226" s="27"/>
      <c r="Z226" s="27"/>
      <c r="AA226" s="7"/>
      <c r="AB226" s="7"/>
      <c r="AC226" s="7"/>
      <c r="AD226" s="50"/>
      <c r="AE226" s="7"/>
      <c r="AF226" s="50"/>
      <c r="AG226" s="7"/>
      <c r="AH226" s="7"/>
      <c r="AI226" s="27"/>
      <c r="AJ226" s="7"/>
      <c r="AK226" s="841"/>
      <c r="AL226" s="27"/>
      <c r="AM226" s="95"/>
      <c r="AN226" s="38"/>
    </row>
    <row r="227" spans="1:40">
      <c r="A227" s="34"/>
      <c r="B227" s="26" t="s">
        <v>986</v>
      </c>
      <c r="C227" s="67"/>
      <c r="D227" s="78">
        <v>0</v>
      </c>
      <c r="E227" s="67">
        <f t="shared" si="120"/>
        <v>0</v>
      </c>
      <c r="F227" s="280" t="str">
        <f>'AJE CAJE Des 24'!A52</f>
        <v>CAJE 6</v>
      </c>
      <c r="G227" s="78">
        <f>'AJE CAJE Des 24'!F52</f>
        <v>0</v>
      </c>
      <c r="H227" s="280"/>
      <c r="I227" s="78"/>
      <c r="J227" s="666">
        <f t="shared" si="101"/>
        <v>0</v>
      </c>
      <c r="K227" s="666"/>
      <c r="L227" s="934"/>
      <c r="M227" s="912"/>
      <c r="N227" s="67"/>
      <c r="O227" s="78">
        <v>-97875016.960000038</v>
      </c>
      <c r="P227" s="67">
        <f>N227-O227</f>
        <v>97875016.960000038</v>
      </c>
      <c r="Q227" s="280"/>
      <c r="R227" s="78"/>
      <c r="S227" s="280"/>
      <c r="T227" s="78"/>
      <c r="U227" s="67">
        <f t="shared" si="121"/>
        <v>97875016.960000038</v>
      </c>
      <c r="V227" s="103"/>
      <c r="W227" s="7"/>
      <c r="X227" s="794"/>
      <c r="Y227" s="27"/>
      <c r="Z227" s="27"/>
      <c r="AA227" s="7"/>
      <c r="AB227" s="7"/>
      <c r="AC227" s="7"/>
      <c r="AD227" s="50"/>
      <c r="AE227" s="7"/>
      <c r="AF227" s="50"/>
      <c r="AG227" s="7"/>
      <c r="AH227" s="7"/>
      <c r="AI227" s="27"/>
      <c r="AJ227" s="7"/>
      <c r="AK227" s="841"/>
      <c r="AL227" s="27"/>
      <c r="AM227" s="95"/>
      <c r="AN227" s="38"/>
    </row>
    <row r="228" spans="1:40">
      <c r="A228" s="34"/>
      <c r="B228" s="26" t="s">
        <v>987</v>
      </c>
      <c r="C228" s="67"/>
      <c r="D228" s="78"/>
      <c r="E228" s="67">
        <f t="shared" si="120"/>
        <v>0</v>
      </c>
      <c r="F228" s="280"/>
      <c r="G228" s="78"/>
      <c r="H228" s="280"/>
      <c r="I228" s="78"/>
      <c r="J228" s="67">
        <f t="shared" si="101"/>
        <v>0</v>
      </c>
      <c r="K228" s="67"/>
      <c r="L228" s="934"/>
      <c r="M228" s="912"/>
      <c r="N228" s="67"/>
      <c r="O228" s="78">
        <v>-285297166.96000004</v>
      </c>
      <c r="P228" s="67">
        <f>N228-O228</f>
        <v>285297166.96000004</v>
      </c>
      <c r="Q228" s="280"/>
      <c r="R228" s="78"/>
      <c r="S228" s="280"/>
      <c r="T228" s="78"/>
      <c r="U228" s="67">
        <f t="shared" si="121"/>
        <v>285297166.96000004</v>
      </c>
      <c r="V228" s="103"/>
      <c r="W228" s="7"/>
      <c r="X228" s="794"/>
      <c r="Y228" s="27"/>
      <c r="Z228" s="27"/>
      <c r="AA228" s="7"/>
      <c r="AB228" s="7"/>
      <c r="AC228" s="7"/>
      <c r="AD228" s="50"/>
      <c r="AE228" s="7"/>
      <c r="AF228" s="50"/>
      <c r="AG228" s="7"/>
      <c r="AH228" s="7"/>
      <c r="AI228" s="27"/>
      <c r="AJ228" s="7"/>
      <c r="AK228" s="841"/>
      <c r="AL228" s="27"/>
      <c r="AM228" s="95"/>
      <c r="AN228" s="38"/>
    </row>
    <row r="229" spans="1:40">
      <c r="A229" s="34"/>
      <c r="B229" s="26" t="s">
        <v>988</v>
      </c>
      <c r="C229" s="67"/>
      <c r="D229" s="78">
        <v>9347496728.4599991</v>
      </c>
      <c r="E229" s="67">
        <f t="shared" si="120"/>
        <v>-9347496728.4599991</v>
      </c>
      <c r="F229" s="280"/>
      <c r="G229" s="78"/>
      <c r="H229" s="280" t="str">
        <f>'AJE CAJE Des 24'!A45</f>
        <v>RLKS 1</v>
      </c>
      <c r="I229" s="78">
        <f>'AJE CAJE Des 24'!G46</f>
        <v>9347496728.4599991</v>
      </c>
      <c r="J229" s="67">
        <f t="shared" si="101"/>
        <v>0</v>
      </c>
      <c r="K229" s="67"/>
      <c r="L229" s="934"/>
      <c r="M229" s="912"/>
      <c r="N229" s="67"/>
      <c r="O229" s="78">
        <v>1168062258.7999992</v>
      </c>
      <c r="P229" s="67">
        <f>N229-O229</f>
        <v>-1168062258.7999992</v>
      </c>
      <c r="Q229" s="280"/>
      <c r="R229" s="78"/>
      <c r="S229" s="280" t="str">
        <f>'AJE CAJE Sept 24'!B65</f>
        <v>CAJE 13</v>
      </c>
      <c r="T229" s="78">
        <f>'AJE CAJE Sept 24'!H65</f>
        <v>1168062258.8</v>
      </c>
      <c r="U229" s="67">
        <f t="shared" si="121"/>
        <v>0</v>
      </c>
      <c r="V229" s="103"/>
      <c r="W229" s="7"/>
      <c r="X229" s="794"/>
      <c r="Y229" s="27"/>
      <c r="Z229" s="27"/>
      <c r="AA229" s="7"/>
      <c r="AB229" s="7"/>
      <c r="AC229" s="7"/>
      <c r="AD229" s="50"/>
      <c r="AE229" s="7"/>
      <c r="AF229" s="50"/>
      <c r="AG229" s="7"/>
      <c r="AH229" s="7"/>
      <c r="AI229" s="27"/>
      <c r="AJ229" s="7"/>
      <c r="AK229" s="841"/>
      <c r="AL229" s="27"/>
      <c r="AM229" s="95"/>
      <c r="AN229" s="38"/>
    </row>
    <row r="230" spans="1:40">
      <c r="A230" s="34"/>
      <c r="B230" s="26" t="s">
        <v>989</v>
      </c>
      <c r="C230" s="121">
        <v>10427740</v>
      </c>
      <c r="D230" s="78">
        <v>-60803180</v>
      </c>
      <c r="E230" s="67">
        <f t="shared" si="120"/>
        <v>71230920</v>
      </c>
      <c r="F230" s="280"/>
      <c r="G230" s="78"/>
      <c r="H230" s="280"/>
      <c r="I230" s="78"/>
      <c r="J230" s="67">
        <f t="shared" si="101"/>
        <v>71230920</v>
      </c>
      <c r="K230" s="67"/>
      <c r="L230" s="934"/>
      <c r="M230" s="912"/>
      <c r="N230" s="67">
        <v>10427740</v>
      </c>
      <c r="O230" s="78">
        <v>-50573953</v>
      </c>
      <c r="P230" s="67">
        <f>N230-O230</f>
        <v>61001693</v>
      </c>
      <c r="Q230" s="280"/>
      <c r="R230" s="78"/>
      <c r="S230" s="280"/>
      <c r="T230" s="78"/>
      <c r="U230" s="67">
        <f t="shared" si="121"/>
        <v>61001693</v>
      </c>
      <c r="V230" s="103"/>
      <c r="W230" s="7"/>
      <c r="X230" s="794"/>
      <c r="Y230" s="27"/>
      <c r="Z230" s="27"/>
      <c r="AA230" s="7"/>
      <c r="AB230" s="7"/>
      <c r="AC230" s="7"/>
      <c r="AD230" s="50"/>
      <c r="AE230" s="7"/>
      <c r="AF230" s="50"/>
      <c r="AG230" s="7"/>
      <c r="AH230" s="7"/>
      <c r="AI230" s="27"/>
      <c r="AJ230" s="7"/>
      <c r="AK230" s="841"/>
      <c r="AL230" s="27"/>
      <c r="AM230" s="95"/>
      <c r="AN230" s="38"/>
    </row>
    <row r="231" spans="1:40">
      <c r="A231" s="34"/>
      <c r="B231" s="875" t="s">
        <v>1204</v>
      </c>
      <c r="C231" s="121"/>
      <c r="D231" s="78">
        <v>206460000</v>
      </c>
      <c r="E231" s="67">
        <f t="shared" si="120"/>
        <v>-206460000</v>
      </c>
      <c r="F231" s="280"/>
      <c r="G231" s="78"/>
      <c r="H231" s="280" t="str">
        <f>'AJE CAJE Des 24'!A47</f>
        <v>RLKS 1</v>
      </c>
      <c r="I231" s="78">
        <f>'AJE CAJE Des 24'!G47</f>
        <v>206460000</v>
      </c>
      <c r="J231" s="513">
        <f t="shared" ref="J231" si="122">E231-G231+I231</f>
        <v>0</v>
      </c>
      <c r="K231" s="513"/>
      <c r="L231" s="934"/>
      <c r="M231" s="912"/>
      <c r="N231" s="67"/>
      <c r="O231" s="78"/>
      <c r="P231" s="67"/>
      <c r="Q231" s="280"/>
      <c r="R231" s="78"/>
      <c r="S231" s="280"/>
      <c r="T231" s="78"/>
      <c r="U231" s="67"/>
      <c r="V231" s="103"/>
      <c r="W231" s="7"/>
      <c r="X231" s="794"/>
      <c r="Y231" s="27"/>
      <c r="Z231" s="27"/>
      <c r="AA231" s="7"/>
      <c r="AB231" s="7"/>
      <c r="AC231" s="7"/>
      <c r="AD231" s="50"/>
      <c r="AE231" s="7"/>
      <c r="AF231" s="50"/>
      <c r="AG231" s="7"/>
      <c r="AH231" s="7"/>
      <c r="AI231" s="27"/>
      <c r="AJ231" s="7"/>
      <c r="AK231" s="841"/>
      <c r="AL231" s="27"/>
      <c r="AM231" s="95"/>
      <c r="AN231" s="38"/>
    </row>
    <row r="232" spans="1:40">
      <c r="A232" s="34"/>
      <c r="B232" s="875" t="s">
        <v>1205</v>
      </c>
      <c r="C232" s="121"/>
      <c r="D232" s="78">
        <v>-54835464.899999999</v>
      </c>
      <c r="E232" s="67">
        <f t="shared" si="120"/>
        <v>54835464.899999999</v>
      </c>
      <c r="F232" s="280"/>
      <c r="G232" s="78"/>
      <c r="H232" s="280"/>
      <c r="I232" s="78"/>
      <c r="J232" s="67">
        <f t="shared" ref="J232" si="123">E232-G232+I232</f>
        <v>54835464.899999999</v>
      </c>
      <c r="K232" s="67"/>
      <c r="L232" s="934"/>
      <c r="M232" s="912"/>
      <c r="N232" s="67"/>
      <c r="O232" s="78"/>
      <c r="P232" s="67"/>
      <c r="Q232" s="280"/>
      <c r="R232" s="78"/>
      <c r="S232" s="280"/>
      <c r="T232" s="78"/>
      <c r="U232" s="67"/>
      <c r="V232" s="103"/>
      <c r="W232" s="7"/>
      <c r="X232" s="794"/>
      <c r="Y232" s="27"/>
      <c r="Z232" s="27"/>
      <c r="AA232" s="7"/>
      <c r="AB232" s="7"/>
      <c r="AC232" s="7"/>
      <c r="AD232" s="50"/>
      <c r="AE232" s="7"/>
      <c r="AF232" s="50"/>
      <c r="AG232" s="7"/>
      <c r="AH232" s="7"/>
      <c r="AI232" s="27"/>
      <c r="AJ232" s="7"/>
      <c r="AK232" s="841"/>
      <c r="AL232" s="27"/>
      <c r="AM232" s="95"/>
      <c r="AN232" s="38"/>
    </row>
    <row r="233" spans="1:40">
      <c r="A233" s="34"/>
      <c r="B233" s="875" t="s">
        <v>1206</v>
      </c>
      <c r="C233" s="121"/>
      <c r="D233" s="78">
        <v>-648548775.35000002</v>
      </c>
      <c r="E233" s="67">
        <f t="shared" si="120"/>
        <v>648548775.35000002</v>
      </c>
      <c r="F233" s="280"/>
      <c r="G233" s="78"/>
      <c r="H233" s="280"/>
      <c r="I233" s="78"/>
      <c r="J233" s="67">
        <f t="shared" ref="J233" si="124">E233-G233+I233</f>
        <v>648548775.35000002</v>
      </c>
      <c r="K233" s="67"/>
      <c r="L233" s="934"/>
      <c r="M233" s="912"/>
      <c r="N233" s="67"/>
      <c r="O233" s="78"/>
      <c r="P233" s="67"/>
      <c r="Q233" s="280"/>
      <c r="R233" s="78"/>
      <c r="S233" s="280"/>
      <c r="T233" s="78"/>
      <c r="U233" s="67"/>
      <c r="V233" s="103"/>
      <c r="W233" s="7"/>
      <c r="X233" s="794"/>
      <c r="Y233" s="27"/>
      <c r="Z233" s="27"/>
      <c r="AA233" s="7"/>
      <c r="AB233" s="7"/>
      <c r="AC233" s="7"/>
      <c r="AD233" s="50"/>
      <c r="AE233" s="7"/>
      <c r="AF233" s="50"/>
      <c r="AG233" s="7"/>
      <c r="AH233" s="7"/>
      <c r="AI233" s="27"/>
      <c r="AJ233" s="7"/>
      <c r="AK233" s="841"/>
      <c r="AL233" s="27"/>
      <c r="AM233" s="95"/>
      <c r="AN233" s="38"/>
    </row>
    <row r="234" spans="1:40">
      <c r="A234" s="34"/>
      <c r="B234" s="875" t="s">
        <v>1207</v>
      </c>
      <c r="C234" s="121">
        <v>7925400</v>
      </c>
      <c r="D234" s="78">
        <v>-21473682</v>
      </c>
      <c r="E234" s="67">
        <f t="shared" si="120"/>
        <v>29399082</v>
      </c>
      <c r="F234" s="280"/>
      <c r="G234" s="78"/>
      <c r="H234" s="280"/>
      <c r="I234" s="78"/>
      <c r="J234" s="67">
        <f t="shared" ref="J234" si="125">E234-G234+I234</f>
        <v>29399082</v>
      </c>
      <c r="K234" s="67"/>
      <c r="L234" s="934"/>
      <c r="M234" s="912"/>
      <c r="N234" s="67"/>
      <c r="O234" s="78"/>
      <c r="P234" s="67"/>
      <c r="Q234" s="280"/>
      <c r="R234" s="78"/>
      <c r="S234" s="280"/>
      <c r="T234" s="78"/>
      <c r="U234" s="67"/>
      <c r="V234" s="103"/>
      <c r="W234" s="7"/>
      <c r="X234" s="794"/>
      <c r="Y234" s="27"/>
      <c r="Z234" s="27"/>
      <c r="AA234" s="7"/>
      <c r="AB234" s="7"/>
      <c r="AC234" s="7"/>
      <c r="AD234" s="50"/>
      <c r="AE234" s="7"/>
      <c r="AF234" s="50"/>
      <c r="AG234" s="7"/>
      <c r="AH234" s="7"/>
      <c r="AI234" s="27"/>
      <c r="AJ234" s="7"/>
      <c r="AK234" s="841"/>
      <c r="AL234" s="27"/>
      <c r="AM234" s="95"/>
      <c r="AN234" s="38"/>
    </row>
    <row r="235" spans="1:40">
      <c r="A235" s="34"/>
      <c r="B235" s="26" t="s">
        <v>183</v>
      </c>
      <c r="C235" s="121">
        <f>W235-C230-C217-C234</f>
        <v>627946832</v>
      </c>
      <c r="D235" s="129">
        <f>6951733+451584600</f>
        <v>458536333</v>
      </c>
      <c r="E235" s="67">
        <f>C235-D235+1</f>
        <v>169410500</v>
      </c>
      <c r="F235" s="280" t="str">
        <f>'AJE CAJE Des 24'!A120</f>
        <v>CAJE 16</v>
      </c>
      <c r="G235" s="78">
        <f>'AJE CAJE Des 24'!F120</f>
        <v>15153928</v>
      </c>
      <c r="H235" s="280"/>
      <c r="I235" s="78"/>
      <c r="J235" s="67">
        <f t="shared" si="101"/>
        <v>154256572</v>
      </c>
      <c r="K235" s="67"/>
      <c r="L235" s="934"/>
      <c r="M235" s="912"/>
      <c r="N235" s="67">
        <f>W235-N230-N217</f>
        <v>635872232</v>
      </c>
      <c r="O235" s="78">
        <f>75716417+307-2</f>
        <v>75716722</v>
      </c>
      <c r="P235" s="67">
        <f>N235-O235+1</f>
        <v>560155511</v>
      </c>
      <c r="Q235" s="280"/>
      <c r="R235" s="78"/>
      <c r="S235" s="280"/>
      <c r="T235" s="78"/>
      <c r="U235" s="67">
        <f t="shared" si="121"/>
        <v>560155511</v>
      </c>
      <c r="V235" s="103"/>
      <c r="W235" s="7">
        <v>657394820</v>
      </c>
      <c r="X235" s="794">
        <v>657394820</v>
      </c>
      <c r="Y235" s="27">
        <f>W235-X235</f>
        <v>0</v>
      </c>
      <c r="Z235" s="27"/>
      <c r="AA235" s="7">
        <f>AJ235-AA205-AA217-AA213-AA212</f>
        <v>233678735.2800293</v>
      </c>
      <c r="AB235" s="7">
        <v>-60961115.882689498</v>
      </c>
      <c r="AC235" s="7">
        <f t="shared" si="105"/>
        <v>294639851.16271877</v>
      </c>
      <c r="AD235" s="50"/>
      <c r="AE235" s="7"/>
      <c r="AF235" s="50" t="str">
        <f>'AJE CAJE Sept 23'!B65</f>
        <v>CAJE 12</v>
      </c>
      <c r="AG235" s="7">
        <f>'AJE CAJE Sept 23'!H65</f>
        <v>15262058</v>
      </c>
      <c r="AH235" s="665">
        <f>ROUND(AC235-AE235+AG235,0)+2</f>
        <v>309901911</v>
      </c>
      <c r="AI235" s="27"/>
      <c r="AJ235" s="7">
        <v>233678735.2800293</v>
      </c>
      <c r="AK235" s="841">
        <v>233678735.2800293</v>
      </c>
      <c r="AL235" s="27">
        <f>AJ235-AK235</f>
        <v>0</v>
      </c>
      <c r="AM235" s="95"/>
      <c r="AN235" s="27">
        <v>222251902</v>
      </c>
    </row>
    <row r="236" spans="1:40">
      <c r="A236" s="34"/>
      <c r="B236" s="26"/>
      <c r="C236" s="78"/>
      <c r="D236" s="78"/>
      <c r="E236" s="78"/>
      <c r="F236" s="280"/>
      <c r="G236" s="78"/>
      <c r="H236" s="280"/>
      <c r="I236" s="78"/>
      <c r="J236" s="78"/>
      <c r="K236" s="78"/>
      <c r="L236" s="936"/>
      <c r="M236" s="917"/>
      <c r="N236" s="78"/>
      <c r="O236" s="78"/>
      <c r="P236" s="78"/>
      <c r="Q236" s="280"/>
      <c r="R236" s="78"/>
      <c r="S236" s="280"/>
      <c r="T236" s="78"/>
      <c r="U236" s="78"/>
      <c r="V236" s="105"/>
      <c r="W236" s="27"/>
      <c r="Y236" s="27"/>
      <c r="Z236" s="27"/>
      <c r="AA236" s="27"/>
      <c r="AB236" s="27"/>
      <c r="AC236" s="27"/>
      <c r="AD236" s="371"/>
      <c r="AE236" s="27"/>
      <c r="AF236" s="371"/>
      <c r="AG236" s="27"/>
      <c r="AH236" s="27"/>
      <c r="AI236" s="27"/>
      <c r="AJ236" s="27"/>
      <c r="AL236" s="27"/>
      <c r="AM236" s="95"/>
      <c r="AN236" s="27"/>
    </row>
    <row r="237" spans="1:40">
      <c r="A237" s="20"/>
      <c r="B237" s="20" t="s">
        <v>184</v>
      </c>
      <c r="C237" s="21">
        <f>SUM(C177:C235)</f>
        <v>12029137713</v>
      </c>
      <c r="D237" s="656"/>
      <c r="E237" s="21">
        <f>SUM(E177:E235)</f>
        <v>-23564954647.16</v>
      </c>
      <c r="F237" s="281"/>
      <c r="G237" s="42"/>
      <c r="H237" s="281"/>
      <c r="I237" s="42"/>
      <c r="J237" s="21">
        <f>SUM(J177:J235)</f>
        <v>4291735758.2199998</v>
      </c>
      <c r="K237" s="21"/>
      <c r="L237" s="797"/>
      <c r="M237" s="913"/>
      <c r="N237" s="21">
        <f>SUM(N177:N235)</f>
        <v>12029137713</v>
      </c>
      <c r="O237" s="656"/>
      <c r="P237" s="21">
        <f>SUM(P177:P235)</f>
        <v>3795492347.1000004</v>
      </c>
      <c r="Q237" s="281"/>
      <c r="R237" s="42"/>
      <c r="S237" s="281"/>
      <c r="T237" s="42"/>
      <c r="U237" s="21">
        <f>SUM(U177:U235)</f>
        <v>3709508895.7299995</v>
      </c>
      <c r="V237" s="442"/>
      <c r="W237" s="21">
        <f>SUM(W177:W235)</f>
        <v>12029137713</v>
      </c>
      <c r="X237" s="791">
        <v>12029137713</v>
      </c>
      <c r="Y237" s="27">
        <f>W237-X237</f>
        <v>0</v>
      </c>
      <c r="Z237" s="27"/>
      <c r="AA237" s="21">
        <f>SUM(AA177:AA235)</f>
        <v>4755257674.2900295</v>
      </c>
      <c r="AB237" s="21"/>
      <c r="AC237" s="21">
        <f>SUM(AC177:AC235)</f>
        <v>11313793681.982719</v>
      </c>
      <c r="AD237" s="387"/>
      <c r="AE237" s="21"/>
      <c r="AF237" s="387"/>
      <c r="AG237" s="21"/>
      <c r="AH237" s="21">
        <f>SUM(AH177:AH235)</f>
        <v>11329055741</v>
      </c>
      <c r="AI237" s="36"/>
      <c r="AJ237" s="21">
        <f>SUM(AJ177:AJ235)</f>
        <v>4755257674.2900295</v>
      </c>
      <c r="AK237" s="838">
        <v>4755257674.2900295</v>
      </c>
      <c r="AL237" s="36">
        <f>AJ237-AK237</f>
        <v>0</v>
      </c>
      <c r="AM237" s="95"/>
      <c r="AN237" s="21">
        <f>SUM(AN177:AN235)</f>
        <v>6255097017</v>
      </c>
    </row>
    <row r="238" spans="1:40">
      <c r="A238" s="12" t="s">
        <v>185</v>
      </c>
      <c r="B238" s="12" t="s">
        <v>186</v>
      </c>
      <c r="C238" s="89"/>
      <c r="D238" s="67"/>
      <c r="E238" s="89"/>
      <c r="F238" s="280"/>
      <c r="G238" s="89"/>
      <c r="H238" s="280"/>
      <c r="I238" s="89"/>
      <c r="J238" s="89"/>
      <c r="K238" s="89"/>
      <c r="L238" s="933"/>
      <c r="M238" s="911"/>
      <c r="N238" s="89"/>
      <c r="O238" s="67"/>
      <c r="P238" s="89"/>
      <c r="Q238" s="280"/>
      <c r="R238" s="89"/>
      <c r="S238" s="280"/>
      <c r="T238" s="89"/>
      <c r="U238" s="89"/>
      <c r="V238" s="106"/>
      <c r="W238" s="36"/>
      <c r="X238" s="797"/>
      <c r="Y238" s="36"/>
      <c r="Z238" s="36"/>
      <c r="AA238" s="36"/>
      <c r="AB238" s="36"/>
      <c r="AC238" s="36"/>
      <c r="AD238" s="371"/>
      <c r="AE238" s="36"/>
      <c r="AF238" s="371"/>
      <c r="AG238" s="36"/>
      <c r="AH238" s="36"/>
      <c r="AI238" s="36"/>
      <c r="AJ238" s="36"/>
      <c r="AK238" s="845"/>
      <c r="AL238" s="36"/>
      <c r="AM238" s="95"/>
      <c r="AN238" s="36"/>
    </row>
    <row r="239" spans="1:40">
      <c r="A239" s="14"/>
      <c r="B239" s="14" t="s">
        <v>56</v>
      </c>
      <c r="C239" s="121">
        <f t="shared" ref="C239" si="126">W239</f>
        <v>62518053072</v>
      </c>
      <c r="D239" s="67">
        <v>29403234675.490005</v>
      </c>
      <c r="E239" s="67">
        <f>C239-D239</f>
        <v>33114818396.509995</v>
      </c>
      <c r="F239" s="280"/>
      <c r="G239" s="67"/>
      <c r="H239" s="280"/>
      <c r="I239" s="67"/>
      <c r="J239" s="67">
        <f>E239-G239+I239</f>
        <v>33114818396.509995</v>
      </c>
      <c r="K239" s="67"/>
      <c r="L239" s="934"/>
      <c r="M239" s="911"/>
      <c r="N239" s="67">
        <f>W239</f>
        <v>62518053072</v>
      </c>
      <c r="O239" s="67"/>
      <c r="P239" s="67">
        <f>N239-O239</f>
        <v>62518053072</v>
      </c>
      <c r="Q239" s="280" t="str">
        <f>'AJE CAJE Sept 24'!B35</f>
        <v>CAJE 5</v>
      </c>
      <c r="R239" s="67">
        <f>'AJE CAJE Sept 24'!G35</f>
        <v>27601289940.34</v>
      </c>
      <c r="S239" s="280"/>
      <c r="T239" s="67"/>
      <c r="U239" s="67">
        <f>P239-R239+T239</f>
        <v>34916763131.660004</v>
      </c>
      <c r="V239" s="103"/>
      <c r="W239" s="7">
        <v>62518053072</v>
      </c>
      <c r="X239" s="811">
        <v>62518053072</v>
      </c>
      <c r="Y239" s="27">
        <f>W239-X239</f>
        <v>0</v>
      </c>
      <c r="Z239" s="27"/>
      <c r="AA239" s="7">
        <f>AJ239</f>
        <v>2552178138</v>
      </c>
      <c r="AB239" s="347">
        <v>-61893053322.839996</v>
      </c>
      <c r="AC239" s="7">
        <f>AA239-AB239</f>
        <v>64445231460.839996</v>
      </c>
      <c r="AD239" s="50" t="str">
        <f>'AJE CAJE Sept 23'!B24</f>
        <v>CAJE 2</v>
      </c>
      <c r="AE239" s="7">
        <f>'AJE CAJE Sept 23'!G24</f>
        <v>8985620290.9300003</v>
      </c>
      <c r="AF239" s="50"/>
      <c r="AG239" s="7"/>
      <c r="AH239" s="7">
        <f>ROUND(AC239-AE239+AG239,0)</f>
        <v>55459611170</v>
      </c>
      <c r="AI239" s="27"/>
      <c r="AJ239" s="7">
        <v>2552178138</v>
      </c>
      <c r="AK239" s="855">
        <v>2552178138</v>
      </c>
      <c r="AL239" s="27">
        <f>AJ239-AK239</f>
        <v>0</v>
      </c>
      <c r="AM239" s="95"/>
      <c r="AN239" s="38">
        <v>2594980021</v>
      </c>
    </row>
    <row r="240" spans="1:40">
      <c r="A240" s="14"/>
      <c r="B240" s="14"/>
      <c r="C240" s="67"/>
      <c r="D240" s="67"/>
      <c r="E240" s="67"/>
      <c r="F240" s="280"/>
      <c r="G240" s="67"/>
      <c r="H240" s="280"/>
      <c r="I240" s="67"/>
      <c r="J240" s="67"/>
      <c r="K240" s="67"/>
      <c r="L240" s="934"/>
      <c r="M240" s="912"/>
      <c r="N240" s="67"/>
      <c r="O240" s="67"/>
      <c r="P240" s="67"/>
      <c r="Q240" s="280"/>
      <c r="R240" s="67"/>
      <c r="S240" s="280"/>
      <c r="T240" s="67"/>
      <c r="U240" s="67"/>
      <c r="V240" s="103"/>
      <c r="W240" s="38"/>
      <c r="X240" s="811">
        <v>0</v>
      </c>
      <c r="Y240" s="38"/>
      <c r="Z240" s="38"/>
      <c r="AA240" s="38"/>
      <c r="AB240" s="38"/>
      <c r="AC240" s="38"/>
      <c r="AD240" s="371"/>
      <c r="AE240" s="38"/>
      <c r="AF240" s="371"/>
      <c r="AG240" s="38"/>
      <c r="AH240" s="38"/>
      <c r="AI240" s="38"/>
      <c r="AJ240" s="38"/>
      <c r="AK240" s="855"/>
      <c r="AL240" s="38"/>
      <c r="AM240" s="95"/>
      <c r="AN240" s="38"/>
    </row>
    <row r="241" spans="1:40">
      <c r="A241" s="20"/>
      <c r="B241" s="20" t="s">
        <v>187</v>
      </c>
      <c r="C241" s="21">
        <f>SUM(C239:C239)</f>
        <v>62518053072</v>
      </c>
      <c r="D241" s="656"/>
      <c r="E241" s="21">
        <f>SUM(E239:E239)</f>
        <v>33114818396.509995</v>
      </c>
      <c r="F241" s="281"/>
      <c r="G241" s="42"/>
      <c r="H241" s="281"/>
      <c r="I241" s="42"/>
      <c r="J241" s="21">
        <f>SUM(J239:J239)</f>
        <v>33114818396.509995</v>
      </c>
      <c r="K241" s="21"/>
      <c r="L241" s="797"/>
      <c r="M241" s="913"/>
      <c r="N241" s="21">
        <f>SUM(N239:N239)</f>
        <v>62518053072</v>
      </c>
      <c r="O241" s="656"/>
      <c r="P241" s="21">
        <f>SUM(P239:P239)</f>
        <v>62518053072</v>
      </c>
      <c r="Q241" s="281"/>
      <c r="R241" s="42"/>
      <c r="S241" s="281"/>
      <c r="T241" s="42"/>
      <c r="U241" s="21">
        <f>SUM(U239:U239)</f>
        <v>34916763131.660004</v>
      </c>
      <c r="V241" s="442"/>
      <c r="W241" s="21">
        <f>SUM(W239:W239)</f>
        <v>62518053072</v>
      </c>
      <c r="X241" s="812">
        <v>62518053072</v>
      </c>
      <c r="Y241" s="27">
        <f>W241-X241</f>
        <v>0</v>
      </c>
      <c r="Z241" s="27"/>
      <c r="AA241" s="21">
        <f>SUM(AA239:AA239)</f>
        <v>2552178138</v>
      </c>
      <c r="AB241" s="21"/>
      <c r="AC241" s="21">
        <f>SUM(AC239:AC239)</f>
        <v>64445231460.839996</v>
      </c>
      <c r="AD241" s="387"/>
      <c r="AE241" s="21"/>
      <c r="AF241" s="387"/>
      <c r="AG241" s="21"/>
      <c r="AH241" s="21">
        <f>SUM(AH239:AH239)</f>
        <v>55459611170</v>
      </c>
      <c r="AI241" s="36"/>
      <c r="AJ241" s="21">
        <f>SUM(AJ239:AJ239)</f>
        <v>2552178138</v>
      </c>
      <c r="AK241" s="843">
        <v>2552178138</v>
      </c>
      <c r="AL241" s="36">
        <f>AJ241-AK241</f>
        <v>0</v>
      </c>
      <c r="AM241" s="95"/>
      <c r="AN241" s="21">
        <f>SUM(AN239:AN239)</f>
        <v>2594980021</v>
      </c>
    </row>
    <row r="242" spans="1:40">
      <c r="A242" s="12" t="s">
        <v>188</v>
      </c>
      <c r="B242" s="12"/>
      <c r="C242" s="89"/>
      <c r="D242" s="67"/>
      <c r="E242" s="89"/>
      <c r="F242" s="280"/>
      <c r="G242" s="89"/>
      <c r="H242" s="280"/>
      <c r="I242" s="89"/>
      <c r="J242" s="89"/>
      <c r="K242" s="89"/>
      <c r="L242" s="933"/>
      <c r="M242" s="911"/>
      <c r="N242" s="89"/>
      <c r="O242" s="67"/>
      <c r="P242" s="89"/>
      <c r="Q242" s="280"/>
      <c r="R242" s="89"/>
      <c r="S242" s="280"/>
      <c r="T242" s="89"/>
      <c r="U242" s="89"/>
      <c r="V242" s="106"/>
      <c r="W242" s="7"/>
      <c r="X242" s="790"/>
      <c r="Y242" s="27"/>
      <c r="Z242" s="27"/>
      <c r="AA242" s="7"/>
      <c r="AB242" s="7"/>
      <c r="AC242" s="7"/>
      <c r="AD242" s="50"/>
      <c r="AE242" s="7"/>
      <c r="AF242" s="50"/>
      <c r="AG242" s="7"/>
      <c r="AH242" s="7"/>
      <c r="AI242" s="27"/>
      <c r="AJ242" s="7"/>
      <c r="AK242" s="837"/>
      <c r="AL242" s="27"/>
      <c r="AM242" s="95"/>
      <c r="AN242" s="7"/>
    </row>
    <row r="243" spans="1:40">
      <c r="A243" s="34"/>
      <c r="B243" s="26" t="s">
        <v>189</v>
      </c>
      <c r="C243" s="121">
        <f t="shared" ref="C243:C247" si="127">W243</f>
        <v>41000000</v>
      </c>
      <c r="D243" s="78">
        <v>41000000</v>
      </c>
      <c r="E243" s="67">
        <f>C243-D243</f>
        <v>0</v>
      </c>
      <c r="F243" s="280"/>
      <c r="G243" s="78"/>
      <c r="H243" s="280"/>
      <c r="I243" s="78"/>
      <c r="J243" s="67">
        <f>E243-G243+I243</f>
        <v>0</v>
      </c>
      <c r="K243" s="67"/>
      <c r="L243" s="934"/>
      <c r="M243" s="912"/>
      <c r="N243" s="67">
        <f>W243</f>
        <v>41000000</v>
      </c>
      <c r="O243" s="78">
        <v>41000000</v>
      </c>
      <c r="P243" s="67">
        <f>N243-O243</f>
        <v>0</v>
      </c>
      <c r="Q243" s="280"/>
      <c r="R243" s="78"/>
      <c r="S243" s="280"/>
      <c r="T243" s="78"/>
      <c r="U243" s="67">
        <f>P243-R243+T243</f>
        <v>0</v>
      </c>
      <c r="V243" s="103"/>
      <c r="W243" s="7">
        <v>41000000</v>
      </c>
      <c r="X243" s="794">
        <v>41000000</v>
      </c>
      <c r="Y243" s="27">
        <f>W243-X243</f>
        <v>0</v>
      </c>
      <c r="Z243" s="27"/>
      <c r="AA243" s="7">
        <f>AJ243</f>
        <v>41000000</v>
      </c>
      <c r="AB243" s="7"/>
      <c r="AC243" s="7">
        <f t="shared" ref="AC243:AC247" si="128">AA243-AB243</f>
        <v>41000000</v>
      </c>
      <c r="AD243" s="50"/>
      <c r="AE243" s="7"/>
      <c r="AF243" s="50"/>
      <c r="AG243" s="7"/>
      <c r="AH243" s="7">
        <f t="shared" ref="AH243" si="129">ROUND(AC243-AE243+AG243,0)</f>
        <v>41000000</v>
      </c>
      <c r="AI243" s="27"/>
      <c r="AJ243" s="7">
        <v>41000000</v>
      </c>
      <c r="AK243" s="841">
        <v>41000000</v>
      </c>
      <c r="AL243" s="27">
        <f>AJ243-AK243</f>
        <v>0</v>
      </c>
      <c r="AM243" s="95"/>
      <c r="AN243" s="27">
        <v>41000000</v>
      </c>
    </row>
    <row r="244" spans="1:40">
      <c r="A244" s="34"/>
      <c r="B244" s="49" t="s">
        <v>190</v>
      </c>
      <c r="C244" s="121">
        <f t="shared" si="127"/>
        <v>0</v>
      </c>
      <c r="D244" s="129"/>
      <c r="E244" s="67">
        <f>C244-D244</f>
        <v>0</v>
      </c>
      <c r="F244" s="280"/>
      <c r="G244" s="129"/>
      <c r="H244" s="280"/>
      <c r="I244" s="129"/>
      <c r="J244" s="67">
        <f>E244-G244+I244</f>
        <v>0</v>
      </c>
      <c r="K244" s="67"/>
      <c r="L244" s="934"/>
      <c r="M244" s="912"/>
      <c r="N244" s="67">
        <f>W244</f>
        <v>0</v>
      </c>
      <c r="O244" s="129">
        <v>451584604</v>
      </c>
      <c r="P244" s="67">
        <f>N244-O244</f>
        <v>-451584604</v>
      </c>
      <c r="Q244" s="280"/>
      <c r="R244" s="129"/>
      <c r="S244" s="280"/>
      <c r="T244" s="129"/>
      <c r="U244" s="67">
        <f>P244-R244+T244</f>
        <v>-451584604</v>
      </c>
      <c r="V244" s="103"/>
      <c r="W244" s="50">
        <v>0</v>
      </c>
      <c r="X244" s="794">
        <v>0</v>
      </c>
      <c r="Y244" s="27">
        <f>W244-X244</f>
        <v>0</v>
      </c>
      <c r="Z244" s="27"/>
      <c r="AA244" s="7">
        <f t="shared" ref="AA244:AA247" si="130">AJ244</f>
        <v>0</v>
      </c>
      <c r="AB244" s="50">
        <v>-451584604</v>
      </c>
      <c r="AC244" s="50">
        <f t="shared" si="128"/>
        <v>451584604</v>
      </c>
      <c r="AD244" s="50"/>
      <c r="AE244" s="50"/>
      <c r="AF244" s="50"/>
      <c r="AG244" s="50"/>
      <c r="AH244" s="7">
        <f>ROUND(AC244-AE244+AG244,0)</f>
        <v>451584604</v>
      </c>
      <c r="AI244" s="371"/>
      <c r="AJ244" s="7"/>
      <c r="AK244" s="841">
        <v>0</v>
      </c>
      <c r="AL244" s="27"/>
      <c r="AM244" s="95"/>
      <c r="AN244" s="27"/>
    </row>
    <row r="245" spans="1:40">
      <c r="A245" s="34"/>
      <c r="B245" s="33" t="s">
        <v>191</v>
      </c>
      <c r="C245" s="121">
        <f t="shared" si="127"/>
        <v>0</v>
      </c>
      <c r="D245" s="120"/>
      <c r="E245" s="67">
        <f>C245-D245</f>
        <v>0</v>
      </c>
      <c r="F245" s="280"/>
      <c r="G245" s="120"/>
      <c r="H245" s="280"/>
      <c r="I245" s="120"/>
      <c r="J245" s="67">
        <f>E245-G245+I245</f>
        <v>0</v>
      </c>
      <c r="K245" s="67"/>
      <c r="L245" s="934"/>
      <c r="M245" s="912"/>
      <c r="N245" s="67">
        <f>W245</f>
        <v>0</v>
      </c>
      <c r="O245" s="120"/>
      <c r="P245" s="67">
        <f>N245-O245</f>
        <v>0</v>
      </c>
      <c r="Q245" s="280"/>
      <c r="R245" s="120"/>
      <c r="S245" s="280"/>
      <c r="T245" s="120"/>
      <c r="U245" s="67">
        <f>P245-R245+T245</f>
        <v>0</v>
      </c>
      <c r="V245" s="103"/>
      <c r="W245" s="7">
        <v>0</v>
      </c>
      <c r="X245" s="794">
        <v>0</v>
      </c>
      <c r="Y245" s="27"/>
      <c r="Z245" s="27"/>
      <c r="AA245" s="7">
        <f t="shared" si="130"/>
        <v>0</v>
      </c>
      <c r="AB245" s="7"/>
      <c r="AC245" s="7">
        <f t="shared" si="128"/>
        <v>0</v>
      </c>
      <c r="AD245" s="50"/>
      <c r="AE245" s="7"/>
      <c r="AF245" s="50"/>
      <c r="AG245" s="7"/>
      <c r="AH245" s="7">
        <f>ROUND(AC245-AE245+AG245,0)</f>
        <v>0</v>
      </c>
      <c r="AI245" s="27"/>
      <c r="AJ245" s="7"/>
      <c r="AK245" s="841"/>
      <c r="AL245" s="27"/>
      <c r="AM245" s="95"/>
      <c r="AN245" s="38">
        <v>0</v>
      </c>
    </row>
    <row r="246" spans="1:40">
      <c r="A246" s="34"/>
      <c r="B246" s="26" t="s">
        <v>64</v>
      </c>
      <c r="C246" s="121">
        <f t="shared" si="127"/>
        <v>0</v>
      </c>
      <c r="D246" s="78"/>
      <c r="E246" s="67">
        <f>C246-D246</f>
        <v>0</v>
      </c>
      <c r="F246" s="280"/>
      <c r="G246" s="78"/>
      <c r="H246" s="280"/>
      <c r="I246" s="78"/>
      <c r="J246" s="67">
        <f>E246-G246+I246</f>
        <v>0</v>
      </c>
      <c r="K246" s="67"/>
      <c r="L246" s="934"/>
      <c r="M246" s="912"/>
      <c r="N246" s="67">
        <f>W246</f>
        <v>0</v>
      </c>
      <c r="O246" s="78"/>
      <c r="P246" s="67">
        <f>N246-O246</f>
        <v>0</v>
      </c>
      <c r="Q246" s="280"/>
      <c r="R246" s="78"/>
      <c r="S246" s="280"/>
      <c r="T246" s="78"/>
      <c r="U246" s="67">
        <f>P246-R246+T246</f>
        <v>0</v>
      </c>
      <c r="V246" s="103"/>
      <c r="W246" s="7">
        <v>0</v>
      </c>
      <c r="X246" s="794"/>
      <c r="Y246" s="27"/>
      <c r="Z246" s="27"/>
      <c r="AA246" s="7">
        <f t="shared" si="130"/>
        <v>92595000</v>
      </c>
      <c r="AB246" s="7"/>
      <c r="AC246" s="7">
        <f t="shared" si="128"/>
        <v>92595000</v>
      </c>
      <c r="AD246" s="50"/>
      <c r="AE246" s="7"/>
      <c r="AF246" s="50"/>
      <c r="AG246" s="7"/>
      <c r="AH246" s="7">
        <f>ROUND(AC246-AE246+AG246,0)</f>
        <v>92595000</v>
      </c>
      <c r="AI246" s="27"/>
      <c r="AJ246" s="7">
        <v>92595000</v>
      </c>
      <c r="AK246" s="841">
        <v>92595000</v>
      </c>
      <c r="AL246" s="27">
        <f>AJ246-AK246</f>
        <v>0</v>
      </c>
      <c r="AM246" s="95"/>
      <c r="AN246" s="27">
        <v>92595000</v>
      </c>
    </row>
    <row r="247" spans="1:40">
      <c r="A247" s="34"/>
      <c r="B247" s="26" t="s">
        <v>192</v>
      </c>
      <c r="C247" s="121">
        <f t="shared" si="127"/>
        <v>0</v>
      </c>
      <c r="D247" s="78"/>
      <c r="E247" s="67">
        <f>C247-D247</f>
        <v>0</v>
      </c>
      <c r="F247" s="280"/>
      <c r="G247" s="78"/>
      <c r="H247" s="280"/>
      <c r="I247" s="78"/>
      <c r="J247" s="67">
        <f>E247-G247+I247</f>
        <v>0</v>
      </c>
      <c r="K247" s="67"/>
      <c r="L247" s="934"/>
      <c r="M247" s="912"/>
      <c r="N247" s="67">
        <f>W247</f>
        <v>0</v>
      </c>
      <c r="O247" s="78"/>
      <c r="P247" s="67">
        <f>N247-O247</f>
        <v>0</v>
      </c>
      <c r="Q247" s="280"/>
      <c r="R247" s="78"/>
      <c r="S247" s="280"/>
      <c r="T247" s="78"/>
      <c r="U247" s="67">
        <f>P247-R247+T247</f>
        <v>0</v>
      </c>
      <c r="V247" s="103"/>
      <c r="W247" s="7">
        <v>0</v>
      </c>
      <c r="X247" s="794">
        <v>0</v>
      </c>
      <c r="Y247" s="27"/>
      <c r="Z247" s="27"/>
      <c r="AA247" s="7">
        <f t="shared" si="130"/>
        <v>225000000</v>
      </c>
      <c r="AB247" s="7">
        <v>-500000000</v>
      </c>
      <c r="AC247" s="7">
        <f t="shared" si="128"/>
        <v>725000000</v>
      </c>
      <c r="AD247" s="50"/>
      <c r="AE247" s="7"/>
      <c r="AF247" s="50"/>
      <c r="AG247" s="7"/>
      <c r="AH247" s="7">
        <f>ROUND(AC247-AE247+AG247,0)</f>
        <v>725000000</v>
      </c>
      <c r="AI247" s="27"/>
      <c r="AJ247" s="7">
        <v>225000000</v>
      </c>
      <c r="AK247" s="841">
        <v>225000000</v>
      </c>
      <c r="AL247" s="27">
        <f>AJ247-AK247</f>
        <v>0</v>
      </c>
      <c r="AM247" s="95"/>
      <c r="AN247" s="38">
        <v>0</v>
      </c>
    </row>
    <row r="248" spans="1:40">
      <c r="A248" s="20"/>
      <c r="B248" s="20" t="s">
        <v>193</v>
      </c>
      <c r="C248" s="21">
        <f>SUM(C243:C247)</f>
        <v>41000000</v>
      </c>
      <c r="D248" s="42"/>
      <c r="E248" s="21">
        <f>SUM(E243:E247)</f>
        <v>0</v>
      </c>
      <c r="F248" s="281"/>
      <c r="G248" s="42"/>
      <c r="H248" s="281"/>
      <c r="I248" s="42"/>
      <c r="J248" s="21">
        <f>SUM(J243:J247)</f>
        <v>0</v>
      </c>
      <c r="K248" s="21"/>
      <c r="L248" s="797"/>
      <c r="M248" s="913"/>
      <c r="N248" s="21">
        <f>SUM(N243:N247)</f>
        <v>41000000</v>
      </c>
      <c r="O248" s="42"/>
      <c r="P248" s="21">
        <f>SUM(P243:P247)</f>
        <v>-451584604</v>
      </c>
      <c r="Q248" s="281"/>
      <c r="R248" s="42"/>
      <c r="S248" s="281"/>
      <c r="T248" s="42"/>
      <c r="U248" s="21">
        <f>SUM(U243:U247)</f>
        <v>-451584604</v>
      </c>
      <c r="V248" s="442"/>
      <c r="W248" s="21">
        <f>SUM(W243:W247)</f>
        <v>41000000</v>
      </c>
      <c r="X248" s="795">
        <v>41000000</v>
      </c>
      <c r="Y248" s="27">
        <f>W248-X248</f>
        <v>0</v>
      </c>
      <c r="Z248" s="27"/>
      <c r="AA248" s="21">
        <f>SUM(AA243:AA247)</f>
        <v>358595000</v>
      </c>
      <c r="AB248" s="21"/>
      <c r="AC248" s="21">
        <f>SUM(AC243:AC247)</f>
        <v>1310179604</v>
      </c>
      <c r="AD248" s="387"/>
      <c r="AE248" s="21"/>
      <c r="AF248" s="387"/>
      <c r="AG248" s="21"/>
      <c r="AH248" s="21">
        <f>SUM(AH243:AH247)</f>
        <v>1310179604</v>
      </c>
      <c r="AI248" s="36"/>
      <c r="AJ248" s="21">
        <f>SUM(AJ243:AJ247)</f>
        <v>358595000</v>
      </c>
      <c r="AK248" s="843">
        <v>358595000</v>
      </c>
      <c r="AL248" s="27">
        <f>AJ248-AK248</f>
        <v>0</v>
      </c>
      <c r="AM248" s="95"/>
      <c r="AN248" s="21">
        <f>SUM(AN243:AN247)</f>
        <v>133595000</v>
      </c>
    </row>
    <row r="249" spans="1:40">
      <c r="A249" s="12" t="s">
        <v>194</v>
      </c>
      <c r="B249" s="12"/>
      <c r="C249" s="89"/>
      <c r="D249" s="89"/>
      <c r="E249" s="89"/>
      <c r="F249" s="280"/>
      <c r="G249" s="89"/>
      <c r="H249" s="280"/>
      <c r="I249" s="89"/>
      <c r="J249" s="89"/>
      <c r="K249" s="89"/>
      <c r="L249" s="933"/>
      <c r="M249" s="911"/>
      <c r="N249" s="89"/>
      <c r="O249" s="89"/>
      <c r="P249" s="89"/>
      <c r="Q249" s="280"/>
      <c r="R249" s="89"/>
      <c r="S249" s="280"/>
      <c r="T249" s="89"/>
      <c r="U249" s="89"/>
      <c r="V249" s="106"/>
      <c r="W249" s="7"/>
      <c r="X249" s="790"/>
      <c r="Y249" s="27"/>
      <c r="Z249" s="27"/>
      <c r="AA249" s="7"/>
      <c r="AB249" s="7"/>
      <c r="AC249" s="7"/>
      <c r="AD249" s="50"/>
      <c r="AE249" s="7"/>
      <c r="AF249" s="50"/>
      <c r="AG249" s="7"/>
      <c r="AH249" s="7"/>
      <c r="AI249" s="27"/>
      <c r="AJ249" s="7"/>
      <c r="AK249" s="837"/>
      <c r="AL249" s="27"/>
      <c r="AM249" s="95"/>
      <c r="AN249" s="7"/>
    </row>
    <row r="250" spans="1:40">
      <c r="A250" s="34"/>
      <c r="B250" s="14" t="s">
        <v>195</v>
      </c>
      <c r="C250" s="121">
        <f t="shared" ref="C250:C264" si="131">W250</f>
        <v>2811914</v>
      </c>
      <c r="D250" s="67">
        <v>-1847233</v>
      </c>
      <c r="E250" s="67">
        <f t="shared" ref="E250:E265" si="132">C250-D250</f>
        <v>4659147</v>
      </c>
      <c r="F250" s="280" t="str">
        <f>'AJE CAJE Des 24'!A88</f>
        <v>CAJE 12</v>
      </c>
      <c r="G250" s="67">
        <f>'AJE CAJE Des 24'!F88</f>
        <v>4659147</v>
      </c>
      <c r="H250" s="280"/>
      <c r="I250" s="67"/>
      <c r="J250" s="67">
        <f t="shared" ref="J250:J265" si="133">E250-G250+I250</f>
        <v>0</v>
      </c>
      <c r="K250" s="67">
        <v>-3806151</v>
      </c>
      <c r="L250" s="934"/>
      <c r="M250" s="912" t="s">
        <v>1267</v>
      </c>
      <c r="N250" s="67">
        <f t="shared" ref="N250:N264" si="134">W250</f>
        <v>2811914</v>
      </c>
      <c r="O250" s="67">
        <v>2811914</v>
      </c>
      <c r="P250" s="67">
        <f t="shared" ref="P250:P264" si="135">N250-O250</f>
        <v>0</v>
      </c>
      <c r="Q250" s="280"/>
      <c r="R250" s="67"/>
      <c r="S250" s="280" t="str">
        <f>'AJE CAJE Sept 24'!B52</f>
        <v>CAJE 10</v>
      </c>
      <c r="T250" s="67">
        <f>'AJE CAJE Sept 24'!H52</f>
        <v>4471644</v>
      </c>
      <c r="U250" s="67">
        <f t="shared" ref="U250:U264" si="136">P250-R250+T250</f>
        <v>4471644</v>
      </c>
      <c r="V250" s="103"/>
      <c r="W250" s="7">
        <v>2811914</v>
      </c>
      <c r="X250" s="794">
        <v>2811914</v>
      </c>
      <c r="Y250" s="27">
        <f>W250-X250</f>
        <v>0</v>
      </c>
      <c r="Z250" s="27"/>
      <c r="AA250" s="7">
        <f>AJ250</f>
        <v>2451357</v>
      </c>
      <c r="AB250" s="7">
        <v>17431808</v>
      </c>
      <c r="AC250" s="7">
        <f t="shared" ref="AC250:AC264" si="137">AA250-AB250</f>
        <v>-14980451</v>
      </c>
      <c r="AD250" s="50"/>
      <c r="AE250" s="7"/>
      <c r="AF250" s="50" t="s">
        <v>976</v>
      </c>
      <c r="AG250" s="7">
        <f>'AJE CAJE Sept 23'!H28+'AJE CAJE Sept 23'!H36</f>
        <v>17460064</v>
      </c>
      <c r="AH250" s="7">
        <f>ROUND(AC250-AE250+AG250,0)</f>
        <v>2479613</v>
      </c>
      <c r="AI250" s="27"/>
      <c r="AJ250" s="7">
        <v>2451357</v>
      </c>
      <c r="AK250" s="841">
        <v>2451357</v>
      </c>
      <c r="AL250" s="27">
        <f>AJ250-AK250</f>
        <v>0</v>
      </c>
      <c r="AM250" s="95"/>
      <c r="AN250" s="27">
        <v>11396884</v>
      </c>
    </row>
    <row r="251" spans="1:40">
      <c r="A251" s="34"/>
      <c r="B251" s="14" t="s">
        <v>196</v>
      </c>
      <c r="C251" s="121">
        <f t="shared" si="131"/>
        <v>0</v>
      </c>
      <c r="D251" s="67"/>
      <c r="E251" s="67">
        <f t="shared" si="132"/>
        <v>0</v>
      </c>
      <c r="F251" s="280"/>
      <c r="G251" s="67"/>
      <c r="H251" s="280"/>
      <c r="I251" s="67"/>
      <c r="J251" s="67">
        <f t="shared" si="133"/>
        <v>0</v>
      </c>
      <c r="K251" s="67"/>
      <c r="L251" s="934"/>
      <c r="M251" s="912"/>
      <c r="N251" s="67">
        <f t="shared" si="134"/>
        <v>0</v>
      </c>
      <c r="O251" s="67"/>
      <c r="P251" s="67">
        <f t="shared" si="135"/>
        <v>0</v>
      </c>
      <c r="Q251" s="280"/>
      <c r="R251" s="67"/>
      <c r="S251" s="280"/>
      <c r="T251" s="67"/>
      <c r="U251" s="67">
        <f t="shared" si="136"/>
        <v>0</v>
      </c>
      <c r="V251" s="103"/>
      <c r="W251" s="7">
        <v>0</v>
      </c>
      <c r="X251" s="794">
        <v>0</v>
      </c>
      <c r="Y251" s="27"/>
      <c r="Z251" s="27"/>
      <c r="AA251" s="7">
        <f t="shared" ref="AA251:AA264" si="138">AJ251</f>
        <v>0</v>
      </c>
      <c r="AB251" s="7"/>
      <c r="AC251" s="7">
        <f t="shared" si="137"/>
        <v>0</v>
      </c>
      <c r="AD251" s="50"/>
      <c r="AE251" s="7"/>
      <c r="AF251" s="50"/>
      <c r="AG251" s="7"/>
      <c r="AH251" s="7">
        <f t="shared" ref="AH251:AH264" si="139">ROUND(AC251-AE251+AG251,0)</f>
        <v>0</v>
      </c>
      <c r="AI251" s="27"/>
      <c r="AJ251" s="7">
        <v>0</v>
      </c>
      <c r="AK251" s="841">
        <v>0</v>
      </c>
      <c r="AL251" s="27"/>
      <c r="AM251" s="95"/>
      <c r="AN251" s="27">
        <v>0</v>
      </c>
    </row>
    <row r="252" spans="1:40">
      <c r="A252" s="34"/>
      <c r="B252" s="14" t="s">
        <v>197</v>
      </c>
      <c r="C252" s="121">
        <f t="shared" si="131"/>
        <v>32841996</v>
      </c>
      <c r="D252" s="67">
        <v>38809288.090000033</v>
      </c>
      <c r="E252" s="67">
        <f t="shared" si="132"/>
        <v>-5967292.0900000334</v>
      </c>
      <c r="F252" s="280"/>
      <c r="G252" s="67"/>
      <c r="H252" s="280" t="s">
        <v>1253</v>
      </c>
      <c r="I252" s="67">
        <f>'AJE CAJE Des 24'!G59+'AJE CAJE Des 24'!G89</f>
        <v>34089140.090000033</v>
      </c>
      <c r="J252" s="67">
        <f t="shared" si="133"/>
        <v>28121848</v>
      </c>
      <c r="K252" s="67"/>
      <c r="L252" s="934"/>
      <c r="M252" s="912" t="s">
        <v>1252</v>
      </c>
      <c r="N252" s="67">
        <f t="shared" si="134"/>
        <v>32841996</v>
      </c>
      <c r="O252" s="67">
        <v>57364150.060000002</v>
      </c>
      <c r="P252" s="67">
        <f t="shared" si="135"/>
        <v>-24522154.060000002</v>
      </c>
      <c r="Q252" s="280"/>
      <c r="R252" s="67"/>
      <c r="S252" s="280" t="s">
        <v>598</v>
      </c>
      <c r="T252" s="67">
        <f>'AJE CAJE Sept 24'!H42+'AJE CAJE Sept 24'!H53</f>
        <v>112577916.06</v>
      </c>
      <c r="U252" s="67">
        <f t="shared" si="136"/>
        <v>88055762</v>
      </c>
      <c r="V252" s="103"/>
      <c r="W252" s="29">
        <v>32841996</v>
      </c>
      <c r="X252" s="794">
        <v>32841996</v>
      </c>
      <c r="Y252" s="27">
        <f>W252-X252</f>
        <v>0</v>
      </c>
      <c r="Z252" s="27"/>
      <c r="AA252" s="29">
        <f t="shared" si="138"/>
        <v>46207901</v>
      </c>
      <c r="AB252" s="29">
        <v>71867984.230000019</v>
      </c>
      <c r="AC252" s="29">
        <f t="shared" si="137"/>
        <v>-25660083.230000019</v>
      </c>
      <c r="AD252" s="50"/>
      <c r="AE252" s="29"/>
      <c r="AF252" s="50" t="s">
        <v>977</v>
      </c>
      <c r="AG252" s="29">
        <f>'AJE CAJE Sept 23'!H56+'AJE CAJE Sept 23'!H37</f>
        <v>56044247.230000004</v>
      </c>
      <c r="AH252" s="7">
        <f t="shared" si="139"/>
        <v>30384164</v>
      </c>
      <c r="AI252" s="38"/>
      <c r="AJ252" s="7">
        <v>46207901</v>
      </c>
      <c r="AK252" s="841">
        <v>46207901</v>
      </c>
      <c r="AL252" s="27">
        <f t="shared" ref="AL252:AL254" si="140">AJ252-AK252</f>
        <v>0</v>
      </c>
      <c r="AM252" s="95"/>
      <c r="AN252" s="27">
        <v>35239883</v>
      </c>
    </row>
    <row r="253" spans="1:40">
      <c r="A253" s="34"/>
      <c r="B253" s="14" t="s">
        <v>198</v>
      </c>
      <c r="C253" s="121">
        <f t="shared" si="131"/>
        <v>8898796</v>
      </c>
      <c r="D253" s="67">
        <v>-12775213.789999992</v>
      </c>
      <c r="E253" s="67">
        <f t="shared" si="132"/>
        <v>21674009.789999992</v>
      </c>
      <c r="F253" s="280" t="str">
        <f>'AJE CAJE Des 24'!A86</f>
        <v>CAJE 12</v>
      </c>
      <c r="G253" s="67">
        <f>'AJE CAJE Des 24'!F86</f>
        <v>4</v>
      </c>
      <c r="H253" s="280"/>
      <c r="I253" s="67"/>
      <c r="J253" s="669">
        <f t="shared" si="133"/>
        <v>21674005.789999992</v>
      </c>
      <c r="K253" s="669"/>
      <c r="L253" s="934"/>
      <c r="M253" s="912" t="s">
        <v>1252</v>
      </c>
      <c r="N253" s="67">
        <f t="shared" si="134"/>
        <v>8898796</v>
      </c>
      <c r="O253" s="67">
        <v>8898796</v>
      </c>
      <c r="P253" s="67">
        <f t="shared" si="135"/>
        <v>0</v>
      </c>
      <c r="Q253" s="280"/>
      <c r="R253" s="67"/>
      <c r="S253" s="280" t="str">
        <f>'AJE CAJE Sept 24'!B50</f>
        <v>CAJE 10</v>
      </c>
      <c r="T253" s="67">
        <f>'AJE CAJE Sept 24'!H54</f>
        <v>20541362</v>
      </c>
      <c r="U253" s="669">
        <f t="shared" si="136"/>
        <v>20541362</v>
      </c>
      <c r="V253" s="103"/>
      <c r="W253" s="29">
        <v>8898796</v>
      </c>
      <c r="X253" s="794">
        <v>8898796</v>
      </c>
      <c r="Y253" s="27">
        <f>W253-X253</f>
        <v>0</v>
      </c>
      <c r="Z253" s="27"/>
      <c r="AA253" s="29">
        <f t="shared" si="138"/>
        <v>27045712</v>
      </c>
      <c r="AB253" s="29">
        <v>27045689</v>
      </c>
      <c r="AC253" s="29">
        <f t="shared" si="137"/>
        <v>23</v>
      </c>
      <c r="AD253" s="50" t="str">
        <f>'AJE CAJE Sept 23'!B29</f>
        <v>CAJE 3</v>
      </c>
      <c r="AE253" s="29">
        <f>'AJE CAJE Sept 23'!G29</f>
        <v>23</v>
      </c>
      <c r="AF253" s="50" t="str">
        <f>'AJE CAJE Sept 23'!B38</f>
        <v>CAJE 5</v>
      </c>
      <c r="AG253" s="29">
        <f>'AJE CAJE Sept 23'!H38</f>
        <v>14328327</v>
      </c>
      <c r="AH253" s="7">
        <f t="shared" si="139"/>
        <v>14328327</v>
      </c>
      <c r="AI253" s="38"/>
      <c r="AJ253" s="7">
        <v>27045712</v>
      </c>
      <c r="AK253" s="841">
        <v>27045712</v>
      </c>
      <c r="AL253" s="27">
        <f t="shared" si="140"/>
        <v>0</v>
      </c>
      <c r="AM253" s="95"/>
      <c r="AN253" s="27">
        <v>7907921</v>
      </c>
    </row>
    <row r="254" spans="1:40">
      <c r="A254" s="34"/>
      <c r="B254" s="14" t="s">
        <v>199</v>
      </c>
      <c r="C254" s="121">
        <f t="shared" si="131"/>
        <v>13754704</v>
      </c>
      <c r="D254" s="67">
        <v>435370616</v>
      </c>
      <c r="E254" s="67">
        <f t="shared" si="132"/>
        <v>-421615912</v>
      </c>
      <c r="F254" s="280"/>
      <c r="G254" s="67"/>
      <c r="H254" s="280" t="str">
        <f>'AJE CAJE Des 24'!A63</f>
        <v>CAJE 8</v>
      </c>
      <c r="I254" s="67">
        <f>'AJE CAJE Des 24'!G63</f>
        <v>421615912</v>
      </c>
      <c r="J254" s="67">
        <f t="shared" si="133"/>
        <v>0</v>
      </c>
      <c r="K254" s="67"/>
      <c r="L254" s="934"/>
      <c r="M254" s="912"/>
      <c r="N254" s="67">
        <f t="shared" si="134"/>
        <v>13754704</v>
      </c>
      <c r="O254" s="67">
        <v>329966638</v>
      </c>
      <c r="P254" s="67">
        <f t="shared" si="135"/>
        <v>-316211934</v>
      </c>
      <c r="Q254" s="280"/>
      <c r="R254" s="67"/>
      <c r="S254" s="280" t="s">
        <v>599</v>
      </c>
      <c r="T254" s="67">
        <f>'AJE CAJE Sept 24'!H45+'AJE CAJE Sept 24'!H51</f>
        <v>368913923</v>
      </c>
      <c r="U254" s="67">
        <f t="shared" si="136"/>
        <v>52701989</v>
      </c>
      <c r="V254" s="103"/>
      <c r="W254" s="29">
        <v>13754704</v>
      </c>
      <c r="X254" s="794">
        <v>13754704</v>
      </c>
      <c r="Y254" s="27">
        <f>W254-X254</f>
        <v>0</v>
      </c>
      <c r="Z254" s="27"/>
      <c r="AA254" s="29">
        <f t="shared" si="138"/>
        <v>13754704</v>
      </c>
      <c r="AB254" s="6">
        <v>55018816</v>
      </c>
      <c r="AC254" s="29">
        <f t="shared" si="137"/>
        <v>-41264112</v>
      </c>
      <c r="AD254" s="50"/>
      <c r="AE254" s="29"/>
      <c r="AF254" s="50" t="str">
        <f>'AJE CAJE Sept 23'!B59</f>
        <v>CAJE 10</v>
      </c>
      <c r="AG254" s="29">
        <f>'AJE CAJE Sept 23'!H59</f>
        <v>41264112</v>
      </c>
      <c r="AH254" s="7">
        <f t="shared" si="139"/>
        <v>0</v>
      </c>
      <c r="AI254" s="38"/>
      <c r="AJ254" s="7">
        <v>13754704</v>
      </c>
      <c r="AK254" s="841">
        <v>13754704</v>
      </c>
      <c r="AL254" s="27">
        <f t="shared" si="140"/>
        <v>0</v>
      </c>
      <c r="AM254" s="95"/>
      <c r="AN254" s="27">
        <v>0</v>
      </c>
    </row>
    <row r="255" spans="1:40">
      <c r="A255" s="34"/>
      <c r="B255" s="14" t="s">
        <v>200</v>
      </c>
      <c r="C255" s="121">
        <f t="shared" si="131"/>
        <v>0</v>
      </c>
      <c r="D255" s="67">
        <v>-1775555.1</v>
      </c>
      <c r="E255" s="67">
        <f t="shared" si="132"/>
        <v>1775555.1</v>
      </c>
      <c r="F255" s="280"/>
      <c r="G255" s="67"/>
      <c r="H255" s="280"/>
      <c r="I255" s="67"/>
      <c r="J255" s="67">
        <f t="shared" si="133"/>
        <v>1775555.1</v>
      </c>
      <c r="K255" s="67"/>
      <c r="L255" s="934"/>
      <c r="M255" s="912" t="s">
        <v>1252</v>
      </c>
      <c r="N255" s="67">
        <f t="shared" si="134"/>
        <v>0</v>
      </c>
      <c r="O255" s="67"/>
      <c r="P255" s="67">
        <f t="shared" si="135"/>
        <v>0</v>
      </c>
      <c r="Q255" s="280"/>
      <c r="R255" s="67"/>
      <c r="S255" s="280"/>
      <c r="T255" s="67"/>
      <c r="U255" s="67">
        <f t="shared" si="136"/>
        <v>0</v>
      </c>
      <c r="V255" s="103"/>
      <c r="W255" s="7">
        <v>0</v>
      </c>
      <c r="X255" s="794">
        <v>0</v>
      </c>
      <c r="Y255" s="27"/>
      <c r="Z255" s="27"/>
      <c r="AA255" s="7">
        <f t="shared" si="138"/>
        <v>0</v>
      </c>
      <c r="AB255" s="7"/>
      <c r="AC255" s="7">
        <f t="shared" si="137"/>
        <v>0</v>
      </c>
      <c r="AD255" s="50"/>
      <c r="AE255" s="7"/>
      <c r="AF255" s="50"/>
      <c r="AG255" s="7"/>
      <c r="AH255" s="7">
        <f t="shared" si="139"/>
        <v>0</v>
      </c>
      <c r="AI255" s="27"/>
      <c r="AJ255" s="7">
        <v>0</v>
      </c>
      <c r="AK255" s="841">
        <v>0</v>
      </c>
      <c r="AL255" s="27"/>
      <c r="AM255" s="95"/>
      <c r="AN255" s="27">
        <v>1500000</v>
      </c>
    </row>
    <row r="256" spans="1:40">
      <c r="A256" s="34"/>
      <c r="B256" s="37" t="s">
        <v>201</v>
      </c>
      <c r="C256" s="121">
        <f t="shared" si="131"/>
        <v>0</v>
      </c>
      <c r="D256" s="67"/>
      <c r="E256" s="67">
        <f t="shared" si="132"/>
        <v>0</v>
      </c>
      <c r="F256" s="280"/>
      <c r="G256" s="67"/>
      <c r="H256" s="280"/>
      <c r="I256" s="67"/>
      <c r="J256" s="67">
        <f t="shared" si="133"/>
        <v>0</v>
      </c>
      <c r="K256" s="67"/>
      <c r="L256" s="934"/>
      <c r="M256" s="912"/>
      <c r="N256" s="67">
        <f t="shared" si="134"/>
        <v>0</v>
      </c>
      <c r="O256" s="67"/>
      <c r="P256" s="67">
        <f t="shared" si="135"/>
        <v>0</v>
      </c>
      <c r="Q256" s="280"/>
      <c r="R256" s="67"/>
      <c r="S256" s="280" t="str">
        <f>'AJE CAJE Sept 24'!B62</f>
        <v>CAJE 12</v>
      </c>
      <c r="T256" s="67">
        <f>'AJE CAJE Sept 24'!H62</f>
        <v>726208051.94000006</v>
      </c>
      <c r="U256" s="67">
        <f t="shared" si="136"/>
        <v>726208051.94000006</v>
      </c>
      <c r="V256" s="103"/>
      <c r="W256" s="7">
        <v>0</v>
      </c>
      <c r="X256" s="794">
        <v>0</v>
      </c>
      <c r="Y256" s="27"/>
      <c r="Z256" s="27"/>
      <c r="AA256" s="7">
        <f t="shared" si="138"/>
        <v>0.35991573333740234</v>
      </c>
      <c r="AB256" s="7"/>
      <c r="AC256" s="7">
        <f t="shared" si="137"/>
        <v>0.35991573333740234</v>
      </c>
      <c r="AD256" s="50"/>
      <c r="AE256" s="7"/>
      <c r="AF256" s="50" t="str">
        <f>'AJE CAJE Sept 23'!B70</f>
        <v>CAJE 13</v>
      </c>
      <c r="AG256" s="7">
        <f>'AJE CAJE Sept 23'!H70</f>
        <v>232572805</v>
      </c>
      <c r="AH256" s="7">
        <f t="shared" si="139"/>
        <v>232572805</v>
      </c>
      <c r="AI256" s="27"/>
      <c r="AJ256" s="51">
        <v>0.35991573333740234</v>
      </c>
      <c r="AK256" s="841">
        <v>0.35991573333740234</v>
      </c>
      <c r="AL256" s="871"/>
      <c r="AM256" s="95"/>
      <c r="AN256" s="27">
        <v>0</v>
      </c>
    </row>
    <row r="257" spans="1:40">
      <c r="A257" s="34"/>
      <c r="B257" s="52">
        <v>2016</v>
      </c>
      <c r="C257" s="121">
        <f t="shared" si="131"/>
        <v>0</v>
      </c>
      <c r="D257" s="130"/>
      <c r="E257" s="67">
        <f t="shared" si="132"/>
        <v>0</v>
      </c>
      <c r="F257" s="280"/>
      <c r="G257" s="130"/>
      <c r="H257" s="280"/>
      <c r="I257" s="130"/>
      <c r="J257" s="67">
        <f t="shared" si="133"/>
        <v>0</v>
      </c>
      <c r="K257" s="67"/>
      <c r="L257" s="934"/>
      <c r="M257" s="912"/>
      <c r="N257" s="67">
        <f t="shared" si="134"/>
        <v>0</v>
      </c>
      <c r="O257" s="130"/>
      <c r="P257" s="67">
        <f t="shared" si="135"/>
        <v>0</v>
      </c>
      <c r="Q257" s="280"/>
      <c r="R257" s="130"/>
      <c r="S257" s="280"/>
      <c r="T257" s="130"/>
      <c r="U257" s="67">
        <f t="shared" si="136"/>
        <v>0</v>
      </c>
      <c r="V257" s="103"/>
      <c r="W257" s="7">
        <v>0</v>
      </c>
      <c r="X257" s="794"/>
      <c r="Y257" s="27"/>
      <c r="Z257" s="27"/>
      <c r="AA257" s="7">
        <f t="shared" si="138"/>
        <v>0</v>
      </c>
      <c r="AB257" s="7"/>
      <c r="AC257" s="7">
        <f t="shared" si="137"/>
        <v>0</v>
      </c>
      <c r="AD257" s="50"/>
      <c r="AE257" s="7"/>
      <c r="AF257" s="50"/>
      <c r="AG257" s="7"/>
      <c r="AH257" s="7">
        <f t="shared" si="139"/>
        <v>0</v>
      </c>
      <c r="AI257" s="27"/>
      <c r="AJ257" s="7">
        <v>0</v>
      </c>
      <c r="AK257" s="841"/>
      <c r="AL257" s="27"/>
      <c r="AM257" s="95"/>
      <c r="AN257" s="27">
        <v>0</v>
      </c>
    </row>
    <row r="258" spans="1:40">
      <c r="A258" s="34"/>
      <c r="B258" s="52">
        <v>2017</v>
      </c>
      <c r="C258" s="121">
        <f t="shared" si="131"/>
        <v>0</v>
      </c>
      <c r="D258" s="130"/>
      <c r="E258" s="67">
        <f t="shared" si="132"/>
        <v>0</v>
      </c>
      <c r="F258" s="280"/>
      <c r="G258" s="130"/>
      <c r="H258" s="280"/>
      <c r="I258" s="130"/>
      <c r="J258" s="67">
        <f t="shared" si="133"/>
        <v>0</v>
      </c>
      <c r="K258" s="67"/>
      <c r="L258" s="934"/>
      <c r="M258" s="912"/>
      <c r="N258" s="67">
        <f t="shared" si="134"/>
        <v>0</v>
      </c>
      <c r="O258" s="130"/>
      <c r="P258" s="67">
        <f t="shared" si="135"/>
        <v>0</v>
      </c>
      <c r="Q258" s="280"/>
      <c r="R258" s="130"/>
      <c r="S258" s="280"/>
      <c r="T258" s="130"/>
      <c r="U258" s="67">
        <f t="shared" si="136"/>
        <v>0</v>
      </c>
      <c r="V258" s="103"/>
      <c r="W258" s="7">
        <v>0</v>
      </c>
      <c r="X258" s="794"/>
      <c r="Y258" s="27"/>
      <c r="Z258" s="27"/>
      <c r="AA258" s="7">
        <f t="shared" si="138"/>
        <v>0</v>
      </c>
      <c r="AB258" s="7"/>
      <c r="AC258" s="7">
        <f t="shared" si="137"/>
        <v>0</v>
      </c>
      <c r="AD258" s="50"/>
      <c r="AE258" s="7"/>
      <c r="AF258" s="50"/>
      <c r="AG258" s="7"/>
      <c r="AH258" s="7">
        <f t="shared" si="139"/>
        <v>0</v>
      </c>
      <c r="AI258" s="27"/>
      <c r="AJ258" s="7">
        <v>0</v>
      </c>
      <c r="AK258" s="841"/>
      <c r="AL258" s="27"/>
      <c r="AM258" s="95"/>
      <c r="AN258" s="27">
        <v>0</v>
      </c>
    </row>
    <row r="259" spans="1:40">
      <c r="A259" s="34"/>
      <c r="B259" s="52">
        <v>2018</v>
      </c>
      <c r="C259" s="121">
        <f t="shared" si="131"/>
        <v>0</v>
      </c>
      <c r="D259" s="130"/>
      <c r="E259" s="67">
        <f t="shared" si="132"/>
        <v>0</v>
      </c>
      <c r="F259" s="280"/>
      <c r="G259" s="130"/>
      <c r="H259" s="280"/>
      <c r="I259" s="130"/>
      <c r="J259" s="67">
        <f t="shared" si="133"/>
        <v>0</v>
      </c>
      <c r="K259" s="67"/>
      <c r="L259" s="934"/>
      <c r="M259" s="912"/>
      <c r="N259" s="67">
        <f t="shared" si="134"/>
        <v>0</v>
      </c>
      <c r="O259" s="130"/>
      <c r="P259" s="67">
        <f t="shared" si="135"/>
        <v>0</v>
      </c>
      <c r="Q259" s="280"/>
      <c r="R259" s="130"/>
      <c r="S259" s="280"/>
      <c r="T259" s="130"/>
      <c r="U259" s="67">
        <f t="shared" si="136"/>
        <v>0</v>
      </c>
      <c r="V259" s="103"/>
      <c r="W259" s="7">
        <v>0</v>
      </c>
      <c r="X259" s="794"/>
      <c r="Y259" s="27"/>
      <c r="Z259" s="27"/>
      <c r="AA259" s="7">
        <f t="shared" si="138"/>
        <v>0</v>
      </c>
      <c r="AB259" s="7"/>
      <c r="AC259" s="7">
        <f t="shared" si="137"/>
        <v>0</v>
      </c>
      <c r="AD259" s="50"/>
      <c r="AE259" s="7"/>
      <c r="AF259" s="50"/>
      <c r="AG259" s="7"/>
      <c r="AH259" s="7">
        <f t="shared" si="139"/>
        <v>0</v>
      </c>
      <c r="AI259" s="27"/>
      <c r="AJ259" s="7">
        <v>0</v>
      </c>
      <c r="AK259" s="841"/>
      <c r="AL259" s="27"/>
      <c r="AM259" s="95"/>
      <c r="AN259" s="27">
        <v>0</v>
      </c>
    </row>
    <row r="260" spans="1:40">
      <c r="A260" s="34"/>
      <c r="B260" s="52">
        <v>2019</v>
      </c>
      <c r="C260" s="121">
        <f t="shared" si="131"/>
        <v>0</v>
      </c>
      <c r="D260" s="130"/>
      <c r="E260" s="67">
        <f t="shared" si="132"/>
        <v>0</v>
      </c>
      <c r="F260" s="280"/>
      <c r="G260" s="130"/>
      <c r="H260" s="280"/>
      <c r="I260" s="130"/>
      <c r="J260" s="67">
        <f t="shared" si="133"/>
        <v>0</v>
      </c>
      <c r="K260" s="67"/>
      <c r="L260" s="934"/>
      <c r="M260" s="912"/>
      <c r="N260" s="67">
        <f t="shared" si="134"/>
        <v>0</v>
      </c>
      <c r="O260" s="130"/>
      <c r="P260" s="67">
        <f t="shared" si="135"/>
        <v>0</v>
      </c>
      <c r="Q260" s="280"/>
      <c r="R260" s="130"/>
      <c r="S260" s="280"/>
      <c r="T260" s="130"/>
      <c r="U260" s="67">
        <f t="shared" si="136"/>
        <v>0</v>
      </c>
      <c r="V260" s="103"/>
      <c r="W260" s="7">
        <v>0</v>
      </c>
      <c r="X260" s="794"/>
      <c r="Y260" s="27"/>
      <c r="Z260" s="27"/>
      <c r="AA260" s="7">
        <f t="shared" si="138"/>
        <v>0</v>
      </c>
      <c r="AB260" s="7"/>
      <c r="AC260" s="7">
        <f t="shared" si="137"/>
        <v>0</v>
      </c>
      <c r="AD260" s="50"/>
      <c r="AE260" s="7"/>
      <c r="AF260" s="50"/>
      <c r="AG260" s="7"/>
      <c r="AH260" s="7">
        <f t="shared" si="139"/>
        <v>0</v>
      </c>
      <c r="AI260" s="27"/>
      <c r="AJ260" s="7">
        <v>0</v>
      </c>
      <c r="AK260" s="841"/>
      <c r="AL260" s="27"/>
      <c r="AM260" s="95"/>
      <c r="AN260" s="27">
        <v>0</v>
      </c>
    </row>
    <row r="261" spans="1:40">
      <c r="A261" s="34"/>
      <c r="B261" s="52">
        <v>2020</v>
      </c>
      <c r="C261" s="121">
        <f t="shared" si="131"/>
        <v>0</v>
      </c>
      <c r="D261" s="130"/>
      <c r="E261" s="67">
        <f t="shared" si="132"/>
        <v>0</v>
      </c>
      <c r="F261" s="280"/>
      <c r="G261" s="130"/>
      <c r="H261" s="280"/>
      <c r="I261" s="130"/>
      <c r="J261" s="67">
        <f t="shared" si="133"/>
        <v>0</v>
      </c>
      <c r="K261" s="67"/>
      <c r="L261" s="934"/>
      <c r="M261" s="912"/>
      <c r="N261" s="67">
        <f t="shared" si="134"/>
        <v>0</v>
      </c>
      <c r="O261" s="130"/>
      <c r="P261" s="67">
        <f t="shared" si="135"/>
        <v>0</v>
      </c>
      <c r="Q261" s="280"/>
      <c r="R261" s="130"/>
      <c r="S261" s="280"/>
      <c r="T261" s="130"/>
      <c r="U261" s="67">
        <f t="shared" si="136"/>
        <v>0</v>
      </c>
      <c r="V261" s="103"/>
      <c r="W261" s="7">
        <v>0</v>
      </c>
      <c r="X261" s="794"/>
      <c r="Y261" s="27"/>
      <c r="Z261" s="27"/>
      <c r="AA261" s="7">
        <f t="shared" si="138"/>
        <v>0</v>
      </c>
      <c r="AB261" s="7"/>
      <c r="AC261" s="7">
        <f t="shared" si="137"/>
        <v>0</v>
      </c>
      <c r="AD261" s="50"/>
      <c r="AE261" s="7"/>
      <c r="AF261" s="50"/>
      <c r="AG261" s="7"/>
      <c r="AH261" s="7">
        <f t="shared" si="139"/>
        <v>0</v>
      </c>
      <c r="AI261" s="27"/>
      <c r="AJ261" s="7">
        <v>0</v>
      </c>
      <c r="AK261" s="841"/>
      <c r="AL261" s="27"/>
      <c r="AM261" s="95"/>
      <c r="AN261" s="27">
        <v>0</v>
      </c>
    </row>
    <row r="262" spans="1:40">
      <c r="A262" s="34"/>
      <c r="B262" s="52">
        <v>2021</v>
      </c>
      <c r="C262" s="121">
        <f t="shared" si="131"/>
        <v>0</v>
      </c>
      <c r="D262" s="130"/>
      <c r="E262" s="67">
        <f t="shared" si="132"/>
        <v>0</v>
      </c>
      <c r="F262" s="280"/>
      <c r="G262" s="130"/>
      <c r="H262" s="280"/>
      <c r="I262" s="130"/>
      <c r="J262" s="67">
        <f t="shared" si="133"/>
        <v>0</v>
      </c>
      <c r="K262" s="67"/>
      <c r="L262" s="934"/>
      <c r="M262" s="912"/>
      <c r="N262" s="67">
        <f t="shared" si="134"/>
        <v>0</v>
      </c>
      <c r="O262" s="130"/>
      <c r="P262" s="67">
        <f t="shared" si="135"/>
        <v>0</v>
      </c>
      <c r="Q262" s="280"/>
      <c r="R262" s="130"/>
      <c r="S262" s="280"/>
      <c r="T262" s="130"/>
      <c r="U262" s="67">
        <f t="shared" si="136"/>
        <v>0</v>
      </c>
      <c r="V262" s="103"/>
      <c r="W262" s="7">
        <v>0</v>
      </c>
      <c r="Y262" s="27"/>
      <c r="Z262" s="27"/>
      <c r="AA262" s="7">
        <f t="shared" si="138"/>
        <v>0</v>
      </c>
      <c r="AB262" s="7"/>
      <c r="AC262" s="7">
        <f t="shared" si="137"/>
        <v>0</v>
      </c>
      <c r="AD262" s="50"/>
      <c r="AE262" s="7"/>
      <c r="AF262" s="50"/>
      <c r="AG262" s="7"/>
      <c r="AH262" s="7">
        <f t="shared" si="139"/>
        <v>0</v>
      </c>
      <c r="AI262" s="27"/>
      <c r="AJ262" s="7">
        <v>0</v>
      </c>
      <c r="AK262" s="841"/>
      <c r="AL262" s="27"/>
      <c r="AM262" s="95"/>
      <c r="AN262" s="27">
        <v>161848667.35991669</v>
      </c>
    </row>
    <row r="263" spans="1:40">
      <c r="A263" s="34"/>
      <c r="B263" s="52">
        <v>2022</v>
      </c>
      <c r="C263" s="121">
        <f t="shared" si="131"/>
        <v>1063969216</v>
      </c>
      <c r="D263" s="130">
        <v>1063969216</v>
      </c>
      <c r="E263" s="67">
        <f t="shared" si="132"/>
        <v>0</v>
      </c>
      <c r="F263" s="280"/>
      <c r="G263" s="130"/>
      <c r="H263" s="280"/>
      <c r="I263" s="130"/>
      <c r="J263" s="513">
        <f t="shared" si="133"/>
        <v>0</v>
      </c>
      <c r="K263" s="513"/>
      <c r="L263" s="934"/>
      <c r="M263" s="912"/>
      <c r="N263" s="67">
        <f t="shared" si="134"/>
        <v>1063969216</v>
      </c>
      <c r="O263" s="130">
        <v>1063969216</v>
      </c>
      <c r="P263" s="67">
        <f t="shared" si="135"/>
        <v>0</v>
      </c>
      <c r="Q263" s="280"/>
      <c r="R263" s="130"/>
      <c r="S263" s="280"/>
      <c r="T263" s="130"/>
      <c r="U263" s="513">
        <f t="shared" si="136"/>
        <v>0</v>
      </c>
      <c r="V263" s="103"/>
      <c r="W263" s="7">
        <v>1063969216</v>
      </c>
      <c r="X263" s="794">
        <v>1063969216</v>
      </c>
      <c r="Y263" s="27">
        <f>W263-X263</f>
        <v>0</v>
      </c>
      <c r="Z263" s="27"/>
      <c r="AA263" s="7">
        <f t="shared" si="138"/>
        <v>1063969216</v>
      </c>
      <c r="AB263" s="7"/>
      <c r="AC263" s="7">
        <f t="shared" si="137"/>
        <v>1063969216</v>
      </c>
      <c r="AD263" s="50"/>
      <c r="AE263" s="7"/>
      <c r="AF263" s="50"/>
      <c r="AG263" s="7"/>
      <c r="AH263" s="7">
        <f t="shared" si="139"/>
        <v>1063969216</v>
      </c>
      <c r="AI263" s="27"/>
      <c r="AJ263" s="7">
        <v>1063969216</v>
      </c>
      <c r="AK263" s="841">
        <v>1063969216</v>
      </c>
      <c r="AL263" s="27"/>
      <c r="AM263" s="95"/>
      <c r="AN263" s="27">
        <v>0</v>
      </c>
    </row>
    <row r="264" spans="1:40">
      <c r="A264" s="34"/>
      <c r="B264" s="52">
        <v>2023</v>
      </c>
      <c r="C264" s="121">
        <f t="shared" si="131"/>
        <v>577405048.87</v>
      </c>
      <c r="D264" s="130">
        <v>577405048.87</v>
      </c>
      <c r="E264" s="67">
        <f t="shared" si="132"/>
        <v>0</v>
      </c>
      <c r="F264" s="280"/>
      <c r="G264" s="130"/>
      <c r="H264" s="280"/>
      <c r="I264" s="130"/>
      <c r="J264" s="67">
        <f t="shared" si="133"/>
        <v>0</v>
      </c>
      <c r="K264" s="67"/>
      <c r="L264" s="934"/>
      <c r="M264" s="912"/>
      <c r="N264" s="67">
        <f t="shared" si="134"/>
        <v>577405048.87</v>
      </c>
      <c r="O264" s="130">
        <v>577405048.87</v>
      </c>
      <c r="P264" s="67">
        <f t="shared" si="135"/>
        <v>0</v>
      </c>
      <c r="Q264" s="280"/>
      <c r="R264" s="130"/>
      <c r="S264" s="280"/>
      <c r="T264" s="130"/>
      <c r="U264" s="67">
        <f t="shared" si="136"/>
        <v>0</v>
      </c>
      <c r="V264" s="103"/>
      <c r="W264" s="27">
        <v>577405048.87</v>
      </c>
      <c r="X264" s="794">
        <v>577405048.87</v>
      </c>
      <c r="Y264" s="27">
        <f>W264-X264</f>
        <v>0</v>
      </c>
      <c r="Z264" s="27"/>
      <c r="AA264" s="53">
        <f t="shared" si="138"/>
        <v>0</v>
      </c>
      <c r="AB264" s="53"/>
      <c r="AC264" s="53">
        <f t="shared" si="137"/>
        <v>0</v>
      </c>
      <c r="AD264" s="396"/>
      <c r="AE264" s="53"/>
      <c r="AF264" s="396"/>
      <c r="AG264" s="53"/>
      <c r="AH264" s="7">
        <f t="shared" si="139"/>
        <v>0</v>
      </c>
      <c r="AI264" s="27"/>
      <c r="AJ264" s="7"/>
      <c r="AK264" s="841"/>
      <c r="AL264" s="27"/>
      <c r="AM264" s="95"/>
      <c r="AN264" s="27"/>
    </row>
    <row r="265" spans="1:40">
      <c r="A265" s="34"/>
      <c r="B265" s="52">
        <v>2024</v>
      </c>
      <c r="C265" s="67"/>
      <c r="D265" s="130"/>
      <c r="E265" s="67">
        <f t="shared" si="132"/>
        <v>0</v>
      </c>
      <c r="F265" s="280"/>
      <c r="G265" s="130"/>
      <c r="H265" s="280"/>
      <c r="I265" s="130">
        <f>'AJE CAJE Des 24'!G113</f>
        <v>679826047.90999997</v>
      </c>
      <c r="J265" s="67">
        <f t="shared" si="133"/>
        <v>679826047.90999997</v>
      </c>
      <c r="K265" s="67"/>
      <c r="L265" s="934"/>
      <c r="M265" s="912"/>
      <c r="N265" s="67"/>
      <c r="O265" s="130">
        <v>-3171902500</v>
      </c>
      <c r="P265" s="67">
        <f t="shared" ref="P265" si="141">N265-O265</f>
        <v>3171902500</v>
      </c>
      <c r="Q265" s="280"/>
      <c r="R265" s="130"/>
      <c r="S265" s="280"/>
      <c r="T265" s="130"/>
      <c r="U265" s="67">
        <f t="shared" ref="U265" si="142">P265-R265+T265</f>
        <v>3171902500</v>
      </c>
      <c r="V265" s="103"/>
      <c r="W265" s="27"/>
      <c r="X265" s="794"/>
      <c r="Y265" s="27"/>
      <c r="Z265" s="27"/>
      <c r="AA265" s="53"/>
      <c r="AB265" s="53"/>
      <c r="AC265" s="53"/>
      <c r="AD265" s="396"/>
      <c r="AE265" s="53"/>
      <c r="AF265" s="396"/>
      <c r="AG265" s="53"/>
      <c r="AH265" s="7"/>
      <c r="AI265" s="27"/>
      <c r="AJ265" s="7"/>
      <c r="AK265" s="841">
        <v>0</v>
      </c>
      <c r="AL265" s="27"/>
      <c r="AM265" s="95"/>
      <c r="AN265" s="27"/>
    </row>
    <row r="266" spans="1:40">
      <c r="A266" s="20"/>
      <c r="B266" s="20" t="s">
        <v>202</v>
      </c>
      <c r="C266" s="21">
        <f>SUM(C250:C264)</f>
        <v>1699681674.8699999</v>
      </c>
      <c r="D266" s="42"/>
      <c r="E266" s="21">
        <f>SUM(E250:E265)</f>
        <v>-399474492.20000005</v>
      </c>
      <c r="F266" s="281"/>
      <c r="G266" s="42"/>
      <c r="H266" s="281"/>
      <c r="I266" s="42"/>
      <c r="J266" s="21">
        <f>SUM(J250:J265)</f>
        <v>731397456.79999995</v>
      </c>
      <c r="K266" s="21"/>
      <c r="L266" s="797"/>
      <c r="M266" s="913"/>
      <c r="N266" s="21">
        <f>SUM(N250:N264)</f>
        <v>1699681674.8699999</v>
      </c>
      <c r="O266" s="42"/>
      <c r="P266" s="21">
        <f>SUM(P250:P265)</f>
        <v>2831168411.9400001</v>
      </c>
      <c r="Q266" s="281"/>
      <c r="R266" s="42"/>
      <c r="S266" s="281"/>
      <c r="T266" s="42"/>
      <c r="U266" s="21">
        <f>SUM(U250:U265)</f>
        <v>4063881308.9400001</v>
      </c>
      <c r="V266" s="442"/>
      <c r="W266" s="21">
        <f>SUM(W250:W264)</f>
        <v>1699681674.8699999</v>
      </c>
      <c r="X266" s="795">
        <v>1699681674.8699999</v>
      </c>
      <c r="Y266" s="27">
        <f>W266-X266</f>
        <v>0</v>
      </c>
      <c r="Z266" s="27"/>
      <c r="AA266" s="21">
        <f>SUM(AA250:AA264)</f>
        <v>1153428890.3599157</v>
      </c>
      <c r="AB266" s="21"/>
      <c r="AC266" s="21">
        <f>SUM(AC250:AC264)</f>
        <v>982064593.12991571</v>
      </c>
      <c r="AD266" s="387"/>
      <c r="AE266" s="21"/>
      <c r="AF266" s="387"/>
      <c r="AG266" s="21"/>
      <c r="AH266" s="21">
        <f>SUM(AH250:AH264)</f>
        <v>1343734125</v>
      </c>
      <c r="AI266" s="36"/>
      <c r="AJ266" s="21">
        <f>SUM(AJ250:AJ264)</f>
        <v>1153428890.3599157</v>
      </c>
      <c r="AK266" s="843">
        <v>1153428890.3599157</v>
      </c>
      <c r="AL266" s="36"/>
      <c r="AM266" s="95"/>
      <c r="AN266" s="21">
        <f>SUM(AN250:AN264)</f>
        <v>217893355.35991669</v>
      </c>
    </row>
    <row r="267" spans="1:40">
      <c r="A267" s="12" t="s">
        <v>203</v>
      </c>
      <c r="B267" s="54"/>
      <c r="C267" s="67"/>
      <c r="D267" s="67"/>
      <c r="E267" s="67"/>
      <c r="F267" s="280"/>
      <c r="G267" s="67"/>
      <c r="H267" s="280"/>
      <c r="I267" s="67"/>
      <c r="J267" s="67"/>
      <c r="K267" s="67"/>
      <c r="L267" s="934"/>
      <c r="M267" s="912"/>
      <c r="N267" s="67"/>
      <c r="O267" s="67"/>
      <c r="P267" s="67"/>
      <c r="Q267" s="280"/>
      <c r="R267" s="67"/>
      <c r="S267" s="280"/>
      <c r="T267" s="67"/>
      <c r="U267" s="67"/>
      <c r="V267" s="103"/>
      <c r="W267" s="29"/>
      <c r="X267" s="813"/>
      <c r="Y267" s="38"/>
      <c r="Z267" s="38"/>
      <c r="AA267" s="29"/>
      <c r="AB267" s="29"/>
      <c r="AC267" s="29"/>
      <c r="AD267" s="50"/>
      <c r="AE267" s="29"/>
      <c r="AF267" s="50"/>
      <c r="AG267" s="29"/>
      <c r="AH267" s="29"/>
      <c r="AI267" s="38"/>
      <c r="AJ267" s="29"/>
      <c r="AK267" s="856"/>
      <c r="AL267" s="38"/>
      <c r="AM267" s="95"/>
      <c r="AN267" s="29"/>
    </row>
    <row r="268" spans="1:40">
      <c r="A268" s="34"/>
      <c r="B268" s="54" t="s">
        <v>204</v>
      </c>
      <c r="C268" s="121">
        <f t="shared" ref="C268:C277" si="143">W268</f>
        <v>218666237</v>
      </c>
      <c r="D268" s="364">
        <v>-752597567.34999967</v>
      </c>
      <c r="E268" s="67">
        <f>C268-D268</f>
        <v>971263804.34999967</v>
      </c>
      <c r="F268" s="280" t="s">
        <v>1219</v>
      </c>
      <c r="G268" s="67">
        <f>SUM('AJE CAJE Des 24'!F33:F37)+'AJE CAJE Des 24'!F41</f>
        <v>0</v>
      </c>
      <c r="H268" s="280"/>
      <c r="I268" s="67"/>
      <c r="J268" s="67">
        <f t="shared" ref="J268:J271" si="144">E268-G268+I268</f>
        <v>971263804.34999967</v>
      </c>
      <c r="K268" s="67"/>
      <c r="L268" s="934"/>
      <c r="M268" s="911"/>
      <c r="N268" s="130">
        <f t="shared" ref="N268:N277" si="145">W268</f>
        <v>218666237</v>
      </c>
      <c r="O268" s="364">
        <v>-409894916.46000004</v>
      </c>
      <c r="P268" s="67">
        <f>N268-O268</f>
        <v>628561153.46000004</v>
      </c>
      <c r="Q268" s="280" t="str">
        <f>'AJE CAJE Sept 24'!B85</f>
        <v>CAJE 16</v>
      </c>
      <c r="R268" s="67">
        <f>'AJE CAJE Sept 24'!G85</f>
        <v>235926918</v>
      </c>
      <c r="S268" s="280" t="str">
        <f>'AJE CAJE Sept 24'!B103</f>
        <v>AJE 20</v>
      </c>
      <c r="T268" s="67">
        <f>'AJE CAJE Sept 24'!H103</f>
        <v>1062458672.87</v>
      </c>
      <c r="U268" s="67">
        <f t="shared" ref="U268:U276" si="146">P268-R268+T268</f>
        <v>1455092908.3299999</v>
      </c>
      <c r="V268" s="103"/>
      <c r="W268" s="7">
        <v>218666237</v>
      </c>
      <c r="X268" s="800">
        <v>218666237</v>
      </c>
      <c r="Y268" s="27">
        <f>W268-X268</f>
        <v>0</v>
      </c>
      <c r="Z268" s="27"/>
      <c r="AA268" s="7">
        <f>AJ268</f>
        <v>1341597367.5900002</v>
      </c>
      <c r="AB268" s="7">
        <v>-1769983072.6000004</v>
      </c>
      <c r="AC268" s="7">
        <f t="shared" ref="AC268:AC272" si="147">AA268-AB268</f>
        <v>3111580440.1900005</v>
      </c>
      <c r="AD268" s="50"/>
      <c r="AE268" s="7"/>
      <c r="AF268" s="50"/>
      <c r="AG268" s="7"/>
      <c r="AH268" s="7">
        <f t="shared" ref="AH268:AH276" si="148">ROUND(AC268-AE268+AG268,0)</f>
        <v>3111580440</v>
      </c>
      <c r="AI268" s="27"/>
      <c r="AJ268" s="7">
        <v>1341597367.5900002</v>
      </c>
      <c r="AK268" s="848">
        <v>1341597367.5900002</v>
      </c>
      <c r="AL268" s="27"/>
      <c r="AM268" s="95"/>
      <c r="AN268" s="38">
        <v>2147316019</v>
      </c>
    </row>
    <row r="269" spans="1:40">
      <c r="A269" s="34"/>
      <c r="B269" s="54" t="s">
        <v>205</v>
      </c>
      <c r="C269" s="121">
        <f t="shared" si="143"/>
        <v>295442667</v>
      </c>
      <c r="D269" s="364">
        <v>10439990</v>
      </c>
      <c r="E269" s="67">
        <f>C269-D269</f>
        <v>285002677</v>
      </c>
      <c r="F269" s="280"/>
      <c r="G269" s="67"/>
      <c r="H269" s="280"/>
      <c r="I269" s="67"/>
      <c r="J269" s="67">
        <f t="shared" si="144"/>
        <v>285002677</v>
      </c>
      <c r="K269" s="67"/>
      <c r="L269" s="934"/>
      <c r="M269" s="912"/>
      <c r="N269" s="130">
        <f t="shared" si="145"/>
        <v>295442667</v>
      </c>
      <c r="O269" s="364">
        <v>-65160270</v>
      </c>
      <c r="P269" s="67">
        <f>N269-O269</f>
        <v>360602937</v>
      </c>
      <c r="Q269" s="280"/>
      <c r="R269" s="67"/>
      <c r="S269" s="280"/>
      <c r="T269" s="67"/>
      <c r="U269" s="67">
        <f t="shared" si="146"/>
        <v>360602937</v>
      </c>
      <c r="V269" s="103"/>
      <c r="W269" s="7">
        <v>295442667</v>
      </c>
      <c r="X269" s="800">
        <v>295442667</v>
      </c>
      <c r="Y269" s="27">
        <f t="shared" ref="Y269" si="149">W269-X269</f>
        <v>0</v>
      </c>
      <c r="Z269" s="27"/>
      <c r="AA269" s="7">
        <f t="shared" ref="AA269:AA272" si="150">AJ269</f>
        <v>385679116</v>
      </c>
      <c r="AB269" s="7">
        <v>144759247</v>
      </c>
      <c r="AC269" s="7">
        <f t="shared" si="147"/>
        <v>240919869</v>
      </c>
      <c r="AD269" s="50"/>
      <c r="AE269" s="7"/>
      <c r="AF269" s="50"/>
      <c r="AG269" s="7"/>
      <c r="AH269" s="7">
        <f t="shared" si="148"/>
        <v>240919869</v>
      </c>
      <c r="AI269" s="27"/>
      <c r="AJ269" s="7">
        <v>385679116</v>
      </c>
      <c r="AK269" s="848">
        <v>385679116</v>
      </c>
      <c r="AL269" s="27"/>
      <c r="AM269" s="95"/>
      <c r="AN269" s="38">
        <v>319893859</v>
      </c>
    </row>
    <row r="270" spans="1:40">
      <c r="A270" s="34"/>
      <c r="B270" s="54" t="s">
        <v>206</v>
      </c>
      <c r="C270" s="121">
        <f t="shared" si="143"/>
        <v>349650</v>
      </c>
      <c r="D270" s="364">
        <v>349650</v>
      </c>
      <c r="E270" s="67">
        <f>C270-D270</f>
        <v>0</v>
      </c>
      <c r="F270" s="280"/>
      <c r="G270" s="67"/>
      <c r="H270" s="280"/>
      <c r="I270" s="67"/>
      <c r="J270" s="67">
        <f t="shared" si="144"/>
        <v>0</v>
      </c>
      <c r="K270" s="67"/>
      <c r="L270" s="934"/>
      <c r="M270" s="912"/>
      <c r="N270" s="130">
        <f t="shared" si="145"/>
        <v>349650</v>
      </c>
      <c r="O270" s="364">
        <v>-2980350</v>
      </c>
      <c r="P270" s="67">
        <f>N270-O270</f>
        <v>3330000</v>
      </c>
      <c r="Q270" s="280"/>
      <c r="R270" s="67"/>
      <c r="S270" s="280"/>
      <c r="T270" s="67"/>
      <c r="U270" s="67">
        <f t="shared" si="146"/>
        <v>3330000</v>
      </c>
      <c r="V270" s="103"/>
      <c r="W270" s="7">
        <v>349650</v>
      </c>
      <c r="X270" s="800">
        <v>149562738</v>
      </c>
      <c r="Y270" s="27">
        <f>W270-X275</f>
        <v>0</v>
      </c>
      <c r="Z270" s="27"/>
      <c r="AA270" s="7">
        <f t="shared" si="150"/>
        <v>0</v>
      </c>
      <c r="AB270" s="7">
        <v>-71014318.480000004</v>
      </c>
      <c r="AC270" s="7">
        <f t="shared" si="147"/>
        <v>71014318.480000004</v>
      </c>
      <c r="AD270" s="50"/>
      <c r="AE270" s="7"/>
      <c r="AF270" s="50"/>
      <c r="AG270" s="7"/>
      <c r="AH270" s="7">
        <f t="shared" si="148"/>
        <v>71014318</v>
      </c>
      <c r="AI270" s="27"/>
      <c r="AJ270" s="7">
        <v>0</v>
      </c>
      <c r="AK270" s="848">
        <v>106997968</v>
      </c>
      <c r="AL270" s="27"/>
      <c r="AM270" s="95"/>
      <c r="AN270" s="38">
        <v>0</v>
      </c>
    </row>
    <row r="271" spans="1:40">
      <c r="A271" s="34"/>
      <c r="B271" s="54" t="s">
        <v>207</v>
      </c>
      <c r="C271" s="121">
        <f t="shared" si="143"/>
        <v>149562738</v>
      </c>
      <c r="D271" s="364">
        <v>41674518</v>
      </c>
      <c r="E271" s="67">
        <f>C271-D271</f>
        <v>107888220</v>
      </c>
      <c r="F271" s="280"/>
      <c r="G271" s="67"/>
      <c r="H271" s="280"/>
      <c r="I271" s="67"/>
      <c r="J271" s="67">
        <f t="shared" si="144"/>
        <v>107888220</v>
      </c>
      <c r="K271" s="67"/>
      <c r="L271" s="934"/>
      <c r="M271" s="912"/>
      <c r="N271" s="130">
        <f t="shared" si="145"/>
        <v>149562738</v>
      </c>
      <c r="O271" s="364">
        <v>42724518</v>
      </c>
      <c r="P271" s="67">
        <f>N271-O271</f>
        <v>106838220</v>
      </c>
      <c r="Q271" s="280"/>
      <c r="R271" s="67"/>
      <c r="S271" s="280"/>
      <c r="T271" s="67"/>
      <c r="U271" s="67">
        <f t="shared" si="146"/>
        <v>106838220</v>
      </c>
      <c r="V271" s="103"/>
      <c r="W271" s="7">
        <v>149562738</v>
      </c>
      <c r="X271" s="800">
        <v>251154963</v>
      </c>
      <c r="Y271" s="27">
        <f>W271-X270</f>
        <v>0</v>
      </c>
      <c r="Z271" s="27"/>
      <c r="AA271" s="7">
        <f t="shared" si="150"/>
        <v>106997968</v>
      </c>
      <c r="AB271" s="7">
        <v>-172367600</v>
      </c>
      <c r="AC271" s="7">
        <f t="shared" si="147"/>
        <v>279365568</v>
      </c>
      <c r="AD271" s="50"/>
      <c r="AE271" s="7"/>
      <c r="AF271" s="50"/>
      <c r="AG271" s="7"/>
      <c r="AH271" s="7">
        <f t="shared" si="148"/>
        <v>279365568</v>
      </c>
      <c r="AI271" s="27"/>
      <c r="AJ271" s="7">
        <v>106997968</v>
      </c>
      <c r="AK271" s="848">
        <v>295299580</v>
      </c>
      <c r="AL271" s="27"/>
      <c r="AM271" s="95"/>
      <c r="AN271" s="38">
        <v>288150063</v>
      </c>
    </row>
    <row r="272" spans="1:40">
      <c r="A272" s="34"/>
      <c r="B272" s="55" t="s">
        <v>404</v>
      </c>
      <c r="C272" s="121">
        <f t="shared" si="143"/>
        <v>251154963</v>
      </c>
      <c r="D272" s="364">
        <v>60129980</v>
      </c>
      <c r="E272" s="67">
        <f>C272-D272</f>
        <v>191024983</v>
      </c>
      <c r="F272" s="280" t="str">
        <f>'AJE CAJE Des 24'!A66</f>
        <v>CAJE 9</v>
      </c>
      <c r="G272" s="131">
        <f>'AJE CAJE Des 24'!F66</f>
        <v>15000000</v>
      </c>
      <c r="H272" s="280"/>
      <c r="I272" s="131"/>
      <c r="J272" s="669">
        <f>E272-G272+I272</f>
        <v>176024983</v>
      </c>
      <c r="K272" s="669"/>
      <c r="L272" s="934"/>
      <c r="M272" s="912"/>
      <c r="N272" s="130">
        <f t="shared" si="145"/>
        <v>251154963</v>
      </c>
      <c r="O272" s="364">
        <v>-486514122</v>
      </c>
      <c r="P272" s="67">
        <f>N272-O272</f>
        <v>737669085</v>
      </c>
      <c r="Q272" s="280" t="s">
        <v>1026</v>
      </c>
      <c r="R272" s="131">
        <f>'AJE CAJE Sept 24'!G32+'AJE CAJE Sept 24'!G50+'AJE CAJE Sept 24'!G56+'AJE CAJE Sept 24'!G86</f>
        <v>603772773</v>
      </c>
      <c r="S272" s="280"/>
      <c r="T272" s="131"/>
      <c r="U272" s="669">
        <f>P272-R272+T272</f>
        <v>133896312</v>
      </c>
      <c r="V272" s="103"/>
      <c r="W272" s="7">
        <v>251154963</v>
      </c>
      <c r="X272" s="800">
        <v>0</v>
      </c>
      <c r="Y272" s="27">
        <f>W272-X271</f>
        <v>0</v>
      </c>
      <c r="Z272" s="27"/>
      <c r="AA272" s="7">
        <f t="shared" si="150"/>
        <v>295299580</v>
      </c>
      <c r="AB272" s="7">
        <v>22138896.190000534</v>
      </c>
      <c r="AC272" s="7">
        <f t="shared" si="147"/>
        <v>273160683.80999947</v>
      </c>
      <c r="AD272" s="50" t="str">
        <f>'AJE CAJE Sept 23'!B35</f>
        <v>CAJE 5</v>
      </c>
      <c r="AE272" s="7">
        <f>'AJE CAJE Sept 23'!G35</f>
        <v>47192104</v>
      </c>
      <c r="AF272" s="50" t="str">
        <f>'AJE CAJE Sept 23'!B33</f>
        <v>CAJE 4</v>
      </c>
      <c r="AG272" s="7">
        <f>'AJE CAJE Sept 23'!H33</f>
        <v>25113790</v>
      </c>
      <c r="AH272" s="7">
        <f t="shared" si="148"/>
        <v>251082370</v>
      </c>
      <c r="AI272" s="27"/>
      <c r="AJ272" s="7">
        <v>295299580</v>
      </c>
      <c r="AK272" s="848">
        <v>0</v>
      </c>
      <c r="AL272" s="27"/>
      <c r="AM272" s="95"/>
      <c r="AN272" s="38">
        <v>265844271</v>
      </c>
    </row>
    <row r="273" spans="1:40">
      <c r="A273" s="34"/>
      <c r="B273" s="55" t="s">
        <v>601</v>
      </c>
      <c r="C273" s="121">
        <f t="shared" si="143"/>
        <v>0</v>
      </c>
      <c r="D273" s="364">
        <v>0</v>
      </c>
      <c r="E273" s="67"/>
      <c r="F273" s="280"/>
      <c r="G273" s="131"/>
      <c r="H273" s="280"/>
      <c r="I273" s="131"/>
      <c r="J273" s="67">
        <f>E273-G273+I273</f>
        <v>0</v>
      </c>
      <c r="K273" s="67"/>
      <c r="L273" s="934"/>
      <c r="M273" s="912"/>
      <c r="N273" s="130">
        <f t="shared" si="145"/>
        <v>0</v>
      </c>
      <c r="O273" s="364"/>
      <c r="P273" s="67"/>
      <c r="Q273" s="280"/>
      <c r="R273" s="131"/>
      <c r="S273" s="280" t="str">
        <f>'AJE CAJE Sept 24'!B57</f>
        <v>CAJE 11</v>
      </c>
      <c r="T273" s="131">
        <f>'AJE CAJE Sept 24'!H57</f>
        <v>219882092</v>
      </c>
      <c r="U273" s="67">
        <f>P273-R273+T273</f>
        <v>219882092</v>
      </c>
      <c r="V273" s="103"/>
      <c r="W273" s="7"/>
      <c r="Y273" s="27"/>
      <c r="Z273" s="27"/>
      <c r="AA273" s="7"/>
      <c r="AB273" s="7"/>
      <c r="AC273" s="7"/>
      <c r="AD273" s="50"/>
      <c r="AE273" s="7"/>
      <c r="AF273" s="50"/>
      <c r="AG273" s="7"/>
      <c r="AH273" s="7">
        <f t="shared" si="148"/>
        <v>0</v>
      </c>
      <c r="AI273" s="27"/>
      <c r="AJ273" s="7"/>
      <c r="AK273" s="848">
        <v>67475296</v>
      </c>
      <c r="AL273" s="27"/>
      <c r="AM273" s="95"/>
      <c r="AN273" s="38"/>
    </row>
    <row r="274" spans="1:40">
      <c r="A274" s="34"/>
      <c r="B274" s="56" t="s">
        <v>208</v>
      </c>
      <c r="C274" s="121">
        <f t="shared" si="143"/>
        <v>76360023</v>
      </c>
      <c r="D274" s="364">
        <v>76360023</v>
      </c>
      <c r="E274" s="67">
        <f>C274-D274</f>
        <v>0</v>
      </c>
      <c r="F274" s="280"/>
      <c r="G274" s="129"/>
      <c r="H274" s="280"/>
      <c r="I274" s="129"/>
      <c r="J274" s="67">
        <f t="shared" ref="J274:J276" si="151">E274-G274+I274</f>
        <v>0</v>
      </c>
      <c r="K274" s="67"/>
      <c r="L274" s="934"/>
      <c r="M274" s="912"/>
      <c r="N274" s="130">
        <f t="shared" si="145"/>
        <v>76360023</v>
      </c>
      <c r="O274" s="364">
        <v>56913846</v>
      </c>
      <c r="P274" s="67">
        <f>N274-O274</f>
        <v>19446177</v>
      </c>
      <c r="Q274" s="280"/>
      <c r="R274" s="129"/>
      <c r="S274" s="280"/>
      <c r="T274" s="129"/>
      <c r="U274" s="67">
        <f t="shared" si="146"/>
        <v>19446177</v>
      </c>
      <c r="V274" s="103"/>
      <c r="W274" s="50">
        <v>76360023</v>
      </c>
      <c r="X274" s="800">
        <v>76360023</v>
      </c>
      <c r="Y274" s="27">
        <f>W274-X274</f>
        <v>0</v>
      </c>
      <c r="Z274" s="27"/>
      <c r="AA274" s="50">
        <f>AJ274</f>
        <v>67475296</v>
      </c>
      <c r="AB274" s="50">
        <v>49816106</v>
      </c>
      <c r="AC274" s="50">
        <f t="shared" ref="AC274:AC277" si="152">AA274-AB274</f>
        <v>17659190</v>
      </c>
      <c r="AD274" s="50"/>
      <c r="AE274" s="50"/>
      <c r="AF274" s="50"/>
      <c r="AG274" s="50"/>
      <c r="AH274" s="7">
        <f t="shared" si="148"/>
        <v>17659190</v>
      </c>
      <c r="AI274" s="371"/>
      <c r="AJ274" s="53">
        <v>67475296</v>
      </c>
      <c r="AK274" s="848">
        <v>0</v>
      </c>
      <c r="AL274" s="27"/>
      <c r="AM274" s="95"/>
      <c r="AN274" s="38">
        <v>0</v>
      </c>
    </row>
    <row r="275" spans="1:40">
      <c r="A275" s="34"/>
      <c r="B275" s="57" t="s">
        <v>209</v>
      </c>
      <c r="C275" s="121">
        <f t="shared" si="143"/>
        <v>3865000</v>
      </c>
      <c r="D275" s="364">
        <v>-1500000</v>
      </c>
      <c r="E275" s="67">
        <f>C275-D275</f>
        <v>5365000</v>
      </c>
      <c r="F275" s="288"/>
      <c r="G275" s="132"/>
      <c r="H275" s="288"/>
      <c r="I275" s="132"/>
      <c r="J275" s="67">
        <f t="shared" si="151"/>
        <v>5365000</v>
      </c>
      <c r="K275" s="67"/>
      <c r="L275" s="934"/>
      <c r="M275" s="912"/>
      <c r="N275" s="130">
        <f t="shared" si="145"/>
        <v>3865000</v>
      </c>
      <c r="O275" s="364">
        <v>-7655000</v>
      </c>
      <c r="P275" s="67">
        <f>N275-O275</f>
        <v>11520000</v>
      </c>
      <c r="Q275" s="288"/>
      <c r="R275" s="132"/>
      <c r="S275" s="288"/>
      <c r="T275" s="132"/>
      <c r="U275" s="67">
        <f t="shared" si="146"/>
        <v>11520000</v>
      </c>
      <c r="V275" s="103"/>
      <c r="W275" s="7">
        <v>3865000</v>
      </c>
      <c r="X275" s="800">
        <v>349650</v>
      </c>
      <c r="Y275" s="27">
        <f>W275-X276</f>
        <v>0</v>
      </c>
      <c r="Z275" s="27"/>
      <c r="AA275" s="7">
        <f>AJ275</f>
        <v>0</v>
      </c>
      <c r="AB275" s="7">
        <v>-9516178</v>
      </c>
      <c r="AC275" s="7">
        <f t="shared" si="152"/>
        <v>9516178</v>
      </c>
      <c r="AD275" s="50"/>
      <c r="AE275" s="7"/>
      <c r="AF275" s="50"/>
      <c r="AG275" s="7"/>
      <c r="AH275" s="7">
        <f t="shared" si="148"/>
        <v>9516178</v>
      </c>
      <c r="AI275" s="27"/>
      <c r="AJ275" s="7"/>
      <c r="AK275" s="848"/>
      <c r="AL275" s="27"/>
      <c r="AM275" s="95"/>
      <c r="AN275" s="38"/>
    </row>
    <row r="276" spans="1:40">
      <c r="A276" s="34"/>
      <c r="B276" s="54" t="s">
        <v>210</v>
      </c>
      <c r="C276" s="121">
        <f t="shared" si="143"/>
        <v>18295786</v>
      </c>
      <c r="D276" s="364">
        <v>-111915</v>
      </c>
      <c r="E276" s="67">
        <f>C276-D276</f>
        <v>18407701</v>
      </c>
      <c r="F276" s="280"/>
      <c r="G276" s="67"/>
      <c r="H276" s="280"/>
      <c r="I276" s="67"/>
      <c r="J276" s="67">
        <f t="shared" si="151"/>
        <v>18407701</v>
      </c>
      <c r="K276" s="67"/>
      <c r="L276" s="934"/>
      <c r="M276" s="912"/>
      <c r="N276" s="130">
        <f t="shared" si="145"/>
        <v>18295786</v>
      </c>
      <c r="O276" s="364">
        <v>276585</v>
      </c>
      <c r="P276" s="67">
        <f>N276-O276</f>
        <v>18019201</v>
      </c>
      <c r="Q276" s="280"/>
      <c r="R276" s="67"/>
      <c r="S276" s="280"/>
      <c r="T276" s="67"/>
      <c r="U276" s="67">
        <f t="shared" si="146"/>
        <v>18019201</v>
      </c>
      <c r="V276" s="103"/>
      <c r="W276" s="7">
        <v>18295786</v>
      </c>
      <c r="X276" s="800">
        <v>3865000</v>
      </c>
      <c r="Y276" s="27"/>
      <c r="Z276" s="27"/>
      <c r="AA276" s="7">
        <f>AJ276</f>
        <v>1331785.93</v>
      </c>
      <c r="AB276" s="7">
        <v>-1964000</v>
      </c>
      <c r="AC276" s="7">
        <f t="shared" si="152"/>
        <v>3295785.9299999997</v>
      </c>
      <c r="AD276" s="50"/>
      <c r="AE276" s="7"/>
      <c r="AF276" s="50"/>
      <c r="AG276" s="7"/>
      <c r="AH276" s="7">
        <f t="shared" si="148"/>
        <v>3295786</v>
      </c>
      <c r="AI276" s="27"/>
      <c r="AJ276" s="7">
        <v>1331785.93</v>
      </c>
      <c r="AK276" s="848"/>
      <c r="AL276" s="27"/>
      <c r="AM276" s="95"/>
      <c r="AN276" s="38">
        <v>46768969</v>
      </c>
    </row>
    <row r="277" spans="1:40">
      <c r="A277" s="34"/>
      <c r="B277" s="54" t="s">
        <v>655</v>
      </c>
      <c r="C277" s="121">
        <f t="shared" si="143"/>
        <v>0</v>
      </c>
      <c r="D277" s="67"/>
      <c r="E277" s="67"/>
      <c r="F277" s="280"/>
      <c r="G277" s="67"/>
      <c r="H277" s="280"/>
      <c r="I277" s="67"/>
      <c r="J277" s="67"/>
      <c r="K277" s="67"/>
      <c r="L277" s="934"/>
      <c r="M277" s="912"/>
      <c r="N277" s="130">
        <f t="shared" si="145"/>
        <v>0</v>
      </c>
      <c r="O277" s="67"/>
      <c r="P277" s="67"/>
      <c r="Q277" s="280"/>
      <c r="R277" s="67"/>
      <c r="S277" s="280"/>
      <c r="T277" s="67"/>
      <c r="U277" s="67"/>
      <c r="V277" s="103"/>
      <c r="W277" s="7"/>
      <c r="X277" s="800">
        <v>18295786</v>
      </c>
      <c r="Y277" s="27">
        <f>W276-X277</f>
        <v>0</v>
      </c>
      <c r="Z277" s="27"/>
      <c r="AA277" s="7"/>
      <c r="AB277" s="7"/>
      <c r="AC277" s="7">
        <f t="shared" si="152"/>
        <v>0</v>
      </c>
      <c r="AD277" s="50"/>
      <c r="AE277" s="7"/>
      <c r="AF277" s="50"/>
      <c r="AG277" s="7"/>
      <c r="AH277" s="7"/>
      <c r="AI277" s="27"/>
      <c r="AJ277" s="7"/>
      <c r="AK277" s="848">
        <v>1331785.93</v>
      </c>
      <c r="AL277" s="27"/>
      <c r="AM277" s="95"/>
      <c r="AN277" s="38"/>
    </row>
    <row r="278" spans="1:40">
      <c r="A278" s="20"/>
      <c r="B278" s="20" t="s">
        <v>211</v>
      </c>
      <c r="C278" s="21">
        <f>SUM(C268:C276)</f>
        <v>1013697064</v>
      </c>
      <c r="D278" s="42"/>
      <c r="E278" s="21">
        <f>SUM(E268:E276)</f>
        <v>1578952385.3499997</v>
      </c>
      <c r="F278" s="281"/>
      <c r="G278" s="42"/>
      <c r="H278" s="281"/>
      <c r="I278" s="42"/>
      <c r="J278" s="21">
        <f>SUM(J268:J276)</f>
        <v>1563952385.3499997</v>
      </c>
      <c r="K278" s="21"/>
      <c r="L278" s="797"/>
      <c r="M278" s="913"/>
      <c r="N278" s="21">
        <f>SUM(N268:N276)</f>
        <v>1013697064</v>
      </c>
      <c r="O278" s="42"/>
      <c r="P278" s="21">
        <f>SUM(P268:P276)</f>
        <v>1885986773.46</v>
      </c>
      <c r="Q278" s="281"/>
      <c r="R278" s="42"/>
      <c r="S278" s="281"/>
      <c r="T278" s="42"/>
      <c r="U278" s="21">
        <f>SUM(U268:U276)</f>
        <v>2328627847.3299999</v>
      </c>
      <c r="V278" s="442"/>
      <c r="W278" s="21">
        <f>SUM(W268:W276)</f>
        <v>1013697064</v>
      </c>
      <c r="X278" s="795">
        <v>1013697064</v>
      </c>
      <c r="Y278" s="36"/>
      <c r="Z278" s="36"/>
      <c r="AA278" s="21">
        <f>SUM(AA268:AA276)</f>
        <v>2198381113.52</v>
      </c>
      <c r="AB278" s="21"/>
      <c r="AC278" s="21">
        <f>SUM(AC268:AC277)</f>
        <v>4006512033.4099998</v>
      </c>
      <c r="AD278" s="387"/>
      <c r="AE278" s="21"/>
      <c r="AF278" s="387"/>
      <c r="AG278" s="21"/>
      <c r="AH278" s="21">
        <f>SUM(AH268:AH277)</f>
        <v>3984433719</v>
      </c>
      <c r="AI278" s="36"/>
      <c r="AJ278" s="21">
        <f>SUM(AJ268:AJ276)</f>
        <v>2198381113.52</v>
      </c>
      <c r="AK278" s="843">
        <v>2198381113.52</v>
      </c>
      <c r="AL278" s="36"/>
      <c r="AM278" s="95"/>
      <c r="AN278" s="21">
        <f>SUM(AN268:AN276)</f>
        <v>3067973181</v>
      </c>
    </row>
    <row r="279" spans="1:40">
      <c r="A279" s="12" t="s">
        <v>212</v>
      </c>
      <c r="B279" s="12"/>
      <c r="C279" s="89"/>
      <c r="D279" s="89"/>
      <c r="E279" s="89"/>
      <c r="F279" s="280"/>
      <c r="G279" s="89"/>
      <c r="H279" s="280"/>
      <c r="I279" s="89"/>
      <c r="J279" s="89"/>
      <c r="K279" s="89"/>
      <c r="L279" s="933"/>
      <c r="M279" s="911"/>
      <c r="N279" s="89"/>
      <c r="O279" s="89"/>
      <c r="P279" s="89"/>
      <c r="Q279" s="280"/>
      <c r="R279" s="89"/>
      <c r="S279" s="280"/>
      <c r="T279" s="89"/>
      <c r="U279" s="89"/>
      <c r="V279" s="106"/>
      <c r="W279" s="36"/>
      <c r="X279" s="797"/>
      <c r="Y279" s="36"/>
      <c r="Z279" s="36"/>
      <c r="AA279" s="36"/>
      <c r="AB279" s="36"/>
      <c r="AC279" s="36"/>
      <c r="AD279" s="371"/>
      <c r="AE279" s="36"/>
      <c r="AF279" s="371"/>
      <c r="AG279" s="36"/>
      <c r="AH279" s="36"/>
      <c r="AI279" s="36"/>
      <c r="AJ279" s="36"/>
      <c r="AK279" s="845"/>
      <c r="AL279" s="36"/>
      <c r="AM279" s="95"/>
      <c r="AN279" s="36"/>
    </row>
    <row r="280" spans="1:40">
      <c r="A280" s="14"/>
      <c r="B280" s="14" t="s">
        <v>213</v>
      </c>
      <c r="C280" s="121">
        <f t="shared" ref="C280" si="153">W280</f>
        <v>0</v>
      </c>
      <c r="D280" s="67"/>
      <c r="E280" s="67">
        <f>C280-D280</f>
        <v>0</v>
      </c>
      <c r="F280" s="280"/>
      <c r="G280" s="67"/>
      <c r="H280" s="280"/>
      <c r="I280" s="67"/>
      <c r="J280" s="67">
        <f>E280-G280+I280</f>
        <v>0</v>
      </c>
      <c r="K280" s="67"/>
      <c r="L280" s="934"/>
      <c r="M280" s="912"/>
      <c r="N280" s="130">
        <f>W280</f>
        <v>0</v>
      </c>
      <c r="O280" s="67"/>
      <c r="P280" s="67">
        <f>N280-O280</f>
        <v>0</v>
      </c>
      <c r="Q280" s="280"/>
      <c r="R280" s="67"/>
      <c r="S280" s="280"/>
      <c r="T280" s="67"/>
      <c r="U280" s="67">
        <f>P280-R280+T280</f>
        <v>0</v>
      </c>
      <c r="V280" s="103"/>
      <c r="W280" s="7">
        <v>0</v>
      </c>
      <c r="X280" s="800">
        <v>0</v>
      </c>
      <c r="Y280" s="27"/>
      <c r="Z280" s="27"/>
      <c r="AA280" s="7">
        <f>AJ280</f>
        <v>0</v>
      </c>
      <c r="AB280" s="7"/>
      <c r="AC280" s="7">
        <f t="shared" ref="AC280" si="154">AA280-AB280</f>
        <v>0</v>
      </c>
      <c r="AD280" s="50"/>
      <c r="AE280" s="7"/>
      <c r="AF280" s="50"/>
      <c r="AG280" s="7"/>
      <c r="AH280" s="7">
        <f>ROUND(AC280-AE280+AG280,0)</f>
        <v>0</v>
      </c>
      <c r="AI280" s="27"/>
      <c r="AJ280" s="7"/>
      <c r="AK280" s="848">
        <v>3403633332</v>
      </c>
      <c r="AL280" s="27"/>
      <c r="AM280" s="95"/>
      <c r="AN280" s="38">
        <v>0</v>
      </c>
    </row>
    <row r="281" spans="1:40">
      <c r="A281" s="20"/>
      <c r="B281" s="20" t="s">
        <v>214</v>
      </c>
      <c r="C281" s="21">
        <v>0</v>
      </c>
      <c r="D281" s="42"/>
      <c r="E281" s="21">
        <v>0</v>
      </c>
      <c r="F281" s="281"/>
      <c r="G281" s="42"/>
      <c r="H281" s="281"/>
      <c r="I281" s="42"/>
      <c r="J281" s="21">
        <v>0</v>
      </c>
      <c r="K281" s="21"/>
      <c r="L281" s="797"/>
      <c r="M281" s="913"/>
      <c r="N281" s="21">
        <v>0</v>
      </c>
      <c r="O281" s="42"/>
      <c r="P281" s="21">
        <v>0</v>
      </c>
      <c r="Q281" s="281"/>
      <c r="R281" s="42"/>
      <c r="S281" s="281"/>
      <c r="T281" s="42"/>
      <c r="U281" s="21">
        <v>0</v>
      </c>
      <c r="V281" s="442"/>
      <c r="W281" s="21">
        <v>0</v>
      </c>
      <c r="X281" s="800">
        <v>0</v>
      </c>
      <c r="Y281" s="36"/>
      <c r="Z281" s="36"/>
      <c r="AA281" s="21">
        <v>0</v>
      </c>
      <c r="AB281" s="21"/>
      <c r="AC281" s="21">
        <v>0</v>
      </c>
      <c r="AD281" s="387"/>
      <c r="AE281" s="21"/>
      <c r="AF281" s="387"/>
      <c r="AG281" s="21"/>
      <c r="AH281" s="21">
        <v>0</v>
      </c>
      <c r="AI281" s="36"/>
      <c r="AJ281" s="21">
        <v>0</v>
      </c>
      <c r="AK281" s="848">
        <v>0</v>
      </c>
      <c r="AL281" s="36"/>
      <c r="AM281" s="95"/>
      <c r="AN281" s="21">
        <v>0</v>
      </c>
    </row>
    <row r="282" spans="1:40">
      <c r="A282" s="12" t="s">
        <v>215</v>
      </c>
      <c r="B282" s="12"/>
      <c r="C282" s="89"/>
      <c r="D282" s="89"/>
      <c r="E282" s="89"/>
      <c r="F282" s="280"/>
      <c r="G282" s="89"/>
      <c r="H282" s="280"/>
      <c r="I282" s="89"/>
      <c r="J282" s="89"/>
      <c r="K282" s="89"/>
      <c r="L282" s="933"/>
      <c r="M282" s="911"/>
      <c r="N282" s="89"/>
      <c r="O282" s="89"/>
      <c r="P282" s="89"/>
      <c r="Q282" s="280"/>
      <c r="R282" s="89"/>
      <c r="S282" s="280"/>
      <c r="T282" s="89"/>
      <c r="U282" s="89"/>
      <c r="V282" s="106"/>
      <c r="W282" s="36"/>
      <c r="X282" s="800">
        <v>0</v>
      </c>
      <c r="Y282" s="36"/>
      <c r="Z282" s="36"/>
      <c r="AA282" s="36"/>
      <c r="AB282" s="36"/>
      <c r="AC282" s="36"/>
      <c r="AD282" s="371"/>
      <c r="AE282" s="36"/>
      <c r="AF282" s="371"/>
      <c r="AG282" s="36"/>
      <c r="AH282" s="36"/>
      <c r="AI282" s="36"/>
      <c r="AJ282" s="36"/>
      <c r="AK282" s="848">
        <v>0</v>
      </c>
      <c r="AL282" s="36"/>
      <c r="AM282" s="95"/>
      <c r="AN282" s="36"/>
    </row>
    <row r="283" spans="1:40">
      <c r="A283" s="14"/>
      <c r="B283" s="14" t="s">
        <v>216</v>
      </c>
      <c r="C283" s="121">
        <f t="shared" ref="C283:C284" si="155">W283</f>
        <v>0</v>
      </c>
      <c r="D283" s="67"/>
      <c r="E283" s="67">
        <f>C283-D283</f>
        <v>0</v>
      </c>
      <c r="F283" s="280"/>
      <c r="G283" s="67"/>
      <c r="H283" s="280"/>
      <c r="I283" s="67"/>
      <c r="J283" s="67">
        <f>E283-G283+I283</f>
        <v>0</v>
      </c>
      <c r="K283" s="67"/>
      <c r="L283" s="934"/>
      <c r="M283" s="912"/>
      <c r="N283" s="130">
        <f>W283</f>
        <v>0</v>
      </c>
      <c r="O283" s="67"/>
      <c r="P283" s="67">
        <f>N283-O283</f>
        <v>0</v>
      </c>
      <c r="Q283" s="280"/>
      <c r="R283" s="67"/>
      <c r="S283" s="280"/>
      <c r="T283" s="67"/>
      <c r="U283" s="67">
        <f>P283-R283+T283</f>
        <v>0</v>
      </c>
      <c r="V283" s="103"/>
      <c r="W283" s="7">
        <v>0</v>
      </c>
      <c r="X283" s="800">
        <v>0</v>
      </c>
      <c r="Y283" s="27"/>
      <c r="Z283" s="27"/>
      <c r="AA283" s="7">
        <f>AJ283</f>
        <v>3403633332</v>
      </c>
      <c r="AB283" s="7">
        <v>2552724999</v>
      </c>
      <c r="AC283" s="7">
        <f t="shared" ref="AC283:AC284" si="156">AA283-AB283</f>
        <v>850908333</v>
      </c>
      <c r="AD283" s="50"/>
      <c r="AE283" s="7"/>
      <c r="AF283" s="50"/>
      <c r="AG283" s="7"/>
      <c r="AH283" s="7">
        <f>ROUND(AC283-AE283+AG283,0)</f>
        <v>850908333</v>
      </c>
      <c r="AI283" s="27"/>
      <c r="AJ283" s="7">
        <v>3403633332</v>
      </c>
      <c r="AK283" s="848">
        <v>0</v>
      </c>
      <c r="AL283" s="27"/>
      <c r="AM283" s="95"/>
      <c r="AN283" s="38">
        <v>3403633332</v>
      </c>
    </row>
    <row r="284" spans="1:40">
      <c r="A284" s="14"/>
      <c r="B284" s="14" t="s">
        <v>217</v>
      </c>
      <c r="C284" s="121">
        <f t="shared" si="155"/>
        <v>0</v>
      </c>
      <c r="D284" s="67"/>
      <c r="E284" s="67">
        <f>C284-D284</f>
        <v>0</v>
      </c>
      <c r="F284" s="280"/>
      <c r="G284" s="67"/>
      <c r="H284" s="280"/>
      <c r="I284" s="67"/>
      <c r="J284" s="67">
        <f>E284-G284+I284</f>
        <v>0</v>
      </c>
      <c r="K284" s="67"/>
      <c r="L284" s="934"/>
      <c r="M284" s="912"/>
      <c r="N284" s="130">
        <f>W284</f>
        <v>0</v>
      </c>
      <c r="O284" s="67"/>
      <c r="P284" s="67">
        <f>N284-O284</f>
        <v>0</v>
      </c>
      <c r="Q284" s="280"/>
      <c r="R284" s="67"/>
      <c r="S284" s="280"/>
      <c r="T284" s="67"/>
      <c r="U284" s="67">
        <f>P284-R284+T284</f>
        <v>0</v>
      </c>
      <c r="V284" s="103"/>
      <c r="W284" s="7">
        <v>0</v>
      </c>
      <c r="X284" s="800">
        <v>0</v>
      </c>
      <c r="Y284" s="27"/>
      <c r="Z284" s="27"/>
      <c r="AA284" s="7">
        <f>AJ284</f>
        <v>0</v>
      </c>
      <c r="AB284" s="7"/>
      <c r="AC284" s="7">
        <f t="shared" si="156"/>
        <v>0</v>
      </c>
      <c r="AD284" s="50"/>
      <c r="AE284" s="7"/>
      <c r="AF284" s="50"/>
      <c r="AG284" s="7"/>
      <c r="AH284" s="7">
        <f>ROUND(AC284-AE284+AG284,0)</f>
        <v>0</v>
      </c>
      <c r="AI284" s="27"/>
      <c r="AJ284" s="7">
        <v>0</v>
      </c>
      <c r="AK284" s="848">
        <v>0</v>
      </c>
      <c r="AL284" s="27"/>
      <c r="AM284" s="95"/>
      <c r="AN284" s="38">
        <v>0</v>
      </c>
    </row>
    <row r="285" spans="1:40">
      <c r="A285" s="20"/>
      <c r="B285" s="20" t="s">
        <v>214</v>
      </c>
      <c r="C285" s="21">
        <f>SUM(C283:C284)</f>
        <v>0</v>
      </c>
      <c r="D285" s="42"/>
      <c r="E285" s="21">
        <f>SUM(E283:E284)</f>
        <v>0</v>
      </c>
      <c r="F285" s="281"/>
      <c r="G285" s="42"/>
      <c r="H285" s="281"/>
      <c r="I285" s="42"/>
      <c r="J285" s="21">
        <f>SUM(J283:J284)</f>
        <v>0</v>
      </c>
      <c r="K285" s="21"/>
      <c r="L285" s="797"/>
      <c r="M285" s="913"/>
      <c r="N285" s="21">
        <f>SUM(N283:N284)</f>
        <v>0</v>
      </c>
      <c r="O285" s="42"/>
      <c r="P285" s="21">
        <f>SUM(P283:P284)</f>
        <v>0</v>
      </c>
      <c r="Q285" s="281"/>
      <c r="R285" s="42"/>
      <c r="S285" s="281"/>
      <c r="T285" s="42"/>
      <c r="U285" s="21">
        <f>SUM(U283:U284)</f>
        <v>0</v>
      </c>
      <c r="V285" s="442"/>
      <c r="W285" s="21">
        <f>SUM(W283:W284)</f>
        <v>0</v>
      </c>
      <c r="X285" s="795">
        <v>0</v>
      </c>
      <c r="Y285" s="36"/>
      <c r="Z285" s="36"/>
      <c r="AA285" s="21">
        <f>SUM(AA283:AA284)</f>
        <v>3403633332</v>
      </c>
      <c r="AB285" s="21"/>
      <c r="AC285" s="21">
        <f>SUM(AC283:AC284)</f>
        <v>850908333</v>
      </c>
      <c r="AD285" s="387"/>
      <c r="AE285" s="21"/>
      <c r="AF285" s="387"/>
      <c r="AG285" s="21"/>
      <c r="AH285" s="21">
        <f>SUM(AH283:AH284)</f>
        <v>850908333</v>
      </c>
      <c r="AI285" s="36"/>
      <c r="AJ285" s="21">
        <f>SUM(AJ283:AJ284)</f>
        <v>3403633332</v>
      </c>
      <c r="AK285" s="848">
        <v>0</v>
      </c>
      <c r="AL285" s="36"/>
      <c r="AM285" s="95"/>
      <c r="AN285" s="21">
        <f>SUM(AN283:AN284)</f>
        <v>3403633332</v>
      </c>
    </row>
    <row r="286" spans="1:40">
      <c r="A286" s="12"/>
      <c r="B286" s="12"/>
      <c r="C286" s="36"/>
      <c r="D286" s="89"/>
      <c r="E286" s="36"/>
      <c r="F286" s="280"/>
      <c r="G286" s="89"/>
      <c r="H286" s="280"/>
      <c r="I286" s="89"/>
      <c r="J286" s="36"/>
      <c r="K286" s="36"/>
      <c r="L286" s="797"/>
      <c r="M286" s="923"/>
      <c r="N286" s="36"/>
      <c r="O286" s="89"/>
      <c r="P286" s="36"/>
      <c r="Q286" s="280"/>
      <c r="R286" s="89"/>
      <c r="S286" s="280"/>
      <c r="T286" s="89"/>
      <c r="U286" s="36"/>
      <c r="V286" s="449"/>
      <c r="W286" s="36"/>
      <c r="X286" s="797"/>
      <c r="Y286" s="36"/>
      <c r="Z286" s="36"/>
      <c r="AA286" s="36"/>
      <c r="AB286" s="36"/>
      <c r="AC286" s="36"/>
      <c r="AD286" s="371"/>
      <c r="AE286" s="36"/>
      <c r="AF286" s="371"/>
      <c r="AG286" s="36"/>
      <c r="AH286" s="36"/>
      <c r="AI286" s="36"/>
      <c r="AJ286" s="36"/>
      <c r="AK286" s="843">
        <v>3403633332</v>
      </c>
      <c r="AL286" s="36"/>
      <c r="AM286" s="95"/>
      <c r="AN286" s="36"/>
    </row>
    <row r="287" spans="1:40">
      <c r="A287" s="99"/>
      <c r="B287" s="99" t="s">
        <v>218</v>
      </c>
      <c r="C287" s="98">
        <f>C237+C241+C248+C266+C278+C281+C285+C175</f>
        <v>213069835389.87</v>
      </c>
      <c r="D287" s="133"/>
      <c r="E287" s="98">
        <f>E237+E241+E248+E266+E278+E281+E285+E175</f>
        <v>137341574513.5</v>
      </c>
      <c r="F287" s="289"/>
      <c r="G287" s="133"/>
      <c r="H287" s="289"/>
      <c r="I287" s="133"/>
      <c r="J287" s="98">
        <f>J237+J241+J248+J266+J278+J281+J285+J175</f>
        <v>166314136867.88</v>
      </c>
      <c r="K287" s="98"/>
      <c r="L287" s="797"/>
      <c r="M287" s="924"/>
      <c r="N287" s="98">
        <f>N237+N241+N248+N266+N278+N281+N285+N175</f>
        <v>213069835389.87</v>
      </c>
      <c r="O287" s="133"/>
      <c r="P287" s="98">
        <f>P237+P241+P248+P266+P278+P281+P285+P175</f>
        <v>170743855154.5</v>
      </c>
      <c r="Q287" s="289"/>
      <c r="R287" s="133"/>
      <c r="S287" s="289"/>
      <c r="T287" s="133"/>
      <c r="U287" s="98">
        <f>U237+U241+U248+U266+U278+U281+U285+U175</f>
        <v>144731935733.66</v>
      </c>
      <c r="V287" s="450"/>
      <c r="W287" s="98">
        <f>W237+W241+W248+W266+W278+W281+W285+W175</f>
        <v>213069835389.87</v>
      </c>
      <c r="X287" s="814">
        <v>213069835389.87</v>
      </c>
      <c r="Y287" s="36">
        <f>W287-X287</f>
        <v>0</v>
      </c>
      <c r="Z287" s="36"/>
      <c r="AA287" s="98">
        <f>AA237+AA241+AA248+AA266+AA278+AA281+AA285+AA175</f>
        <v>86738546218.169952</v>
      </c>
      <c r="AB287" s="98"/>
      <c r="AC287" s="98">
        <f>AC237+AC241+AC248+AC266+AC278+AC281+AC285+AC175</f>
        <v>199828781134.36264</v>
      </c>
      <c r="AD287" s="397"/>
      <c r="AE287" s="98"/>
      <c r="AF287" s="397"/>
      <c r="AG287" s="98"/>
      <c r="AH287" s="98">
        <f>AH237+AH241+AH248+AH266+AH278+AH281+AH285+AH175</f>
        <v>191198014120</v>
      </c>
      <c r="AI287" s="36"/>
      <c r="AJ287" s="98">
        <f>AJ237+AJ241+AJ248+AJ266+AJ278+AJ281+AJ285+AJ175</f>
        <v>86738546218.169952</v>
      </c>
      <c r="AK287" s="845"/>
      <c r="AL287" s="36"/>
      <c r="AM287" s="95"/>
      <c r="AN287" s="98">
        <f>AN237+AN241+AN248+AN266+AN278+AN281+AN285+AN175</f>
        <v>65988153761.359917</v>
      </c>
    </row>
    <row r="288" spans="1:40">
      <c r="A288" s="12" t="s">
        <v>126</v>
      </c>
      <c r="B288" s="12"/>
      <c r="C288" s="89"/>
      <c r="D288" s="89"/>
      <c r="E288" s="89"/>
      <c r="F288" s="280"/>
      <c r="G288" s="89"/>
      <c r="H288" s="280"/>
      <c r="I288" s="89"/>
      <c r="J288" s="89"/>
      <c r="K288" s="89"/>
      <c r="L288" s="933"/>
      <c r="M288" s="911"/>
      <c r="N288" s="89"/>
      <c r="O288" s="89"/>
      <c r="P288" s="89"/>
      <c r="Q288" s="280"/>
      <c r="R288" s="89"/>
      <c r="S288" s="280"/>
      <c r="T288" s="89"/>
      <c r="U288" s="89"/>
      <c r="V288" s="106"/>
      <c r="W288" s="47"/>
      <c r="X288" s="810"/>
      <c r="Y288" s="82"/>
      <c r="Z288" s="82"/>
      <c r="AA288" s="47"/>
      <c r="AB288" s="47"/>
      <c r="AC288" s="47"/>
      <c r="AD288" s="50"/>
      <c r="AE288" s="47"/>
      <c r="AF288" s="50"/>
      <c r="AG288" s="47"/>
      <c r="AH288" s="47"/>
      <c r="AI288" s="82"/>
      <c r="AJ288" s="47"/>
      <c r="AK288" s="857">
        <v>86738546218.169937</v>
      </c>
      <c r="AL288" s="82"/>
      <c r="AM288" s="95"/>
      <c r="AN288" s="47"/>
    </row>
    <row r="289" spans="1:40">
      <c r="A289" s="33" t="s">
        <v>219</v>
      </c>
      <c r="B289" s="60"/>
      <c r="C289" s="120"/>
      <c r="D289" s="120"/>
      <c r="E289" s="120"/>
      <c r="F289" s="280"/>
      <c r="G289" s="120"/>
      <c r="H289" s="280"/>
      <c r="I289" s="120"/>
      <c r="J289" s="120"/>
      <c r="K289" s="120"/>
      <c r="L289" s="935"/>
      <c r="M289" s="915"/>
      <c r="N289" s="120"/>
      <c r="O289" s="120"/>
      <c r="P289" s="120"/>
      <c r="Q289" s="280"/>
      <c r="R289" s="120"/>
      <c r="S289" s="280"/>
      <c r="T289" s="120"/>
      <c r="U289" s="120"/>
      <c r="V289" s="444"/>
      <c r="W289" s="47"/>
      <c r="X289" s="810"/>
      <c r="Y289" s="82"/>
      <c r="Z289" s="82"/>
      <c r="AA289" s="47"/>
      <c r="AB289" s="47"/>
      <c r="AC289" s="47"/>
      <c r="AD289" s="50"/>
      <c r="AE289" s="47"/>
      <c r="AF289" s="50"/>
      <c r="AG289" s="47"/>
      <c r="AH289" s="47"/>
      <c r="AI289" s="82"/>
      <c r="AJ289" s="47"/>
      <c r="AK289" s="854"/>
      <c r="AL289" s="82"/>
      <c r="AM289" s="95"/>
      <c r="AN289" s="47"/>
    </row>
    <row r="290" spans="1:40">
      <c r="A290" s="33" t="s">
        <v>220</v>
      </c>
      <c r="B290" s="60"/>
      <c r="C290" s="120"/>
      <c r="D290" s="120"/>
      <c r="E290" s="120"/>
      <c r="F290" s="280"/>
      <c r="G290" s="120"/>
      <c r="H290" s="280"/>
      <c r="I290" s="120"/>
      <c r="J290" s="120"/>
      <c r="K290" s="120"/>
      <c r="L290" s="935"/>
      <c r="M290" s="915"/>
      <c r="N290" s="120"/>
      <c r="O290" s="120"/>
      <c r="P290" s="120"/>
      <c r="Q290" s="280"/>
      <c r="R290" s="120"/>
      <c r="S290" s="280"/>
      <c r="T290" s="120"/>
      <c r="U290" s="120"/>
      <c r="V290" s="444"/>
      <c r="W290" s="47"/>
      <c r="X290" s="810"/>
      <c r="Y290" s="82"/>
      <c r="Z290" s="82"/>
      <c r="AA290" s="47"/>
      <c r="AB290" s="47"/>
      <c r="AC290" s="47"/>
      <c r="AD290" s="50"/>
      <c r="AE290" s="47"/>
      <c r="AF290" s="50"/>
      <c r="AG290" s="47"/>
      <c r="AH290" s="47"/>
      <c r="AI290" s="82"/>
      <c r="AJ290" s="47"/>
      <c r="AK290" s="854"/>
      <c r="AL290" s="82"/>
      <c r="AM290" s="95"/>
      <c r="AN290" s="47"/>
    </row>
    <row r="291" spans="1:40">
      <c r="A291" s="34"/>
      <c r="B291" s="26" t="s">
        <v>221</v>
      </c>
      <c r="C291" s="121">
        <f t="shared" ref="C291" si="157">W291</f>
        <v>2647745936</v>
      </c>
      <c r="D291" s="78"/>
      <c r="E291" s="67">
        <f>C291-D291</f>
        <v>2647745936</v>
      </c>
      <c r="F291" s="280"/>
      <c r="G291" s="78"/>
      <c r="H291" s="280"/>
      <c r="I291" s="78"/>
      <c r="J291" s="67">
        <f>E291-G291+I291</f>
        <v>2647745936</v>
      </c>
      <c r="K291" s="67"/>
      <c r="L291" s="934"/>
      <c r="M291" s="912"/>
      <c r="N291" s="130">
        <f>W291</f>
        <v>2647745936</v>
      </c>
      <c r="O291" s="78"/>
      <c r="P291" s="67">
        <f>N291-O291</f>
        <v>2647745936</v>
      </c>
      <c r="Q291" s="280"/>
      <c r="R291" s="78"/>
      <c r="S291" s="280" t="str">
        <f>'AJE CAJE Sept 24'!B110</f>
        <v>CAJE 22</v>
      </c>
      <c r="T291" s="78">
        <f>'AJE CAJE Sept 24'!H110</f>
        <v>209687496</v>
      </c>
      <c r="U291" s="67">
        <f>P291-R291+T291</f>
        <v>2857433432</v>
      </c>
      <c r="V291" s="103"/>
      <c r="W291" s="7">
        <v>2647745936</v>
      </c>
      <c r="X291" s="811">
        <v>2647745936</v>
      </c>
      <c r="Y291" s="27">
        <f>W291-X291</f>
        <v>0</v>
      </c>
      <c r="Z291" s="27"/>
      <c r="AA291" s="7">
        <f>AJ291</f>
        <v>2362783525</v>
      </c>
      <c r="AB291" s="7"/>
      <c r="AC291" s="7">
        <f t="shared" ref="AC291" si="158">AA291-AB291</f>
        <v>2362783525</v>
      </c>
      <c r="AD291" s="50"/>
      <c r="AE291" s="7"/>
      <c r="AF291" s="50" t="str">
        <f>'AJE CAJE Sept 24'!B110</f>
        <v>CAJE 22</v>
      </c>
      <c r="AG291" s="7">
        <f>'AJE CAJE Sept 23'!H73</f>
        <v>81714215.25</v>
      </c>
      <c r="AH291" s="7">
        <f>ROUND(AC291-AE291+AG291,0)</f>
        <v>2444497740</v>
      </c>
      <c r="AI291" s="27"/>
      <c r="AJ291" s="7">
        <v>2362783525</v>
      </c>
      <c r="AK291" s="854"/>
      <c r="AL291" s="27"/>
      <c r="AM291" s="95"/>
      <c r="AN291" s="38">
        <v>2410533769</v>
      </c>
    </row>
    <row r="292" spans="1:40">
      <c r="A292" s="20"/>
      <c r="B292" s="20" t="s">
        <v>222</v>
      </c>
      <c r="C292" s="21">
        <f>SUM(C291)</f>
        <v>2647745936</v>
      </c>
      <c r="D292" s="42"/>
      <c r="E292" s="21">
        <f>SUM(E291)</f>
        <v>2647745936</v>
      </c>
      <c r="F292" s="281"/>
      <c r="G292" s="42"/>
      <c r="H292" s="281"/>
      <c r="I292" s="42"/>
      <c r="J292" s="21">
        <f>SUM(J291)</f>
        <v>2647745936</v>
      </c>
      <c r="K292" s="21"/>
      <c r="L292" s="797"/>
      <c r="M292" s="913"/>
      <c r="N292" s="21">
        <f>SUM(N291)</f>
        <v>2647745936</v>
      </c>
      <c r="O292" s="42"/>
      <c r="P292" s="21">
        <f>SUM(P291)</f>
        <v>2647745936</v>
      </c>
      <c r="Q292" s="281"/>
      <c r="R292" s="42"/>
      <c r="S292" s="281"/>
      <c r="T292" s="42"/>
      <c r="U292" s="21">
        <f>SUM(U291)</f>
        <v>2857433432</v>
      </c>
      <c r="V292" s="442"/>
      <c r="W292" s="21">
        <f>SUM(W291)</f>
        <v>2647745936</v>
      </c>
      <c r="X292" s="791">
        <v>2647745936</v>
      </c>
      <c r="Y292" s="27">
        <f>W292-X292</f>
        <v>0</v>
      </c>
      <c r="Z292" s="27"/>
      <c r="AA292" s="21">
        <f>SUM(AA291)</f>
        <v>2362783525</v>
      </c>
      <c r="AB292" s="21"/>
      <c r="AC292" s="21">
        <f>SUM(AC291)</f>
        <v>2362783525</v>
      </c>
      <c r="AD292" s="387"/>
      <c r="AE292" s="21"/>
      <c r="AF292" s="387"/>
      <c r="AG292" s="21"/>
      <c r="AH292" s="21">
        <f>SUM(AH291)</f>
        <v>2444497740</v>
      </c>
      <c r="AI292" s="36"/>
      <c r="AJ292" s="21">
        <f>SUM(AJ291)</f>
        <v>2362783525</v>
      </c>
      <c r="AK292" s="855">
        <v>2362783525</v>
      </c>
      <c r="AL292" s="36"/>
      <c r="AM292" s="95"/>
      <c r="AN292" s="21">
        <f>SUM(AN291)</f>
        <v>2410533769</v>
      </c>
    </row>
    <row r="293" spans="1:40">
      <c r="A293" s="12" t="s">
        <v>223</v>
      </c>
      <c r="B293" s="12"/>
      <c r="C293" s="89"/>
      <c r="D293" s="89"/>
      <c r="E293" s="89"/>
      <c r="F293" s="280"/>
      <c r="G293" s="89"/>
      <c r="H293" s="280"/>
      <c r="I293" s="89"/>
      <c r="J293" s="89"/>
      <c r="K293" s="89"/>
      <c r="L293" s="933"/>
      <c r="M293" s="911"/>
      <c r="N293" s="89"/>
      <c r="O293" s="89"/>
      <c r="P293" s="89"/>
      <c r="Q293" s="280"/>
      <c r="R293" s="89"/>
      <c r="S293" s="280"/>
      <c r="T293" s="89"/>
      <c r="U293" s="89"/>
      <c r="V293" s="106"/>
      <c r="W293" s="36"/>
      <c r="X293" s="815"/>
      <c r="Y293" s="36"/>
      <c r="Z293" s="36"/>
      <c r="AA293" s="36"/>
      <c r="AB293" s="36"/>
      <c r="AC293" s="36"/>
      <c r="AD293" s="371"/>
      <c r="AE293" s="36"/>
      <c r="AF293" s="371"/>
      <c r="AG293" s="36"/>
      <c r="AH293" s="36"/>
      <c r="AI293" s="36"/>
      <c r="AJ293" s="36"/>
      <c r="AK293" s="838">
        <v>2362783525</v>
      </c>
      <c r="AL293" s="36"/>
      <c r="AM293" s="95"/>
      <c r="AN293" s="36"/>
    </row>
    <row r="294" spans="1:40">
      <c r="A294" s="12"/>
      <c r="B294" s="61"/>
      <c r="C294" s="134"/>
      <c r="D294" s="134"/>
      <c r="E294" s="134"/>
      <c r="F294" s="280"/>
      <c r="G294" s="134"/>
      <c r="H294" s="280"/>
      <c r="I294" s="134"/>
      <c r="J294" s="134"/>
      <c r="K294" s="134"/>
      <c r="L294" s="938"/>
      <c r="M294" s="925"/>
      <c r="N294" s="134"/>
      <c r="O294" s="134"/>
      <c r="P294" s="134"/>
      <c r="Q294" s="280"/>
      <c r="R294" s="134"/>
      <c r="S294" s="280"/>
      <c r="T294" s="134"/>
      <c r="U294" s="134"/>
      <c r="V294" s="451"/>
      <c r="W294" s="7"/>
      <c r="X294" s="811">
        <v>0</v>
      </c>
      <c r="Y294" s="27"/>
      <c r="Z294" s="27"/>
      <c r="AA294" s="7"/>
      <c r="AB294" s="7"/>
      <c r="AC294" s="7"/>
      <c r="AD294" s="50"/>
      <c r="AE294" s="7"/>
      <c r="AF294" s="50"/>
      <c r="AG294" s="7"/>
      <c r="AH294" s="7"/>
      <c r="AI294" s="27"/>
      <c r="AJ294" s="7">
        <v>0</v>
      </c>
      <c r="AK294" s="858"/>
      <c r="AL294" s="27"/>
      <c r="AM294" s="95"/>
      <c r="AN294" s="62">
        <v>0</v>
      </c>
    </row>
    <row r="295" spans="1:40">
      <c r="A295" s="12"/>
      <c r="B295" s="61" t="s">
        <v>224</v>
      </c>
      <c r="C295" s="121">
        <f t="shared" ref="C295" si="159">W295</f>
        <v>0</v>
      </c>
      <c r="D295" s="134"/>
      <c r="E295" s="67">
        <f>C295-D295</f>
        <v>0</v>
      </c>
      <c r="F295" s="280"/>
      <c r="G295" s="134"/>
      <c r="H295" s="280"/>
      <c r="I295" s="134"/>
      <c r="J295" s="67">
        <f>E295-G295+I295</f>
        <v>0</v>
      </c>
      <c r="K295" s="67"/>
      <c r="L295" s="934"/>
      <c r="M295" s="912"/>
      <c r="N295" s="130">
        <f>W295</f>
        <v>0</v>
      </c>
      <c r="O295" s="134"/>
      <c r="P295" s="67">
        <f>N295-O295</f>
        <v>0</v>
      </c>
      <c r="Q295" s="280"/>
      <c r="R295" s="134"/>
      <c r="S295" s="280"/>
      <c r="T295" s="134"/>
      <c r="U295" s="67">
        <f>P295-R295+T295</f>
        <v>0</v>
      </c>
      <c r="V295" s="103"/>
      <c r="W295" s="7">
        <v>0</v>
      </c>
      <c r="X295" s="811">
        <v>0</v>
      </c>
      <c r="Y295" s="27"/>
      <c r="Z295" s="27"/>
      <c r="AA295" s="7">
        <f>AJ295</f>
        <v>76360023</v>
      </c>
      <c r="AB295" s="7"/>
      <c r="AC295" s="7">
        <f t="shared" ref="AC295" si="160">AA295-AB295</f>
        <v>76360023</v>
      </c>
      <c r="AD295" s="50"/>
      <c r="AE295" s="7"/>
      <c r="AF295" s="50"/>
      <c r="AG295" s="7"/>
      <c r="AH295" s="7">
        <f>ROUND(AC295-AE295+AG295,0)</f>
        <v>76360023</v>
      </c>
      <c r="AI295" s="27"/>
      <c r="AJ295" s="7">
        <v>76360023</v>
      </c>
      <c r="AK295" s="855">
        <v>0</v>
      </c>
      <c r="AL295" s="27"/>
      <c r="AM295" s="95"/>
      <c r="AN295" s="62"/>
    </row>
    <row r="296" spans="1:40">
      <c r="A296" s="12"/>
      <c r="B296" s="61"/>
      <c r="C296" s="134"/>
      <c r="D296" s="134"/>
      <c r="E296" s="134"/>
      <c r="F296" s="280"/>
      <c r="G296" s="134"/>
      <c r="H296" s="280"/>
      <c r="I296" s="134"/>
      <c r="J296" s="134"/>
      <c r="K296" s="134"/>
      <c r="L296" s="938"/>
      <c r="M296" s="925"/>
      <c r="N296" s="134"/>
      <c r="O296" s="134"/>
      <c r="P296" s="134"/>
      <c r="Q296" s="280"/>
      <c r="R296" s="134"/>
      <c r="S296" s="280"/>
      <c r="T296" s="134"/>
      <c r="U296" s="134"/>
      <c r="V296" s="451"/>
      <c r="W296" s="63"/>
      <c r="X296" s="815"/>
      <c r="Y296" s="63"/>
      <c r="Z296" s="63"/>
      <c r="AA296" s="63"/>
      <c r="AB296" s="63"/>
      <c r="AC296" s="63"/>
      <c r="AD296" s="371"/>
      <c r="AE296" s="63"/>
      <c r="AF296" s="371"/>
      <c r="AG296" s="63"/>
      <c r="AH296" s="63"/>
      <c r="AI296" s="63"/>
      <c r="AJ296" s="63"/>
      <c r="AK296" s="859">
        <v>76360023</v>
      </c>
      <c r="AL296" s="63"/>
      <c r="AM296" s="95"/>
      <c r="AN296" s="63"/>
    </row>
    <row r="297" spans="1:40">
      <c r="A297" s="24"/>
      <c r="B297" s="64" t="s">
        <v>216</v>
      </c>
      <c r="C297" s="135"/>
      <c r="D297" s="135"/>
      <c r="E297" s="135"/>
      <c r="F297" s="280"/>
      <c r="G297" s="135"/>
      <c r="H297" s="280"/>
      <c r="I297" s="135"/>
      <c r="J297" s="135"/>
      <c r="K297" s="135"/>
      <c r="L297" s="939"/>
      <c r="M297" s="926"/>
      <c r="N297" s="135"/>
      <c r="O297" s="135"/>
      <c r="P297" s="135"/>
      <c r="Q297" s="280"/>
      <c r="R297" s="135"/>
      <c r="S297" s="280"/>
      <c r="T297" s="135"/>
      <c r="U297" s="135"/>
      <c r="V297" s="452"/>
      <c r="W297" s="38"/>
      <c r="X297" s="811"/>
      <c r="Y297" s="38"/>
      <c r="Z297" s="38"/>
      <c r="AA297" s="38"/>
      <c r="AB297" s="38"/>
      <c r="AC297" s="38"/>
      <c r="AD297" s="371"/>
      <c r="AE297" s="38"/>
      <c r="AF297" s="371"/>
      <c r="AG297" s="38"/>
      <c r="AH297" s="38"/>
      <c r="AI297" s="38"/>
      <c r="AJ297" s="38"/>
      <c r="AK297" s="858"/>
      <c r="AL297" s="38"/>
      <c r="AM297" s="95"/>
      <c r="AN297" s="38"/>
    </row>
    <row r="298" spans="1:40">
      <c r="A298" s="24"/>
      <c r="B298" s="65" t="s">
        <v>134</v>
      </c>
      <c r="C298" s="121">
        <f t="shared" ref="C298:C302" si="161">W298</f>
        <v>0</v>
      </c>
      <c r="D298" s="136"/>
      <c r="E298" s="67">
        <f t="shared" ref="E298:E303" si="162">C298-D298</f>
        <v>0</v>
      </c>
      <c r="F298" s="280"/>
      <c r="G298" s="136"/>
      <c r="H298" s="280"/>
      <c r="I298" s="136"/>
      <c r="J298" s="67">
        <f t="shared" ref="J298:J303" si="163">E298-G298+I298</f>
        <v>0</v>
      </c>
      <c r="K298" s="67"/>
      <c r="L298" s="934"/>
      <c r="M298" s="912"/>
      <c r="N298" s="130">
        <f>W298</f>
        <v>0</v>
      </c>
      <c r="O298" s="136"/>
      <c r="P298" s="67">
        <f t="shared" ref="P298:P303" si="164">N298-O298</f>
        <v>0</v>
      </c>
      <c r="Q298" s="280"/>
      <c r="R298" s="136"/>
      <c r="S298" s="280"/>
      <c r="T298" s="136"/>
      <c r="U298" s="67">
        <f t="shared" ref="U298:U303" si="165">P298-R298+T298</f>
        <v>0</v>
      </c>
      <c r="V298" s="103"/>
      <c r="W298" s="38"/>
      <c r="X298" s="811"/>
      <c r="Y298" s="38"/>
      <c r="Z298" s="38"/>
      <c r="AA298" s="38">
        <f>AJ298</f>
        <v>0</v>
      </c>
      <c r="AB298" s="38"/>
      <c r="AC298" s="38">
        <f>AA298-AB298</f>
        <v>0</v>
      </c>
      <c r="AD298" s="371"/>
      <c r="AE298" s="38"/>
      <c r="AF298" s="371"/>
      <c r="AG298" s="38"/>
      <c r="AH298" s="7">
        <f t="shared" ref="AH298:AH303" si="166">ROUND(AC298-AE298+AG298,0)</f>
        <v>0</v>
      </c>
      <c r="AI298" s="38"/>
      <c r="AJ298" s="38"/>
      <c r="AK298" s="859"/>
      <c r="AL298" s="38"/>
      <c r="AM298" s="95"/>
      <c r="AN298" s="62">
        <v>0</v>
      </c>
    </row>
    <row r="299" spans="1:40">
      <c r="A299" s="14"/>
      <c r="B299" s="66" t="s">
        <v>225</v>
      </c>
      <c r="C299" s="121">
        <f t="shared" si="161"/>
        <v>0</v>
      </c>
      <c r="D299" s="137"/>
      <c r="E299" s="67">
        <f t="shared" si="162"/>
        <v>0</v>
      </c>
      <c r="F299" s="280"/>
      <c r="G299" s="137"/>
      <c r="H299" s="280"/>
      <c r="I299" s="137"/>
      <c r="J299" s="67">
        <f t="shared" si="163"/>
        <v>0</v>
      </c>
      <c r="K299" s="67"/>
      <c r="L299" s="934"/>
      <c r="M299" s="912"/>
      <c r="N299" s="130">
        <f>W299</f>
        <v>0</v>
      </c>
      <c r="O299" s="137"/>
      <c r="P299" s="67">
        <f t="shared" si="164"/>
        <v>0</v>
      </c>
      <c r="Q299" s="280"/>
      <c r="R299" s="137"/>
      <c r="S299" s="280"/>
      <c r="T299" s="137"/>
      <c r="U299" s="67">
        <f t="shared" si="165"/>
        <v>0</v>
      </c>
      <c r="V299" s="103"/>
      <c r="W299" s="7"/>
      <c r="X299" s="811"/>
      <c r="Y299" s="27"/>
      <c r="Z299" s="27"/>
      <c r="AA299" s="38">
        <f t="shared" ref="AA299:AA302" si="167">AJ299</f>
        <v>0</v>
      </c>
      <c r="AB299" s="7"/>
      <c r="AC299" s="7">
        <f>AA299-AB299</f>
        <v>0</v>
      </c>
      <c r="AD299" s="50"/>
      <c r="AE299" s="7"/>
      <c r="AF299" s="50"/>
      <c r="AG299" s="7"/>
      <c r="AH299" s="7">
        <f t="shared" si="166"/>
        <v>0</v>
      </c>
      <c r="AI299" s="27"/>
      <c r="AJ299" s="7">
        <v>0</v>
      </c>
      <c r="AK299" s="855"/>
      <c r="AL299" s="27"/>
      <c r="AM299" s="95"/>
      <c r="AN299" s="38">
        <v>0</v>
      </c>
    </row>
    <row r="300" spans="1:40">
      <c r="A300" s="14"/>
      <c r="B300" s="66" t="s">
        <v>226</v>
      </c>
      <c r="C300" s="121">
        <f t="shared" si="161"/>
        <v>0</v>
      </c>
      <c r="D300" s="137"/>
      <c r="E300" s="67">
        <f t="shared" si="162"/>
        <v>0</v>
      </c>
      <c r="F300" s="280"/>
      <c r="G300" s="137"/>
      <c r="H300" s="280"/>
      <c r="I300" s="137"/>
      <c r="J300" s="67">
        <f t="shared" si="163"/>
        <v>0</v>
      </c>
      <c r="K300" s="67"/>
      <c r="L300" s="934"/>
      <c r="M300" s="912"/>
      <c r="N300" s="130">
        <f>W300</f>
        <v>0</v>
      </c>
      <c r="O300" s="137"/>
      <c r="P300" s="67">
        <f t="shared" si="164"/>
        <v>0</v>
      </c>
      <c r="Q300" s="280"/>
      <c r="R300" s="137"/>
      <c r="S300" s="280"/>
      <c r="T300" s="137"/>
      <c r="U300" s="67">
        <f t="shared" si="165"/>
        <v>0</v>
      </c>
      <c r="V300" s="103"/>
      <c r="W300" s="7"/>
      <c r="X300" s="811"/>
      <c r="Y300" s="27"/>
      <c r="Z300" s="27"/>
      <c r="AA300" s="38">
        <f t="shared" si="167"/>
        <v>3403633336</v>
      </c>
      <c r="AB300" s="7"/>
      <c r="AC300" s="7">
        <f t="shared" ref="AC300:AC303" si="168">AA300-AB300</f>
        <v>3403633336</v>
      </c>
      <c r="AD300" s="50"/>
      <c r="AE300" s="7"/>
      <c r="AF300" s="50"/>
      <c r="AG300" s="7"/>
      <c r="AH300" s="7">
        <f t="shared" si="166"/>
        <v>3403633336</v>
      </c>
      <c r="AI300" s="27"/>
      <c r="AJ300" s="7">
        <v>3403633336</v>
      </c>
      <c r="AK300" s="855">
        <v>3403633336</v>
      </c>
      <c r="AL300" s="27"/>
      <c r="AM300" s="95"/>
      <c r="AN300" s="38">
        <v>6807266668</v>
      </c>
    </row>
    <row r="301" spans="1:40">
      <c r="A301" s="14"/>
      <c r="B301" s="66" t="s">
        <v>227</v>
      </c>
      <c r="C301" s="121">
        <f t="shared" si="161"/>
        <v>0</v>
      </c>
      <c r="D301" s="137"/>
      <c r="E301" s="67">
        <f t="shared" si="162"/>
        <v>0</v>
      </c>
      <c r="F301" s="280"/>
      <c r="G301" s="137"/>
      <c r="H301" s="280"/>
      <c r="I301" s="137"/>
      <c r="J301" s="67">
        <f t="shared" si="163"/>
        <v>0</v>
      </c>
      <c r="K301" s="67"/>
      <c r="L301" s="934"/>
      <c r="M301" s="912"/>
      <c r="N301" s="130">
        <f>W301</f>
        <v>0</v>
      </c>
      <c r="O301" s="137"/>
      <c r="P301" s="67">
        <f t="shared" si="164"/>
        <v>0</v>
      </c>
      <c r="Q301" s="280"/>
      <c r="R301" s="137"/>
      <c r="S301" s="280"/>
      <c r="T301" s="137"/>
      <c r="U301" s="67">
        <f t="shared" si="165"/>
        <v>0</v>
      </c>
      <c r="V301" s="103"/>
      <c r="W301" s="7"/>
      <c r="X301" s="811">
        <v>0</v>
      </c>
      <c r="Y301" s="27"/>
      <c r="Z301" s="27"/>
      <c r="AA301" s="38">
        <f t="shared" si="167"/>
        <v>0</v>
      </c>
      <c r="AB301" s="7"/>
      <c r="AC301" s="7">
        <f t="shared" si="168"/>
        <v>0</v>
      </c>
      <c r="AD301" s="50"/>
      <c r="AE301" s="7"/>
      <c r="AF301" s="50"/>
      <c r="AG301" s="7"/>
      <c r="AH301" s="7">
        <f t="shared" si="166"/>
        <v>0</v>
      </c>
      <c r="AI301" s="27"/>
      <c r="AJ301" s="7">
        <v>0</v>
      </c>
      <c r="AK301" s="855"/>
      <c r="AL301" s="27"/>
      <c r="AM301" s="95"/>
      <c r="AN301" s="62">
        <v>0</v>
      </c>
    </row>
    <row r="302" spans="1:40">
      <c r="A302" s="14"/>
      <c r="B302" s="14" t="s">
        <v>217</v>
      </c>
      <c r="C302" s="121">
        <f t="shared" si="161"/>
        <v>0</v>
      </c>
      <c r="D302" s="67"/>
      <c r="E302" s="67">
        <f t="shared" si="162"/>
        <v>0</v>
      </c>
      <c r="F302" s="280"/>
      <c r="G302" s="67"/>
      <c r="H302" s="280"/>
      <c r="I302" s="67"/>
      <c r="J302" s="67">
        <f t="shared" si="163"/>
        <v>0</v>
      </c>
      <c r="K302" s="67"/>
      <c r="L302" s="934"/>
      <c r="M302" s="912"/>
      <c r="N302" s="130">
        <f>W302</f>
        <v>0</v>
      </c>
      <c r="O302" s="67"/>
      <c r="P302" s="67">
        <f t="shared" si="164"/>
        <v>0</v>
      </c>
      <c r="Q302" s="280"/>
      <c r="R302" s="67"/>
      <c r="S302" s="280"/>
      <c r="T302" s="67"/>
      <c r="U302" s="67">
        <f t="shared" si="165"/>
        <v>0</v>
      </c>
      <c r="V302" s="103"/>
      <c r="W302" s="7"/>
      <c r="X302" s="811"/>
      <c r="Y302" s="27"/>
      <c r="Z302" s="27"/>
      <c r="AA302" s="38">
        <f t="shared" si="167"/>
        <v>0</v>
      </c>
      <c r="AB302" s="7"/>
      <c r="AC302" s="7">
        <f t="shared" si="168"/>
        <v>0</v>
      </c>
      <c r="AD302" s="50"/>
      <c r="AE302" s="7"/>
      <c r="AF302" s="50"/>
      <c r="AG302" s="7"/>
      <c r="AH302" s="7">
        <f t="shared" si="166"/>
        <v>0</v>
      </c>
      <c r="AI302" s="27"/>
      <c r="AJ302" s="7">
        <v>0</v>
      </c>
      <c r="AK302" s="855"/>
      <c r="AL302" s="27"/>
      <c r="AM302" s="95"/>
      <c r="AN302" s="38">
        <v>0</v>
      </c>
    </row>
    <row r="303" spans="1:40">
      <c r="A303" s="14"/>
      <c r="B303" s="14"/>
      <c r="C303" s="130"/>
      <c r="D303" s="67"/>
      <c r="E303" s="67">
        <f t="shared" si="162"/>
        <v>0</v>
      </c>
      <c r="F303" s="280"/>
      <c r="G303" s="67"/>
      <c r="H303" s="280"/>
      <c r="I303" s="67"/>
      <c r="J303" s="67">
        <f t="shared" si="163"/>
        <v>0</v>
      </c>
      <c r="K303" s="67"/>
      <c r="L303" s="934"/>
      <c r="M303" s="912"/>
      <c r="N303" s="130"/>
      <c r="O303" s="67"/>
      <c r="P303" s="67">
        <f t="shared" si="164"/>
        <v>0</v>
      </c>
      <c r="Q303" s="280"/>
      <c r="R303" s="67"/>
      <c r="S303" s="280"/>
      <c r="T303" s="67"/>
      <c r="U303" s="67">
        <f t="shared" si="165"/>
        <v>0</v>
      </c>
      <c r="V303" s="103"/>
      <c r="W303" s="7"/>
      <c r="X303" s="811">
        <v>0</v>
      </c>
      <c r="Y303" s="27"/>
      <c r="Z303" s="27"/>
      <c r="AA303" s="7"/>
      <c r="AB303" s="7"/>
      <c r="AC303" s="7">
        <f t="shared" si="168"/>
        <v>0</v>
      </c>
      <c r="AD303" s="50"/>
      <c r="AE303" s="7"/>
      <c r="AF303" s="50"/>
      <c r="AG303" s="7"/>
      <c r="AH303" s="7">
        <f t="shared" si="166"/>
        <v>0</v>
      </c>
      <c r="AI303" s="27"/>
      <c r="AJ303" s="7"/>
      <c r="AK303" s="855">
        <v>0</v>
      </c>
      <c r="AL303" s="27"/>
      <c r="AM303" s="95"/>
      <c r="AN303" s="38"/>
    </row>
    <row r="304" spans="1:40">
      <c r="A304" s="20"/>
      <c r="B304" s="20" t="s">
        <v>228</v>
      </c>
      <c r="C304" s="21">
        <f>SUM(C295:C303)</f>
        <v>0</v>
      </c>
      <c r="D304" s="42"/>
      <c r="E304" s="21">
        <f>SUM(E295:E303)</f>
        <v>0</v>
      </c>
      <c r="F304" s="281"/>
      <c r="G304" s="42"/>
      <c r="H304" s="281"/>
      <c r="I304" s="42"/>
      <c r="J304" s="21">
        <f>SUM(J295:J303)</f>
        <v>0</v>
      </c>
      <c r="K304" s="21"/>
      <c r="L304" s="797"/>
      <c r="M304" s="913"/>
      <c r="N304" s="21">
        <f>SUM(N295:N303)</f>
        <v>0</v>
      </c>
      <c r="O304" s="42"/>
      <c r="P304" s="21">
        <f>SUM(P295:P303)</f>
        <v>0</v>
      </c>
      <c r="Q304" s="281"/>
      <c r="R304" s="42"/>
      <c r="S304" s="281"/>
      <c r="T304" s="42"/>
      <c r="U304" s="21">
        <f>SUM(U295:U303)</f>
        <v>0</v>
      </c>
      <c r="V304" s="442"/>
      <c r="W304" s="21">
        <f>SUM(W295:W303)</f>
        <v>0</v>
      </c>
      <c r="X304" s="795">
        <v>0</v>
      </c>
      <c r="Y304" s="36"/>
      <c r="Z304" s="36"/>
      <c r="AA304" s="21">
        <f>SUM(AA295:AA303)</f>
        <v>3479993359</v>
      </c>
      <c r="AB304" s="21"/>
      <c r="AC304" s="21">
        <f>SUM(AC295:AC303)</f>
        <v>3479993359</v>
      </c>
      <c r="AD304" s="387"/>
      <c r="AE304" s="21"/>
      <c r="AF304" s="387"/>
      <c r="AG304" s="21"/>
      <c r="AH304" s="21">
        <f>SUM(AH295:AH303)</f>
        <v>3479993359</v>
      </c>
      <c r="AI304" s="36"/>
      <c r="AJ304" s="21">
        <f>SUM(AJ294:AJ303)</f>
        <v>3479993359</v>
      </c>
      <c r="AK304" s="843">
        <v>3479993359</v>
      </c>
      <c r="AL304" s="36">
        <f>AJ304-AK304</f>
        <v>0</v>
      </c>
      <c r="AM304" s="95"/>
      <c r="AN304" s="21">
        <f>SUM(AN294:AN303)</f>
        <v>6807266668</v>
      </c>
    </row>
    <row r="305" spans="1:40">
      <c r="A305" s="99"/>
      <c r="B305" s="99" t="s">
        <v>229</v>
      </c>
      <c r="C305" s="98">
        <f>C304+C292</f>
        <v>2647745936</v>
      </c>
      <c r="D305" s="133"/>
      <c r="E305" s="98">
        <f>E304+E292</f>
        <v>2647745936</v>
      </c>
      <c r="F305" s="289"/>
      <c r="G305" s="133"/>
      <c r="H305" s="289"/>
      <c r="I305" s="133"/>
      <c r="J305" s="98">
        <f>J304+J292</f>
        <v>2647745936</v>
      </c>
      <c r="K305" s="98"/>
      <c r="L305" s="797"/>
      <c r="M305" s="924"/>
      <c r="N305" s="98">
        <f>N304+N292</f>
        <v>2647745936</v>
      </c>
      <c r="O305" s="133"/>
      <c r="P305" s="98">
        <f>P304+P292</f>
        <v>2647745936</v>
      </c>
      <c r="Q305" s="289"/>
      <c r="R305" s="133"/>
      <c r="S305" s="289"/>
      <c r="T305" s="133"/>
      <c r="U305" s="98">
        <f>U304+U292</f>
        <v>2857433432</v>
      </c>
      <c r="V305" s="450"/>
      <c r="W305" s="98">
        <f>W304+W292</f>
        <v>2647745936</v>
      </c>
      <c r="X305" s="814">
        <v>2647745936</v>
      </c>
      <c r="Y305" s="36">
        <f>W305-X305</f>
        <v>0</v>
      </c>
      <c r="Z305" s="36"/>
      <c r="AA305" s="98">
        <f>AA304+AA292</f>
        <v>5842776884</v>
      </c>
      <c r="AB305" s="98"/>
      <c r="AC305" s="98">
        <f>AC304+AC292</f>
        <v>5842776884</v>
      </c>
      <c r="AD305" s="397"/>
      <c r="AE305" s="98"/>
      <c r="AF305" s="397"/>
      <c r="AG305" s="98"/>
      <c r="AH305" s="98">
        <f>AH304+AH292</f>
        <v>5924491099</v>
      </c>
      <c r="AI305" s="36"/>
      <c r="AJ305" s="98">
        <f>AJ304+AJ292</f>
        <v>5842776884</v>
      </c>
      <c r="AK305" s="857">
        <v>5842776884</v>
      </c>
      <c r="AL305" s="36">
        <f>AJ305-AK305</f>
        <v>0</v>
      </c>
      <c r="AM305" s="95"/>
      <c r="AN305" s="98">
        <f>AN304+AN292</f>
        <v>9217800437</v>
      </c>
    </row>
    <row r="306" spans="1:40">
      <c r="A306" s="58"/>
      <c r="B306" s="58" t="s">
        <v>230</v>
      </c>
      <c r="C306" s="59">
        <f>C305+C287</f>
        <v>215717581325.87</v>
      </c>
      <c r="D306" s="138"/>
      <c r="E306" s="59">
        <f>E305+E287</f>
        <v>139989320449.5</v>
      </c>
      <c r="F306" s="290"/>
      <c r="G306" s="138"/>
      <c r="H306" s="290"/>
      <c r="I306" s="138"/>
      <c r="J306" s="59">
        <f>J305+J287</f>
        <v>168961882803.88</v>
      </c>
      <c r="K306" s="59"/>
      <c r="L306" s="797"/>
      <c r="M306" s="924"/>
      <c r="N306" s="59">
        <f>N305+N287</f>
        <v>215717581325.87</v>
      </c>
      <c r="O306" s="138"/>
      <c r="P306" s="59">
        <f>P305+P287</f>
        <v>173391601090.5</v>
      </c>
      <c r="Q306" s="290"/>
      <c r="R306" s="138"/>
      <c r="S306" s="290"/>
      <c r="T306" s="138"/>
      <c r="U306" s="59">
        <f>U305+U287</f>
        <v>147589369165.66</v>
      </c>
      <c r="V306" s="450"/>
      <c r="W306" s="59">
        <f>W305+W287</f>
        <v>215717581325.87</v>
      </c>
      <c r="X306" s="814">
        <v>215717581325.87</v>
      </c>
      <c r="Y306" s="36">
        <f>W306-X306</f>
        <v>0</v>
      </c>
      <c r="Z306" s="36"/>
      <c r="AA306" s="59">
        <f>AA305+AA287</f>
        <v>92581323102.169952</v>
      </c>
      <c r="AB306" s="59"/>
      <c r="AC306" s="59">
        <f>AC305+AC287</f>
        <v>205671558018.36264</v>
      </c>
      <c r="AD306" s="398"/>
      <c r="AE306" s="59"/>
      <c r="AF306" s="398"/>
      <c r="AG306" s="59"/>
      <c r="AH306" s="59">
        <f>AH305+AH287</f>
        <v>197122505219</v>
      </c>
      <c r="AI306" s="36"/>
      <c r="AJ306" s="59">
        <f>AJ305+AJ287</f>
        <v>92581323102.169952</v>
      </c>
      <c r="AK306" s="857">
        <v>92581323102.169937</v>
      </c>
      <c r="AL306" s="36">
        <f>AJ306-AK306</f>
        <v>0</v>
      </c>
      <c r="AM306" s="95"/>
      <c r="AN306" s="59">
        <f>AN305+AN287</f>
        <v>75205954198.359924</v>
      </c>
    </row>
    <row r="307" spans="1:40">
      <c r="A307" s="12" t="s">
        <v>231</v>
      </c>
      <c r="B307" s="14"/>
      <c r="C307" s="67"/>
      <c r="D307" s="67"/>
      <c r="E307" s="67"/>
      <c r="F307" s="280"/>
      <c r="G307" s="67"/>
      <c r="H307" s="280"/>
      <c r="I307" s="67"/>
      <c r="J307" s="67"/>
      <c r="K307" s="67"/>
      <c r="L307" s="934"/>
      <c r="M307" s="912"/>
      <c r="N307" s="67"/>
      <c r="O307" s="67"/>
      <c r="P307" s="67"/>
      <c r="Q307" s="280"/>
      <c r="R307" s="67"/>
      <c r="S307" s="280"/>
      <c r="T307" s="67"/>
      <c r="U307" s="67"/>
      <c r="V307" s="103"/>
      <c r="W307" s="7"/>
      <c r="X307" s="815"/>
      <c r="Y307" s="27"/>
      <c r="Z307" s="27"/>
      <c r="AA307" s="7"/>
      <c r="AB307" s="7"/>
      <c r="AC307" s="7"/>
      <c r="AD307" s="50"/>
      <c r="AE307" s="7"/>
      <c r="AF307" s="50"/>
      <c r="AG307" s="7"/>
      <c r="AH307" s="7"/>
      <c r="AI307" s="27"/>
      <c r="AJ307" s="7"/>
      <c r="AK307" s="858"/>
      <c r="AL307" s="27"/>
      <c r="AM307" s="95"/>
      <c r="AN307" s="7"/>
    </row>
    <row r="308" spans="1:40">
      <c r="A308" s="12" t="s">
        <v>996</v>
      </c>
      <c r="B308" s="14"/>
      <c r="C308" s="67"/>
      <c r="D308" s="67"/>
      <c r="E308" s="67"/>
      <c r="F308" s="280"/>
      <c r="G308" s="67"/>
      <c r="H308" s="280"/>
      <c r="I308" s="67"/>
      <c r="J308" s="67"/>
      <c r="K308" s="67"/>
      <c r="L308" s="934"/>
      <c r="M308" s="912"/>
      <c r="N308" s="67"/>
      <c r="O308" s="67"/>
      <c r="P308" s="67"/>
      <c r="Q308" s="280"/>
      <c r="R308" s="67"/>
      <c r="S308" s="280"/>
      <c r="T308" s="67"/>
      <c r="U308" s="67"/>
      <c r="V308" s="103"/>
      <c r="W308" s="7"/>
      <c r="X308" s="790"/>
      <c r="Y308" s="27"/>
      <c r="Z308" s="27"/>
      <c r="AA308" s="7"/>
      <c r="AB308" s="7"/>
      <c r="AC308" s="7"/>
      <c r="AD308" s="50"/>
      <c r="AE308" s="7"/>
      <c r="AF308" s="50"/>
      <c r="AG308" s="7"/>
      <c r="AH308" s="7"/>
      <c r="AI308" s="27"/>
      <c r="AJ308" s="7"/>
      <c r="AK308" s="837"/>
      <c r="AL308" s="27"/>
      <c r="AM308" s="95"/>
      <c r="AN308" s="7"/>
    </row>
    <row r="309" spans="1:40">
      <c r="A309" s="34"/>
      <c r="B309" s="14" t="s">
        <v>232</v>
      </c>
      <c r="C309" s="121">
        <f t="shared" ref="C309" si="169">W309</f>
        <v>40000000000</v>
      </c>
      <c r="D309" s="67">
        <v>-15000000000</v>
      </c>
      <c r="E309" s="67">
        <f>C309-D309</f>
        <v>55000000000</v>
      </c>
      <c r="F309" s="280"/>
      <c r="G309" s="67"/>
      <c r="H309" s="280"/>
      <c r="I309" s="67"/>
      <c r="J309" s="67">
        <f>E309-G309+I309</f>
        <v>55000000000</v>
      </c>
      <c r="K309" s="67"/>
      <c r="L309" s="934"/>
      <c r="M309" s="912"/>
      <c r="N309" s="130">
        <f>W309</f>
        <v>40000000000</v>
      </c>
      <c r="O309" s="67">
        <v>-15000000000</v>
      </c>
      <c r="P309" s="67">
        <f>N309-O309</f>
        <v>55000000000</v>
      </c>
      <c r="Q309" s="280"/>
      <c r="R309" s="67"/>
      <c r="S309" s="280"/>
      <c r="T309" s="67"/>
      <c r="U309" s="67">
        <f>P309-R309+T309</f>
        <v>55000000000</v>
      </c>
      <c r="V309" s="103"/>
      <c r="W309" s="7">
        <v>40000000000</v>
      </c>
      <c r="X309" s="811">
        <v>40000000000</v>
      </c>
      <c r="Y309" s="27">
        <f>W309-X309</f>
        <v>0</v>
      </c>
      <c r="Z309" s="27"/>
      <c r="AA309" s="7">
        <f>AJ309</f>
        <v>40000000000</v>
      </c>
      <c r="AB309" s="7"/>
      <c r="AC309" s="7">
        <f t="shared" ref="AC309" si="170">AA309-AB309</f>
        <v>40000000000</v>
      </c>
      <c r="AD309" s="50"/>
      <c r="AE309" s="7"/>
      <c r="AF309" s="50"/>
      <c r="AG309" s="7"/>
      <c r="AH309" s="7">
        <f t="shared" ref="AH309" si="171">ROUND(AC309-AE309+AG309,0)</f>
        <v>40000000000</v>
      </c>
      <c r="AI309" s="27"/>
      <c r="AJ309" s="7">
        <v>40000000000</v>
      </c>
      <c r="AK309" s="855">
        <v>40000000000</v>
      </c>
      <c r="AL309" s="27">
        <f>AJ309-AK309</f>
        <v>0</v>
      </c>
      <c r="AM309" s="95"/>
      <c r="AN309" s="38">
        <v>40000000000</v>
      </c>
    </row>
    <row r="310" spans="1:40">
      <c r="A310" s="34"/>
      <c r="B310" s="14" t="s">
        <v>991</v>
      </c>
      <c r="C310" s="67"/>
      <c r="D310" s="67">
        <v>-14500000000</v>
      </c>
      <c r="E310" s="67">
        <f>C310-D310</f>
        <v>14500000000</v>
      </c>
      <c r="F310" s="280"/>
      <c r="G310" s="67"/>
      <c r="H310" s="280"/>
      <c r="I310" s="67"/>
      <c r="J310" s="513">
        <f>E310-G310+I310</f>
        <v>14500000000</v>
      </c>
      <c r="K310" s="513"/>
      <c r="L310" s="934"/>
      <c r="M310" s="912"/>
      <c r="N310" s="67"/>
      <c r="O310" s="67">
        <v>-14500000000</v>
      </c>
      <c r="P310" s="67">
        <f>N310-O310</f>
        <v>14500000000</v>
      </c>
      <c r="Q310" s="280"/>
      <c r="R310" s="67"/>
      <c r="S310" s="280"/>
      <c r="T310" s="67"/>
      <c r="U310" s="513">
        <f>P310-R310+T310</f>
        <v>14500000000</v>
      </c>
      <c r="V310" s="103"/>
      <c r="W310" s="7"/>
      <c r="X310" s="811"/>
      <c r="Y310" s="27"/>
      <c r="Z310" s="27"/>
      <c r="AA310" s="7"/>
      <c r="AB310" s="7"/>
      <c r="AC310" s="7"/>
      <c r="AD310" s="50"/>
      <c r="AE310" s="7"/>
      <c r="AF310" s="50"/>
      <c r="AG310" s="7"/>
      <c r="AH310" s="7"/>
      <c r="AI310" s="27"/>
      <c r="AJ310" s="7"/>
      <c r="AK310" s="855"/>
      <c r="AL310" s="27"/>
      <c r="AM310" s="95"/>
      <c r="AN310" s="38"/>
    </row>
    <row r="311" spans="1:40">
      <c r="A311" s="34"/>
      <c r="B311" s="14" t="s">
        <v>399</v>
      </c>
      <c r="C311" s="121">
        <f t="shared" ref="C311" si="172">W311</f>
        <v>25871690669</v>
      </c>
      <c r="D311" s="67"/>
      <c r="E311" s="67">
        <f>C311-D311</f>
        <v>25871690669</v>
      </c>
      <c r="F311" s="280"/>
      <c r="G311" s="67"/>
      <c r="H311" s="280"/>
      <c r="I311" s="67"/>
      <c r="J311" s="67">
        <f>E311-G311+I311</f>
        <v>25871690669</v>
      </c>
      <c r="K311" s="67"/>
      <c r="L311" s="934"/>
      <c r="M311" s="912"/>
      <c r="N311" s="130">
        <f>W311</f>
        <v>25871690669</v>
      </c>
      <c r="O311" s="67"/>
      <c r="P311" s="67">
        <f>N311-O311</f>
        <v>25871690669</v>
      </c>
      <c r="Q311" s="280"/>
      <c r="R311" s="67"/>
      <c r="S311" s="280"/>
      <c r="T311" s="67"/>
      <c r="U311" s="67">
        <f>P311-R311+T311</f>
        <v>25871690669</v>
      </c>
      <c r="V311" s="103"/>
      <c r="W311" s="7">
        <v>25871690669</v>
      </c>
      <c r="X311" s="811">
        <v>25871690669</v>
      </c>
      <c r="Y311" s="27">
        <f>W311-X311</f>
        <v>0</v>
      </c>
      <c r="Z311" s="27"/>
      <c r="AA311" s="7">
        <f>AJ311</f>
        <v>25871690669</v>
      </c>
      <c r="AB311" s="7"/>
      <c r="AC311" s="7">
        <f t="shared" ref="AC311" si="173">AA311-AB311</f>
        <v>25871690669</v>
      </c>
      <c r="AD311" s="50"/>
      <c r="AE311" s="7"/>
      <c r="AF311" s="50"/>
      <c r="AG311" s="7"/>
      <c r="AH311" s="7">
        <f t="shared" ref="AH311" si="174">ROUND(AC311-AE311+AG311,0)</f>
        <v>25871690669</v>
      </c>
      <c r="AI311" s="27"/>
      <c r="AJ311" s="7">
        <v>25871690669</v>
      </c>
      <c r="AK311" s="855">
        <v>25871690669</v>
      </c>
      <c r="AL311" s="27">
        <f>AJ311-AK311</f>
        <v>0</v>
      </c>
      <c r="AM311" s="95"/>
      <c r="AN311" s="38">
        <v>25871690669</v>
      </c>
    </row>
    <row r="312" spans="1:40">
      <c r="A312" s="12"/>
      <c r="B312" s="14" t="s">
        <v>990</v>
      </c>
      <c r="C312" s="67"/>
      <c r="D312" s="67">
        <v>-58000000000</v>
      </c>
      <c r="E312" s="67">
        <f>C312-D312</f>
        <v>58000000000</v>
      </c>
      <c r="F312" s="280"/>
      <c r="G312" s="67"/>
      <c r="H312" s="280"/>
      <c r="I312" s="67"/>
      <c r="J312" s="513">
        <f>E312-G312+I312</f>
        <v>58000000000</v>
      </c>
      <c r="K312" s="513"/>
      <c r="L312" s="934"/>
      <c r="M312" s="912"/>
      <c r="N312" s="67"/>
      <c r="O312" s="67">
        <v>-58000000000</v>
      </c>
      <c r="P312" s="67">
        <f>N312-O312</f>
        <v>58000000000</v>
      </c>
      <c r="Q312" s="280"/>
      <c r="R312" s="67"/>
      <c r="S312" s="280"/>
      <c r="T312" s="67"/>
      <c r="U312" s="513">
        <f>P312-R312+T312</f>
        <v>58000000000</v>
      </c>
      <c r="V312" s="103"/>
      <c r="W312" s="7"/>
      <c r="X312" s="816"/>
      <c r="Y312" s="27"/>
      <c r="Z312" s="27"/>
      <c r="AA312" s="7"/>
      <c r="AB312" s="7"/>
      <c r="AC312" s="7"/>
      <c r="AD312" s="50"/>
      <c r="AE312" s="7"/>
      <c r="AF312" s="50"/>
      <c r="AG312" s="7"/>
      <c r="AH312" s="7"/>
      <c r="AI312" s="27"/>
      <c r="AJ312" s="7"/>
      <c r="AK312" s="859"/>
      <c r="AL312" s="27"/>
      <c r="AM312" s="95"/>
      <c r="AN312" s="7"/>
    </row>
    <row r="313" spans="1:40">
      <c r="A313" s="12"/>
      <c r="B313" s="14" t="s">
        <v>998</v>
      </c>
      <c r="C313" s="67"/>
      <c r="D313" s="67"/>
      <c r="E313" s="67">
        <f>C313+D313</f>
        <v>0</v>
      </c>
      <c r="F313" s="280" t="str">
        <f>'AJE CAJE Des 24'!A29</f>
        <v>CAJE 3</v>
      </c>
      <c r="G313" s="67">
        <f>'AJE CAJE Des 24'!F29</f>
        <v>3115944915</v>
      </c>
      <c r="H313" s="280"/>
      <c r="I313" s="67"/>
      <c r="J313" s="67">
        <f>E313-G313+I313</f>
        <v>-3115944915</v>
      </c>
      <c r="K313" s="67"/>
      <c r="L313" s="934"/>
      <c r="M313" s="912" t="s">
        <v>81</v>
      </c>
      <c r="N313" s="67"/>
      <c r="O313" s="67"/>
      <c r="P313" s="67">
        <f>N313+O313</f>
        <v>0</v>
      </c>
      <c r="Q313" s="280" t="str">
        <f>'AJE CAJE Sept 24'!B94</f>
        <v>ACJE 18</v>
      </c>
      <c r="R313" s="67">
        <f>'AJE CAJE Sept 24'!G94</f>
        <v>3115944915</v>
      </c>
      <c r="S313" s="280"/>
      <c r="T313" s="67"/>
      <c r="U313" s="67">
        <f>P313-R313+T313</f>
        <v>-3115944915</v>
      </c>
      <c r="V313" s="103" t="s">
        <v>81</v>
      </c>
      <c r="W313" s="7"/>
      <c r="X313" s="816"/>
      <c r="Y313" s="27"/>
      <c r="Z313" s="27"/>
      <c r="AA313" s="7"/>
      <c r="AB313" s="7"/>
      <c r="AC313" s="7"/>
      <c r="AD313" s="50"/>
      <c r="AE313" s="7"/>
      <c r="AF313" s="50"/>
      <c r="AG313" s="7"/>
      <c r="AH313" s="7"/>
      <c r="AI313" s="27"/>
      <c r="AJ313" s="7"/>
      <c r="AK313" s="859"/>
      <c r="AL313" s="27"/>
      <c r="AM313" s="95"/>
      <c r="AN313" s="7"/>
    </row>
    <row r="314" spans="1:40">
      <c r="A314" s="20"/>
      <c r="B314" s="20" t="s">
        <v>997</v>
      </c>
      <c r="C314" s="21">
        <f>SUM(C309:C313)</f>
        <v>65871690669</v>
      </c>
      <c r="D314" s="42"/>
      <c r="E314" s="21">
        <f>SUM(E309:E313)</f>
        <v>153371690669</v>
      </c>
      <c r="F314" s="281"/>
      <c r="G314" s="42"/>
      <c r="H314" s="281"/>
      <c r="I314" s="42"/>
      <c r="J314" s="21">
        <f>SUM(J309:J313)</f>
        <v>150255745754</v>
      </c>
      <c r="K314" s="21"/>
      <c r="L314" s="797"/>
      <c r="M314" s="913"/>
      <c r="N314" s="21">
        <f>SUM(N309:N313)</f>
        <v>65871690669</v>
      </c>
      <c r="O314" s="42"/>
      <c r="P314" s="21">
        <f>SUM(P309:P313)</f>
        <v>153371690669</v>
      </c>
      <c r="Q314" s="281"/>
      <c r="R314" s="42"/>
      <c r="S314" s="281"/>
      <c r="T314" s="42"/>
      <c r="U314" s="21">
        <f>SUM(U309:U313)</f>
        <v>150255745754</v>
      </c>
      <c r="V314" s="442"/>
      <c r="W314" s="21">
        <f>SUM(W309:W313)</f>
        <v>65871690669</v>
      </c>
      <c r="X314" s="791">
        <v>65871690669</v>
      </c>
      <c r="Y314" s="27">
        <f>W314-X314</f>
        <v>0</v>
      </c>
      <c r="Z314" s="27"/>
      <c r="AA314" s="21">
        <f>SUM(AA309:AA313)</f>
        <v>65871690669</v>
      </c>
      <c r="AB314" s="21"/>
      <c r="AC314" s="21">
        <f>SUM(AC309:AC313)</f>
        <v>65871690669</v>
      </c>
      <c r="AD314" s="387"/>
      <c r="AE314" s="21"/>
      <c r="AF314" s="387"/>
      <c r="AG314" s="21"/>
      <c r="AH314" s="21">
        <f>SUM(AH309:AH313)</f>
        <v>65871690669</v>
      </c>
      <c r="AI314" s="36"/>
      <c r="AJ314" s="21">
        <f>SUM(AJ309:AJ313)</f>
        <v>65871690669</v>
      </c>
      <c r="AK314" s="838">
        <v>65871690669</v>
      </c>
      <c r="AL314" s="27">
        <f>AJ314-AK314</f>
        <v>0</v>
      </c>
      <c r="AM314" s="95"/>
      <c r="AN314" s="21">
        <f>SUM(AN309:AN313)</f>
        <v>65871690669</v>
      </c>
    </row>
    <row r="315" spans="1:40">
      <c r="A315" s="12" t="s">
        <v>233</v>
      </c>
      <c r="B315" s="14"/>
      <c r="C315" s="67"/>
      <c r="D315" s="67"/>
      <c r="E315" s="67"/>
      <c r="F315" s="280"/>
      <c r="G315" s="67"/>
      <c r="H315" s="280"/>
      <c r="I315" s="67"/>
      <c r="J315" s="67"/>
      <c r="K315" s="67"/>
      <c r="L315" s="934"/>
      <c r="M315" s="912"/>
      <c r="N315" s="67"/>
      <c r="O315" s="67"/>
      <c r="P315" s="67"/>
      <c r="Q315" s="280"/>
      <c r="R315" s="67"/>
      <c r="S315" s="280"/>
      <c r="T315" s="67"/>
      <c r="U315" s="67"/>
      <c r="V315" s="103"/>
      <c r="W315" s="7"/>
      <c r="X315" s="790"/>
      <c r="Y315" s="27"/>
      <c r="Z315" s="27"/>
      <c r="AA315" s="7"/>
      <c r="AB315" s="7"/>
      <c r="AC315" s="7"/>
      <c r="AD315" s="50"/>
      <c r="AE315" s="7"/>
      <c r="AF315" s="50"/>
      <c r="AG315" s="7"/>
      <c r="AH315" s="7"/>
      <c r="AI315" s="27"/>
      <c r="AJ315" s="7"/>
      <c r="AK315" s="837"/>
      <c r="AL315" s="27"/>
      <c r="AM315" s="95"/>
      <c r="AN315" s="7"/>
    </row>
    <row r="316" spans="1:40">
      <c r="A316" s="34"/>
      <c r="B316" s="14" t="s">
        <v>234</v>
      </c>
      <c r="C316" s="121">
        <f t="shared" ref="C316:C317" si="175">W316</f>
        <v>18637502878.645508</v>
      </c>
      <c r="D316" s="67">
        <v>15000000000</v>
      </c>
      <c r="E316" s="67">
        <f>C319-D316</f>
        <v>5037443173.9075432</v>
      </c>
      <c r="F316" s="280"/>
      <c r="G316" s="67"/>
      <c r="H316" s="280"/>
      <c r="I316" s="67"/>
      <c r="J316" s="513">
        <f>E316-G316+I316</f>
        <v>5037443173.9075432</v>
      </c>
      <c r="K316" s="513"/>
      <c r="L316" s="934"/>
      <c r="M316" s="912"/>
      <c r="N316" s="67">
        <f>W316</f>
        <v>18637502878.645508</v>
      </c>
      <c r="O316" s="67">
        <v>15000000000</v>
      </c>
      <c r="P316" s="67">
        <f>N319-O316</f>
        <v>5037443173.9075432</v>
      </c>
      <c r="Q316" s="280"/>
      <c r="R316" s="67"/>
      <c r="S316" s="280"/>
      <c r="T316" s="67"/>
      <c r="U316" s="513">
        <f>P316-R316+T316</f>
        <v>5037443173.9075432</v>
      </c>
      <c r="V316" s="103" t="s">
        <v>992</v>
      </c>
      <c r="W316" s="7">
        <f>AJ319</f>
        <v>18637502878.645508</v>
      </c>
      <c r="X316" s="790">
        <v>18637502878.645538</v>
      </c>
      <c r="Y316" s="27">
        <f>W316-X316</f>
        <v>-3.0517578125E-5</v>
      </c>
      <c r="Z316" s="27"/>
      <c r="AA316" s="7">
        <f>AJ316</f>
        <v>13426333849.186987</v>
      </c>
      <c r="AB316" s="7"/>
      <c r="AC316" s="7">
        <f>AA319-AB316</f>
        <v>18637502878.645508</v>
      </c>
      <c r="AD316" s="50"/>
      <c r="AE316" s="7"/>
      <c r="AF316" s="50"/>
      <c r="AG316" s="7"/>
      <c r="AH316" s="7">
        <f>ROUND(AC316-AE316+AG316,0)</f>
        <v>18637502879</v>
      </c>
      <c r="AI316" s="27"/>
      <c r="AJ316" s="7">
        <f>AN319</f>
        <v>13426333849.186987</v>
      </c>
      <c r="AK316" s="837">
        <v>13426333849.186985</v>
      </c>
      <c r="AL316" s="27">
        <f>AJ316-AK316</f>
        <v>0</v>
      </c>
      <c r="AM316" s="95"/>
      <c r="AN316" s="7">
        <v>10091081878.17313</v>
      </c>
    </row>
    <row r="317" spans="1:40">
      <c r="A317" s="34"/>
      <c r="B317" s="14" t="s">
        <v>235</v>
      </c>
      <c r="C317" s="121">
        <f t="shared" si="175"/>
        <v>1399940295.2620337</v>
      </c>
      <c r="D317" s="67"/>
      <c r="E317" s="67">
        <f>E495</f>
        <v>2218506218.2999992</v>
      </c>
      <c r="F317" s="280"/>
      <c r="G317" s="67"/>
      <c r="H317" s="280"/>
      <c r="I317" s="67"/>
      <c r="J317" s="67">
        <f>J495</f>
        <v>1940658684.440979</v>
      </c>
      <c r="K317" s="67"/>
      <c r="L317" s="934"/>
      <c r="M317" s="912"/>
      <c r="N317" s="67">
        <f>W317</f>
        <v>1399940295.2620337</v>
      </c>
      <c r="O317" s="67"/>
      <c r="P317" s="67">
        <f>P495</f>
        <v>-6376627118.4200001</v>
      </c>
      <c r="Q317" s="280"/>
      <c r="R317" s="67"/>
      <c r="S317" s="280"/>
      <c r="T317" s="67"/>
      <c r="U317" s="67">
        <f>U495</f>
        <v>911387442.3354969</v>
      </c>
      <c r="V317" s="103"/>
      <c r="W317" s="7">
        <f>W495</f>
        <v>1399940295.2620337</v>
      </c>
      <c r="X317" s="798">
        <v>1399940295.2620337</v>
      </c>
      <c r="Y317" s="27">
        <f>W317-X317</f>
        <v>0</v>
      </c>
      <c r="Z317" s="27"/>
      <c r="AA317" s="7">
        <f>AJ317</f>
        <v>5211169029.4585228</v>
      </c>
      <c r="AB317" s="7"/>
      <c r="AC317" s="7">
        <f>AC495</f>
        <v>930144465.02998066</v>
      </c>
      <c r="AD317" s="50"/>
      <c r="AE317" s="7"/>
      <c r="AF317" s="50"/>
      <c r="AG317" s="7"/>
      <c r="AH317" s="7">
        <f>ROUND(AH495,0)</f>
        <v>523153561</v>
      </c>
      <c r="AI317" s="27"/>
      <c r="AJ317" s="7">
        <f>AJ495</f>
        <v>5211169029.4585228</v>
      </c>
      <c r="AK317" s="846">
        <v>5211169029.4585533</v>
      </c>
      <c r="AL317" s="27">
        <f>AJ317-AK317</f>
        <v>-3.0517578125E-5</v>
      </c>
      <c r="AM317" s="95"/>
      <c r="AN317" s="7">
        <f>AN495</f>
        <v>3335251971.0138569</v>
      </c>
    </row>
    <row r="318" spans="1:40">
      <c r="A318" s="34"/>
      <c r="B318" s="67"/>
      <c r="C318" s="67"/>
      <c r="D318" s="67"/>
      <c r="E318" s="67"/>
      <c r="F318" s="280"/>
      <c r="G318" s="67"/>
      <c r="H318" s="280"/>
      <c r="I318" s="67"/>
      <c r="J318" s="67"/>
      <c r="K318" s="67"/>
      <c r="L318" s="934"/>
      <c r="M318" s="912" t="s">
        <v>1208</v>
      </c>
      <c r="N318" s="67"/>
      <c r="O318" s="67"/>
      <c r="P318" s="67"/>
      <c r="Q318" s="280"/>
      <c r="R318" s="67"/>
      <c r="S318" s="280"/>
      <c r="T318" s="67"/>
      <c r="U318" s="67"/>
      <c r="V318" s="103"/>
      <c r="W318" s="7"/>
      <c r="X318" s="790">
        <v>0</v>
      </c>
      <c r="Y318" s="27"/>
      <c r="Z318" s="27"/>
      <c r="AA318" s="7"/>
      <c r="AB318" s="7"/>
      <c r="AC318" s="7"/>
      <c r="AD318" s="50"/>
      <c r="AE318" s="7"/>
      <c r="AF318" s="50"/>
      <c r="AG318" s="7"/>
      <c r="AH318" s="7"/>
      <c r="AI318" s="27"/>
      <c r="AJ318" s="7"/>
      <c r="AK318" s="837">
        <v>0</v>
      </c>
      <c r="AL318" s="27"/>
      <c r="AM318" s="95"/>
      <c r="AN318" s="7"/>
    </row>
    <row r="319" spans="1:40">
      <c r="A319" s="20"/>
      <c r="B319" s="20" t="s">
        <v>236</v>
      </c>
      <c r="C319" s="21">
        <f>SUM(C316:C317)</f>
        <v>20037443173.907543</v>
      </c>
      <c r="D319" s="42"/>
      <c r="E319" s="21">
        <f>SUM(E316:E317)</f>
        <v>7255949392.2075424</v>
      </c>
      <c r="F319" s="281"/>
      <c r="G319" s="42"/>
      <c r="H319" s="281"/>
      <c r="I319" s="42"/>
      <c r="J319" s="21">
        <f>SUM(J316:J317)</f>
        <v>6978101858.3485222</v>
      </c>
      <c r="K319" s="21"/>
      <c r="L319" s="797"/>
      <c r="M319" s="913">
        <f>J316-C319</f>
        <v>-15000000000</v>
      </c>
      <c r="N319" s="21">
        <f>SUM(N316:N317)</f>
        <v>20037443173.907543</v>
      </c>
      <c r="O319" s="42"/>
      <c r="P319" s="21">
        <f>SUM(P316:P317)</f>
        <v>-1339183944.5124569</v>
      </c>
      <c r="Q319" s="281"/>
      <c r="R319" s="42"/>
      <c r="S319" s="281"/>
      <c r="T319" s="42"/>
      <c r="U319" s="21">
        <f>SUM(U316:U317)</f>
        <v>5948830616.2430401</v>
      </c>
      <c r="V319" s="442">
        <f>U316-N319</f>
        <v>-15000000000</v>
      </c>
      <c r="W319" s="21">
        <f>SUM(W316:W317)</f>
        <v>20037443173.907543</v>
      </c>
      <c r="X319" s="791">
        <v>20037443173.907574</v>
      </c>
      <c r="Y319" s="27">
        <f>W319-X319</f>
        <v>-3.0517578125E-5</v>
      </c>
      <c r="Z319" s="27"/>
      <c r="AA319" s="21">
        <f>SUM(AA316:AA317)</f>
        <v>18637502878.645508</v>
      </c>
      <c r="AB319" s="21"/>
      <c r="AC319" s="21">
        <f>SUM(AC316:AC317)</f>
        <v>19567647343.675488</v>
      </c>
      <c r="AD319" s="387"/>
      <c r="AE319" s="21"/>
      <c r="AF319" s="387"/>
      <c r="AG319" s="21"/>
      <c r="AH319" s="21">
        <f>SUM(AH316:AH317)</f>
        <v>19160656440</v>
      </c>
      <c r="AI319" s="36"/>
      <c r="AJ319" s="21">
        <f>SUM(AJ316:AJ317)</f>
        <v>18637502878.645508</v>
      </c>
      <c r="AK319" s="838">
        <v>18637502878.645538</v>
      </c>
      <c r="AL319" s="36">
        <f>AJ319-AK319</f>
        <v>-3.0517578125E-5</v>
      </c>
      <c r="AM319" s="95"/>
      <c r="AN319" s="21">
        <f>SUM(AN316:AN317)</f>
        <v>13426333849.186987</v>
      </c>
    </row>
    <row r="320" spans="1:40">
      <c r="A320" s="12" t="s">
        <v>237</v>
      </c>
      <c r="B320" s="12"/>
      <c r="C320" s="89"/>
      <c r="D320" s="89"/>
      <c r="E320" s="89"/>
      <c r="F320" s="280"/>
      <c r="G320" s="89"/>
      <c r="H320" s="280"/>
      <c r="I320" s="89"/>
      <c r="J320" s="89"/>
      <c r="K320" s="89"/>
      <c r="L320" s="933"/>
      <c r="M320" s="911"/>
      <c r="N320" s="89"/>
      <c r="O320" s="89"/>
      <c r="P320" s="89"/>
      <c r="Q320" s="280"/>
      <c r="R320" s="89"/>
      <c r="S320" s="280"/>
      <c r="T320" s="89"/>
      <c r="U320" s="89"/>
      <c r="V320" s="106"/>
      <c r="W320" s="27"/>
      <c r="X320" s="794"/>
      <c r="Y320" s="27"/>
      <c r="Z320" s="27"/>
      <c r="AA320" s="27"/>
      <c r="AB320" s="27"/>
      <c r="AC320" s="27"/>
      <c r="AD320" s="371"/>
      <c r="AE320" s="27"/>
      <c r="AF320" s="371"/>
      <c r="AG320" s="27"/>
      <c r="AH320" s="27"/>
      <c r="AI320" s="27"/>
      <c r="AJ320" s="27"/>
      <c r="AK320" s="841"/>
      <c r="AL320" s="27"/>
      <c r="AM320" s="95"/>
      <c r="AN320" s="27"/>
    </row>
    <row r="321" spans="1:40">
      <c r="A321" s="34"/>
      <c r="B321" s="26" t="s">
        <v>238</v>
      </c>
      <c r="C321" s="121">
        <f t="shared" ref="C321" si="176">W321</f>
        <v>0</v>
      </c>
      <c r="D321" s="78"/>
      <c r="E321" s="78">
        <f>C321-D321</f>
        <v>0</v>
      </c>
      <c r="F321" s="280"/>
      <c r="G321" s="78"/>
      <c r="H321" s="280"/>
      <c r="I321" s="78"/>
      <c r="J321" s="67">
        <f>E321-G321+I321</f>
        <v>0</v>
      </c>
      <c r="K321" s="67"/>
      <c r="L321" s="934"/>
      <c r="M321" s="912"/>
      <c r="N321" s="67">
        <f>W321</f>
        <v>0</v>
      </c>
      <c r="O321" s="78"/>
      <c r="P321" s="78">
        <f>N321-O321</f>
        <v>0</v>
      </c>
      <c r="Q321" s="280"/>
      <c r="R321" s="78"/>
      <c r="S321" s="280"/>
      <c r="T321" s="78"/>
      <c r="U321" s="67">
        <f>P321-R321+T321</f>
        <v>0</v>
      </c>
      <c r="V321" s="103"/>
      <c r="W321" s="7">
        <v>0</v>
      </c>
      <c r="X321" s="817">
        <v>0</v>
      </c>
      <c r="Y321" s="27"/>
      <c r="Z321" s="27"/>
      <c r="AA321" s="7">
        <f>AJ321</f>
        <v>0</v>
      </c>
      <c r="AB321" s="7"/>
      <c r="AC321" s="7">
        <f>AA321-AB321</f>
        <v>0</v>
      </c>
      <c r="AD321" s="50"/>
      <c r="AE321" s="7"/>
      <c r="AF321" s="50"/>
      <c r="AG321" s="7"/>
      <c r="AH321" s="7">
        <f>ROUND(AC321-AE321+AG321,0)</f>
        <v>0</v>
      </c>
      <c r="AI321" s="27"/>
      <c r="AJ321" s="7">
        <v>0</v>
      </c>
      <c r="AK321" s="8">
        <v>0</v>
      </c>
      <c r="AL321" s="27"/>
      <c r="AM321" s="95"/>
      <c r="AN321" s="8">
        <v>0</v>
      </c>
    </row>
    <row r="322" spans="1:40">
      <c r="A322" s="20"/>
      <c r="B322" s="20" t="s">
        <v>239</v>
      </c>
      <c r="C322" s="21">
        <v>0</v>
      </c>
      <c r="D322" s="42"/>
      <c r="E322" s="21">
        <v>0</v>
      </c>
      <c r="F322" s="281"/>
      <c r="G322" s="42"/>
      <c r="H322" s="281"/>
      <c r="I322" s="42"/>
      <c r="J322" s="21">
        <v>0</v>
      </c>
      <c r="K322" s="21"/>
      <c r="L322" s="797"/>
      <c r="M322" s="913"/>
      <c r="N322" s="21">
        <v>0</v>
      </c>
      <c r="O322" s="42"/>
      <c r="P322" s="21">
        <v>0</v>
      </c>
      <c r="Q322" s="281"/>
      <c r="R322" s="42"/>
      <c r="S322" s="281"/>
      <c r="T322" s="42"/>
      <c r="U322" s="21">
        <v>0</v>
      </c>
      <c r="V322" s="442"/>
      <c r="W322" s="21">
        <v>0</v>
      </c>
      <c r="X322" s="791">
        <v>0</v>
      </c>
      <c r="Y322" s="36">
        <f>W322-X322</f>
        <v>0</v>
      </c>
      <c r="Z322" s="36"/>
      <c r="AA322" s="21">
        <v>0</v>
      </c>
      <c r="AB322" s="21"/>
      <c r="AC322" s="21">
        <v>0</v>
      </c>
      <c r="AD322" s="387"/>
      <c r="AE322" s="21"/>
      <c r="AF322" s="387"/>
      <c r="AG322" s="21"/>
      <c r="AH322" s="21">
        <v>0</v>
      </c>
      <c r="AI322" s="36"/>
      <c r="AJ322" s="21">
        <v>0</v>
      </c>
      <c r="AK322" s="838">
        <v>0</v>
      </c>
      <c r="AL322" s="36"/>
      <c r="AM322" s="95"/>
      <c r="AN322" s="21">
        <v>0</v>
      </c>
    </row>
    <row r="323" spans="1:40">
      <c r="A323" s="12" t="s">
        <v>240</v>
      </c>
      <c r="B323" s="12"/>
      <c r="C323" s="89"/>
      <c r="D323" s="89"/>
      <c r="E323" s="89"/>
      <c r="F323" s="280"/>
      <c r="G323" s="89"/>
      <c r="H323" s="280"/>
      <c r="I323" s="89"/>
      <c r="J323" s="89"/>
      <c r="K323" s="89"/>
      <c r="L323" s="933"/>
      <c r="M323" s="911"/>
      <c r="N323" s="89"/>
      <c r="O323" s="89"/>
      <c r="P323" s="89"/>
      <c r="Q323" s="280"/>
      <c r="R323" s="89"/>
      <c r="S323" s="280"/>
      <c r="T323" s="89"/>
      <c r="U323" s="89"/>
      <c r="V323" s="106"/>
      <c r="W323" s="27"/>
      <c r="X323" s="794"/>
      <c r="Y323" s="27"/>
      <c r="Z323" s="27"/>
      <c r="AA323" s="27"/>
      <c r="AB323" s="27"/>
      <c r="AC323" s="27"/>
      <c r="AD323" s="371"/>
      <c r="AE323" s="27"/>
      <c r="AF323" s="371"/>
      <c r="AG323" s="27"/>
      <c r="AH323" s="27"/>
      <c r="AI323" s="27"/>
      <c r="AJ323" s="27"/>
      <c r="AK323" s="841"/>
      <c r="AL323" s="27"/>
      <c r="AM323" s="95"/>
      <c r="AN323" s="27"/>
    </row>
    <row r="324" spans="1:40">
      <c r="A324" s="14"/>
      <c r="B324" s="14" t="s">
        <v>241</v>
      </c>
      <c r="C324" s="121">
        <f t="shared" ref="C324:C325" si="177">W324</f>
        <v>-4195684.74</v>
      </c>
      <c r="D324" s="67"/>
      <c r="E324" s="78">
        <f>C324-D324</f>
        <v>-4195684.74</v>
      </c>
      <c r="F324" s="280"/>
      <c r="G324" s="67"/>
      <c r="H324" s="280"/>
      <c r="I324" s="67"/>
      <c r="J324" s="67">
        <f>E324-G324+I324</f>
        <v>-4195684.74</v>
      </c>
      <c r="K324" s="67"/>
      <c r="L324" s="934"/>
      <c r="M324" s="912"/>
      <c r="N324" s="67">
        <f>W324</f>
        <v>-4195684.74</v>
      </c>
      <c r="O324" s="67"/>
      <c r="P324" s="78">
        <f>N324-O324</f>
        <v>-4195684.74</v>
      </c>
      <c r="Q324" s="280"/>
      <c r="R324" s="67"/>
      <c r="S324" s="280"/>
      <c r="T324" s="67"/>
      <c r="U324" s="67">
        <f>P324-R324+T324</f>
        <v>-4195684.74</v>
      </c>
      <c r="V324" s="103"/>
      <c r="W324" s="7">
        <v>-4195684.74</v>
      </c>
      <c r="X324" s="817">
        <v>-4195684.74</v>
      </c>
      <c r="Y324" s="36">
        <f t="shared" ref="Y324:Y329" si="178">W324-X324</f>
        <v>0</v>
      </c>
      <c r="Z324" s="36"/>
      <c r="AA324" s="7">
        <f>AJ324</f>
        <v>0</v>
      </c>
      <c r="AB324" s="7"/>
      <c r="AC324" s="7">
        <f t="shared" ref="AC324:AC325" si="179">AA324-AB324</f>
        <v>0</v>
      </c>
      <c r="AD324" s="50"/>
      <c r="AE324" s="7"/>
      <c r="AF324" s="50"/>
      <c r="AG324" s="7"/>
      <c r="AH324" s="7">
        <f t="shared" ref="AH324:AH325" si="180">ROUND(AC324-AE324+AG324,0)</f>
        <v>0</v>
      </c>
      <c r="AI324" s="27"/>
      <c r="AJ324" s="7">
        <v>0</v>
      </c>
      <c r="AK324" s="8">
        <v>0</v>
      </c>
      <c r="AL324" s="27"/>
      <c r="AM324" s="95"/>
      <c r="AN324" s="8">
        <v>0</v>
      </c>
    </row>
    <row r="325" spans="1:40">
      <c r="A325" s="34"/>
      <c r="B325" s="14" t="s">
        <v>242</v>
      </c>
      <c r="C325" s="121">
        <f t="shared" si="177"/>
        <v>-478590506</v>
      </c>
      <c r="D325" s="67"/>
      <c r="E325" s="78">
        <f>C325-D325</f>
        <v>-478590506</v>
      </c>
      <c r="F325" s="280"/>
      <c r="G325" s="67"/>
      <c r="H325" s="280"/>
      <c r="I325" s="67"/>
      <c r="J325" s="67">
        <f>E325-G325+I325</f>
        <v>-478590506</v>
      </c>
      <c r="K325" s="67"/>
      <c r="L325" s="934"/>
      <c r="M325" s="912"/>
      <c r="N325" s="67">
        <f>W325</f>
        <v>-478590506</v>
      </c>
      <c r="O325" s="67"/>
      <c r="P325" s="78">
        <f>N325-O325</f>
        <v>-478590506</v>
      </c>
      <c r="Q325" s="280"/>
      <c r="R325" s="67"/>
      <c r="S325" s="280"/>
      <c r="T325" s="67"/>
      <c r="U325" s="67">
        <f>P325-R325+T325</f>
        <v>-478590506</v>
      </c>
      <c r="V325" s="103"/>
      <c r="W325" s="7">
        <v>-478590506</v>
      </c>
      <c r="X325" s="817">
        <v>-478590506</v>
      </c>
      <c r="Y325" s="36">
        <f t="shared" si="178"/>
        <v>0</v>
      </c>
      <c r="Z325" s="36"/>
      <c r="AA325" s="7">
        <f>AJ325</f>
        <v>-478590506.00000006</v>
      </c>
      <c r="AB325" s="7"/>
      <c r="AC325" s="7">
        <f t="shared" si="179"/>
        <v>-478590506.00000006</v>
      </c>
      <c r="AD325" s="50"/>
      <c r="AE325" s="7"/>
      <c r="AF325" s="50"/>
      <c r="AG325" s="7"/>
      <c r="AH325" s="7">
        <f t="shared" si="180"/>
        <v>-478590506</v>
      </c>
      <c r="AI325" s="27"/>
      <c r="AJ325" s="7">
        <v>-478590506.00000006</v>
      </c>
      <c r="AK325" s="860">
        <v>-478590506.00000006</v>
      </c>
      <c r="AL325" s="36">
        <f>AJ325-AK325</f>
        <v>0</v>
      </c>
      <c r="AM325" s="95"/>
      <c r="AN325" s="27">
        <v>-600818480.18000007</v>
      </c>
    </row>
    <row r="326" spans="1:40">
      <c r="A326" s="20"/>
      <c r="B326" s="20" t="s">
        <v>243</v>
      </c>
      <c r="C326" s="21">
        <f>SUM(C324:C325)</f>
        <v>-482786190.74000001</v>
      </c>
      <c r="D326" s="42"/>
      <c r="E326" s="21">
        <f>SUM(E324:E325)</f>
        <v>-482786190.74000001</v>
      </c>
      <c r="F326" s="281"/>
      <c r="G326" s="42"/>
      <c r="H326" s="281"/>
      <c r="I326" s="42"/>
      <c r="J326" s="21">
        <f>SUM(J324:J325)</f>
        <v>-482786190.74000001</v>
      </c>
      <c r="K326" s="21"/>
      <c r="L326" s="797"/>
      <c r="M326" s="913"/>
      <c r="N326" s="21">
        <f>SUM(N324:N325)</f>
        <v>-482786190.74000001</v>
      </c>
      <c r="O326" s="42"/>
      <c r="P326" s="21">
        <f>SUM(P324:P325)</f>
        <v>-482786190.74000001</v>
      </c>
      <c r="Q326" s="281"/>
      <c r="R326" s="42"/>
      <c r="S326" s="281"/>
      <c r="T326" s="42"/>
      <c r="U326" s="21">
        <f>SUM(U324:U325)</f>
        <v>-482786190.74000001</v>
      </c>
      <c r="V326" s="442"/>
      <c r="W326" s="21">
        <f>SUM(W324:W325)</f>
        <v>-482786190.74000001</v>
      </c>
      <c r="X326" s="795">
        <v>-482786190.74000001</v>
      </c>
      <c r="Y326" s="36">
        <f t="shared" si="178"/>
        <v>0</v>
      </c>
      <c r="Z326" s="36"/>
      <c r="AA326" s="21">
        <f>SUM(AA324:AA325)</f>
        <v>-478590506.00000006</v>
      </c>
      <c r="AB326" s="21"/>
      <c r="AC326" s="21">
        <f>SUM(AC324:AC325)</f>
        <v>-478590506.00000006</v>
      </c>
      <c r="AD326" s="387"/>
      <c r="AE326" s="21"/>
      <c r="AF326" s="387"/>
      <c r="AG326" s="21"/>
      <c r="AH326" s="21">
        <f>SUM(AH324:AH325)</f>
        <v>-478590506</v>
      </c>
      <c r="AI326" s="36"/>
      <c r="AJ326" s="21">
        <f>SUM(AJ324:AJ325)</f>
        <v>-478590506.00000006</v>
      </c>
      <c r="AK326" s="843">
        <v>-478590506.00000006</v>
      </c>
      <c r="AL326" s="36">
        <f>AJ326-AK326</f>
        <v>0</v>
      </c>
      <c r="AM326" s="95"/>
      <c r="AN326" s="21">
        <f>SUM(AN324:AN325)</f>
        <v>-600818480.18000007</v>
      </c>
    </row>
    <row r="327" spans="1:40">
      <c r="A327" s="12"/>
      <c r="B327" s="12"/>
      <c r="C327" s="89"/>
      <c r="D327" s="89"/>
      <c r="E327" s="89"/>
      <c r="F327" s="280"/>
      <c r="G327" s="89"/>
      <c r="H327" s="280"/>
      <c r="I327" s="89"/>
      <c r="J327" s="89"/>
      <c r="K327" s="89"/>
      <c r="L327" s="933"/>
      <c r="M327" s="911"/>
      <c r="N327" s="89"/>
      <c r="O327" s="89"/>
      <c r="P327" s="89"/>
      <c r="Q327" s="280"/>
      <c r="R327" s="89"/>
      <c r="S327" s="280"/>
      <c r="T327" s="89"/>
      <c r="U327" s="89"/>
      <c r="V327" s="106"/>
      <c r="W327" s="68"/>
      <c r="X327" s="818"/>
      <c r="Y327" s="36"/>
      <c r="Z327" s="36"/>
      <c r="AA327" s="68"/>
      <c r="AB327" s="68"/>
      <c r="AC327" s="68"/>
      <c r="AD327" s="50"/>
      <c r="AE327" s="68"/>
      <c r="AF327" s="50"/>
      <c r="AG327" s="68"/>
      <c r="AH327" s="68"/>
      <c r="AI327" s="36"/>
      <c r="AJ327" s="68"/>
      <c r="AK327" s="861"/>
      <c r="AL327" s="36"/>
      <c r="AM327" s="95"/>
      <c r="AN327" s="68"/>
    </row>
    <row r="328" spans="1:40">
      <c r="A328" s="31"/>
      <c r="B328" s="31" t="s">
        <v>244</v>
      </c>
      <c r="C328" s="32">
        <f>C326+C322+C319+C314</f>
        <v>85426347652.167542</v>
      </c>
      <c r="D328" s="119"/>
      <c r="E328" s="32">
        <f>E326+E322+E319+E314</f>
        <v>160144853870.46753</v>
      </c>
      <c r="F328" s="282"/>
      <c r="G328" s="119"/>
      <c r="H328" s="282"/>
      <c r="I328" s="119"/>
      <c r="J328" s="32">
        <f>J326+J322+J319+J314</f>
        <v>156751061421.60852</v>
      </c>
      <c r="K328" s="32"/>
      <c r="L328" s="797"/>
      <c r="M328" s="914"/>
      <c r="N328" s="32">
        <f>N326+N322+N319+N314</f>
        <v>85426347652.167542</v>
      </c>
      <c r="O328" s="119"/>
      <c r="P328" s="32">
        <f>P326+P322+P319+P314</f>
        <v>151549720533.74753</v>
      </c>
      <c r="Q328" s="282"/>
      <c r="R328" s="119"/>
      <c r="S328" s="282"/>
      <c r="T328" s="119"/>
      <c r="U328" s="32">
        <f>U326+U322+U319+U314</f>
        <v>155721790179.50305</v>
      </c>
      <c r="V328" s="443"/>
      <c r="W328" s="32">
        <f>W326+W322+W319+W314</f>
        <v>85426347652.167542</v>
      </c>
      <c r="X328" s="796">
        <v>85426347652.167572</v>
      </c>
      <c r="Y328" s="36">
        <f t="shared" si="178"/>
        <v>0</v>
      </c>
      <c r="Z328" s="36"/>
      <c r="AA328" s="32">
        <f>AA326+AA322+AA319+AA314</f>
        <v>84030603041.645508</v>
      </c>
      <c r="AB328" s="32"/>
      <c r="AC328" s="32">
        <f>AC326+AC322+AC319+AC314</f>
        <v>84960747506.675491</v>
      </c>
      <c r="AD328" s="390"/>
      <c r="AE328" s="32"/>
      <c r="AF328" s="390"/>
      <c r="AG328" s="32"/>
      <c r="AH328" s="32">
        <f>AH326+AH322+AH319+AH314</f>
        <v>84553756603</v>
      </c>
      <c r="AI328" s="36"/>
      <c r="AJ328" s="32">
        <f>AJ326+AJ322+AJ319+AJ314</f>
        <v>84030603041.645508</v>
      </c>
      <c r="AK328" s="844">
        <v>84030603041.645538</v>
      </c>
      <c r="AL328" s="36">
        <f>AJ328-AK328</f>
        <v>0</v>
      </c>
      <c r="AM328" s="95"/>
      <c r="AN328" s="32">
        <f>AN326+AN322+AN319+AN314</f>
        <v>78697206038.006989</v>
      </c>
    </row>
    <row r="329" spans="1:40">
      <c r="A329" s="45"/>
      <c r="B329" s="45" t="s">
        <v>245</v>
      </c>
      <c r="C329" s="46">
        <f>C328+C306</f>
        <v>301143928978.03754</v>
      </c>
      <c r="D329" s="128"/>
      <c r="E329" s="46">
        <f>E328+E306</f>
        <v>300134174319.96753</v>
      </c>
      <c r="F329" s="287"/>
      <c r="G329" s="128"/>
      <c r="H329" s="287"/>
      <c r="I329" s="128"/>
      <c r="J329" s="46">
        <f>J328+J306</f>
        <v>325712944225.48853</v>
      </c>
      <c r="K329" s="46"/>
      <c r="L329" s="937"/>
      <c r="M329" s="922"/>
      <c r="N329" s="46">
        <f>N328+N306</f>
        <v>301143928978.03754</v>
      </c>
      <c r="O329" s="128"/>
      <c r="P329" s="46">
        <f>P328+P306</f>
        <v>324941321624.24756</v>
      </c>
      <c r="Q329" s="287"/>
      <c r="R329" s="128"/>
      <c r="S329" s="287"/>
      <c r="T329" s="128"/>
      <c r="U329" s="46">
        <f>U328+U306</f>
        <v>303311159345.16309</v>
      </c>
      <c r="V329" s="448"/>
      <c r="W329" s="46">
        <f>W328+W306</f>
        <v>301143928978.03754</v>
      </c>
      <c r="X329" s="809">
        <v>301143928978.0376</v>
      </c>
      <c r="Y329" s="36">
        <f t="shared" si="178"/>
        <v>0</v>
      </c>
      <c r="Z329" s="36"/>
      <c r="AA329" s="46">
        <f>AA328+AA306</f>
        <v>176611926143.81546</v>
      </c>
      <c r="AB329" s="46"/>
      <c r="AC329" s="46">
        <f>AC328+AC306</f>
        <v>290632305525.03815</v>
      </c>
      <c r="AD329" s="395"/>
      <c r="AE329" s="46"/>
      <c r="AF329" s="395"/>
      <c r="AG329" s="46"/>
      <c r="AH329" s="46">
        <f>AH328+AH306</f>
        <v>281676261822</v>
      </c>
      <c r="AI329" s="370"/>
      <c r="AJ329" s="46">
        <f>AJ328+AJ306</f>
        <v>176611926143.81546</v>
      </c>
      <c r="AK329" s="853">
        <v>176611926143.81549</v>
      </c>
      <c r="AL329" s="36">
        <f>AJ329-AK329</f>
        <v>0</v>
      </c>
      <c r="AM329" s="95"/>
      <c r="AN329" s="46">
        <f>AN328+AN306</f>
        <v>153903160236.36691</v>
      </c>
    </row>
    <row r="330" spans="1:40">
      <c r="A330" s="12" t="s">
        <v>246</v>
      </c>
      <c r="B330" s="14"/>
      <c r="C330" s="67"/>
      <c r="D330" s="67"/>
      <c r="E330" s="67"/>
      <c r="F330" s="280"/>
      <c r="G330" s="67"/>
      <c r="H330" s="280"/>
      <c r="I330" s="67"/>
      <c r="J330" s="67"/>
      <c r="K330" s="67"/>
      <c r="L330" s="934"/>
      <c r="M330" s="912"/>
      <c r="N330" s="67"/>
      <c r="O330" s="67"/>
      <c r="P330" s="67"/>
      <c r="Q330" s="280"/>
      <c r="R330" s="67"/>
      <c r="S330" s="280"/>
      <c r="T330" s="67"/>
      <c r="U330" s="67"/>
      <c r="V330" s="103"/>
      <c r="W330" s="27"/>
      <c r="X330" s="831"/>
      <c r="Y330" s="27"/>
      <c r="Z330" s="27"/>
      <c r="AA330" s="27"/>
      <c r="AB330" s="27"/>
      <c r="AC330" s="27"/>
      <c r="AD330" s="371"/>
      <c r="AE330" s="27"/>
      <c r="AF330" s="371"/>
      <c r="AG330" s="27"/>
      <c r="AH330" s="27"/>
      <c r="AI330" s="27"/>
      <c r="AJ330" s="27"/>
      <c r="AK330" s="872"/>
      <c r="AL330" s="27"/>
      <c r="AM330" s="95"/>
      <c r="AN330" s="27"/>
    </row>
    <row r="331" spans="1:40">
      <c r="A331" s="12" t="s">
        <v>247</v>
      </c>
      <c r="B331" s="33"/>
      <c r="C331" s="120"/>
      <c r="D331" s="120"/>
      <c r="E331" s="120"/>
      <c r="F331" s="280"/>
      <c r="G331" s="120"/>
      <c r="H331" s="280"/>
      <c r="I331" s="120"/>
      <c r="J331" s="120"/>
      <c r="K331" s="120"/>
      <c r="L331" s="935"/>
      <c r="M331" s="915"/>
      <c r="N331" s="120"/>
      <c r="O331" s="120"/>
      <c r="P331" s="120"/>
      <c r="Q331" s="280"/>
      <c r="R331" s="120"/>
      <c r="S331" s="280"/>
      <c r="T331" s="120"/>
      <c r="U331" s="120"/>
      <c r="V331" s="444"/>
      <c r="W331" s="7"/>
      <c r="X331" s="794"/>
      <c r="Y331" s="27"/>
      <c r="Z331" s="27"/>
      <c r="AA331" s="7"/>
      <c r="AB331" s="7"/>
      <c r="AC331" s="7"/>
      <c r="AD331" s="50"/>
      <c r="AE331" s="7"/>
      <c r="AF331" s="50"/>
      <c r="AG331" s="7"/>
      <c r="AH331" s="7"/>
      <c r="AI331" s="27"/>
      <c r="AJ331" s="7"/>
      <c r="AK331" s="841"/>
      <c r="AL331" s="27"/>
      <c r="AM331" s="95"/>
      <c r="AN331" s="27"/>
    </row>
    <row r="332" spans="1:40">
      <c r="A332" s="12"/>
      <c r="B332" s="26" t="s">
        <v>248</v>
      </c>
      <c r="C332" s="78"/>
      <c r="D332" s="78">
        <v>-165935579738.29999</v>
      </c>
      <c r="E332" s="78">
        <f>-D332</f>
        <v>165935579738.29999</v>
      </c>
      <c r="F332" s="280"/>
      <c r="G332" s="78"/>
      <c r="H332" s="280" t="str">
        <f>'AJE CAJE Des 24'!A77</f>
        <v>CAJE 10</v>
      </c>
      <c r="I332" s="78">
        <f>'AJE CAJE Des 24'!I78</f>
        <v>0</v>
      </c>
      <c r="J332" s="67">
        <f>E332-G332+I332</f>
        <v>165935579738.29999</v>
      </c>
      <c r="K332" s="67"/>
      <c r="L332" s="934"/>
      <c r="M332" s="912"/>
      <c r="N332" s="78"/>
      <c r="O332" s="78">
        <v>-79671621103.5</v>
      </c>
      <c r="P332" s="78">
        <f>-O332</f>
        <v>79671621103.5</v>
      </c>
      <c r="Q332" s="280"/>
      <c r="R332" s="78"/>
      <c r="S332" s="280" t="str">
        <f>'AJE CAJE Sept 24'!B82</f>
        <v>CAJE 15</v>
      </c>
      <c r="T332" s="78">
        <f>'AJE CAJE Sept 24'!J82</f>
        <v>8017030320</v>
      </c>
      <c r="U332" s="67">
        <f>P332-R332+T332</f>
        <v>87688651423.5</v>
      </c>
      <c r="V332" s="103"/>
      <c r="W332" s="7">
        <v>171927383326</v>
      </c>
      <c r="X332" s="794">
        <v>171927383326</v>
      </c>
      <c r="Y332" s="27">
        <f>W332-X332</f>
        <v>0</v>
      </c>
      <c r="Z332" s="27"/>
      <c r="AA332" s="7"/>
      <c r="AB332" s="7">
        <v>-134989855636</v>
      </c>
      <c r="AC332" s="7">
        <f>-AB332</f>
        <v>134989855636</v>
      </c>
      <c r="AD332" s="50"/>
      <c r="AE332" s="7"/>
      <c r="AF332" s="50"/>
      <c r="AG332" s="7"/>
      <c r="AH332" s="7">
        <f>ROUND(AC332-AE332+AG332,0)</f>
        <v>134989855636</v>
      </c>
      <c r="AI332" s="27"/>
      <c r="AJ332" s="7">
        <v>205083681270</v>
      </c>
      <c r="AK332" s="841">
        <v>205083681270</v>
      </c>
      <c r="AL332" s="27">
        <f>AJ332-AK332</f>
        <v>0</v>
      </c>
      <c r="AM332" s="95"/>
      <c r="AN332" s="27">
        <v>175795444094</v>
      </c>
    </row>
    <row r="333" spans="1:40">
      <c r="A333" s="12"/>
      <c r="B333" s="26"/>
      <c r="C333" s="78"/>
      <c r="D333" s="78"/>
      <c r="E333" s="78"/>
      <c r="F333" s="280"/>
      <c r="G333" s="78"/>
      <c r="H333" s="280"/>
      <c r="I333" s="78"/>
      <c r="J333" s="78"/>
      <c r="K333" s="78"/>
      <c r="L333" s="936"/>
      <c r="M333" s="917"/>
      <c r="N333" s="78"/>
      <c r="O333" s="78"/>
      <c r="P333" s="78"/>
      <c r="Q333" s="280"/>
      <c r="R333" s="78"/>
      <c r="S333" s="280"/>
      <c r="T333" s="78"/>
      <c r="U333" s="78"/>
      <c r="V333" s="105"/>
      <c r="W333" s="7"/>
      <c r="X333" s="794"/>
      <c r="Y333" s="27"/>
      <c r="Z333" s="27"/>
      <c r="AA333" s="7"/>
      <c r="AB333" s="7"/>
      <c r="AC333" s="7"/>
      <c r="AD333" s="50"/>
      <c r="AE333" s="7"/>
      <c r="AF333" s="50"/>
      <c r="AG333" s="7"/>
      <c r="AH333" s="7"/>
      <c r="AI333" s="27"/>
      <c r="AJ333" s="7"/>
      <c r="AK333" s="841"/>
      <c r="AL333" s="27"/>
      <c r="AM333" s="95"/>
      <c r="AN333" s="27"/>
    </row>
    <row r="334" spans="1:40">
      <c r="A334" s="12" t="s">
        <v>249</v>
      </c>
      <c r="B334" s="26"/>
      <c r="C334" s="78"/>
      <c r="D334" s="78"/>
      <c r="E334" s="78"/>
      <c r="F334" s="280"/>
      <c r="G334" s="78"/>
      <c r="H334" s="280"/>
      <c r="I334" s="78"/>
      <c r="J334" s="78"/>
      <c r="K334" s="78"/>
      <c r="L334" s="936"/>
      <c r="M334" s="917"/>
      <c r="N334" s="78"/>
      <c r="O334" s="78"/>
      <c r="P334" s="78"/>
      <c r="Q334" s="280"/>
      <c r="R334" s="78"/>
      <c r="S334" s="280"/>
      <c r="T334" s="78"/>
      <c r="U334" s="78"/>
      <c r="V334" s="105"/>
      <c r="W334" s="7"/>
      <c r="X334" s="794"/>
      <c r="Y334" s="27"/>
      <c r="Z334" s="27"/>
      <c r="AA334" s="7"/>
      <c r="AB334" s="7"/>
      <c r="AC334" s="7"/>
      <c r="AD334" s="50"/>
      <c r="AE334" s="7"/>
      <c r="AF334" s="50"/>
      <c r="AG334" s="7"/>
      <c r="AH334" s="7"/>
      <c r="AI334" s="27"/>
      <c r="AJ334" s="7"/>
      <c r="AK334" s="841"/>
      <c r="AL334" s="27"/>
      <c r="AM334" s="95"/>
      <c r="AN334" s="27"/>
    </row>
    <row r="335" spans="1:40">
      <c r="A335" s="34"/>
      <c r="B335" s="26" t="s">
        <v>248</v>
      </c>
      <c r="C335" s="78"/>
      <c r="D335" s="78">
        <v>-16558642585.389999</v>
      </c>
      <c r="E335" s="78">
        <f>-D335</f>
        <v>16558642585.389999</v>
      </c>
      <c r="F335" s="280" t="str">
        <f>'AJE CAJE Des 24'!A116</f>
        <v>CAJE 15</v>
      </c>
      <c r="G335" s="78">
        <f>'AJE CAJE Des 24'!H116</f>
        <v>873000</v>
      </c>
      <c r="H335" s="280"/>
      <c r="I335" s="78"/>
      <c r="J335" s="67">
        <f>E335-G335+I335</f>
        <v>16557769585.389999</v>
      </c>
      <c r="K335" s="67"/>
      <c r="L335" s="934"/>
      <c r="M335" s="912"/>
      <c r="N335" s="78"/>
      <c r="O335" s="78">
        <v>-12606432941.68</v>
      </c>
      <c r="P335" s="78">
        <f>-O335</f>
        <v>12606432941.68</v>
      </c>
      <c r="Q335" s="280"/>
      <c r="R335" s="78"/>
      <c r="S335" s="280"/>
      <c r="T335" s="78"/>
      <c r="U335" s="67">
        <f>P335-R335+T335</f>
        <v>12606432941.68</v>
      </c>
      <c r="V335" s="103"/>
      <c r="W335" s="7">
        <v>17079652795</v>
      </c>
      <c r="X335" s="794">
        <v>17079652795</v>
      </c>
      <c r="Y335" s="27">
        <f>W335-X335</f>
        <v>0</v>
      </c>
      <c r="Z335" s="27"/>
      <c r="AA335" s="7"/>
      <c r="AB335" s="7">
        <v>-10652081484.43</v>
      </c>
      <c r="AC335" s="7">
        <f t="shared" ref="AC335:AC337" si="181">-AB335</f>
        <v>10652081484.43</v>
      </c>
      <c r="AD335" s="50"/>
      <c r="AE335" s="7"/>
      <c r="AF335" s="50"/>
      <c r="AG335" s="7"/>
      <c r="AH335" s="7">
        <f t="shared" ref="AH335:AH336" si="182">ROUND(AC335-AE335+AG335,0)</f>
        <v>10652081484</v>
      </c>
      <c r="AI335" s="27"/>
      <c r="AJ335" s="7">
        <v>40568128436</v>
      </c>
      <c r="AK335" s="841">
        <v>40568128436</v>
      </c>
      <c r="AL335" s="27">
        <f>AJ335-AK335</f>
        <v>0</v>
      </c>
      <c r="AM335" s="95"/>
      <c r="AN335" s="27">
        <v>37070576988</v>
      </c>
    </row>
    <row r="336" spans="1:40">
      <c r="A336" s="34"/>
      <c r="B336" s="26" t="s">
        <v>656</v>
      </c>
      <c r="C336" s="78"/>
      <c r="D336" s="78"/>
      <c r="E336" s="78"/>
      <c r="F336" s="280"/>
      <c r="G336" s="78"/>
      <c r="H336" s="280"/>
      <c r="I336" s="78"/>
      <c r="J336" s="67"/>
      <c r="K336" s="67"/>
      <c r="L336" s="934"/>
      <c r="M336" s="912"/>
      <c r="N336" s="78"/>
      <c r="O336" s="78"/>
      <c r="P336" s="78"/>
      <c r="Q336" s="280"/>
      <c r="R336" s="78"/>
      <c r="S336" s="280"/>
      <c r="T336" s="78"/>
      <c r="U336" s="67"/>
      <c r="V336" s="103"/>
      <c r="W336" s="7"/>
      <c r="X336" s="794"/>
      <c r="Y336" s="27"/>
      <c r="Z336" s="27"/>
      <c r="AA336" s="7"/>
      <c r="AB336" s="7">
        <v>-11038330</v>
      </c>
      <c r="AC336" s="7">
        <f t="shared" si="181"/>
        <v>11038330</v>
      </c>
      <c r="AD336" s="50" t="str">
        <f>'AJE CAJE Sept 23'!B61</f>
        <v>CAJE 11</v>
      </c>
      <c r="AE336" s="7">
        <f>'AJE CAJE Sept 23'!I61</f>
        <v>11038330</v>
      </c>
      <c r="AF336" s="50"/>
      <c r="AG336" s="7"/>
      <c r="AH336" s="7">
        <f t="shared" si="182"/>
        <v>0</v>
      </c>
      <c r="AI336" s="27"/>
      <c r="AJ336" s="7"/>
      <c r="AK336" s="841"/>
      <c r="AL336" s="27"/>
      <c r="AM336" s="95"/>
      <c r="AN336" s="27"/>
    </row>
    <row r="337" spans="1:40">
      <c r="A337" s="34"/>
      <c r="B337" s="26" t="s">
        <v>250</v>
      </c>
      <c r="C337" s="78"/>
      <c r="D337" s="78"/>
      <c r="E337" s="78">
        <f>-D337</f>
        <v>0</v>
      </c>
      <c r="F337" s="280"/>
      <c r="G337" s="78"/>
      <c r="H337" s="280"/>
      <c r="I337" s="78"/>
      <c r="J337" s="67">
        <f>E337-G337+I337</f>
        <v>0</v>
      </c>
      <c r="K337" s="67"/>
      <c r="L337" s="934"/>
      <c r="M337" s="912"/>
      <c r="N337" s="78"/>
      <c r="O337" s="78"/>
      <c r="P337" s="78">
        <f>-O337</f>
        <v>0</v>
      </c>
      <c r="Q337" s="280"/>
      <c r="R337" s="78"/>
      <c r="S337" s="280"/>
      <c r="T337" s="78"/>
      <c r="U337" s="67">
        <f>P337-R337+T337</f>
        <v>0</v>
      </c>
      <c r="V337" s="103"/>
      <c r="W337" s="7">
        <v>0</v>
      </c>
      <c r="X337" s="794">
        <v>0</v>
      </c>
      <c r="Y337" s="27"/>
      <c r="Z337" s="27"/>
      <c r="AA337" s="7"/>
      <c r="AB337" s="7"/>
      <c r="AC337" s="7">
        <f t="shared" si="181"/>
        <v>0</v>
      </c>
      <c r="AD337" s="50"/>
      <c r="AE337" s="7"/>
      <c r="AF337" s="50"/>
      <c r="AG337" s="7"/>
      <c r="AH337" s="7">
        <f>ROUND(AC337+AE337-AG337,0)</f>
        <v>0</v>
      </c>
      <c r="AI337" s="27"/>
      <c r="AJ337" s="7"/>
      <c r="AK337" s="841"/>
      <c r="AL337" s="27"/>
      <c r="AM337" s="95"/>
      <c r="AN337" s="27"/>
    </row>
    <row r="338" spans="1:40">
      <c r="A338" s="30"/>
      <c r="B338" s="20" t="s">
        <v>251</v>
      </c>
      <c r="C338" s="42"/>
      <c r="D338" s="42"/>
      <c r="E338" s="21">
        <f>SUM(E332:E337)</f>
        <v>182494222323.69</v>
      </c>
      <c r="F338" s="281"/>
      <c r="G338" s="42"/>
      <c r="H338" s="281"/>
      <c r="I338" s="42"/>
      <c r="J338" s="21">
        <f>SUM(J332:J337)</f>
        <v>182493349323.69</v>
      </c>
      <c r="K338" s="21"/>
      <c r="L338" s="797"/>
      <c r="M338" s="913"/>
      <c r="N338" s="42"/>
      <c r="O338" s="42"/>
      <c r="P338" s="21">
        <f>SUM(P332:P337)</f>
        <v>92278054045.179993</v>
      </c>
      <c r="Q338" s="281"/>
      <c r="R338" s="42"/>
      <c r="S338" s="281"/>
      <c r="T338" s="42"/>
      <c r="U338" s="21">
        <f>SUM(U332:U337)</f>
        <v>100295084365.17999</v>
      </c>
      <c r="V338" s="442"/>
      <c r="W338" s="21">
        <f>SUM(W332:W337)</f>
        <v>189007036121</v>
      </c>
      <c r="X338" s="795">
        <v>189007036121</v>
      </c>
      <c r="Y338" s="27">
        <f>W338-X338</f>
        <v>0</v>
      </c>
      <c r="Z338" s="27"/>
      <c r="AA338" s="21"/>
      <c r="AB338" s="21"/>
      <c r="AC338" s="21">
        <f>SUM(AC332:AC337)</f>
        <v>145652975450.42999</v>
      </c>
      <c r="AD338" s="387"/>
      <c r="AE338" s="21"/>
      <c r="AF338" s="387"/>
      <c r="AG338" s="21"/>
      <c r="AH338" s="21">
        <f>SUM(AH332:AH337)</f>
        <v>145641937120</v>
      </c>
      <c r="AI338" s="36"/>
      <c r="AJ338" s="21">
        <v>245651809706</v>
      </c>
      <c r="AK338" s="843">
        <v>245651809706</v>
      </c>
      <c r="AL338" s="36">
        <f>AJ338-AK338</f>
        <v>0</v>
      </c>
      <c r="AM338" s="95"/>
      <c r="AN338" s="21">
        <v>212866021082</v>
      </c>
    </row>
    <row r="339" spans="1:40">
      <c r="A339" s="64" t="s">
        <v>252</v>
      </c>
      <c r="B339" s="14"/>
      <c r="C339" s="67"/>
      <c r="D339" s="67"/>
      <c r="E339" s="67"/>
      <c r="F339" s="280"/>
      <c r="G339" s="67"/>
      <c r="H339" s="280"/>
      <c r="I339" s="67"/>
      <c r="J339" s="67"/>
      <c r="K339" s="67"/>
      <c r="L339" s="934"/>
      <c r="M339" s="912"/>
      <c r="N339" s="67"/>
      <c r="O339" s="67"/>
      <c r="P339" s="67"/>
      <c r="Q339" s="280"/>
      <c r="R339" s="67"/>
      <c r="S339" s="280"/>
      <c r="T339" s="67"/>
      <c r="U339" s="67"/>
      <c r="V339" s="103"/>
      <c r="W339" s="7"/>
      <c r="X339" s="790"/>
      <c r="Y339" s="27"/>
      <c r="Z339" s="27"/>
      <c r="AA339" s="7"/>
      <c r="AB339" s="7"/>
      <c r="AC339" s="7"/>
      <c r="AD339" s="50"/>
      <c r="AE339" s="7"/>
      <c r="AF339" s="50"/>
      <c r="AG339" s="7"/>
      <c r="AH339" s="7"/>
      <c r="AI339" s="27"/>
      <c r="AJ339" s="7"/>
      <c r="AK339" s="837"/>
      <c r="AL339" s="27"/>
      <c r="AM339" s="95"/>
      <c r="AN339" s="7"/>
    </row>
    <row r="340" spans="1:40">
      <c r="A340" s="64" t="s">
        <v>253</v>
      </c>
      <c r="B340" s="12"/>
      <c r="C340" s="89"/>
      <c r="D340" s="89"/>
      <c r="E340" s="89"/>
      <c r="F340" s="280"/>
      <c r="G340" s="89"/>
      <c r="H340" s="280"/>
      <c r="I340" s="89"/>
      <c r="J340" s="89"/>
      <c r="K340" s="89"/>
      <c r="L340" s="933"/>
      <c r="M340" s="911"/>
      <c r="N340" s="89"/>
      <c r="O340" s="89"/>
      <c r="P340" s="89"/>
      <c r="Q340" s="280"/>
      <c r="R340" s="89"/>
      <c r="S340" s="280"/>
      <c r="T340" s="89"/>
      <c r="U340" s="89"/>
      <c r="V340" s="106"/>
      <c r="W340" s="7"/>
      <c r="X340" s="790"/>
      <c r="Y340" s="27"/>
      <c r="Z340" s="27"/>
      <c r="AA340" s="7"/>
      <c r="AB340" s="7"/>
      <c r="AC340" s="7"/>
      <c r="AD340" s="50"/>
      <c r="AE340" s="7"/>
      <c r="AF340" s="50"/>
      <c r="AG340" s="7"/>
      <c r="AH340" s="7"/>
      <c r="AI340" s="27"/>
      <c r="AJ340" s="7"/>
      <c r="AK340" s="837"/>
      <c r="AL340" s="27"/>
      <c r="AM340" s="95"/>
      <c r="AN340" s="7"/>
    </row>
    <row r="341" spans="1:40">
      <c r="A341" s="34"/>
      <c r="B341" s="26" t="s">
        <v>254</v>
      </c>
      <c r="C341" s="78"/>
      <c r="D341" s="78"/>
      <c r="E341" s="78">
        <f>W94</f>
        <v>88132546606</v>
      </c>
      <c r="F341" s="280"/>
      <c r="G341" s="78"/>
      <c r="H341" s="280"/>
      <c r="I341" s="78"/>
      <c r="J341" s="67">
        <f>E341+G341-I341</f>
        <v>88132546606</v>
      </c>
      <c r="K341" s="67"/>
      <c r="L341" s="934"/>
      <c r="M341" s="912"/>
      <c r="N341" s="78"/>
      <c r="O341" s="78"/>
      <c r="P341" s="78">
        <f>W94</f>
        <v>88132546606</v>
      </c>
      <c r="Q341" s="280"/>
      <c r="R341" s="78"/>
      <c r="S341" s="280"/>
      <c r="T341" s="78"/>
      <c r="U341" s="67">
        <f>P341+R341-T341</f>
        <v>88132546606</v>
      </c>
      <c r="V341" s="103"/>
      <c r="W341" s="7">
        <v>50061246940</v>
      </c>
      <c r="X341" s="794">
        <v>50061246940</v>
      </c>
      <c r="Y341" s="27">
        <f t="shared" ref="Y341:Y342" si="183">W341-X341</f>
        <v>0</v>
      </c>
      <c r="Z341" s="27"/>
      <c r="AA341" s="7"/>
      <c r="AB341" s="7"/>
      <c r="AC341" s="7">
        <f>AJ94</f>
        <v>50061246940</v>
      </c>
      <c r="AD341" s="50"/>
      <c r="AE341" s="7"/>
      <c r="AF341" s="50"/>
      <c r="AG341" s="7"/>
      <c r="AH341" s="7">
        <f>ROUND(AC341+AE341-AG341,0)</f>
        <v>50061246940</v>
      </c>
      <c r="AI341" s="27"/>
      <c r="AJ341" s="7">
        <v>37360346018.080002</v>
      </c>
      <c r="AK341" s="841">
        <v>37360346018.080002</v>
      </c>
      <c r="AL341" s="27">
        <f>AJ341-AK341</f>
        <v>0</v>
      </c>
      <c r="AM341" s="95"/>
      <c r="AN341" s="27">
        <v>37057693185.410004</v>
      </c>
    </row>
    <row r="342" spans="1:40">
      <c r="A342" s="34"/>
      <c r="B342" s="26" t="s">
        <v>255</v>
      </c>
      <c r="C342" s="78"/>
      <c r="D342" s="78">
        <v>124513995141.37999</v>
      </c>
      <c r="E342" s="78">
        <f>D342</f>
        <v>124513995141.37999</v>
      </c>
      <c r="F342" s="280"/>
      <c r="G342" s="78"/>
      <c r="H342" s="280" t="str">
        <f>'AJE CAJE Des 24'!A55</f>
        <v>CAJE 6</v>
      </c>
      <c r="I342" s="78">
        <f>'AJE CAJE Des 24'!G55</f>
        <v>0</v>
      </c>
      <c r="J342" s="67">
        <f>E342+G342-I342</f>
        <v>124513995141.37999</v>
      </c>
      <c r="K342" s="67"/>
      <c r="L342" s="934"/>
      <c r="M342" s="912"/>
      <c r="N342" s="78"/>
      <c r="O342" s="78">
        <v>81071996833.610001</v>
      </c>
      <c r="P342" s="78">
        <f>O342</f>
        <v>81071996833.610001</v>
      </c>
      <c r="Q342" s="280" t="str">
        <f>'AJE CAJE Sept 24'!B70</f>
        <v>CAJE 14</v>
      </c>
      <c r="R342" s="78">
        <f>'AJE CAJE Sept 24'!I67</f>
        <v>9055934</v>
      </c>
      <c r="S342" s="280" t="s">
        <v>1037</v>
      </c>
      <c r="T342" s="78">
        <f>'AJE CAJE Sept 24'!J92+'AJE CAJE Sept 24'!I105+'AJE CAJE Sept 24'!J107</f>
        <v>1396406807.1700001</v>
      </c>
      <c r="U342" s="67">
        <f>P342+R342-T342</f>
        <v>79684645960.440002</v>
      </c>
      <c r="V342" s="103"/>
      <c r="W342" s="7">
        <v>170720757691</v>
      </c>
      <c r="X342" s="794">
        <v>170720757691</v>
      </c>
      <c r="Y342" s="27">
        <f t="shared" si="183"/>
        <v>0</v>
      </c>
      <c r="Z342" s="27"/>
      <c r="AA342" s="7"/>
      <c r="AB342" s="7">
        <v>140612836908.51001</v>
      </c>
      <c r="AC342" s="7">
        <f>AB342</f>
        <v>140612836908.51001</v>
      </c>
      <c r="AD342" s="50"/>
      <c r="AE342" s="7"/>
      <c r="AF342" s="50"/>
      <c r="AG342" s="7"/>
      <c r="AH342" s="7">
        <f>ROUND(AC342+AE342-AG342,0)</f>
        <v>140612836909</v>
      </c>
      <c r="AI342" s="27"/>
      <c r="AJ342" s="7">
        <v>179364319345.62</v>
      </c>
      <c r="AK342" s="841">
        <v>179364319345.62</v>
      </c>
      <c r="AL342" s="27">
        <f>AJ342-AK342</f>
        <v>0</v>
      </c>
      <c r="AM342" s="95"/>
      <c r="AN342" s="27">
        <v>146074185838</v>
      </c>
    </row>
    <row r="343" spans="1:40">
      <c r="A343" s="70"/>
      <c r="B343" s="71" t="s">
        <v>256</v>
      </c>
      <c r="C343" s="139"/>
      <c r="D343" s="139"/>
      <c r="E343" s="72">
        <f>SUM(E341:E342)-E344</f>
        <v>212646541747.38</v>
      </c>
      <c r="F343" s="291"/>
      <c r="G343" s="139"/>
      <c r="H343" s="291"/>
      <c r="I343" s="139"/>
      <c r="J343" s="72">
        <f>SUM(J341:J342)-J344</f>
        <v>212646541747.38</v>
      </c>
      <c r="K343" s="72"/>
      <c r="L343" s="797"/>
      <c r="M343" s="923"/>
      <c r="N343" s="139"/>
      <c r="O343" s="139"/>
      <c r="P343" s="72">
        <f>SUM(P341:P342)-P344</f>
        <v>158495327967.70999</v>
      </c>
      <c r="Q343" s="291"/>
      <c r="R343" s="139"/>
      <c r="S343" s="291"/>
      <c r="T343" s="139"/>
      <c r="U343" s="72">
        <f>SUM(U341:U342)-U344</f>
        <v>157107977094.54001</v>
      </c>
      <c r="V343" s="449"/>
      <c r="W343" s="72">
        <f>SUM(W341:W342)-W344</f>
        <v>214800452636</v>
      </c>
      <c r="X343" s="819">
        <v>214800452636</v>
      </c>
      <c r="Y343" s="36"/>
      <c r="Z343" s="36"/>
      <c r="AA343" s="72"/>
      <c r="AB343" s="72"/>
      <c r="AC343" s="72">
        <f>SUM(AC341:AC342)-AC344</f>
        <v>182710412925.31</v>
      </c>
      <c r="AD343" s="399"/>
      <c r="AE343" s="72"/>
      <c r="AF343" s="399"/>
      <c r="AG343" s="72"/>
      <c r="AH343" s="72">
        <f>SUM(AH341:AH342)-AH344</f>
        <v>182710412926</v>
      </c>
      <c r="AI343" s="36"/>
      <c r="AJ343" s="72">
        <v>199099168307.43002</v>
      </c>
      <c r="AK343" s="862">
        <v>199099168307.43002</v>
      </c>
      <c r="AL343" s="36"/>
      <c r="AM343" s="95"/>
      <c r="AN343" s="72">
        <v>161714014846.59</v>
      </c>
    </row>
    <row r="344" spans="1:40">
      <c r="A344" s="34"/>
      <c r="B344" s="26" t="s">
        <v>257</v>
      </c>
      <c r="C344" s="78"/>
      <c r="D344" s="78"/>
      <c r="E344" s="678"/>
      <c r="F344" s="280"/>
      <c r="G344" s="78"/>
      <c r="H344" s="280"/>
      <c r="I344" s="78"/>
      <c r="J344" s="67">
        <f>E344+G344-I344</f>
        <v>0</v>
      </c>
      <c r="K344" s="67"/>
      <c r="L344" s="934"/>
      <c r="M344" s="912"/>
      <c r="N344" s="78"/>
      <c r="O344" s="78"/>
      <c r="P344" s="78">
        <v>10709215471.9</v>
      </c>
      <c r="Q344" s="280"/>
      <c r="R344" s="78"/>
      <c r="S344" s="280"/>
      <c r="T344" s="78"/>
      <c r="U344" s="67">
        <f>P344+R344-T344</f>
        <v>10709215471.9</v>
      </c>
      <c r="V344" s="103"/>
      <c r="W344" s="7">
        <v>5981551995</v>
      </c>
      <c r="X344" s="820">
        <v>5981551995</v>
      </c>
      <c r="Y344" s="27">
        <f>W344-X344</f>
        <v>0</v>
      </c>
      <c r="Z344" s="27"/>
      <c r="AA344" s="7"/>
      <c r="AB344" s="7"/>
      <c r="AC344" s="7">
        <v>7963670923.1999998</v>
      </c>
      <c r="AD344" s="50"/>
      <c r="AE344" s="7"/>
      <c r="AF344" s="50"/>
      <c r="AG344" s="7"/>
      <c r="AH344" s="7">
        <f>ROUND(AC344+AE344-AG344,0)</f>
        <v>7963670923</v>
      </c>
      <c r="AI344" s="27"/>
      <c r="AJ344" s="7">
        <v>17625497056.27</v>
      </c>
      <c r="AK344" s="860">
        <v>17625497056.27</v>
      </c>
      <c r="AL344" s="27">
        <f>AJ344-AK344</f>
        <v>0</v>
      </c>
      <c r="AM344" s="95"/>
      <c r="AN344" s="27">
        <v>21417864176.82</v>
      </c>
    </row>
    <row r="345" spans="1:40">
      <c r="A345" s="70"/>
      <c r="B345" s="71" t="s">
        <v>258</v>
      </c>
      <c r="C345" s="139"/>
      <c r="D345" s="139"/>
      <c r="E345" s="72">
        <f>E343+E344</f>
        <v>212646541747.38</v>
      </c>
      <c r="F345" s="291"/>
      <c r="G345" s="139"/>
      <c r="H345" s="291"/>
      <c r="I345" s="139"/>
      <c r="J345" s="72">
        <f>J343+J344</f>
        <v>212646541747.38</v>
      </c>
      <c r="K345" s="72"/>
      <c r="L345" s="797"/>
      <c r="M345" s="923"/>
      <c r="N345" s="139"/>
      <c r="O345" s="139"/>
      <c r="P345" s="72">
        <f>P343+P344</f>
        <v>169204543439.60999</v>
      </c>
      <c r="Q345" s="291"/>
      <c r="R345" s="139"/>
      <c r="S345" s="291"/>
      <c r="T345" s="139"/>
      <c r="U345" s="72">
        <f>U343+U344</f>
        <v>167817192566.44</v>
      </c>
      <c r="V345" s="449"/>
      <c r="W345" s="72">
        <f>W343+W344</f>
        <v>220782004631</v>
      </c>
      <c r="X345" s="819">
        <v>220782004631</v>
      </c>
      <c r="Y345" s="36"/>
      <c r="Z345" s="36"/>
      <c r="AA345" s="72"/>
      <c r="AB345" s="72"/>
      <c r="AC345" s="72">
        <f>AC343+AC344</f>
        <v>190674083848.51001</v>
      </c>
      <c r="AD345" s="399"/>
      <c r="AE345" s="72"/>
      <c r="AF345" s="399"/>
      <c r="AG345" s="72"/>
      <c r="AH345" s="72">
        <f>AH343+AH344</f>
        <v>190674083849</v>
      </c>
      <c r="AI345" s="36"/>
      <c r="AJ345" s="72">
        <v>216724665363.70001</v>
      </c>
      <c r="AK345" s="862">
        <v>216724665363.70001</v>
      </c>
      <c r="AL345" s="36"/>
      <c r="AM345" s="95"/>
      <c r="AN345" s="72">
        <v>183131879023.41</v>
      </c>
    </row>
    <row r="346" spans="1:40">
      <c r="A346" s="34"/>
      <c r="B346" s="26" t="s">
        <v>259</v>
      </c>
      <c r="C346" s="78"/>
      <c r="D346" s="78"/>
      <c r="E346" s="78">
        <f>-E94</f>
        <v>-97064513093</v>
      </c>
      <c r="F346" s="280"/>
      <c r="G346" s="78"/>
      <c r="H346" s="280"/>
      <c r="I346" s="78"/>
      <c r="J346" s="67">
        <f>E346+G346-I346</f>
        <v>-97064513093</v>
      </c>
      <c r="K346" s="67"/>
      <c r="L346" s="934"/>
      <c r="M346" s="912"/>
      <c r="N346" s="78"/>
      <c r="O346" s="78"/>
      <c r="P346" s="78">
        <f>-P94</f>
        <v>-108490508463.89999</v>
      </c>
      <c r="Q346" s="280"/>
      <c r="R346" s="78"/>
      <c r="S346" s="280"/>
      <c r="T346" s="78"/>
      <c r="U346" s="67">
        <f>P346+R346-T346</f>
        <v>-108490508463.89999</v>
      </c>
      <c r="V346" s="103"/>
      <c r="W346" s="7">
        <v>-88132546606</v>
      </c>
      <c r="X346" s="820">
        <v>-88132546606</v>
      </c>
      <c r="Y346" s="27">
        <f>W346-X346</f>
        <v>0</v>
      </c>
      <c r="Z346" s="27"/>
      <c r="AA346" s="7"/>
      <c r="AB346" s="7"/>
      <c r="AC346" s="7">
        <f>-AC94</f>
        <v>-87174436355.360001</v>
      </c>
      <c r="AD346" s="50"/>
      <c r="AE346" s="7"/>
      <c r="AF346" s="50"/>
      <c r="AG346" s="7"/>
      <c r="AH346" s="7">
        <f>ROUND(AC346+AE346-AG346,0)</f>
        <v>-87174436355</v>
      </c>
      <c r="AI346" s="27"/>
      <c r="AJ346" s="7">
        <v>-50061246939.709999</v>
      </c>
      <c r="AK346" s="860">
        <v>-50061246939.709999</v>
      </c>
      <c r="AL346" s="27">
        <f>AJ346-AK346</f>
        <v>0</v>
      </c>
      <c r="AM346" s="95"/>
      <c r="AN346" s="27">
        <v>-37360346018.460014</v>
      </c>
    </row>
    <row r="347" spans="1:40">
      <c r="A347" s="70"/>
      <c r="B347" s="71" t="s">
        <v>260</v>
      </c>
      <c r="C347" s="139"/>
      <c r="D347" s="139"/>
      <c r="E347" s="72">
        <f>SUM(E345:E346)</f>
        <v>115582028654.38</v>
      </c>
      <c r="F347" s="291"/>
      <c r="G347" s="139"/>
      <c r="H347" s="291"/>
      <c r="I347" s="139"/>
      <c r="J347" s="72">
        <f>SUM(J345:J346)</f>
        <v>115582028654.38</v>
      </c>
      <c r="K347" s="72"/>
      <c r="L347" s="797"/>
      <c r="M347" s="923"/>
      <c r="N347" s="139"/>
      <c r="O347" s="139"/>
      <c r="P347" s="72">
        <f>SUM(P345:P346)</f>
        <v>60714034975.709991</v>
      </c>
      <c r="Q347" s="291"/>
      <c r="R347" s="139"/>
      <c r="S347" s="291"/>
      <c r="T347" s="139"/>
      <c r="U347" s="72">
        <f>SUM(U345:U346)</f>
        <v>59326684102.540009</v>
      </c>
      <c r="V347" s="449"/>
      <c r="W347" s="72">
        <f>SUM(W345:W346)</f>
        <v>132649458025</v>
      </c>
      <c r="X347" s="819">
        <v>132649458025</v>
      </c>
      <c r="Y347" s="36"/>
      <c r="Z347" s="36"/>
      <c r="AA347" s="72"/>
      <c r="AB347" s="72"/>
      <c r="AC347" s="72">
        <f>SUM(AC345:AC346)</f>
        <v>103499647493.15001</v>
      </c>
      <c r="AD347" s="399"/>
      <c r="AE347" s="72"/>
      <c r="AF347" s="399"/>
      <c r="AG347" s="72"/>
      <c r="AH347" s="72">
        <f>SUM(AH345:AH346)</f>
        <v>103499647494</v>
      </c>
      <c r="AI347" s="36"/>
      <c r="AJ347" s="72">
        <v>166663418423.99002</v>
      </c>
      <c r="AK347" s="862">
        <v>166663418423.99002</v>
      </c>
      <c r="AL347" s="36"/>
      <c r="AM347" s="95"/>
      <c r="AN347" s="72">
        <v>145771533004.94998</v>
      </c>
    </row>
    <row r="348" spans="1:40">
      <c r="A348" s="34"/>
      <c r="B348" s="26" t="s">
        <v>261</v>
      </c>
      <c r="C348" s="78"/>
      <c r="D348" s="78"/>
      <c r="E348" s="78">
        <f>-E344</f>
        <v>0</v>
      </c>
      <c r="F348" s="280"/>
      <c r="G348" s="78"/>
      <c r="H348" s="280"/>
      <c r="I348" s="78"/>
      <c r="J348" s="67">
        <f>E348+G348-I348</f>
        <v>0</v>
      </c>
      <c r="K348" s="67"/>
      <c r="L348" s="934"/>
      <c r="M348" s="912"/>
      <c r="N348" s="78"/>
      <c r="O348" s="78"/>
      <c r="P348" s="78">
        <f>-P344</f>
        <v>-10709215471.9</v>
      </c>
      <c r="Q348" s="280"/>
      <c r="R348" s="78"/>
      <c r="S348" s="280"/>
      <c r="T348" s="78"/>
      <c r="U348" s="67">
        <f>P348+R348-T348</f>
        <v>-10709215471.9</v>
      </c>
      <c r="V348" s="103"/>
      <c r="W348" s="7">
        <v>-5981551995</v>
      </c>
      <c r="X348" s="820">
        <v>-5981551995</v>
      </c>
      <c r="Y348" s="27">
        <f>W348-X348</f>
        <v>0</v>
      </c>
      <c r="Z348" s="27"/>
      <c r="AA348" s="7"/>
      <c r="AB348" s="7"/>
      <c r="AC348" s="7">
        <f>-AC344</f>
        <v>-7963670923.1999998</v>
      </c>
      <c r="AD348" s="50"/>
      <c r="AE348" s="7"/>
      <c r="AF348" s="50"/>
      <c r="AG348" s="7"/>
      <c r="AH348" s="7">
        <f>ROUND(AC348+AE348-AG348,0)</f>
        <v>-7963670923</v>
      </c>
      <c r="AI348" s="27"/>
      <c r="AJ348" s="7">
        <v>-17625497056.27</v>
      </c>
      <c r="AK348" s="860">
        <v>-17625497056.27</v>
      </c>
      <c r="AL348" s="27">
        <f>AJ348-AK348</f>
        <v>0</v>
      </c>
      <c r="AM348" s="95"/>
      <c r="AN348" s="27">
        <v>-21417864176.82</v>
      </c>
    </row>
    <row r="349" spans="1:40">
      <c r="A349" s="70"/>
      <c r="B349" s="71" t="s">
        <v>262</v>
      </c>
      <c r="C349" s="139"/>
      <c r="D349" s="139"/>
      <c r="E349" s="72">
        <f>E347+E348</f>
        <v>115582028654.38</v>
      </c>
      <c r="F349" s="291"/>
      <c r="G349" s="139"/>
      <c r="H349" s="291"/>
      <c r="I349" s="139"/>
      <c r="J349" s="72">
        <f>J347+J348</f>
        <v>115582028654.38</v>
      </c>
      <c r="K349" s="72"/>
      <c r="L349" s="797"/>
      <c r="M349" s="923"/>
      <c r="N349" s="139"/>
      <c r="O349" s="139"/>
      <c r="P349" s="72">
        <f>P347+P348</f>
        <v>50004819503.80999</v>
      </c>
      <c r="Q349" s="291"/>
      <c r="R349" s="139"/>
      <c r="S349" s="291"/>
      <c r="T349" s="139"/>
      <c r="U349" s="72">
        <f>U347+U348</f>
        <v>48617468630.640007</v>
      </c>
      <c r="V349" s="449"/>
      <c r="W349" s="72">
        <f>W347+W348</f>
        <v>126667906030</v>
      </c>
      <c r="X349" s="819">
        <v>126667906030</v>
      </c>
      <c r="Y349" s="36"/>
      <c r="Z349" s="36"/>
      <c r="AA349" s="72"/>
      <c r="AB349" s="72"/>
      <c r="AC349" s="72">
        <f>AC347+AC348</f>
        <v>95535976569.950012</v>
      </c>
      <c r="AD349" s="399"/>
      <c r="AE349" s="72"/>
      <c r="AF349" s="399"/>
      <c r="AG349" s="72"/>
      <c r="AH349" s="72">
        <f>AH347+AH348</f>
        <v>95535976571</v>
      </c>
      <c r="AI349" s="36"/>
      <c r="AJ349" s="72">
        <v>149037921367.72003</v>
      </c>
      <c r="AK349" s="862">
        <v>149037921367.72003</v>
      </c>
      <c r="AL349" s="36"/>
      <c r="AM349" s="95"/>
      <c r="AN349" s="72">
        <v>124353668828.12997</v>
      </c>
    </row>
    <row r="350" spans="1:40">
      <c r="A350" s="34"/>
      <c r="B350" s="26"/>
      <c r="C350" s="78"/>
      <c r="D350" s="78"/>
      <c r="E350" s="78"/>
      <c r="F350" s="280"/>
      <c r="G350" s="78"/>
      <c r="H350" s="280"/>
      <c r="I350" s="78"/>
      <c r="J350" s="78"/>
      <c r="K350" s="78"/>
      <c r="L350" s="936"/>
      <c r="M350" s="917"/>
      <c r="N350" s="78"/>
      <c r="O350" s="78"/>
      <c r="P350" s="78"/>
      <c r="Q350" s="280"/>
      <c r="R350" s="78"/>
      <c r="S350" s="280"/>
      <c r="T350" s="78"/>
      <c r="U350" s="78"/>
      <c r="V350" s="105"/>
      <c r="W350" s="27"/>
      <c r="X350" s="794"/>
      <c r="Y350" s="27"/>
      <c r="Z350" s="27"/>
      <c r="AA350" s="27"/>
      <c r="AB350" s="27"/>
      <c r="AC350" s="27"/>
      <c r="AD350" s="371"/>
      <c r="AE350" s="27"/>
      <c r="AF350" s="371"/>
      <c r="AG350" s="27"/>
      <c r="AH350" s="27"/>
      <c r="AI350" s="27"/>
      <c r="AJ350" s="27"/>
      <c r="AK350" s="841"/>
      <c r="AL350" s="27"/>
      <c r="AM350" s="95"/>
      <c r="AN350" s="27"/>
    </row>
    <row r="351" spans="1:40">
      <c r="A351" s="12" t="s">
        <v>263</v>
      </c>
      <c r="B351" s="26"/>
      <c r="C351" s="78"/>
      <c r="D351" s="78"/>
      <c r="E351" s="78"/>
      <c r="F351" s="280"/>
      <c r="G351" s="78"/>
      <c r="H351" s="280"/>
      <c r="I351" s="78"/>
      <c r="J351" s="78"/>
      <c r="K351" s="78"/>
      <c r="L351" s="936"/>
      <c r="M351" s="917"/>
      <c r="N351" s="78"/>
      <c r="O351" s="78"/>
      <c r="P351" s="78"/>
      <c r="Q351" s="280"/>
      <c r="R351" s="78"/>
      <c r="S351" s="280"/>
      <c r="T351" s="78"/>
      <c r="U351" s="78"/>
      <c r="V351" s="105"/>
      <c r="W351" s="27"/>
      <c r="X351" s="794"/>
      <c r="Y351" s="27"/>
      <c r="Z351" s="27"/>
      <c r="AA351" s="27"/>
      <c r="AB351" s="27"/>
      <c r="AC351" s="27"/>
      <c r="AD351" s="371"/>
      <c r="AE351" s="27"/>
      <c r="AF351" s="371"/>
      <c r="AG351" s="27"/>
      <c r="AH351" s="27"/>
      <c r="AI351" s="27"/>
      <c r="AJ351" s="27"/>
      <c r="AK351" s="841"/>
      <c r="AL351" s="27"/>
      <c r="AM351" s="95"/>
      <c r="AN351" s="27"/>
    </row>
    <row r="352" spans="1:40">
      <c r="A352" s="16"/>
      <c r="B352" s="26" t="s">
        <v>264</v>
      </c>
      <c r="C352" s="78"/>
      <c r="D352" s="78"/>
      <c r="E352" s="78">
        <f>W95</f>
        <v>3808188569</v>
      </c>
      <c r="F352" s="280"/>
      <c r="G352" s="78"/>
      <c r="H352" s="280"/>
      <c r="I352" s="78"/>
      <c r="J352" s="67">
        <f>E352+G352-I352</f>
        <v>3808188569</v>
      </c>
      <c r="K352" s="67"/>
      <c r="L352" s="934"/>
      <c r="M352" s="912"/>
      <c r="N352" s="78"/>
      <c r="O352" s="78"/>
      <c r="P352" s="78">
        <f>W95</f>
        <v>3808188569</v>
      </c>
      <c r="Q352" s="280"/>
      <c r="R352" s="78"/>
      <c r="S352" s="280"/>
      <c r="T352" s="78"/>
      <c r="U352" s="67">
        <f>P352+R352-T352</f>
        <v>3808188569</v>
      </c>
      <c r="V352" s="103"/>
      <c r="W352" s="7">
        <v>4118553810</v>
      </c>
      <c r="X352" s="820">
        <v>4118553810</v>
      </c>
      <c r="Y352" s="27">
        <f t="shared" ref="Y352:Y353" si="184">W352-X352</f>
        <v>0</v>
      </c>
      <c r="Z352" s="27"/>
      <c r="AA352" s="7"/>
      <c r="AB352" s="7"/>
      <c r="AC352" s="7">
        <f>AJ95</f>
        <v>4118553810</v>
      </c>
      <c r="AD352" s="50"/>
      <c r="AE352" s="7"/>
      <c r="AF352" s="50"/>
      <c r="AG352" s="7"/>
      <c r="AH352" s="7">
        <f t="shared" ref="AH352:AH353" si="185">ROUND(AC352+AE352-AG352,0)</f>
        <v>4118553810</v>
      </c>
      <c r="AI352" s="27"/>
      <c r="AJ352" s="7">
        <v>3819276494.96</v>
      </c>
      <c r="AK352" s="860">
        <v>3819276494.96</v>
      </c>
      <c r="AL352" s="27">
        <f t="shared" ref="AL352:AL353" si="186">AJ352-AK352</f>
        <v>0</v>
      </c>
      <c r="AM352" s="95"/>
      <c r="AN352" s="27">
        <v>3892245282.6999998</v>
      </c>
    </row>
    <row r="353" spans="1:40">
      <c r="A353" s="16"/>
      <c r="B353" s="26" t="s">
        <v>265</v>
      </c>
      <c r="C353" s="78"/>
      <c r="D353" s="78"/>
      <c r="E353" s="78">
        <f>E344</f>
        <v>0</v>
      </c>
      <c r="F353" s="280"/>
      <c r="G353" s="78"/>
      <c r="H353" s="280"/>
      <c r="I353" s="78"/>
      <c r="J353" s="67">
        <f>E353+G353-I353</f>
        <v>0</v>
      </c>
      <c r="K353" s="67"/>
      <c r="L353" s="934"/>
      <c r="M353" s="912"/>
      <c r="N353" s="78"/>
      <c r="O353" s="78"/>
      <c r="P353" s="78">
        <f>P344</f>
        <v>10709215471.9</v>
      </c>
      <c r="Q353" s="280"/>
      <c r="R353" s="78"/>
      <c r="S353" s="280"/>
      <c r="T353" s="78">
        <f>'AJE CAJE Sept 24'!J91</f>
        <v>0</v>
      </c>
      <c r="U353" s="67">
        <f>P353+R353-T353</f>
        <v>10709215471.9</v>
      </c>
      <c r="V353" s="103"/>
      <c r="W353" s="7">
        <v>5981551995</v>
      </c>
      <c r="X353" s="820">
        <v>5981551995</v>
      </c>
      <c r="Y353" s="27">
        <f t="shared" si="184"/>
        <v>0</v>
      </c>
      <c r="Z353" s="27"/>
      <c r="AA353" s="7"/>
      <c r="AB353" s="7"/>
      <c r="AC353" s="7">
        <f>AC344</f>
        <v>7963670923.1999998</v>
      </c>
      <c r="AD353" s="50"/>
      <c r="AE353" s="7"/>
      <c r="AF353" s="50"/>
      <c r="AG353" s="7"/>
      <c r="AH353" s="7">
        <f t="shared" si="185"/>
        <v>7963670923</v>
      </c>
      <c r="AI353" s="27"/>
      <c r="AJ353" s="7">
        <v>17625497056.27</v>
      </c>
      <c r="AK353" s="860">
        <v>17625497056.27</v>
      </c>
      <c r="AL353" s="27">
        <f t="shared" si="186"/>
        <v>0</v>
      </c>
      <c r="AM353" s="95"/>
      <c r="AN353" s="27">
        <v>21417864176.82</v>
      </c>
    </row>
    <row r="354" spans="1:40">
      <c r="A354" s="73"/>
      <c r="B354" s="71" t="s">
        <v>256</v>
      </c>
      <c r="C354" s="139"/>
      <c r="D354" s="139"/>
      <c r="E354" s="72">
        <f>SUM(E352:E353)</f>
        <v>3808188569</v>
      </c>
      <c r="F354" s="291"/>
      <c r="G354" s="139"/>
      <c r="H354" s="291"/>
      <c r="I354" s="139"/>
      <c r="J354" s="72">
        <f>SUM(J352:J353)</f>
        <v>3808188569</v>
      </c>
      <c r="K354" s="72"/>
      <c r="L354" s="797"/>
      <c r="M354" s="923"/>
      <c r="N354" s="139"/>
      <c r="O354" s="139"/>
      <c r="P354" s="72">
        <f>SUM(P352:P353)</f>
        <v>14517404040.9</v>
      </c>
      <c r="Q354" s="291"/>
      <c r="R354" s="139"/>
      <c r="S354" s="291"/>
      <c r="T354" s="139"/>
      <c r="U354" s="72">
        <f>SUM(U352:U353)</f>
        <v>14517404040.9</v>
      </c>
      <c r="V354" s="449"/>
      <c r="W354" s="72">
        <f>SUM(W352:W353)</f>
        <v>10100105805</v>
      </c>
      <c r="X354" s="819">
        <v>10100105805</v>
      </c>
      <c r="Y354" s="27">
        <f>W354-X354</f>
        <v>0</v>
      </c>
      <c r="Z354" s="27"/>
      <c r="AA354" s="72"/>
      <c r="AB354" s="72"/>
      <c r="AC354" s="72">
        <f>SUM(AC352:AC353)</f>
        <v>12082224733.200001</v>
      </c>
      <c r="AD354" s="399"/>
      <c r="AE354" s="72"/>
      <c r="AF354" s="399"/>
      <c r="AG354" s="72"/>
      <c r="AH354" s="72">
        <f>SUM(AH352:AH353)</f>
        <v>12082224733</v>
      </c>
      <c r="AI354" s="36"/>
      <c r="AJ354" s="72">
        <v>21444773551.23</v>
      </c>
      <c r="AK354" s="862">
        <v>21444773551.23</v>
      </c>
      <c r="AL354" s="27">
        <f>AJ354-AK354</f>
        <v>0</v>
      </c>
      <c r="AM354" s="95"/>
      <c r="AN354" s="72">
        <v>25310109459.52</v>
      </c>
    </row>
    <row r="355" spans="1:40">
      <c r="A355" s="16"/>
      <c r="B355" s="26" t="s">
        <v>266</v>
      </c>
      <c r="C355" s="78"/>
      <c r="D355" s="78"/>
      <c r="E355" s="78">
        <f>-E95</f>
        <v>-3808188569</v>
      </c>
      <c r="F355" s="280"/>
      <c r="G355" s="78"/>
      <c r="H355" s="280"/>
      <c r="I355" s="78"/>
      <c r="J355" s="67">
        <f>E355+G355-I355</f>
        <v>-3808188569</v>
      </c>
      <c r="K355" s="67"/>
      <c r="L355" s="934"/>
      <c r="M355" s="912"/>
      <c r="N355" s="78"/>
      <c r="O355" s="78"/>
      <c r="P355" s="78">
        <f>-P95</f>
        <v>-6129938496.79</v>
      </c>
      <c r="Q355" s="280"/>
      <c r="R355" s="78"/>
      <c r="S355" s="280"/>
      <c r="T355" s="78"/>
      <c r="U355" s="67">
        <f>P355+R355-T355</f>
        <v>-6129938496.79</v>
      </c>
      <c r="V355" s="103"/>
      <c r="W355" s="7">
        <v>-3808188569</v>
      </c>
      <c r="X355" s="820">
        <v>-3808188569</v>
      </c>
      <c r="Y355" s="27">
        <f>W355-X355</f>
        <v>0</v>
      </c>
      <c r="Z355" s="27"/>
      <c r="AA355" s="7"/>
      <c r="AB355" s="7"/>
      <c r="AC355" s="7">
        <f>-AC95</f>
        <v>-4720465278.1199999</v>
      </c>
      <c r="AD355" s="50"/>
      <c r="AE355" s="7"/>
      <c r="AF355" s="50"/>
      <c r="AG355" s="7"/>
      <c r="AH355" s="7">
        <f>ROUND(AC355+AE355-AG355,0)</f>
        <v>-4720465278</v>
      </c>
      <c r="AI355" s="27"/>
      <c r="AJ355" s="7">
        <v>-4118553810.1199999</v>
      </c>
      <c r="AK355" s="860">
        <v>-4118553810.1199999</v>
      </c>
      <c r="AL355" s="27">
        <f>AJ355-AK355</f>
        <v>0</v>
      </c>
      <c r="AM355" s="95"/>
      <c r="AN355" s="27">
        <v>-3819276494.96</v>
      </c>
    </row>
    <row r="356" spans="1:40">
      <c r="A356" s="73"/>
      <c r="B356" s="71" t="s">
        <v>260</v>
      </c>
      <c r="C356" s="139"/>
      <c r="D356" s="139"/>
      <c r="E356" s="72">
        <f>E354+E355</f>
        <v>0</v>
      </c>
      <c r="F356" s="291"/>
      <c r="G356" s="139"/>
      <c r="H356" s="291"/>
      <c r="I356" s="139"/>
      <c r="J356" s="72">
        <f>J354+J355</f>
        <v>0</v>
      </c>
      <c r="K356" s="72"/>
      <c r="L356" s="797"/>
      <c r="M356" s="923"/>
      <c r="N356" s="139"/>
      <c r="O356" s="139"/>
      <c r="P356" s="72">
        <f>P354+P355</f>
        <v>8387465544.1099997</v>
      </c>
      <c r="Q356" s="291"/>
      <c r="R356" s="139"/>
      <c r="S356" s="291"/>
      <c r="T356" s="139"/>
      <c r="U356" s="72">
        <f>U354+U355</f>
        <v>8387465544.1099997</v>
      </c>
      <c r="V356" s="449"/>
      <c r="W356" s="72">
        <f>W354+W355</f>
        <v>6291917236</v>
      </c>
      <c r="X356" s="819">
        <v>6291917236</v>
      </c>
      <c r="Y356" s="27">
        <f>W356-X356</f>
        <v>0</v>
      </c>
      <c r="Z356" s="27"/>
      <c r="AA356" s="72"/>
      <c r="AB356" s="72"/>
      <c r="AC356" s="72">
        <f>AC354+AC355</f>
        <v>7361759455.0800009</v>
      </c>
      <c r="AD356" s="399"/>
      <c r="AE356" s="72"/>
      <c r="AF356" s="399"/>
      <c r="AG356" s="72"/>
      <c r="AH356" s="72">
        <f>AH354+AH355</f>
        <v>7361759455</v>
      </c>
      <c r="AI356" s="36"/>
      <c r="AJ356" s="72">
        <v>17326219741.110001</v>
      </c>
      <c r="AK356" s="862">
        <v>17326219741.110001</v>
      </c>
      <c r="AL356" s="27">
        <f>AJ356-AK356</f>
        <v>0</v>
      </c>
      <c r="AM356" s="95"/>
      <c r="AN356" s="72">
        <v>21490832964.560001</v>
      </c>
    </row>
    <row r="357" spans="1:40">
      <c r="A357" s="74"/>
      <c r="B357" s="75"/>
      <c r="C357" s="75"/>
      <c r="D357" s="75"/>
      <c r="E357" s="75"/>
      <c r="F357" s="292"/>
      <c r="G357" s="75"/>
      <c r="H357" s="292"/>
      <c r="I357" s="75"/>
      <c r="J357" s="75"/>
      <c r="K357" s="75"/>
      <c r="L357" s="940"/>
      <c r="M357" s="927"/>
      <c r="N357" s="75"/>
      <c r="O357" s="75"/>
      <c r="P357" s="75"/>
      <c r="Q357" s="292"/>
      <c r="R357" s="75"/>
      <c r="S357" s="292"/>
      <c r="T357" s="75"/>
      <c r="U357" s="75"/>
      <c r="V357" s="104"/>
      <c r="W357" s="76"/>
      <c r="X357" s="821"/>
      <c r="Y357" s="76"/>
      <c r="Z357" s="76"/>
      <c r="AA357" s="76"/>
      <c r="AB357" s="76"/>
      <c r="AC357" s="76"/>
      <c r="AD357" s="400"/>
      <c r="AE357" s="76"/>
      <c r="AF357" s="400"/>
      <c r="AG357" s="76"/>
      <c r="AH357" s="76"/>
      <c r="AI357" s="76"/>
      <c r="AJ357" s="77"/>
      <c r="AK357" s="863"/>
      <c r="AL357" s="77"/>
      <c r="AM357" s="95"/>
      <c r="AN357" s="77"/>
    </row>
    <row r="358" spans="1:40">
      <c r="A358" s="267" t="s">
        <v>267</v>
      </c>
      <c r="B358" s="75"/>
      <c r="C358" s="75"/>
      <c r="D358" s="75"/>
      <c r="E358" s="75"/>
      <c r="F358" s="292"/>
      <c r="G358" s="75"/>
      <c r="H358" s="292"/>
      <c r="I358" s="75"/>
      <c r="J358" s="75"/>
      <c r="K358" s="75"/>
      <c r="L358" s="940"/>
      <c r="M358" s="927"/>
      <c r="N358" s="75"/>
      <c r="O358" s="75"/>
      <c r="P358" s="75"/>
      <c r="Q358" s="292"/>
      <c r="R358" s="75"/>
      <c r="S358" s="292"/>
      <c r="T358" s="75"/>
      <c r="U358" s="75"/>
      <c r="V358" s="104"/>
      <c r="W358" s="76"/>
      <c r="X358" s="821"/>
      <c r="Y358" s="76"/>
      <c r="Z358" s="76"/>
      <c r="AA358" s="76"/>
      <c r="AB358" s="76"/>
      <c r="AC358" s="76"/>
      <c r="AD358" s="400"/>
      <c r="AE358" s="76"/>
      <c r="AF358" s="400"/>
      <c r="AG358" s="76"/>
      <c r="AH358" s="76"/>
      <c r="AI358" s="76"/>
      <c r="AJ358" s="77"/>
      <c r="AK358" s="863"/>
      <c r="AL358" s="77"/>
      <c r="AM358" s="95"/>
      <c r="AN358" s="77"/>
    </row>
    <row r="359" spans="1:40">
      <c r="A359" s="74"/>
      <c r="B359" s="33" t="s">
        <v>69</v>
      </c>
      <c r="C359" s="120"/>
      <c r="D359" s="120"/>
      <c r="E359" s="120"/>
      <c r="F359" s="280"/>
      <c r="G359" s="120"/>
      <c r="H359" s="280"/>
      <c r="I359" s="120"/>
      <c r="J359" s="120"/>
      <c r="K359" s="120"/>
      <c r="L359" s="935"/>
      <c r="M359" s="915"/>
      <c r="N359" s="120"/>
      <c r="O359" s="120"/>
      <c r="P359" s="120"/>
      <c r="Q359" s="280"/>
      <c r="R359" s="120"/>
      <c r="S359" s="280"/>
      <c r="T359" s="120"/>
      <c r="U359" s="120"/>
      <c r="V359" s="444"/>
      <c r="W359" s="27"/>
      <c r="Y359" s="27"/>
      <c r="Z359" s="27"/>
      <c r="AA359" s="27"/>
      <c r="AB359" s="27"/>
      <c r="AC359" s="27"/>
      <c r="AD359" s="371"/>
      <c r="AE359" s="27"/>
      <c r="AF359" s="371"/>
      <c r="AG359" s="27"/>
      <c r="AH359" s="27"/>
      <c r="AI359" s="27"/>
      <c r="AJ359" s="27"/>
      <c r="AK359" s="863"/>
      <c r="AL359" s="27"/>
      <c r="AM359" s="95"/>
      <c r="AN359" s="27"/>
    </row>
    <row r="360" spans="1:40">
      <c r="A360" s="74"/>
      <c r="B360" s="69" t="s">
        <v>268</v>
      </c>
      <c r="C360" s="78"/>
      <c r="D360" s="78">
        <v>9350652607.6399994</v>
      </c>
      <c r="E360" s="78">
        <f>D360</f>
        <v>9350652607.6399994</v>
      </c>
      <c r="F360" s="280"/>
      <c r="G360" s="78"/>
      <c r="H360" s="280"/>
      <c r="I360" s="78"/>
      <c r="J360" s="67">
        <f>E360+G360-I360</f>
        <v>9350652607.6399994</v>
      </c>
      <c r="K360" s="67"/>
      <c r="L360" s="934"/>
      <c r="M360" s="911"/>
      <c r="N360" s="78"/>
      <c r="O360" s="78">
        <v>7751338163.6400003</v>
      </c>
      <c r="P360" s="78">
        <f>O360</f>
        <v>7751338163.6400003</v>
      </c>
      <c r="Q360" s="280" t="str">
        <f>'AJE CAJE Sept 24'!B68</f>
        <v>CAJE 14</v>
      </c>
      <c r="R360" s="78">
        <f>'AJE CAJE Sept 24'!H69+'AJE CAJE Sept 24'!H71+'AJE CAJE Sept 24'!H72</f>
        <v>133305163</v>
      </c>
      <c r="S360" s="280"/>
      <c r="T360" s="78"/>
      <c r="U360" s="67">
        <f>P360+R360-T360</f>
        <v>7884643326.6400003</v>
      </c>
      <c r="V360" s="103"/>
      <c r="W360" s="27">
        <v>12501554817</v>
      </c>
      <c r="X360" s="820">
        <v>12501554817</v>
      </c>
      <c r="Y360" s="27">
        <f>W360-X360</f>
        <v>0</v>
      </c>
      <c r="Z360" s="27"/>
      <c r="AA360" s="27"/>
      <c r="AB360" s="27">
        <v>10035783057.639999</v>
      </c>
      <c r="AC360" s="27">
        <f>AB360</f>
        <v>10035783057.639999</v>
      </c>
      <c r="AD360" s="371"/>
      <c r="AE360" s="27"/>
      <c r="AF360" s="371"/>
      <c r="AG360" s="27"/>
      <c r="AH360" s="665">
        <f t="shared" ref="AH360:AH363" si="187">ROUND(AC360+AE360-AG360,0)</f>
        <v>10035783058</v>
      </c>
      <c r="AI360" s="27"/>
      <c r="AJ360" s="27">
        <v>18279846796.060001</v>
      </c>
      <c r="AK360" s="860">
        <v>18279846796.060001</v>
      </c>
      <c r="AL360" s="27">
        <f>AJ360-AK360</f>
        <v>0</v>
      </c>
      <c r="AM360" s="95"/>
      <c r="AN360" s="27">
        <v>12624396786</v>
      </c>
    </row>
    <row r="361" spans="1:40">
      <c r="A361" s="74"/>
      <c r="B361" s="26" t="s">
        <v>269</v>
      </c>
      <c r="C361" s="78"/>
      <c r="D361" s="78">
        <v>0</v>
      </c>
      <c r="E361" s="78">
        <f>D361</f>
        <v>0</v>
      </c>
      <c r="F361" s="280"/>
      <c r="G361" s="78"/>
      <c r="H361" s="280"/>
      <c r="I361" s="78"/>
      <c r="J361" s="67">
        <f>E361+G361-I361</f>
        <v>0</v>
      </c>
      <c r="K361" s="67"/>
      <c r="L361" s="934"/>
      <c r="M361" s="911"/>
      <c r="N361" s="78"/>
      <c r="O361" s="78">
        <v>672480</v>
      </c>
      <c r="P361" s="78">
        <f>O361</f>
        <v>672480</v>
      </c>
      <c r="Q361" s="280"/>
      <c r="R361" s="78"/>
      <c r="S361" s="280"/>
      <c r="T361" s="78"/>
      <c r="U361" s="67">
        <f>P361+R361-T361</f>
        <v>672480</v>
      </c>
      <c r="V361" s="103"/>
      <c r="W361" s="27">
        <v>5748750</v>
      </c>
      <c r="X361" s="820">
        <v>5748750</v>
      </c>
      <c r="Y361" s="27">
        <f>W361-X361</f>
        <v>0</v>
      </c>
      <c r="Z361" s="27"/>
      <c r="AA361" s="27"/>
      <c r="AB361" s="27">
        <v>5748750</v>
      </c>
      <c r="AC361" s="27">
        <f t="shared" ref="AC361:AC364" si="188">AB361</f>
        <v>5748750</v>
      </c>
      <c r="AD361" s="371"/>
      <c r="AE361" s="27"/>
      <c r="AF361" s="371"/>
      <c r="AG361" s="27"/>
      <c r="AH361" s="7">
        <f t="shared" si="187"/>
        <v>5748750</v>
      </c>
      <c r="AI361" s="27"/>
      <c r="AJ361" s="27"/>
      <c r="AK361" s="860">
        <v>0</v>
      </c>
      <c r="AL361" s="27"/>
      <c r="AM361" s="95"/>
      <c r="AN361" s="27"/>
    </row>
    <row r="362" spans="1:40">
      <c r="A362" s="74"/>
      <c r="B362" s="78" t="s">
        <v>270</v>
      </c>
      <c r="C362" s="78"/>
      <c r="D362" s="78"/>
      <c r="E362" s="78">
        <f>D362</f>
        <v>0</v>
      </c>
      <c r="F362" s="280"/>
      <c r="G362" s="78"/>
      <c r="H362" s="280"/>
      <c r="I362" s="78"/>
      <c r="J362" s="67">
        <f>E362+G362-I362</f>
        <v>0</v>
      </c>
      <c r="K362" s="67"/>
      <c r="L362" s="934"/>
      <c r="M362" s="912"/>
      <c r="N362" s="78"/>
      <c r="O362" s="78"/>
      <c r="P362" s="78">
        <f>O362</f>
        <v>0</v>
      </c>
      <c r="Q362" s="280"/>
      <c r="R362" s="78"/>
      <c r="S362" s="280"/>
      <c r="T362" s="78"/>
      <c r="U362" s="67">
        <f>P362+R362-T362</f>
        <v>0</v>
      </c>
      <c r="V362" s="103"/>
      <c r="W362" s="27"/>
      <c r="X362" s="820">
        <v>0</v>
      </c>
      <c r="Y362" s="27"/>
      <c r="Z362" s="27"/>
      <c r="AA362" s="27"/>
      <c r="AB362" s="27"/>
      <c r="AC362" s="27">
        <f t="shared" si="188"/>
        <v>0</v>
      </c>
      <c r="AD362" s="371"/>
      <c r="AE362" s="27"/>
      <c r="AF362" s="371"/>
      <c r="AG362" s="27"/>
      <c r="AH362" s="7">
        <f t="shared" si="187"/>
        <v>0</v>
      </c>
      <c r="AI362" s="27"/>
      <c r="AJ362" s="27"/>
      <c r="AK362" s="860">
        <v>0</v>
      </c>
      <c r="AL362" s="27"/>
      <c r="AM362" s="95"/>
      <c r="AN362" s="27"/>
    </row>
    <row r="363" spans="1:40">
      <c r="A363" s="74"/>
      <c r="B363" s="26" t="s">
        <v>271</v>
      </c>
      <c r="C363" s="78"/>
      <c r="D363" s="78"/>
      <c r="E363" s="78">
        <f>D363</f>
        <v>0</v>
      </c>
      <c r="F363" s="280"/>
      <c r="G363" s="78"/>
      <c r="H363" s="280"/>
      <c r="I363" s="78"/>
      <c r="J363" s="67">
        <f>E363+G363-I363</f>
        <v>0</v>
      </c>
      <c r="K363" s="67"/>
      <c r="L363" s="934"/>
      <c r="M363" s="912"/>
      <c r="N363" s="78"/>
      <c r="O363" s="78"/>
      <c r="P363" s="78">
        <f>O363</f>
        <v>0</v>
      </c>
      <c r="Q363" s="280"/>
      <c r="R363" s="78"/>
      <c r="S363" s="280"/>
      <c r="T363" s="78"/>
      <c r="U363" s="67">
        <f>P363+R363-T363</f>
        <v>0</v>
      </c>
      <c r="V363" s="103"/>
      <c r="W363" s="27"/>
      <c r="X363" s="821"/>
      <c r="Y363" s="27"/>
      <c r="Z363" s="27"/>
      <c r="AA363" s="27"/>
      <c r="AB363" s="27"/>
      <c r="AC363" s="27">
        <f t="shared" si="188"/>
        <v>0</v>
      </c>
      <c r="AD363" s="371"/>
      <c r="AE363" s="27"/>
      <c r="AF363" s="371"/>
      <c r="AG363" s="27"/>
      <c r="AH363" s="7">
        <f t="shared" si="187"/>
        <v>0</v>
      </c>
      <c r="AI363" s="27"/>
      <c r="AJ363" s="27"/>
      <c r="AK363" s="860">
        <v>0</v>
      </c>
      <c r="AL363" s="27"/>
      <c r="AM363" s="95"/>
      <c r="AN363" s="27"/>
    </row>
    <row r="364" spans="1:40">
      <c r="A364" s="74"/>
      <c r="B364" s="374" t="s">
        <v>655</v>
      </c>
      <c r="C364" s="75"/>
      <c r="D364" s="75"/>
      <c r="E364" s="75"/>
      <c r="F364" s="292"/>
      <c r="G364" s="75"/>
      <c r="H364" s="292"/>
      <c r="I364" s="75"/>
      <c r="J364" s="75"/>
      <c r="K364" s="75"/>
      <c r="L364" s="940"/>
      <c r="M364" s="927"/>
      <c r="N364" s="75"/>
      <c r="O364" s="75"/>
      <c r="P364" s="75"/>
      <c r="Q364" s="292"/>
      <c r="R364" s="75"/>
      <c r="S364" s="292"/>
      <c r="T364" s="75"/>
      <c r="U364" s="75"/>
      <c r="V364" s="104"/>
      <c r="W364" s="76"/>
      <c r="X364" s="821"/>
      <c r="Y364" s="76"/>
      <c r="Z364" s="76"/>
      <c r="AA364" s="76"/>
      <c r="AB364" s="373"/>
      <c r="AC364" s="27">
        <f t="shared" si="188"/>
        <v>0</v>
      </c>
      <c r="AD364" s="371"/>
      <c r="AE364" s="27"/>
      <c r="AF364" s="371"/>
      <c r="AG364" s="27"/>
      <c r="AH364" s="7"/>
      <c r="AI364" s="76"/>
      <c r="AJ364" s="77"/>
      <c r="AK364" s="863"/>
      <c r="AL364" s="77"/>
      <c r="AM364" s="95"/>
      <c r="AN364" s="77"/>
    </row>
    <row r="365" spans="1:40">
      <c r="A365" s="24" t="s">
        <v>273</v>
      </c>
      <c r="B365" s="75"/>
      <c r="C365" s="75"/>
      <c r="D365" s="75"/>
      <c r="E365" s="75"/>
      <c r="F365" s="292"/>
      <c r="G365" s="75"/>
      <c r="H365" s="292"/>
      <c r="I365" s="75"/>
      <c r="J365" s="75"/>
      <c r="K365" s="75"/>
      <c r="L365" s="940"/>
      <c r="M365" s="927"/>
      <c r="N365" s="75"/>
      <c r="O365" s="75"/>
      <c r="P365" s="75"/>
      <c r="Q365" s="292"/>
      <c r="R365" s="75"/>
      <c r="S365" s="292"/>
      <c r="T365" s="75"/>
      <c r="U365" s="75"/>
      <c r="V365" s="104"/>
      <c r="W365" s="76"/>
      <c r="Y365" s="76"/>
      <c r="Z365" s="76"/>
      <c r="AA365" s="76"/>
      <c r="AB365" s="76"/>
      <c r="AC365" s="76"/>
      <c r="AD365" s="400"/>
      <c r="AE365" s="76"/>
      <c r="AF365" s="400"/>
      <c r="AG365" s="76"/>
      <c r="AH365" s="76"/>
      <c r="AI365" s="76"/>
      <c r="AJ365" s="77"/>
      <c r="AK365" s="863"/>
      <c r="AL365" s="77"/>
      <c r="AM365" s="95"/>
      <c r="AN365" s="77"/>
    </row>
    <row r="366" spans="1:40">
      <c r="A366" s="24"/>
      <c r="B366" s="26" t="s">
        <v>69</v>
      </c>
      <c r="C366" s="78"/>
      <c r="D366" s="78"/>
      <c r="E366" s="78"/>
      <c r="F366" s="280"/>
      <c r="G366" s="78"/>
      <c r="H366" s="280"/>
      <c r="I366" s="78"/>
      <c r="J366" s="67">
        <f>E366+G366-I366</f>
        <v>0</v>
      </c>
      <c r="K366" s="67"/>
      <c r="L366" s="934"/>
      <c r="M366" s="912"/>
      <c r="N366" s="78"/>
      <c r="O366" s="78"/>
      <c r="P366" s="78"/>
      <c r="Q366" s="280"/>
      <c r="R366" s="78"/>
      <c r="S366" s="280"/>
      <c r="T366" s="78"/>
      <c r="U366" s="67">
        <f>P366+R366-T366</f>
        <v>0</v>
      </c>
      <c r="V366" s="103"/>
      <c r="W366" s="7"/>
      <c r="Y366" s="27"/>
      <c r="Z366" s="27"/>
      <c r="AA366" s="7"/>
      <c r="AB366" s="7"/>
      <c r="AC366" s="7"/>
      <c r="AD366" s="50"/>
      <c r="AE366" s="7"/>
      <c r="AF366" s="50"/>
      <c r="AG366" s="7"/>
      <c r="AH366" s="7">
        <f t="shared" ref="AH366" si="189">AC366+AE366-AG366</f>
        <v>0</v>
      </c>
      <c r="AI366" s="27"/>
      <c r="AJ366" s="7"/>
      <c r="AK366" s="863"/>
      <c r="AL366" s="27"/>
      <c r="AM366" s="95"/>
      <c r="AN366" s="27"/>
    </row>
    <row r="367" spans="1:40">
      <c r="A367" s="24"/>
      <c r="B367" s="26" t="s">
        <v>268</v>
      </c>
      <c r="C367" s="78"/>
      <c r="D367" s="78"/>
      <c r="E367" s="78">
        <f>W92</f>
        <v>16305238543</v>
      </c>
      <c r="F367" s="280"/>
      <c r="G367" s="78"/>
      <c r="H367" s="280"/>
      <c r="I367" s="78"/>
      <c r="J367" s="67">
        <f>E367+G367-I367</f>
        <v>16305238543</v>
      </c>
      <c r="K367" s="67"/>
      <c r="L367" s="934"/>
      <c r="M367" s="912"/>
      <c r="N367" s="78"/>
      <c r="O367" s="78"/>
      <c r="P367" s="78">
        <f>W92</f>
        <v>16305238543</v>
      </c>
      <c r="Q367" s="280"/>
      <c r="R367" s="78"/>
      <c r="S367" s="280"/>
      <c r="T367" s="78"/>
      <c r="U367" s="67">
        <f>P367+R367-T367</f>
        <v>16305238543</v>
      </c>
      <c r="V367" s="103"/>
      <c r="W367" s="7">
        <v>12890764983</v>
      </c>
      <c r="X367" s="820">
        <v>12890764983</v>
      </c>
      <c r="Y367" s="27">
        <f t="shared" ref="Y367:Y368" si="190">W367-X367</f>
        <v>0</v>
      </c>
      <c r="Z367" s="27"/>
      <c r="AA367" s="7"/>
      <c r="AB367" s="7"/>
      <c r="AC367" s="7">
        <f>AJ92</f>
        <v>12890764983.309999</v>
      </c>
      <c r="AD367" s="50"/>
      <c r="AE367" s="7"/>
      <c r="AF367" s="50"/>
      <c r="AG367" s="7"/>
      <c r="AH367" s="7">
        <f t="shared" ref="AH367:AH368" si="191">ROUND(AC367+AE367-AG367,0)</f>
        <v>12890764983</v>
      </c>
      <c r="AI367" s="27"/>
      <c r="AJ367" s="7">
        <v>10637571303.719999</v>
      </c>
      <c r="AK367" s="851">
        <v>10637571303.719999</v>
      </c>
      <c r="AL367" s="27">
        <f>AJ367-AK367</f>
        <v>0</v>
      </c>
      <c r="AM367" s="95"/>
      <c r="AN367" s="27">
        <v>13947312300</v>
      </c>
    </row>
    <row r="368" spans="1:40">
      <c r="A368" s="24"/>
      <c r="B368" s="26" t="s">
        <v>272</v>
      </c>
      <c r="C368" s="78"/>
      <c r="D368" s="78"/>
      <c r="E368" s="78">
        <f>W93</f>
        <v>76848942</v>
      </c>
      <c r="F368" s="280"/>
      <c r="G368" s="78"/>
      <c r="H368" s="280"/>
      <c r="I368" s="78"/>
      <c r="J368" s="67">
        <f>E368+G368-I368</f>
        <v>76848942</v>
      </c>
      <c r="K368" s="67"/>
      <c r="L368" s="934"/>
      <c r="M368" s="912"/>
      <c r="N368" s="78"/>
      <c r="O368" s="78"/>
      <c r="P368" s="78">
        <f>W93</f>
        <v>76848942</v>
      </c>
      <c r="Q368" s="280"/>
      <c r="R368" s="78"/>
      <c r="S368" s="280"/>
      <c r="T368" s="78"/>
      <c r="U368" s="67">
        <f>P368+R368-T368</f>
        <v>76848942</v>
      </c>
      <c r="V368" s="103"/>
      <c r="W368" s="27">
        <v>96562754</v>
      </c>
      <c r="X368" s="820">
        <v>96562754</v>
      </c>
      <c r="Y368" s="27">
        <f t="shared" si="190"/>
        <v>0</v>
      </c>
      <c r="Z368" s="27"/>
      <c r="AA368" s="27"/>
      <c r="AB368" s="27"/>
      <c r="AC368" s="27">
        <f>AJ93</f>
        <v>96562754</v>
      </c>
      <c r="AD368" s="371"/>
      <c r="AE368" s="27"/>
      <c r="AF368" s="371"/>
      <c r="AG368" s="27"/>
      <c r="AH368" s="7">
        <f t="shared" si="191"/>
        <v>96562754</v>
      </c>
      <c r="AI368" s="27"/>
      <c r="AJ368" s="7">
        <v>131498448.62</v>
      </c>
      <c r="AK368" s="851">
        <v>131498448.62</v>
      </c>
      <c r="AL368" s="27">
        <f>AJ368-AK368</f>
        <v>0</v>
      </c>
      <c r="AM368" s="95"/>
      <c r="AN368" s="27">
        <v>158484253</v>
      </c>
    </row>
    <row r="369" spans="1:40">
      <c r="A369" s="24"/>
      <c r="B369" s="26"/>
      <c r="C369" s="78"/>
      <c r="D369" s="78"/>
      <c r="E369" s="78"/>
      <c r="F369" s="280"/>
      <c r="G369" s="78"/>
      <c r="H369" s="280"/>
      <c r="I369" s="78"/>
      <c r="J369" s="78"/>
      <c r="K369" s="78"/>
      <c r="L369" s="936"/>
      <c r="M369" s="917"/>
      <c r="N369" s="78"/>
      <c r="O369" s="78"/>
      <c r="P369" s="78"/>
      <c r="Q369" s="280"/>
      <c r="R369" s="78"/>
      <c r="S369" s="280"/>
      <c r="T369" s="78"/>
      <c r="U369" s="78"/>
      <c r="V369" s="105"/>
      <c r="W369" s="27"/>
      <c r="X369" s="820"/>
      <c r="Y369" s="27"/>
      <c r="Z369" s="27"/>
      <c r="AA369" s="27"/>
      <c r="AB369" s="27"/>
      <c r="AC369" s="27"/>
      <c r="AD369" s="371"/>
      <c r="AE369" s="27"/>
      <c r="AF369" s="371"/>
      <c r="AG369" s="27"/>
      <c r="AH369" s="27"/>
      <c r="AI369" s="27"/>
      <c r="AJ369" s="27"/>
      <c r="AK369" s="851"/>
      <c r="AL369" s="27"/>
      <c r="AM369" s="95"/>
      <c r="AN369" s="27"/>
    </row>
    <row r="370" spans="1:40">
      <c r="A370" s="24" t="s">
        <v>274</v>
      </c>
      <c r="B370" s="26"/>
      <c r="C370" s="78"/>
      <c r="D370" s="78"/>
      <c r="E370" s="78"/>
      <c r="F370" s="280"/>
      <c r="G370" s="78"/>
      <c r="H370" s="280"/>
      <c r="I370" s="78"/>
      <c r="J370" s="78"/>
      <c r="K370" s="78"/>
      <c r="L370" s="936"/>
      <c r="M370" s="917"/>
      <c r="N370" s="78"/>
      <c r="O370" s="78"/>
      <c r="P370" s="78"/>
      <c r="Q370" s="280"/>
      <c r="R370" s="78"/>
      <c r="S370" s="280"/>
      <c r="T370" s="78"/>
      <c r="U370" s="78"/>
      <c r="V370" s="105"/>
      <c r="W370" s="7"/>
      <c r="X370" s="820"/>
      <c r="Y370" s="27"/>
      <c r="Z370" s="27"/>
      <c r="AA370" s="7"/>
      <c r="AB370" s="7"/>
      <c r="AC370" s="7"/>
      <c r="AD370" s="50"/>
      <c r="AE370" s="7"/>
      <c r="AF370" s="50"/>
      <c r="AG370" s="7"/>
      <c r="AH370" s="7"/>
      <c r="AI370" s="27"/>
      <c r="AJ370" s="7"/>
      <c r="AK370" s="842"/>
      <c r="AL370" s="27"/>
      <c r="AM370" s="95"/>
      <c r="AN370" s="7"/>
    </row>
    <row r="371" spans="1:40">
      <c r="A371" s="34"/>
      <c r="B371" s="26" t="s">
        <v>268</v>
      </c>
      <c r="C371" s="78"/>
      <c r="D371" s="78"/>
      <c r="E371" s="78">
        <f>E92</f>
        <v>16305238543</v>
      </c>
      <c r="F371" s="280"/>
      <c r="G371" s="78"/>
      <c r="H371" s="280"/>
      <c r="I371" s="78"/>
      <c r="J371" s="67">
        <f>E371+G371-I371</f>
        <v>16305238543</v>
      </c>
      <c r="K371" s="67"/>
      <c r="L371" s="934"/>
      <c r="M371" s="912"/>
      <c r="N371" s="78"/>
      <c r="O371" s="78"/>
      <c r="P371" s="78">
        <f>P92</f>
        <v>20674773552.799999</v>
      </c>
      <c r="Q371" s="280"/>
      <c r="R371" s="78"/>
      <c r="S371" s="280"/>
      <c r="T371" s="78"/>
      <c r="U371" s="67">
        <f>P371+R371-T371</f>
        <v>20674773552.799999</v>
      </c>
      <c r="V371" s="103"/>
      <c r="W371" s="7">
        <v>16305238543</v>
      </c>
      <c r="X371" s="820">
        <v>16305238543</v>
      </c>
      <c r="Y371" s="27">
        <f t="shared" ref="Y371:Y372" si="192">W371-X371</f>
        <v>0</v>
      </c>
      <c r="Z371" s="27"/>
      <c r="AA371" s="7"/>
      <c r="AB371" s="7"/>
      <c r="AC371" s="7">
        <f>AC92</f>
        <v>17383013043.5</v>
      </c>
      <c r="AD371" s="50"/>
      <c r="AE371" s="7"/>
      <c r="AF371" s="50"/>
      <c r="AG371" s="7"/>
      <c r="AH371" s="7">
        <f t="shared" ref="AH371:AH372" si="193">ROUND(AC371+AE371-AG371,0)</f>
        <v>17383013044</v>
      </c>
      <c r="AI371" s="27"/>
      <c r="AJ371" s="7">
        <v>12890764983.309999</v>
      </c>
      <c r="AK371" s="860">
        <v>12890764983.309999</v>
      </c>
      <c r="AL371" s="27">
        <f>AJ371-AK371</f>
        <v>0</v>
      </c>
      <c r="AM371" s="95"/>
      <c r="AN371" s="27">
        <v>10637571304</v>
      </c>
    </row>
    <row r="372" spans="1:40">
      <c r="A372" s="34"/>
      <c r="B372" s="26" t="s">
        <v>272</v>
      </c>
      <c r="C372" s="78"/>
      <c r="D372" s="78"/>
      <c r="E372" s="78">
        <f>E93</f>
        <v>76848942</v>
      </c>
      <c r="F372" s="280"/>
      <c r="G372" s="78"/>
      <c r="H372" s="280"/>
      <c r="I372" s="78"/>
      <c r="J372" s="67">
        <f>E372+G372-I372</f>
        <v>76848942</v>
      </c>
      <c r="K372" s="67"/>
      <c r="L372" s="934"/>
      <c r="M372" s="912"/>
      <c r="N372" s="78"/>
      <c r="O372" s="78"/>
      <c r="P372" s="78">
        <f>P93</f>
        <v>34860372.939999998</v>
      </c>
      <c r="Q372" s="280"/>
      <c r="R372" s="78"/>
      <c r="S372" s="280"/>
      <c r="T372" s="78"/>
      <c r="U372" s="67">
        <f>P372+R372-T372</f>
        <v>34860372.939999998</v>
      </c>
      <c r="V372" s="103"/>
      <c r="W372" s="7">
        <v>76848942</v>
      </c>
      <c r="X372" s="820">
        <v>76848942</v>
      </c>
      <c r="Y372" s="27">
        <f t="shared" si="192"/>
        <v>0</v>
      </c>
      <c r="Z372" s="27"/>
      <c r="AA372" s="7"/>
      <c r="AB372" s="7"/>
      <c r="AC372" s="7">
        <f>AC93</f>
        <v>84387985.879999995</v>
      </c>
      <c r="AD372" s="50"/>
      <c r="AE372" s="7"/>
      <c r="AF372" s="50"/>
      <c r="AG372" s="7"/>
      <c r="AH372" s="7">
        <f t="shared" si="193"/>
        <v>84387986</v>
      </c>
      <c r="AI372" s="27"/>
      <c r="AJ372" s="7">
        <v>96562753.719999999</v>
      </c>
      <c r="AK372" s="860">
        <v>96562753.719999999</v>
      </c>
      <c r="AL372" s="27">
        <f>AJ372-AK372</f>
        <v>0</v>
      </c>
      <c r="AM372" s="95"/>
      <c r="AN372" s="27">
        <v>131498447</v>
      </c>
    </row>
    <row r="373" spans="1:40">
      <c r="A373" s="70"/>
      <c r="B373" s="71" t="s">
        <v>275</v>
      </c>
      <c r="C373" s="139"/>
      <c r="D373" s="139"/>
      <c r="E373" s="79">
        <f>SUM(E360:E363)+SUM(E367:E369)-SUM(E371:E372)</f>
        <v>9350652607.6399994</v>
      </c>
      <c r="F373" s="291"/>
      <c r="G373" s="139"/>
      <c r="H373" s="291"/>
      <c r="I373" s="139"/>
      <c r="J373" s="79">
        <f>SUM(J360:J363)+SUM(J367:J369)-SUM(J371:J372)</f>
        <v>9350652607.6399994</v>
      </c>
      <c r="K373" s="79"/>
      <c r="L373" s="823"/>
      <c r="M373" s="928"/>
      <c r="N373" s="139"/>
      <c r="O373" s="139"/>
      <c r="P373" s="79">
        <f>SUM(P360:P363)+SUM(P367:P369)-SUM(P371:P372)</f>
        <v>3424464202.9000015</v>
      </c>
      <c r="Q373" s="291"/>
      <c r="R373" s="139"/>
      <c r="S373" s="291"/>
      <c r="T373" s="139"/>
      <c r="U373" s="79">
        <f>SUM(U360:U363)+SUM(U367:U369)-SUM(U371:U372)</f>
        <v>3557769365.9000015</v>
      </c>
      <c r="V373" s="453"/>
      <c r="W373" s="79">
        <f>SUM(W360:W363)+SUM(W367:W369)-SUM(W371:W372)</f>
        <v>9112543819</v>
      </c>
      <c r="X373" s="822">
        <v>9112543819</v>
      </c>
      <c r="Y373" s="82"/>
      <c r="Z373" s="82"/>
      <c r="AA373" s="79"/>
      <c r="AB373" s="79"/>
      <c r="AC373" s="79">
        <f>SUM(AC360:AC364)+SUM(AC367:AC369)-SUM(AC371:AC372)</f>
        <v>5561458515.5699959</v>
      </c>
      <c r="AD373" s="399"/>
      <c r="AE373" s="79"/>
      <c r="AF373" s="399"/>
      <c r="AG373" s="79"/>
      <c r="AH373" s="79">
        <f>SUM(AH360:AH364)+SUM(AH367:AH369)-SUM(AH371:AH372)</f>
        <v>5561458515</v>
      </c>
      <c r="AI373" s="82"/>
      <c r="AJ373" s="79">
        <v>16061588811.370003</v>
      </c>
      <c r="AK373" s="822">
        <v>16061588811.370003</v>
      </c>
      <c r="AL373" s="82">
        <f>AJ373-AK373</f>
        <v>0</v>
      </c>
      <c r="AM373" s="95"/>
      <c r="AN373" s="79">
        <v>15961123588</v>
      </c>
    </row>
    <row r="374" spans="1:40">
      <c r="A374" s="12" t="s">
        <v>276</v>
      </c>
      <c r="B374" s="26"/>
      <c r="C374" s="78"/>
      <c r="D374" s="78"/>
      <c r="E374" s="78"/>
      <c r="F374" s="280"/>
      <c r="G374" s="78"/>
      <c r="H374" s="280"/>
      <c r="I374" s="78"/>
      <c r="J374" s="78"/>
      <c r="K374" s="78"/>
      <c r="L374" s="936"/>
      <c r="M374" s="917"/>
      <c r="N374" s="78"/>
      <c r="O374" s="78"/>
      <c r="P374" s="78"/>
      <c r="Q374" s="280"/>
      <c r="R374" s="78"/>
      <c r="S374" s="280"/>
      <c r="T374" s="78"/>
      <c r="U374" s="78"/>
      <c r="V374" s="105"/>
      <c r="W374" s="27"/>
      <c r="X374" s="806"/>
      <c r="Y374" s="27"/>
      <c r="Z374" s="27"/>
      <c r="AA374" s="27"/>
      <c r="AB374" s="27"/>
      <c r="AC374" s="27"/>
      <c r="AD374" s="371"/>
      <c r="AE374" s="27"/>
      <c r="AF374" s="371"/>
      <c r="AG374" s="27"/>
      <c r="AH374" s="27"/>
      <c r="AI374" s="27"/>
      <c r="AJ374" s="27"/>
      <c r="AK374" s="851"/>
      <c r="AL374" s="27"/>
      <c r="AM374" s="95"/>
      <c r="AN374" s="27"/>
    </row>
    <row r="375" spans="1:40">
      <c r="A375" s="29"/>
      <c r="B375" s="33" t="s">
        <v>277</v>
      </c>
      <c r="C375" s="120"/>
      <c r="D375" s="120"/>
      <c r="E375" s="120"/>
      <c r="F375" s="280"/>
      <c r="G375" s="120"/>
      <c r="H375" s="280"/>
      <c r="I375" s="120"/>
      <c r="J375" s="120"/>
      <c r="K375" s="120"/>
      <c r="L375" s="935"/>
      <c r="M375" s="915"/>
      <c r="N375" s="120"/>
      <c r="O375" s="120"/>
      <c r="P375" s="120"/>
      <c r="Q375" s="280"/>
      <c r="R375" s="120"/>
      <c r="S375" s="280"/>
      <c r="T375" s="120"/>
      <c r="U375" s="120"/>
      <c r="V375" s="444"/>
      <c r="W375" s="27"/>
      <c r="X375" s="794">
        <v>0</v>
      </c>
      <c r="Y375" s="27"/>
      <c r="Z375" s="27"/>
      <c r="AA375" s="27"/>
      <c r="AB375" s="27"/>
      <c r="AC375" s="27"/>
      <c r="AD375" s="371"/>
      <c r="AE375" s="27"/>
      <c r="AF375" s="371"/>
      <c r="AG375" s="27"/>
      <c r="AH375" s="27"/>
      <c r="AI375" s="27"/>
      <c r="AJ375" s="27"/>
      <c r="AK375" s="841">
        <v>0</v>
      </c>
      <c r="AL375" s="27"/>
      <c r="AM375" s="95"/>
      <c r="AN375" s="27"/>
    </row>
    <row r="376" spans="1:40">
      <c r="A376" s="34"/>
      <c r="B376" s="26" t="s">
        <v>278</v>
      </c>
      <c r="C376" s="78"/>
      <c r="D376" s="78"/>
      <c r="E376" s="78">
        <f t="shared" ref="E376:E397" si="194">D376</f>
        <v>0</v>
      </c>
      <c r="F376" s="280"/>
      <c r="G376" s="78"/>
      <c r="H376" s="280"/>
      <c r="I376" s="78"/>
      <c r="J376" s="67">
        <f t="shared" ref="J376:J397" si="195">E376+G376-I376</f>
        <v>0</v>
      </c>
      <c r="K376" s="67"/>
      <c r="L376" s="934"/>
      <c r="M376" s="912"/>
      <c r="N376" s="78"/>
      <c r="O376" s="78"/>
      <c r="P376" s="78">
        <f t="shared" ref="P376:P397" si="196">O376</f>
        <v>0</v>
      </c>
      <c r="Q376" s="280"/>
      <c r="R376" s="78"/>
      <c r="S376" s="280"/>
      <c r="T376" s="78"/>
      <c r="U376" s="67">
        <f t="shared" ref="U376:U397" si="197">P376+R376-T376</f>
        <v>0</v>
      </c>
      <c r="V376" s="103"/>
      <c r="W376" s="7">
        <v>0</v>
      </c>
      <c r="X376" s="794"/>
      <c r="Y376" s="27"/>
      <c r="Z376" s="27"/>
      <c r="AA376" s="7"/>
      <c r="AB376" s="7"/>
      <c r="AC376" s="7">
        <f>AB376</f>
        <v>0</v>
      </c>
      <c r="AD376" s="50"/>
      <c r="AE376" s="7"/>
      <c r="AF376" s="50"/>
      <c r="AG376" s="7"/>
      <c r="AH376" s="7">
        <f t="shared" ref="AH376:AH397" si="198">ROUND(AC376+AE376-AG376,0)</f>
        <v>0</v>
      </c>
      <c r="AI376" s="27"/>
      <c r="AJ376" s="7">
        <v>0</v>
      </c>
      <c r="AK376" s="841"/>
      <c r="AL376" s="27"/>
      <c r="AM376" s="95"/>
      <c r="AN376" s="27">
        <v>0</v>
      </c>
    </row>
    <row r="377" spans="1:40">
      <c r="A377" s="34"/>
      <c r="B377" s="26" t="s">
        <v>279</v>
      </c>
      <c r="C377" s="78"/>
      <c r="D377" s="78"/>
      <c r="E377" s="78">
        <f t="shared" si="194"/>
        <v>0</v>
      </c>
      <c r="F377" s="280"/>
      <c r="G377" s="78"/>
      <c r="H377" s="280"/>
      <c r="I377" s="78"/>
      <c r="J377" s="67">
        <f t="shared" si="195"/>
        <v>0</v>
      </c>
      <c r="K377" s="67"/>
      <c r="L377" s="934"/>
      <c r="M377" s="912"/>
      <c r="N377" s="78"/>
      <c r="O377" s="78"/>
      <c r="P377" s="78">
        <f t="shared" si="196"/>
        <v>0</v>
      </c>
      <c r="Q377" s="280"/>
      <c r="R377" s="78"/>
      <c r="S377" s="280"/>
      <c r="T377" s="78"/>
      <c r="U377" s="67">
        <f t="shared" si="197"/>
        <v>0</v>
      </c>
      <c r="V377" s="103"/>
      <c r="W377" s="7">
        <v>0</v>
      </c>
      <c r="X377" s="794"/>
      <c r="Y377" s="27"/>
      <c r="Z377" s="27"/>
      <c r="AA377" s="7"/>
      <c r="AB377" s="7"/>
      <c r="AC377" s="7">
        <f t="shared" ref="AC377:AC397" si="199">AB377</f>
        <v>0</v>
      </c>
      <c r="AD377" s="50"/>
      <c r="AE377" s="7"/>
      <c r="AF377" s="50"/>
      <c r="AG377" s="7"/>
      <c r="AH377" s="7">
        <f t="shared" si="198"/>
        <v>0</v>
      </c>
      <c r="AI377" s="27"/>
      <c r="AJ377" s="7">
        <v>0</v>
      </c>
      <c r="AK377" s="841"/>
      <c r="AL377" s="27"/>
      <c r="AM377" s="95"/>
      <c r="AN377" s="27">
        <v>0</v>
      </c>
    </row>
    <row r="378" spans="1:40">
      <c r="A378" s="29"/>
      <c r="B378" s="33" t="s">
        <v>280</v>
      </c>
      <c r="C378" s="120"/>
      <c r="D378" s="120"/>
      <c r="E378" s="78">
        <f t="shared" si="194"/>
        <v>0</v>
      </c>
      <c r="F378" s="280"/>
      <c r="G378" s="120"/>
      <c r="H378" s="280"/>
      <c r="I378" s="120"/>
      <c r="J378" s="67">
        <f t="shared" si="195"/>
        <v>0</v>
      </c>
      <c r="K378" s="67"/>
      <c r="L378" s="934"/>
      <c r="M378" s="912"/>
      <c r="N378" s="120"/>
      <c r="O378" s="120"/>
      <c r="P378" s="78">
        <f t="shared" si="196"/>
        <v>0</v>
      </c>
      <c r="Q378" s="280"/>
      <c r="R378" s="120"/>
      <c r="S378" s="280"/>
      <c r="T378" s="120"/>
      <c r="U378" s="67">
        <f t="shared" si="197"/>
        <v>0</v>
      </c>
      <c r="V378" s="103"/>
      <c r="W378" s="27"/>
      <c r="X378" s="794">
        <v>0</v>
      </c>
      <c r="Y378" s="27"/>
      <c r="Z378" s="27"/>
      <c r="AA378" s="27"/>
      <c r="AB378" s="27"/>
      <c r="AC378" s="27">
        <f t="shared" si="199"/>
        <v>0</v>
      </c>
      <c r="AD378" s="371"/>
      <c r="AE378" s="27"/>
      <c r="AF378" s="371"/>
      <c r="AG378" s="27"/>
      <c r="AH378" s="7">
        <f t="shared" si="198"/>
        <v>0</v>
      </c>
      <c r="AI378" s="27"/>
      <c r="AJ378" s="27"/>
      <c r="AK378" s="841">
        <v>0</v>
      </c>
      <c r="AL378" s="27"/>
      <c r="AM378" s="95"/>
      <c r="AN378" s="27"/>
    </row>
    <row r="379" spans="1:40">
      <c r="A379" s="34"/>
      <c r="B379" s="26" t="s">
        <v>281</v>
      </c>
      <c r="C379" s="78"/>
      <c r="D379" s="78"/>
      <c r="E379" s="78">
        <f t="shared" si="194"/>
        <v>0</v>
      </c>
      <c r="F379" s="280"/>
      <c r="G379" s="78"/>
      <c r="H379" s="280"/>
      <c r="I379" s="78"/>
      <c r="J379" s="67">
        <f t="shared" si="195"/>
        <v>0</v>
      </c>
      <c r="K379" s="67"/>
      <c r="L379" s="934"/>
      <c r="M379" s="912"/>
      <c r="N379" s="78"/>
      <c r="O379" s="78"/>
      <c r="P379" s="78">
        <f t="shared" si="196"/>
        <v>0</v>
      </c>
      <c r="Q379" s="280"/>
      <c r="R379" s="78"/>
      <c r="S379" s="280"/>
      <c r="T379" s="78"/>
      <c r="U379" s="67">
        <f t="shared" si="197"/>
        <v>0</v>
      </c>
      <c r="V379" s="103"/>
      <c r="W379" s="7">
        <v>7000000</v>
      </c>
      <c r="X379" s="794">
        <v>7000000</v>
      </c>
      <c r="Y379" s="27">
        <f>W379-X379</f>
        <v>0</v>
      </c>
      <c r="Z379" s="27"/>
      <c r="AA379" s="7"/>
      <c r="AB379" s="7">
        <v>7000000</v>
      </c>
      <c r="AC379" s="7">
        <f t="shared" si="199"/>
        <v>7000000</v>
      </c>
      <c r="AD379" s="50"/>
      <c r="AE379" s="7"/>
      <c r="AF379" s="50"/>
      <c r="AG379" s="7"/>
      <c r="AH379" s="7">
        <f t="shared" si="198"/>
        <v>7000000</v>
      </c>
      <c r="AI379" s="27"/>
      <c r="AJ379" s="7">
        <v>5957818</v>
      </c>
      <c r="AK379" s="841">
        <v>5957818</v>
      </c>
      <c r="AL379" s="27">
        <f>AJ379-AK379</f>
        <v>0</v>
      </c>
      <c r="AM379" s="95"/>
      <c r="AN379" s="27">
        <v>7355840</v>
      </c>
    </row>
    <row r="380" spans="1:40">
      <c r="A380" s="34"/>
      <c r="B380" s="26" t="s">
        <v>282</v>
      </c>
      <c r="C380" s="78"/>
      <c r="D380" s="78">
        <v>202933926</v>
      </c>
      <c r="E380" s="78">
        <f t="shared" si="194"/>
        <v>202933926</v>
      </c>
      <c r="F380" s="280"/>
      <c r="G380" s="78"/>
      <c r="H380" s="280"/>
      <c r="I380" s="78"/>
      <c r="J380" s="67">
        <f t="shared" si="195"/>
        <v>202933926</v>
      </c>
      <c r="K380" s="67"/>
      <c r="L380" s="934"/>
      <c r="M380" s="912"/>
      <c r="N380" s="78"/>
      <c r="O380" s="78">
        <v>147923694</v>
      </c>
      <c r="P380" s="78">
        <f t="shared" si="196"/>
        <v>147923694</v>
      </c>
      <c r="Q380" s="280"/>
      <c r="R380" s="78"/>
      <c r="S380" s="280"/>
      <c r="T380" s="78"/>
      <c r="U380" s="67">
        <f t="shared" si="197"/>
        <v>147923694</v>
      </c>
      <c r="V380" s="103"/>
      <c r="W380" s="7">
        <v>209375653</v>
      </c>
      <c r="X380" s="794">
        <v>209375653</v>
      </c>
      <c r="Y380" s="27">
        <f>W380-X380</f>
        <v>0</v>
      </c>
      <c r="Z380" s="27"/>
      <c r="AA380" s="7"/>
      <c r="AB380" s="7">
        <v>171780835</v>
      </c>
      <c r="AC380" s="7">
        <f t="shared" si="199"/>
        <v>171780835</v>
      </c>
      <c r="AD380" s="50"/>
      <c r="AE380" s="7"/>
      <c r="AF380" s="50"/>
      <c r="AG380" s="7"/>
      <c r="AH380" s="7">
        <f t="shared" si="198"/>
        <v>171780835</v>
      </c>
      <c r="AI380" s="27"/>
      <c r="AJ380" s="7">
        <v>179500795</v>
      </c>
      <c r="AK380" s="841">
        <v>179500795</v>
      </c>
      <c r="AL380" s="27">
        <f>AJ380-AK380</f>
        <v>0</v>
      </c>
      <c r="AM380" s="95"/>
      <c r="AN380" s="27">
        <v>145454827</v>
      </c>
    </row>
    <row r="381" spans="1:40">
      <c r="A381" s="34"/>
      <c r="B381" s="26" t="s">
        <v>283</v>
      </c>
      <c r="C381" s="78"/>
      <c r="D381" s="78">
        <v>20534000</v>
      </c>
      <c r="E381" s="78">
        <f t="shared" si="194"/>
        <v>20534000</v>
      </c>
      <c r="F381" s="280"/>
      <c r="G381" s="78"/>
      <c r="H381" s="280"/>
      <c r="I381" s="78"/>
      <c r="J381" s="67">
        <f t="shared" si="195"/>
        <v>20534000</v>
      </c>
      <c r="K381" s="67"/>
      <c r="L381" s="934"/>
      <c r="M381" s="912"/>
      <c r="N381" s="78"/>
      <c r="O381" s="78">
        <v>16511000</v>
      </c>
      <c r="P381" s="78">
        <f t="shared" si="196"/>
        <v>16511000</v>
      </c>
      <c r="Q381" s="280"/>
      <c r="R381" s="78"/>
      <c r="S381" s="280"/>
      <c r="T381" s="78"/>
      <c r="U381" s="67">
        <f t="shared" si="197"/>
        <v>16511000</v>
      </c>
      <c r="V381" s="103"/>
      <c r="W381" s="7">
        <v>27476000</v>
      </c>
      <c r="X381" s="794">
        <v>27476000</v>
      </c>
      <c r="Y381" s="27">
        <f>W381-X381</f>
        <v>0</v>
      </c>
      <c r="Z381" s="27"/>
      <c r="AA381" s="7"/>
      <c r="AB381" s="7">
        <v>23504000</v>
      </c>
      <c r="AC381" s="7">
        <f t="shared" si="199"/>
        <v>23504000</v>
      </c>
      <c r="AD381" s="50"/>
      <c r="AE381" s="7"/>
      <c r="AF381" s="50"/>
      <c r="AG381" s="7"/>
      <c r="AH381" s="7">
        <f t="shared" si="198"/>
        <v>23504000</v>
      </c>
      <c r="AI381" s="27"/>
      <c r="AJ381" s="7">
        <v>12397000</v>
      </c>
      <c r="AK381" s="841">
        <v>12397000</v>
      </c>
      <c r="AL381" s="27">
        <f>AJ381-AK381</f>
        <v>0</v>
      </c>
      <c r="AM381" s="95"/>
      <c r="AN381" s="27">
        <v>12439000</v>
      </c>
    </row>
    <row r="382" spans="1:40">
      <c r="A382" s="34"/>
      <c r="B382" s="26" t="s">
        <v>284</v>
      </c>
      <c r="C382" s="78"/>
      <c r="D382" s="78">
        <v>33278920</v>
      </c>
      <c r="E382" s="78">
        <f t="shared" si="194"/>
        <v>33278920</v>
      </c>
      <c r="F382" s="280"/>
      <c r="G382" s="78"/>
      <c r="H382" s="280"/>
      <c r="I382" s="78"/>
      <c r="J382" s="67">
        <f t="shared" si="195"/>
        <v>33278920</v>
      </c>
      <c r="K382" s="67"/>
      <c r="L382" s="934"/>
      <c r="M382" s="912"/>
      <c r="N382" s="78"/>
      <c r="O382" s="78">
        <v>23120000</v>
      </c>
      <c r="P382" s="78">
        <f t="shared" si="196"/>
        <v>23120000</v>
      </c>
      <c r="Q382" s="280"/>
      <c r="R382" s="78"/>
      <c r="S382" s="280"/>
      <c r="T382" s="78"/>
      <c r="U382" s="67">
        <f t="shared" si="197"/>
        <v>23120000</v>
      </c>
      <c r="V382" s="103"/>
      <c r="W382" s="7">
        <v>32413441</v>
      </c>
      <c r="X382" s="794">
        <v>32413441</v>
      </c>
      <c r="Y382" s="27">
        <f t="shared" ref="Y382:Y387" si="200">W382-X382</f>
        <v>0</v>
      </c>
      <c r="Z382" s="27"/>
      <c r="AA382" s="7"/>
      <c r="AB382" s="7">
        <v>25346100</v>
      </c>
      <c r="AC382" s="7">
        <f t="shared" si="199"/>
        <v>25346100</v>
      </c>
      <c r="AD382" s="50"/>
      <c r="AE382" s="7"/>
      <c r="AF382" s="50"/>
      <c r="AG382" s="7"/>
      <c r="AH382" s="7">
        <f t="shared" si="198"/>
        <v>25346100</v>
      </c>
      <c r="AI382" s="27"/>
      <c r="AJ382" s="7">
        <v>49564488</v>
      </c>
      <c r="AK382" s="841">
        <v>49564488</v>
      </c>
      <c r="AL382" s="27">
        <f t="shared" ref="AL382:AL384" si="201">AJ382-AK382</f>
        <v>0</v>
      </c>
      <c r="AM382" s="95"/>
      <c r="AN382" s="27">
        <v>34108700</v>
      </c>
    </row>
    <row r="383" spans="1:40">
      <c r="A383" s="34"/>
      <c r="B383" s="26" t="s">
        <v>285</v>
      </c>
      <c r="C383" s="78"/>
      <c r="D383" s="78">
        <v>44726209</v>
      </c>
      <c r="E383" s="78">
        <f t="shared" si="194"/>
        <v>44726209</v>
      </c>
      <c r="F383" s="280"/>
      <c r="G383" s="78"/>
      <c r="H383" s="280"/>
      <c r="I383" s="78"/>
      <c r="J383" s="67">
        <f t="shared" si="195"/>
        <v>44726209</v>
      </c>
      <c r="K383" s="67"/>
      <c r="L383" s="934"/>
      <c r="M383" s="912"/>
      <c r="N383" s="78"/>
      <c r="O383" s="78">
        <v>35827876</v>
      </c>
      <c r="P383" s="78">
        <f t="shared" si="196"/>
        <v>35827876</v>
      </c>
      <c r="Q383" s="280"/>
      <c r="R383" s="78"/>
      <c r="S383" s="280"/>
      <c r="T383" s="78"/>
      <c r="U383" s="67">
        <f t="shared" si="197"/>
        <v>35827876</v>
      </c>
      <c r="V383" s="103"/>
      <c r="W383" s="7">
        <v>37734171</v>
      </c>
      <c r="X383" s="794">
        <v>37734171</v>
      </c>
      <c r="Y383" s="27">
        <f t="shared" si="200"/>
        <v>0</v>
      </c>
      <c r="Z383" s="27"/>
      <c r="AA383" s="7"/>
      <c r="AB383" s="7">
        <v>29115977</v>
      </c>
      <c r="AC383" s="7">
        <f t="shared" si="199"/>
        <v>29115977</v>
      </c>
      <c r="AD383" s="50"/>
      <c r="AE383" s="7"/>
      <c r="AF383" s="50"/>
      <c r="AG383" s="7"/>
      <c r="AH383" s="7">
        <f t="shared" si="198"/>
        <v>29115977</v>
      </c>
      <c r="AI383" s="27"/>
      <c r="AJ383" s="7">
        <v>37831767</v>
      </c>
      <c r="AK383" s="841">
        <v>37831767</v>
      </c>
      <c r="AL383" s="27">
        <f t="shared" si="201"/>
        <v>0</v>
      </c>
      <c r="AM383" s="95"/>
      <c r="AN383" s="27">
        <v>37779486</v>
      </c>
    </row>
    <row r="384" spans="1:40">
      <c r="A384" s="34"/>
      <c r="B384" s="26" t="s">
        <v>286</v>
      </c>
      <c r="C384" s="78"/>
      <c r="D384" s="78"/>
      <c r="E384" s="78">
        <f t="shared" si="194"/>
        <v>0</v>
      </c>
      <c r="F384" s="280"/>
      <c r="G384" s="78"/>
      <c r="H384" s="280"/>
      <c r="I384" s="78"/>
      <c r="J384" s="67">
        <f t="shared" si="195"/>
        <v>0</v>
      </c>
      <c r="K384" s="67"/>
      <c r="L384" s="934"/>
      <c r="M384" s="912"/>
      <c r="N384" s="78"/>
      <c r="O384" s="78"/>
      <c r="P384" s="78">
        <f t="shared" si="196"/>
        <v>0</v>
      </c>
      <c r="Q384" s="280"/>
      <c r="R384" s="78"/>
      <c r="S384" s="280"/>
      <c r="T384" s="78"/>
      <c r="U384" s="67">
        <f t="shared" si="197"/>
        <v>0</v>
      </c>
      <c r="V384" s="103"/>
      <c r="W384" s="7">
        <v>12911080</v>
      </c>
      <c r="X384" s="794">
        <v>12911080</v>
      </c>
      <c r="Y384" s="27">
        <f t="shared" si="200"/>
        <v>0</v>
      </c>
      <c r="Z384" s="27"/>
      <c r="AA384" s="7"/>
      <c r="AB384" s="7">
        <v>12911080</v>
      </c>
      <c r="AC384" s="7">
        <f t="shared" si="199"/>
        <v>12911080</v>
      </c>
      <c r="AD384" s="50"/>
      <c r="AE384" s="7"/>
      <c r="AF384" s="50"/>
      <c r="AG384" s="7"/>
      <c r="AH384" s="7">
        <f t="shared" si="198"/>
        <v>12911080</v>
      </c>
      <c r="AI384" s="27"/>
      <c r="AJ384" s="7">
        <v>69216290</v>
      </c>
      <c r="AK384" s="841">
        <v>69216290</v>
      </c>
      <c r="AL384" s="27">
        <f t="shared" si="201"/>
        <v>0</v>
      </c>
      <c r="AM384" s="95"/>
      <c r="AN384" s="27">
        <v>87738370</v>
      </c>
    </row>
    <row r="385" spans="1:40">
      <c r="A385" s="34"/>
      <c r="B385" s="26" t="s">
        <v>287</v>
      </c>
      <c r="C385" s="78"/>
      <c r="D385" s="78"/>
      <c r="E385" s="78">
        <f t="shared" si="194"/>
        <v>0</v>
      </c>
      <c r="F385" s="280"/>
      <c r="G385" s="78"/>
      <c r="H385" s="280"/>
      <c r="I385" s="78"/>
      <c r="J385" s="67">
        <f t="shared" si="195"/>
        <v>0</v>
      </c>
      <c r="K385" s="67"/>
      <c r="L385" s="934"/>
      <c r="M385" s="912"/>
      <c r="N385" s="78"/>
      <c r="O385" s="78"/>
      <c r="P385" s="78">
        <f t="shared" si="196"/>
        <v>0</v>
      </c>
      <c r="Q385" s="280"/>
      <c r="R385" s="78"/>
      <c r="S385" s="280"/>
      <c r="T385" s="78"/>
      <c r="U385" s="67">
        <f t="shared" si="197"/>
        <v>0</v>
      </c>
      <c r="V385" s="103"/>
      <c r="W385" s="7">
        <v>915000</v>
      </c>
      <c r="X385" s="794">
        <v>915000</v>
      </c>
      <c r="Y385" s="27">
        <f t="shared" si="200"/>
        <v>0</v>
      </c>
      <c r="Z385" s="27"/>
      <c r="AA385" s="7"/>
      <c r="AB385" s="7">
        <v>915000</v>
      </c>
      <c r="AC385" s="7">
        <f t="shared" si="199"/>
        <v>915000</v>
      </c>
      <c r="AD385" s="50"/>
      <c r="AE385" s="7"/>
      <c r="AF385" s="50"/>
      <c r="AG385" s="7"/>
      <c r="AH385" s="665">
        <f t="shared" si="198"/>
        <v>915000</v>
      </c>
      <c r="AI385" s="27"/>
      <c r="AJ385" s="7">
        <v>0</v>
      </c>
      <c r="AK385" s="841">
        <v>0</v>
      </c>
      <c r="AL385" s="27"/>
      <c r="AM385" s="95"/>
      <c r="AN385" s="27">
        <v>10260000</v>
      </c>
    </row>
    <row r="386" spans="1:40">
      <c r="A386" s="34"/>
      <c r="B386" s="26" t="s">
        <v>288</v>
      </c>
      <c r="C386" s="78"/>
      <c r="D386" s="78">
        <v>295770</v>
      </c>
      <c r="E386" s="78">
        <f t="shared" si="194"/>
        <v>295770</v>
      </c>
      <c r="F386" s="280"/>
      <c r="G386" s="78"/>
      <c r="H386" s="280"/>
      <c r="I386" s="78"/>
      <c r="J386" s="67">
        <f t="shared" si="195"/>
        <v>295770</v>
      </c>
      <c r="K386" s="67"/>
      <c r="L386" s="934"/>
      <c r="M386" s="912"/>
      <c r="N386" s="78"/>
      <c r="O386" s="78">
        <v>245970</v>
      </c>
      <c r="P386" s="78">
        <f t="shared" si="196"/>
        <v>245970</v>
      </c>
      <c r="Q386" s="280"/>
      <c r="R386" s="78"/>
      <c r="S386" s="280"/>
      <c r="T386" s="78"/>
      <c r="U386" s="67">
        <f t="shared" si="197"/>
        <v>245970</v>
      </c>
      <c r="V386" s="103"/>
      <c r="W386" s="7">
        <v>418880</v>
      </c>
      <c r="X386" s="794">
        <v>418880</v>
      </c>
      <c r="Y386" s="27">
        <f t="shared" si="200"/>
        <v>0</v>
      </c>
      <c r="Z386" s="27"/>
      <c r="AA386" s="7"/>
      <c r="AB386" s="7">
        <v>99600</v>
      </c>
      <c r="AC386" s="7">
        <f t="shared" si="199"/>
        <v>99600</v>
      </c>
      <c r="AD386" s="50"/>
      <c r="AE386" s="7"/>
      <c r="AF386" s="50"/>
      <c r="AG386" s="7"/>
      <c r="AH386" s="7">
        <f t="shared" si="198"/>
        <v>99600</v>
      </c>
      <c r="AI386" s="27"/>
      <c r="AJ386" s="7">
        <v>726610</v>
      </c>
      <c r="AK386" s="841">
        <v>726610</v>
      </c>
      <c r="AL386" s="27">
        <f t="shared" ref="AL386:AL387" si="202">AJ386-AK386</f>
        <v>0</v>
      </c>
      <c r="AM386" s="95"/>
      <c r="AN386" s="27">
        <v>712010</v>
      </c>
    </row>
    <row r="387" spans="1:40">
      <c r="A387" s="34"/>
      <c r="B387" s="26" t="s">
        <v>289</v>
      </c>
      <c r="C387" s="78"/>
      <c r="D387" s="78">
        <v>8493757952</v>
      </c>
      <c r="E387" s="78">
        <f t="shared" si="194"/>
        <v>8493757952</v>
      </c>
      <c r="F387" s="280"/>
      <c r="G387" s="78"/>
      <c r="H387" s="280"/>
      <c r="I387" s="78"/>
      <c r="J387" s="67">
        <f t="shared" si="195"/>
        <v>8493757952</v>
      </c>
      <c r="K387" s="67"/>
      <c r="L387" s="934"/>
      <c r="M387" s="912"/>
      <c r="N387" s="78"/>
      <c r="O387" s="78">
        <v>5953468406</v>
      </c>
      <c r="P387" s="78">
        <f t="shared" si="196"/>
        <v>5953468406</v>
      </c>
      <c r="Q387" s="280"/>
      <c r="R387" s="78"/>
      <c r="S387" s="280"/>
      <c r="T387" s="78"/>
      <c r="U387" s="67">
        <f t="shared" si="197"/>
        <v>5953468406</v>
      </c>
      <c r="V387" s="103"/>
      <c r="W387" s="7">
        <v>8569267535</v>
      </c>
      <c r="X387" s="794">
        <v>8569267535</v>
      </c>
      <c r="Y387" s="27">
        <f t="shared" si="200"/>
        <v>0</v>
      </c>
      <c r="Z387" s="27"/>
      <c r="AA387" s="7"/>
      <c r="AB387" s="7">
        <v>6562123730</v>
      </c>
      <c r="AC387" s="7">
        <f t="shared" si="199"/>
        <v>6562123730</v>
      </c>
      <c r="AD387" s="50"/>
      <c r="AE387" s="7"/>
      <c r="AF387" s="50"/>
      <c r="AG387" s="7"/>
      <c r="AH387" s="7">
        <f t="shared" si="198"/>
        <v>6562123730</v>
      </c>
      <c r="AI387" s="27"/>
      <c r="AJ387" s="7">
        <v>11883133399.5</v>
      </c>
      <c r="AK387" s="841">
        <v>11883133399.5</v>
      </c>
      <c r="AL387" s="27">
        <f t="shared" si="202"/>
        <v>0</v>
      </c>
      <c r="AM387" s="95"/>
      <c r="AN387" s="27">
        <v>10407968629</v>
      </c>
    </row>
    <row r="388" spans="1:40">
      <c r="A388" s="64" t="s">
        <v>290</v>
      </c>
      <c r="B388" s="26"/>
      <c r="C388" s="78"/>
      <c r="D388" s="78"/>
      <c r="E388" s="78">
        <f t="shared" si="194"/>
        <v>0</v>
      </c>
      <c r="F388" s="280"/>
      <c r="G388" s="78"/>
      <c r="H388" s="280"/>
      <c r="I388" s="78"/>
      <c r="J388" s="67">
        <f t="shared" si="195"/>
        <v>0</v>
      </c>
      <c r="K388" s="67"/>
      <c r="L388" s="934"/>
      <c r="M388" s="912"/>
      <c r="N388" s="78"/>
      <c r="O388" s="78"/>
      <c r="P388" s="78">
        <f t="shared" si="196"/>
        <v>0</v>
      </c>
      <c r="Q388" s="280"/>
      <c r="R388" s="78"/>
      <c r="S388" s="280"/>
      <c r="T388" s="78"/>
      <c r="U388" s="67">
        <f t="shared" si="197"/>
        <v>0</v>
      </c>
      <c r="V388" s="103"/>
      <c r="W388" s="27"/>
      <c r="X388" s="794">
        <v>0</v>
      </c>
      <c r="Y388" s="27"/>
      <c r="Z388" s="27"/>
      <c r="AA388" s="27"/>
      <c r="AB388" s="27"/>
      <c r="AC388" s="27">
        <f t="shared" si="199"/>
        <v>0</v>
      </c>
      <c r="AD388" s="371"/>
      <c r="AE388" s="27"/>
      <c r="AF388" s="371"/>
      <c r="AG388" s="27"/>
      <c r="AH388" s="7">
        <f t="shared" si="198"/>
        <v>0</v>
      </c>
      <c r="AI388" s="27"/>
      <c r="AJ388" s="27"/>
      <c r="AK388" s="841">
        <v>0</v>
      </c>
      <c r="AL388" s="27"/>
      <c r="AM388" s="95"/>
      <c r="AN388" s="27"/>
    </row>
    <row r="389" spans="1:40">
      <c r="A389" s="38"/>
      <c r="B389" s="26" t="s">
        <v>291</v>
      </c>
      <c r="C389" s="78"/>
      <c r="D389" s="78">
        <v>13531332</v>
      </c>
      <c r="E389" s="78">
        <f t="shared" si="194"/>
        <v>13531332</v>
      </c>
      <c r="F389" s="280"/>
      <c r="G389" s="78"/>
      <c r="H389" s="280"/>
      <c r="I389" s="78"/>
      <c r="J389" s="67">
        <f t="shared" si="195"/>
        <v>13531332</v>
      </c>
      <c r="K389" s="67"/>
      <c r="L389" s="934"/>
      <c r="M389" s="912"/>
      <c r="N389" s="78"/>
      <c r="O389" s="78">
        <v>12561332</v>
      </c>
      <c r="P389" s="78">
        <f t="shared" si="196"/>
        <v>12561332</v>
      </c>
      <c r="Q389" s="280"/>
      <c r="R389" s="78"/>
      <c r="S389" s="280"/>
      <c r="T389" s="78"/>
      <c r="U389" s="67">
        <f t="shared" si="197"/>
        <v>12561332</v>
      </c>
      <c r="V389" s="103"/>
      <c r="W389" s="7">
        <v>1221000</v>
      </c>
      <c r="X389" s="794">
        <v>1221000</v>
      </c>
      <c r="Y389" s="27">
        <f t="shared" ref="Y389:Y400" si="203">W389-X389</f>
        <v>0</v>
      </c>
      <c r="Z389" s="27"/>
      <c r="AA389" s="7"/>
      <c r="AB389" s="7">
        <v>656000</v>
      </c>
      <c r="AC389" s="7">
        <f t="shared" si="199"/>
        <v>656000</v>
      </c>
      <c r="AD389" s="50"/>
      <c r="AE389" s="7"/>
      <c r="AF389" s="50"/>
      <c r="AG389" s="7"/>
      <c r="AH389" s="7">
        <f t="shared" si="198"/>
        <v>656000</v>
      </c>
      <c r="AI389" s="27"/>
      <c r="AJ389" s="7">
        <v>580000</v>
      </c>
      <c r="AK389" s="841">
        <v>580000</v>
      </c>
      <c r="AL389" s="27">
        <f t="shared" ref="AL389:AL400" si="204">AJ389-AK389</f>
        <v>0</v>
      </c>
      <c r="AM389" s="95"/>
      <c r="AN389" s="27">
        <v>750000</v>
      </c>
    </row>
    <row r="390" spans="1:40">
      <c r="A390" s="38"/>
      <c r="B390" s="26" t="s">
        <v>292</v>
      </c>
      <c r="C390" s="78"/>
      <c r="D390" s="78"/>
      <c r="E390" s="78">
        <f t="shared" si="194"/>
        <v>0</v>
      </c>
      <c r="F390" s="280" t="str">
        <f>'AJE CAJE Des 24'!A22</f>
        <v>CAJE 2</v>
      </c>
      <c r="G390" s="78">
        <f>'AJE CAJE Des 24'!H22</f>
        <v>2268968473.9760413</v>
      </c>
      <c r="H390" s="280"/>
      <c r="I390" s="78"/>
      <c r="J390" s="67">
        <f t="shared" si="195"/>
        <v>2268968473.9760413</v>
      </c>
      <c r="K390" s="67"/>
      <c r="L390" s="934"/>
      <c r="M390" s="912"/>
      <c r="N390" s="78"/>
      <c r="O390" s="78"/>
      <c r="P390" s="78">
        <f t="shared" si="196"/>
        <v>0</v>
      </c>
      <c r="Q390" s="280" t="str">
        <f>'AJE CAJE Sept 24'!B21</f>
        <v>RKLS 1</v>
      </c>
      <c r="R390" s="78">
        <f>'AJE CAJE Sept 24'!I21</f>
        <v>1622489016.6476657</v>
      </c>
      <c r="S390" s="280"/>
      <c r="T390" s="78"/>
      <c r="U390" s="67">
        <f t="shared" si="197"/>
        <v>1622489016.6476657</v>
      </c>
      <c r="V390" s="103"/>
      <c r="W390" s="7">
        <v>2107125819</v>
      </c>
      <c r="X390" s="794">
        <v>2107125819</v>
      </c>
      <c r="Y390" s="27">
        <f t="shared" si="203"/>
        <v>0</v>
      </c>
      <c r="Z390" s="27"/>
      <c r="AA390" s="7"/>
      <c r="AB390" s="7"/>
      <c r="AC390" s="7">
        <f t="shared" si="199"/>
        <v>0</v>
      </c>
      <c r="AD390" s="50" t="str">
        <f>'AJE CAJE Sept 23'!B16</f>
        <v>RKLS 1</v>
      </c>
      <c r="AE390" s="7">
        <f>'AJE CAJE Sept 23'!I16</f>
        <v>1696263520</v>
      </c>
      <c r="AF390" s="50"/>
      <c r="AG390" s="7"/>
      <c r="AH390" s="7">
        <f t="shared" si="198"/>
        <v>1696263520</v>
      </c>
      <c r="AI390" s="27"/>
      <c r="AJ390" s="7">
        <v>2131609608.9458334</v>
      </c>
      <c r="AK390" s="841">
        <v>2131609608.9458334</v>
      </c>
      <c r="AL390" s="27">
        <f t="shared" si="204"/>
        <v>0</v>
      </c>
      <c r="AM390" s="95"/>
      <c r="AN390" s="27">
        <v>1662245869.1875</v>
      </c>
    </row>
    <row r="391" spans="1:40">
      <c r="A391" s="24"/>
      <c r="B391" s="26" t="s">
        <v>293</v>
      </c>
      <c r="C391" s="78"/>
      <c r="D391" s="78">
        <v>80961375</v>
      </c>
      <c r="E391" s="78">
        <f t="shared" si="194"/>
        <v>80961375</v>
      </c>
      <c r="F391" s="280"/>
      <c r="G391" s="78"/>
      <c r="H391" s="280"/>
      <c r="I391" s="78"/>
      <c r="J391" s="67">
        <f t="shared" si="195"/>
        <v>80961375</v>
      </c>
      <c r="K391" s="67"/>
      <c r="L391" s="934"/>
      <c r="M391" s="912"/>
      <c r="N391" s="78"/>
      <c r="O391" s="78">
        <v>69677916</v>
      </c>
      <c r="P391" s="78">
        <f t="shared" si="196"/>
        <v>69677916</v>
      </c>
      <c r="Q391" s="280"/>
      <c r="R391" s="78"/>
      <c r="S391" s="280"/>
      <c r="T391" s="78"/>
      <c r="U391" s="67">
        <f t="shared" si="197"/>
        <v>69677916</v>
      </c>
      <c r="V391" s="103"/>
      <c r="W391" s="7">
        <v>30894457</v>
      </c>
      <c r="X391" s="794">
        <v>30894457</v>
      </c>
      <c r="Y391" s="27">
        <f t="shared" si="203"/>
        <v>0</v>
      </c>
      <c r="Z391" s="27"/>
      <c r="AA391" s="7"/>
      <c r="AB391" s="7">
        <v>18383794</v>
      </c>
      <c r="AC391" s="7">
        <f t="shared" si="199"/>
        <v>18383794</v>
      </c>
      <c r="AD391" s="50"/>
      <c r="AE391" s="7"/>
      <c r="AF391" s="50"/>
      <c r="AG391" s="7"/>
      <c r="AH391" s="7">
        <f t="shared" si="198"/>
        <v>18383794</v>
      </c>
      <c r="AI391" s="27"/>
      <c r="AJ391" s="7">
        <v>39219074</v>
      </c>
      <c r="AK391" s="841">
        <v>39219074</v>
      </c>
      <c r="AL391" s="27">
        <f t="shared" si="204"/>
        <v>0</v>
      </c>
      <c r="AM391" s="95"/>
      <c r="AN391" s="27">
        <v>30294467</v>
      </c>
    </row>
    <row r="392" spans="1:40">
      <c r="A392" s="24"/>
      <c r="B392" s="26" t="s">
        <v>294</v>
      </c>
      <c r="C392" s="78"/>
      <c r="D392" s="78">
        <v>2728000</v>
      </c>
      <c r="E392" s="78">
        <f t="shared" si="194"/>
        <v>2728000</v>
      </c>
      <c r="F392" s="280"/>
      <c r="G392" s="78"/>
      <c r="H392" s="280"/>
      <c r="I392" s="78"/>
      <c r="J392" s="67">
        <f t="shared" si="195"/>
        <v>2728000</v>
      </c>
      <c r="K392" s="67"/>
      <c r="L392" s="934"/>
      <c r="M392" s="912"/>
      <c r="N392" s="78"/>
      <c r="O392" s="78">
        <v>2340000</v>
      </c>
      <c r="P392" s="78">
        <f t="shared" si="196"/>
        <v>2340000</v>
      </c>
      <c r="Q392" s="280"/>
      <c r="R392" s="78"/>
      <c r="S392" s="280"/>
      <c r="T392" s="78"/>
      <c r="U392" s="67">
        <f t="shared" si="197"/>
        <v>2340000</v>
      </c>
      <c r="V392" s="103"/>
      <c r="W392" s="7">
        <v>3410000</v>
      </c>
      <c r="X392" s="794">
        <v>3410000</v>
      </c>
      <c r="Y392" s="27">
        <f t="shared" si="203"/>
        <v>0</v>
      </c>
      <c r="Z392" s="27"/>
      <c r="AA392" s="7"/>
      <c r="AB392" s="7">
        <v>2990000</v>
      </c>
      <c r="AC392" s="7">
        <f t="shared" si="199"/>
        <v>2990000</v>
      </c>
      <c r="AD392" s="50"/>
      <c r="AE392" s="7"/>
      <c r="AF392" s="50"/>
      <c r="AG392" s="7"/>
      <c r="AH392" s="7">
        <f t="shared" si="198"/>
        <v>2990000</v>
      </c>
      <c r="AI392" s="27"/>
      <c r="AJ392" s="7">
        <v>1290000</v>
      </c>
      <c r="AK392" s="841">
        <v>1290000</v>
      </c>
      <c r="AL392" s="27">
        <f t="shared" si="204"/>
        <v>0</v>
      </c>
      <c r="AM392" s="95"/>
      <c r="AN392" s="27">
        <v>1551000</v>
      </c>
    </row>
    <row r="393" spans="1:40">
      <c r="A393" s="24"/>
      <c r="B393" s="26" t="s">
        <v>295</v>
      </c>
      <c r="C393" s="78"/>
      <c r="D393" s="78">
        <v>3088453537</v>
      </c>
      <c r="E393" s="78">
        <f t="shared" si="194"/>
        <v>3088453537</v>
      </c>
      <c r="F393" s="280"/>
      <c r="G393" s="78"/>
      <c r="H393" s="280"/>
      <c r="I393" s="78"/>
      <c r="J393" s="67">
        <f t="shared" si="195"/>
        <v>3088453537</v>
      </c>
      <c r="K393" s="67"/>
      <c r="L393" s="934"/>
      <c r="M393" s="912"/>
      <c r="N393" s="78"/>
      <c r="O393" s="78">
        <v>2153355677</v>
      </c>
      <c r="P393" s="78">
        <f t="shared" si="196"/>
        <v>2153355677</v>
      </c>
      <c r="Q393" s="280"/>
      <c r="R393" s="78"/>
      <c r="S393" s="280"/>
      <c r="T393" s="78"/>
      <c r="U393" s="67">
        <f t="shared" si="197"/>
        <v>2153355677</v>
      </c>
      <c r="V393" s="103"/>
      <c r="W393" s="7">
        <v>3096554794</v>
      </c>
      <c r="X393" s="794">
        <v>3096554794</v>
      </c>
      <c r="Y393" s="27">
        <f t="shared" si="203"/>
        <v>0</v>
      </c>
      <c r="Z393" s="27"/>
      <c r="AA393" s="7"/>
      <c r="AB393" s="7">
        <v>2300707763</v>
      </c>
      <c r="AC393" s="7">
        <f t="shared" si="199"/>
        <v>2300707763</v>
      </c>
      <c r="AD393" s="50"/>
      <c r="AE393" s="7"/>
      <c r="AF393" s="50"/>
      <c r="AG393" s="7"/>
      <c r="AH393" s="7">
        <f t="shared" si="198"/>
        <v>2300707763</v>
      </c>
      <c r="AI393" s="27"/>
      <c r="AJ393" s="7">
        <v>4037690190</v>
      </c>
      <c r="AK393" s="841">
        <v>4037690190</v>
      </c>
      <c r="AL393" s="27">
        <f t="shared" si="204"/>
        <v>0</v>
      </c>
      <c r="AM393" s="95"/>
      <c r="AN393" s="27">
        <v>3732433563</v>
      </c>
    </row>
    <row r="394" spans="1:40">
      <c r="A394" s="24"/>
      <c r="B394" s="26" t="s">
        <v>296</v>
      </c>
      <c r="C394" s="78"/>
      <c r="D394" s="78">
        <v>64008793</v>
      </c>
      <c r="E394" s="78">
        <f t="shared" si="194"/>
        <v>64008793</v>
      </c>
      <c r="F394" s="280"/>
      <c r="G394" s="78"/>
      <c r="H394" s="280"/>
      <c r="I394" s="78"/>
      <c r="J394" s="67">
        <f t="shared" si="195"/>
        <v>64008793</v>
      </c>
      <c r="K394" s="67"/>
      <c r="L394" s="934"/>
      <c r="M394" s="912"/>
      <c r="N394" s="78"/>
      <c r="O394" s="78">
        <v>31664255</v>
      </c>
      <c r="P394" s="78">
        <f t="shared" si="196"/>
        <v>31664255</v>
      </c>
      <c r="Q394" s="280"/>
      <c r="R394" s="78"/>
      <c r="S394" s="280"/>
      <c r="T394" s="78"/>
      <c r="U394" s="67">
        <f t="shared" si="197"/>
        <v>31664255</v>
      </c>
      <c r="V394" s="103"/>
      <c r="W394" s="7">
        <v>137666155</v>
      </c>
      <c r="X394" s="794">
        <v>137666155</v>
      </c>
      <c r="Y394" s="27">
        <f t="shared" si="203"/>
        <v>0</v>
      </c>
      <c r="Z394" s="27"/>
      <c r="AA394" s="7"/>
      <c r="AB394" s="7">
        <v>122076749.73999999</v>
      </c>
      <c r="AC394" s="7">
        <f t="shared" si="199"/>
        <v>122076749.73999999</v>
      </c>
      <c r="AD394" s="50"/>
      <c r="AE394" s="7"/>
      <c r="AF394" s="50"/>
      <c r="AG394" s="7"/>
      <c r="AH394" s="665">
        <f t="shared" si="198"/>
        <v>122076750</v>
      </c>
      <c r="AI394" s="27"/>
      <c r="AJ394" s="7">
        <v>26983815</v>
      </c>
      <c r="AK394" s="841">
        <v>26983815</v>
      </c>
      <c r="AL394" s="27">
        <f t="shared" si="204"/>
        <v>0</v>
      </c>
      <c r="AM394" s="95"/>
      <c r="AN394" s="27">
        <v>39909641</v>
      </c>
    </row>
    <row r="395" spans="1:40">
      <c r="A395" s="24"/>
      <c r="B395" s="26" t="s">
        <v>297</v>
      </c>
      <c r="C395" s="78"/>
      <c r="D395" s="78">
        <v>123006069</v>
      </c>
      <c r="E395" s="78">
        <f t="shared" si="194"/>
        <v>123006069</v>
      </c>
      <c r="F395" s="280"/>
      <c r="G395" s="78"/>
      <c r="H395" s="280"/>
      <c r="I395" s="78"/>
      <c r="J395" s="67">
        <f t="shared" si="195"/>
        <v>123006069</v>
      </c>
      <c r="K395" s="67"/>
      <c r="L395" s="934"/>
      <c r="M395" s="912"/>
      <c r="N395" s="78"/>
      <c r="O395" s="78">
        <v>72898009</v>
      </c>
      <c r="P395" s="78">
        <f t="shared" si="196"/>
        <v>72898009</v>
      </c>
      <c r="Q395" s="280"/>
      <c r="R395" s="78"/>
      <c r="S395" s="280"/>
      <c r="T395" s="78"/>
      <c r="U395" s="67">
        <f t="shared" si="197"/>
        <v>72898009</v>
      </c>
      <c r="V395" s="103"/>
      <c r="W395" s="7">
        <v>154739169</v>
      </c>
      <c r="X395" s="794">
        <v>154739169</v>
      </c>
      <c r="Y395" s="27">
        <f t="shared" si="203"/>
        <v>0</v>
      </c>
      <c r="Z395" s="27"/>
      <c r="AA395" s="7"/>
      <c r="AB395" s="7">
        <v>134103819</v>
      </c>
      <c r="AC395" s="7">
        <f t="shared" si="199"/>
        <v>134103819</v>
      </c>
      <c r="AD395" s="50"/>
      <c r="AE395" s="7"/>
      <c r="AF395" s="50"/>
      <c r="AG395" s="7"/>
      <c r="AH395" s="665">
        <f t="shared" si="198"/>
        <v>134103819</v>
      </c>
      <c r="AI395" s="27"/>
      <c r="AJ395" s="7">
        <v>166190766</v>
      </c>
      <c r="AK395" s="841">
        <v>166190766</v>
      </c>
      <c r="AL395" s="27">
        <f t="shared" si="204"/>
        <v>0</v>
      </c>
      <c r="AM395" s="95"/>
      <c r="AN395" s="27">
        <v>119205094</v>
      </c>
    </row>
    <row r="396" spans="1:40">
      <c r="A396" s="24"/>
      <c r="B396" s="49" t="s">
        <v>298</v>
      </c>
      <c r="C396" s="129"/>
      <c r="D396" s="78">
        <v>30000000</v>
      </c>
      <c r="E396" s="78">
        <f t="shared" si="194"/>
        <v>30000000</v>
      </c>
      <c r="F396" s="280"/>
      <c r="G396" s="129"/>
      <c r="H396" s="280" t="str">
        <f>'AJE CAJE Des 24'!A67</f>
        <v>CAJE 9</v>
      </c>
      <c r="I396" s="129">
        <f>'AJE CAJE Des 24'!I67</f>
        <v>15000000</v>
      </c>
      <c r="J396" s="67">
        <f t="shared" si="195"/>
        <v>15000000</v>
      </c>
      <c r="K396" s="67"/>
      <c r="L396" s="934"/>
      <c r="M396" s="912"/>
      <c r="N396" s="129"/>
      <c r="O396" s="129">
        <v>15000000</v>
      </c>
      <c r="P396" s="78">
        <f t="shared" si="196"/>
        <v>15000000</v>
      </c>
      <c r="Q396" s="280"/>
      <c r="R396" s="129"/>
      <c r="S396" s="280" t="str">
        <f>'AJE CAJE Sept 24'!B33</f>
        <v>CAJE 4</v>
      </c>
      <c r="T396" s="129">
        <f>'AJE CAJE Sept 24'!J33</f>
        <v>15000000</v>
      </c>
      <c r="U396" s="67">
        <f t="shared" si="197"/>
        <v>0</v>
      </c>
      <c r="V396" s="103"/>
      <c r="W396" s="7">
        <v>15000000</v>
      </c>
      <c r="X396" s="794">
        <v>15000000</v>
      </c>
      <c r="Y396" s="27">
        <f t="shared" si="203"/>
        <v>0</v>
      </c>
      <c r="Z396" s="27"/>
      <c r="AA396" s="7"/>
      <c r="AB396" s="7"/>
      <c r="AC396" s="7">
        <f t="shared" si="199"/>
        <v>0</v>
      </c>
      <c r="AD396" s="50"/>
      <c r="AE396" s="7"/>
      <c r="AF396" s="50"/>
      <c r="AG396" s="7"/>
      <c r="AH396" s="7">
        <f t="shared" si="198"/>
        <v>0</v>
      </c>
      <c r="AI396" s="27"/>
      <c r="AJ396" s="7">
        <v>15000000</v>
      </c>
      <c r="AK396" s="841">
        <v>15000000</v>
      </c>
      <c r="AL396" s="27">
        <f t="shared" si="204"/>
        <v>0</v>
      </c>
      <c r="AM396" s="95"/>
      <c r="AN396" s="27">
        <v>15000000</v>
      </c>
    </row>
    <row r="397" spans="1:40">
      <c r="A397" s="24"/>
      <c r="B397" s="26" t="s">
        <v>299</v>
      </c>
      <c r="C397" s="78"/>
      <c r="D397" s="78"/>
      <c r="E397" s="78">
        <f t="shared" si="194"/>
        <v>0</v>
      </c>
      <c r="F397" s="280"/>
      <c r="G397" s="78"/>
      <c r="H397" s="280"/>
      <c r="I397" s="78"/>
      <c r="J397" s="67">
        <f t="shared" si="195"/>
        <v>0</v>
      </c>
      <c r="K397" s="67"/>
      <c r="L397" s="934"/>
      <c r="M397" s="912"/>
      <c r="N397" s="78"/>
      <c r="O397" s="78"/>
      <c r="P397" s="78">
        <f t="shared" si="196"/>
        <v>0</v>
      </c>
      <c r="Q397" s="280"/>
      <c r="R397" s="78"/>
      <c r="S397" s="280"/>
      <c r="T397" s="78"/>
      <c r="U397" s="67">
        <f t="shared" si="197"/>
        <v>0</v>
      </c>
      <c r="V397" s="103"/>
      <c r="W397" s="7">
        <v>0</v>
      </c>
      <c r="X397" s="794">
        <v>0</v>
      </c>
      <c r="Y397" s="27"/>
      <c r="Z397" s="27"/>
      <c r="AA397" s="7"/>
      <c r="AB397" s="7"/>
      <c r="AC397" s="7">
        <f t="shared" si="199"/>
        <v>0</v>
      </c>
      <c r="AD397" s="50"/>
      <c r="AE397" s="7"/>
      <c r="AF397" s="50"/>
      <c r="AG397" s="7"/>
      <c r="AH397" s="7">
        <f t="shared" si="198"/>
        <v>0</v>
      </c>
      <c r="AI397" s="27"/>
      <c r="AJ397" s="7">
        <v>0</v>
      </c>
      <c r="AK397" s="841">
        <v>0</v>
      </c>
      <c r="AL397" s="27"/>
      <c r="AM397" s="95"/>
      <c r="AN397" s="27">
        <v>0</v>
      </c>
    </row>
    <row r="398" spans="1:40">
      <c r="A398" s="30"/>
      <c r="B398" s="20" t="s">
        <v>300</v>
      </c>
      <c r="C398" s="42"/>
      <c r="D398" s="42"/>
      <c r="E398" s="21">
        <f>SUM(E376:E397)</f>
        <v>12198215883</v>
      </c>
      <c r="F398" s="281"/>
      <c r="G398" s="42"/>
      <c r="H398" s="281"/>
      <c r="I398" s="42"/>
      <c r="J398" s="21">
        <f>SUM(J376:J397)</f>
        <v>14452184356.976042</v>
      </c>
      <c r="K398" s="21"/>
      <c r="L398" s="797"/>
      <c r="M398" s="913"/>
      <c r="N398" s="42"/>
      <c r="O398" s="42"/>
      <c r="P398" s="21">
        <f>SUM(P376:P397)</f>
        <v>8534594135</v>
      </c>
      <c r="Q398" s="281"/>
      <c r="R398" s="42"/>
      <c r="S398" s="281"/>
      <c r="T398" s="42"/>
      <c r="U398" s="21">
        <f>SUM(U376:U397)</f>
        <v>10142083151.647667</v>
      </c>
      <c r="V398" s="442"/>
      <c r="W398" s="21">
        <f>SUM(W376:W397)</f>
        <v>14444123154</v>
      </c>
      <c r="X398" s="795">
        <v>14444123154</v>
      </c>
      <c r="Y398" s="27">
        <f t="shared" si="203"/>
        <v>0</v>
      </c>
      <c r="Z398" s="27"/>
      <c r="AA398" s="21"/>
      <c r="AB398" s="21"/>
      <c r="AC398" s="21">
        <f>SUM(AC376:AC397)</f>
        <v>9411714447.7399998</v>
      </c>
      <c r="AD398" s="387"/>
      <c r="AE398" s="21"/>
      <c r="AF398" s="387"/>
      <c r="AG398" s="21"/>
      <c r="AH398" s="21">
        <f>SUM(AH376:AH397)</f>
        <v>11107977968</v>
      </c>
      <c r="AI398" s="36"/>
      <c r="AJ398" s="21">
        <f>SUM(AJ376:AJ397)</f>
        <v>18656891621.445831</v>
      </c>
      <c r="AK398" s="843">
        <v>18656891621.445831</v>
      </c>
      <c r="AL398" s="27">
        <f t="shared" si="204"/>
        <v>0</v>
      </c>
      <c r="AM398" s="95"/>
      <c r="AN398" s="21">
        <f>SUM(AN376:AN397)</f>
        <v>16345206496.1875</v>
      </c>
    </row>
    <row r="399" spans="1:40">
      <c r="A399" s="30"/>
      <c r="B399" s="20" t="s">
        <v>301</v>
      </c>
      <c r="C399" s="42"/>
      <c r="D399" s="42"/>
      <c r="E399" s="21">
        <f>E398+E373+E356+E349</f>
        <v>137130897145.02</v>
      </c>
      <c r="F399" s="281"/>
      <c r="G399" s="42"/>
      <c r="H399" s="281"/>
      <c r="I399" s="42"/>
      <c r="J399" s="21">
        <f>J398+J373+J356+J349</f>
        <v>139384865618.99603</v>
      </c>
      <c r="K399" s="21"/>
      <c r="L399" s="797"/>
      <c r="M399" s="913"/>
      <c r="N399" s="42"/>
      <c r="O399" s="42"/>
      <c r="P399" s="21">
        <f>P398+P373+P356+P349</f>
        <v>70351343385.819992</v>
      </c>
      <c r="Q399" s="281"/>
      <c r="R399" s="42"/>
      <c r="S399" s="281"/>
      <c r="T399" s="42"/>
      <c r="U399" s="21">
        <f>U398+U373+U356+U349</f>
        <v>70704786692.297668</v>
      </c>
      <c r="V399" s="442"/>
      <c r="W399" s="21">
        <f>W398+W373+W356+W349</f>
        <v>156516490239</v>
      </c>
      <c r="X399" s="795">
        <v>156516490239</v>
      </c>
      <c r="Y399" s="27">
        <f t="shared" si="203"/>
        <v>0</v>
      </c>
      <c r="Z399" s="27"/>
      <c r="AA399" s="21"/>
      <c r="AB399" s="21"/>
      <c r="AC399" s="21">
        <f>AC398+AC373+AC356+AC349</f>
        <v>117870908988.34001</v>
      </c>
      <c r="AD399" s="387"/>
      <c r="AE399" s="21"/>
      <c r="AF399" s="387"/>
      <c r="AG399" s="21"/>
      <c r="AH399" s="21">
        <f>AH398+AH373+AH356+AH349</f>
        <v>119567172509</v>
      </c>
      <c r="AI399" s="36"/>
      <c r="AJ399" s="21">
        <f>AJ398+AJ373+AJ356+AJ349</f>
        <v>201082621541.64587</v>
      </c>
      <c r="AK399" s="843">
        <v>201082621541.64584</v>
      </c>
      <c r="AL399" s="27">
        <f t="shared" si="204"/>
        <v>0</v>
      </c>
      <c r="AM399" s="95"/>
      <c r="AN399" s="21">
        <f>AN398+AN373+AN356+AN349</f>
        <v>178150831876.87747</v>
      </c>
    </row>
    <row r="400" spans="1:40">
      <c r="A400" s="45"/>
      <c r="B400" s="45" t="s">
        <v>302</v>
      </c>
      <c r="C400" s="128"/>
      <c r="D400" s="128"/>
      <c r="E400" s="46">
        <f>E338-E399</f>
        <v>45363325178.669998</v>
      </c>
      <c r="F400" s="287"/>
      <c r="G400" s="128"/>
      <c r="H400" s="287"/>
      <c r="I400" s="128"/>
      <c r="J400" s="46">
        <f>J338-J399</f>
        <v>43108483704.69397</v>
      </c>
      <c r="K400" s="46"/>
      <c r="L400" s="937"/>
      <c r="M400" s="922"/>
      <c r="N400" s="128"/>
      <c r="O400" s="128"/>
      <c r="P400" s="46">
        <f>P338-P399</f>
        <v>21926710659.360001</v>
      </c>
      <c r="Q400" s="287"/>
      <c r="R400" s="128"/>
      <c r="S400" s="287"/>
      <c r="T400" s="128"/>
      <c r="U400" s="46">
        <f>U338-U399</f>
        <v>29590297672.882324</v>
      </c>
      <c r="V400" s="448"/>
      <c r="W400" s="46">
        <f>W338-W399</f>
        <v>32490545882</v>
      </c>
      <c r="X400" s="809">
        <v>32490545882</v>
      </c>
      <c r="Y400" s="27">
        <f t="shared" si="203"/>
        <v>0</v>
      </c>
      <c r="Z400" s="27"/>
      <c r="AA400" s="46"/>
      <c r="AB400" s="46"/>
      <c r="AC400" s="46">
        <f>AC338-AC399</f>
        <v>27782066462.089981</v>
      </c>
      <c r="AD400" s="395"/>
      <c r="AE400" s="46"/>
      <c r="AF400" s="395"/>
      <c r="AG400" s="46"/>
      <c r="AH400" s="46">
        <f>AH338-AH399</f>
        <v>26074764611</v>
      </c>
      <c r="AI400" s="370"/>
      <c r="AJ400" s="46">
        <f>AJ338-AJ399</f>
        <v>44569188164.354126</v>
      </c>
      <c r="AK400" s="853">
        <v>44569188164.354156</v>
      </c>
      <c r="AL400" s="27">
        <f t="shared" si="204"/>
        <v>0</v>
      </c>
      <c r="AM400" s="95"/>
      <c r="AN400" s="46">
        <f>AN338-AN399</f>
        <v>34715189205.122528</v>
      </c>
    </row>
    <row r="401" spans="1:40">
      <c r="A401" s="12" t="s">
        <v>303</v>
      </c>
      <c r="B401" s="14"/>
      <c r="C401" s="67"/>
      <c r="D401" s="67"/>
      <c r="E401" s="67"/>
      <c r="F401" s="280"/>
      <c r="G401" s="67"/>
      <c r="H401" s="280"/>
      <c r="I401" s="67"/>
      <c r="J401" s="67"/>
      <c r="K401" s="67"/>
      <c r="L401" s="934"/>
      <c r="M401" s="912"/>
      <c r="N401" s="67"/>
      <c r="O401" s="67"/>
      <c r="P401" s="67"/>
      <c r="Q401" s="280"/>
      <c r="R401" s="67"/>
      <c r="S401" s="280"/>
      <c r="T401" s="67"/>
      <c r="U401" s="67"/>
      <c r="V401" s="103"/>
      <c r="W401" s="38"/>
      <c r="X401" s="800"/>
      <c r="Y401" s="38"/>
      <c r="Z401" s="38"/>
      <c r="AA401" s="38"/>
      <c r="AB401" s="38"/>
      <c r="AC401" s="38"/>
      <c r="AD401" s="371"/>
      <c r="AE401" s="38"/>
      <c r="AF401" s="371"/>
      <c r="AG401" s="38"/>
      <c r="AH401" s="38"/>
      <c r="AI401" s="38"/>
      <c r="AJ401" s="38"/>
      <c r="AK401" s="848"/>
      <c r="AL401" s="38"/>
      <c r="AM401" s="95"/>
      <c r="AN401" s="38"/>
    </row>
    <row r="402" spans="1:40">
      <c r="A402" s="80" t="s">
        <v>304</v>
      </c>
      <c r="B402" s="81"/>
      <c r="C402" s="140"/>
      <c r="D402" s="140"/>
      <c r="E402" s="140"/>
      <c r="F402" s="293"/>
      <c r="G402" s="140"/>
      <c r="H402" s="293"/>
      <c r="I402" s="140"/>
      <c r="J402" s="140"/>
      <c r="K402" s="140"/>
      <c r="L402" s="941"/>
      <c r="M402" s="929"/>
      <c r="N402" s="140"/>
      <c r="O402" s="140"/>
      <c r="P402" s="140"/>
      <c r="Q402" s="293"/>
      <c r="R402" s="140"/>
      <c r="S402" s="293"/>
      <c r="T402" s="140"/>
      <c r="U402" s="140"/>
      <c r="V402" s="454"/>
      <c r="W402" s="82"/>
      <c r="X402" s="823"/>
      <c r="Y402" s="82"/>
      <c r="Z402" s="82"/>
      <c r="AA402" s="82"/>
      <c r="AB402" s="82"/>
      <c r="AC402" s="82"/>
      <c r="AD402" s="371"/>
      <c r="AE402" s="82"/>
      <c r="AF402" s="371"/>
      <c r="AG402" s="82"/>
      <c r="AH402" s="82"/>
      <c r="AI402" s="82"/>
      <c r="AJ402" s="82"/>
      <c r="AK402" s="864"/>
      <c r="AL402" s="82"/>
      <c r="AM402" s="95"/>
      <c r="AN402" s="82"/>
    </row>
    <row r="403" spans="1:40">
      <c r="A403" s="34"/>
      <c r="B403" s="83" t="s">
        <v>305</v>
      </c>
      <c r="C403" s="141"/>
      <c r="D403" s="141">
        <v>9137801037.4799995</v>
      </c>
      <c r="E403" s="78">
        <f t="shared" ref="E403:E415" si="205">D403</f>
        <v>9137801037.4799995</v>
      </c>
      <c r="F403" s="293"/>
      <c r="G403" s="141"/>
      <c r="H403" s="293" t="str">
        <f>'AJE CAJE Des 24'!A38</f>
        <v>CAJE 4</v>
      </c>
      <c r="I403" s="667">
        <f>'AJE CAJE Des 24'!I38</f>
        <v>0</v>
      </c>
      <c r="J403" s="513">
        <f>E403+G403-I403</f>
        <v>9137801037.4799995</v>
      </c>
      <c r="K403" s="513"/>
      <c r="L403" s="934"/>
      <c r="M403" s="911"/>
      <c r="N403" s="141"/>
      <c r="O403" s="141">
        <v>6554592008.3600006</v>
      </c>
      <c r="P403" s="78">
        <f t="shared" ref="P403:P414" si="206">O403</f>
        <v>6554592008.3600006</v>
      </c>
      <c r="Q403" s="293" t="str">
        <f>'AJE CAJE Sept 24'!B102</f>
        <v>AJE 20</v>
      </c>
      <c r="R403" s="141">
        <f>'AJE CAJE Sept 24'!I102</f>
        <v>1062458672.87</v>
      </c>
      <c r="S403" s="293"/>
      <c r="T403" s="667">
        <f>'AJE CAJE Sept 24'!J89</f>
        <v>235926918</v>
      </c>
      <c r="U403" s="513">
        <f t="shared" ref="U403:U414" si="207">P403+R403-T403</f>
        <v>7381123763.2300005</v>
      </c>
      <c r="V403" s="103"/>
      <c r="W403" s="7">
        <v>9853456973</v>
      </c>
      <c r="X403" s="794">
        <v>9853456973</v>
      </c>
      <c r="Y403" s="27">
        <f t="shared" ref="Y403:Y404" si="208">W403-X403</f>
        <v>0</v>
      </c>
      <c r="Z403" s="27"/>
      <c r="AA403" s="7"/>
      <c r="AB403" s="7">
        <v>10791530433.6</v>
      </c>
      <c r="AC403" s="7">
        <f t="shared" ref="AC403:AC414" si="209">AB403</f>
        <v>10791530433.6</v>
      </c>
      <c r="AD403" s="50"/>
      <c r="AE403" s="7"/>
      <c r="AF403" s="50"/>
      <c r="AG403" s="7"/>
      <c r="AH403" s="7">
        <f t="shared" ref="AH403:AH414" si="210">ROUND(AC403+AE403-AG403,0)</f>
        <v>10791530434</v>
      </c>
      <c r="AI403" s="27"/>
      <c r="AJ403" s="7">
        <v>17463782090</v>
      </c>
      <c r="AK403" s="841">
        <v>17463782090</v>
      </c>
      <c r="AL403" s="27">
        <f>AJ403-AK403</f>
        <v>0</v>
      </c>
      <c r="AM403" s="95"/>
      <c r="AN403" s="27">
        <v>14342507710</v>
      </c>
    </row>
    <row r="404" spans="1:40">
      <c r="A404" s="34"/>
      <c r="B404" s="83" t="s">
        <v>306</v>
      </c>
      <c r="C404" s="141"/>
      <c r="D404" s="141">
        <v>130843300</v>
      </c>
      <c r="E404" s="78">
        <f t="shared" si="205"/>
        <v>130843300</v>
      </c>
      <c r="F404" s="293"/>
      <c r="G404" s="141"/>
      <c r="H404" s="293"/>
      <c r="I404" s="141"/>
      <c r="J404" s="67">
        <f t="shared" ref="J404:J415" si="211">E404+G404-I404</f>
        <v>130843300</v>
      </c>
      <c r="K404" s="67"/>
      <c r="L404" s="934"/>
      <c r="M404" s="912"/>
      <c r="N404" s="141"/>
      <c r="O404" s="141">
        <v>76968600</v>
      </c>
      <c r="P404" s="78">
        <f t="shared" si="206"/>
        <v>76968600</v>
      </c>
      <c r="Q404" s="293"/>
      <c r="R404" s="141"/>
      <c r="S404" s="293"/>
      <c r="T404" s="141"/>
      <c r="U404" s="67">
        <f t="shared" si="207"/>
        <v>76968600</v>
      </c>
      <c r="V404" s="103"/>
      <c r="W404" s="7">
        <v>1093102125</v>
      </c>
      <c r="X404" s="794">
        <v>1093102125</v>
      </c>
      <c r="Y404" s="27">
        <f t="shared" si="208"/>
        <v>0</v>
      </c>
      <c r="Z404" s="27"/>
      <c r="AA404" s="7"/>
      <c r="AB404" s="7">
        <v>611722178</v>
      </c>
      <c r="AC404" s="7">
        <f t="shared" si="209"/>
        <v>611722178</v>
      </c>
      <c r="AD404" s="50"/>
      <c r="AE404" s="7"/>
      <c r="AF404" s="50"/>
      <c r="AG404" s="7"/>
      <c r="AH404" s="665">
        <f t="shared" si="210"/>
        <v>611722178</v>
      </c>
      <c r="AI404" s="27"/>
      <c r="AJ404" s="7">
        <v>841629510</v>
      </c>
      <c r="AK404" s="841">
        <v>841629510</v>
      </c>
      <c r="AL404" s="27">
        <f t="shared" ref="AL404:AL416" si="212">AJ404-AK404</f>
        <v>0</v>
      </c>
      <c r="AM404" s="95"/>
      <c r="AN404" s="27">
        <v>1098891494</v>
      </c>
    </row>
    <row r="405" spans="1:40">
      <c r="A405" s="34"/>
      <c r="B405" s="83" t="s">
        <v>307</v>
      </c>
      <c r="C405" s="141"/>
      <c r="D405" s="141"/>
      <c r="E405" s="78">
        <f t="shared" si="205"/>
        <v>0</v>
      </c>
      <c r="F405" s="293"/>
      <c r="G405" s="141"/>
      <c r="H405" s="293"/>
      <c r="I405" s="141"/>
      <c r="J405" s="67">
        <f t="shared" si="211"/>
        <v>0</v>
      </c>
      <c r="K405" s="67"/>
      <c r="L405" s="934"/>
      <c r="M405" s="912"/>
      <c r="N405" s="141"/>
      <c r="O405" s="141"/>
      <c r="P405" s="78">
        <f t="shared" si="206"/>
        <v>0</v>
      </c>
      <c r="Q405" s="293"/>
      <c r="R405" s="141"/>
      <c r="S405" s="293"/>
      <c r="T405" s="141"/>
      <c r="U405" s="67">
        <f t="shared" si="207"/>
        <v>0</v>
      </c>
      <c r="V405" s="103"/>
      <c r="W405" s="7">
        <v>0</v>
      </c>
      <c r="X405" s="794">
        <v>0</v>
      </c>
      <c r="Y405" s="27"/>
      <c r="Z405" s="27"/>
      <c r="AA405" s="7"/>
      <c r="AB405" s="7"/>
      <c r="AC405" s="7">
        <f t="shared" si="209"/>
        <v>0</v>
      </c>
      <c r="AD405" s="50"/>
      <c r="AE405" s="7"/>
      <c r="AF405" s="50"/>
      <c r="AG405" s="7"/>
      <c r="AH405" s="7">
        <f t="shared" si="210"/>
        <v>0</v>
      </c>
      <c r="AI405" s="27"/>
      <c r="AJ405" s="7">
        <v>131326287</v>
      </c>
      <c r="AK405" s="841">
        <v>131326287</v>
      </c>
      <c r="AL405" s="27">
        <f t="shared" si="212"/>
        <v>0</v>
      </c>
      <c r="AM405" s="95"/>
      <c r="AN405" s="27">
        <v>345250206</v>
      </c>
    </row>
    <row r="406" spans="1:40">
      <c r="A406" s="34"/>
      <c r="B406" s="83" t="s">
        <v>308</v>
      </c>
      <c r="C406" s="141"/>
      <c r="D406" s="141">
        <v>158102500</v>
      </c>
      <c r="E406" s="78">
        <f t="shared" si="205"/>
        <v>158102500</v>
      </c>
      <c r="F406" s="293"/>
      <c r="G406" s="141"/>
      <c r="H406" s="293"/>
      <c r="I406" s="141"/>
      <c r="J406" s="67">
        <f t="shared" si="211"/>
        <v>158102500</v>
      </c>
      <c r="K406" s="67"/>
      <c r="L406" s="934"/>
      <c r="M406" s="912"/>
      <c r="N406" s="141"/>
      <c r="O406" s="141">
        <v>118426500</v>
      </c>
      <c r="P406" s="78">
        <f t="shared" si="206"/>
        <v>118426500</v>
      </c>
      <c r="Q406" s="293"/>
      <c r="R406" s="141"/>
      <c r="S406" s="293"/>
      <c r="T406" s="141"/>
      <c r="U406" s="67">
        <f t="shared" si="207"/>
        <v>118426500</v>
      </c>
      <c r="V406" s="103"/>
      <c r="W406" s="7">
        <v>166494000</v>
      </c>
      <c r="X406" s="794">
        <v>166494000</v>
      </c>
      <c r="Y406" s="27">
        <f t="shared" ref="Y406:Y416" si="213">W406-X406</f>
        <v>0</v>
      </c>
      <c r="Z406" s="27"/>
      <c r="AA406" s="7"/>
      <c r="AB406" s="7">
        <v>148529000</v>
      </c>
      <c r="AC406" s="7">
        <f t="shared" si="209"/>
        <v>148529000</v>
      </c>
      <c r="AD406" s="50"/>
      <c r="AE406" s="7"/>
      <c r="AF406" s="50"/>
      <c r="AG406" s="7"/>
      <c r="AH406" s="7">
        <f t="shared" si="210"/>
        <v>148529000</v>
      </c>
      <c r="AI406" s="27"/>
      <c r="AJ406" s="7">
        <v>253897700</v>
      </c>
      <c r="AK406" s="841">
        <v>253897700</v>
      </c>
      <c r="AL406" s="27">
        <f t="shared" si="212"/>
        <v>0</v>
      </c>
      <c r="AM406" s="95"/>
      <c r="AN406" s="27">
        <v>179633700</v>
      </c>
    </row>
    <row r="407" spans="1:40">
      <c r="A407" s="34"/>
      <c r="B407" s="83" t="s">
        <v>309</v>
      </c>
      <c r="C407" s="141"/>
      <c r="D407" s="141">
        <v>325461602</v>
      </c>
      <c r="E407" s="78">
        <f t="shared" si="205"/>
        <v>325461602</v>
      </c>
      <c r="F407" s="293"/>
      <c r="G407" s="141"/>
      <c r="H407" s="293"/>
      <c r="I407" s="141"/>
      <c r="J407" s="67">
        <f t="shared" si="211"/>
        <v>325461602</v>
      </c>
      <c r="K407" s="67"/>
      <c r="L407" s="934"/>
      <c r="M407" s="912"/>
      <c r="N407" s="141"/>
      <c r="O407" s="141">
        <v>275521602</v>
      </c>
      <c r="P407" s="78">
        <f t="shared" si="206"/>
        <v>275521602</v>
      </c>
      <c r="Q407" s="293"/>
      <c r="R407" s="141"/>
      <c r="S407" s="293"/>
      <c r="T407" s="141"/>
      <c r="U407" s="67">
        <f t="shared" si="207"/>
        <v>275521602</v>
      </c>
      <c r="V407" s="103"/>
      <c r="W407" s="7">
        <v>254460965</v>
      </c>
      <c r="X407" s="794">
        <v>254460965</v>
      </c>
      <c r="Y407" s="27">
        <f t="shared" si="213"/>
        <v>0</v>
      </c>
      <c r="Z407" s="27"/>
      <c r="AA407" s="7"/>
      <c r="AB407" s="7">
        <v>207767704</v>
      </c>
      <c r="AC407" s="7">
        <f t="shared" si="209"/>
        <v>207767704</v>
      </c>
      <c r="AD407" s="50"/>
      <c r="AE407" s="7"/>
      <c r="AF407" s="50"/>
      <c r="AG407" s="7"/>
      <c r="AH407" s="7">
        <f t="shared" si="210"/>
        <v>207767704</v>
      </c>
      <c r="AI407" s="27"/>
      <c r="AJ407" s="7">
        <v>204953785</v>
      </c>
      <c r="AK407" s="841">
        <v>204953785</v>
      </c>
      <c r="AL407" s="27">
        <f t="shared" si="212"/>
        <v>0</v>
      </c>
      <c r="AM407" s="95"/>
      <c r="AN407" s="27">
        <v>125573501</v>
      </c>
    </row>
    <row r="408" spans="1:40">
      <c r="A408" s="34"/>
      <c r="B408" s="83" t="s">
        <v>310</v>
      </c>
      <c r="C408" s="141"/>
      <c r="D408" s="141">
        <v>22344010</v>
      </c>
      <c r="E408" s="78">
        <f t="shared" si="205"/>
        <v>22344010</v>
      </c>
      <c r="F408" s="293"/>
      <c r="G408" s="141"/>
      <c r="H408" s="293"/>
      <c r="I408" s="141"/>
      <c r="J408" s="67">
        <f t="shared" si="211"/>
        <v>22344010</v>
      </c>
      <c r="K408" s="67"/>
      <c r="L408" s="934"/>
      <c r="M408" s="912"/>
      <c r="N408" s="141"/>
      <c r="O408" s="141">
        <v>15164370</v>
      </c>
      <c r="P408" s="78">
        <f t="shared" si="206"/>
        <v>15164370</v>
      </c>
      <c r="Q408" s="293"/>
      <c r="R408" s="141"/>
      <c r="S408" s="293"/>
      <c r="T408" s="141"/>
      <c r="U408" s="67">
        <f t="shared" si="207"/>
        <v>15164370</v>
      </c>
      <c r="V408" s="103"/>
      <c r="W408" s="7">
        <v>33816250</v>
      </c>
      <c r="X408" s="794">
        <v>33816250</v>
      </c>
      <c r="Y408" s="27">
        <f t="shared" si="213"/>
        <v>0</v>
      </c>
      <c r="Z408" s="27"/>
      <c r="AA408" s="7"/>
      <c r="AB408" s="7">
        <v>29878940</v>
      </c>
      <c r="AC408" s="7">
        <f t="shared" si="209"/>
        <v>29878940</v>
      </c>
      <c r="AD408" s="50"/>
      <c r="AE408" s="7"/>
      <c r="AF408" s="50"/>
      <c r="AG408" s="7"/>
      <c r="AH408" s="7">
        <f t="shared" si="210"/>
        <v>29878940</v>
      </c>
      <c r="AI408" s="27"/>
      <c r="AJ408" s="7">
        <v>33612930</v>
      </c>
      <c r="AK408" s="841">
        <v>33612930</v>
      </c>
      <c r="AL408" s="27">
        <f t="shared" si="212"/>
        <v>0</v>
      </c>
      <c r="AM408" s="95"/>
      <c r="AN408" s="27">
        <v>28011620</v>
      </c>
    </row>
    <row r="409" spans="1:40">
      <c r="A409" s="34"/>
      <c r="B409" s="83" t="s">
        <v>311</v>
      </c>
      <c r="C409" s="141"/>
      <c r="D409" s="141">
        <v>61172281</v>
      </c>
      <c r="E409" s="78">
        <f t="shared" si="205"/>
        <v>61172281</v>
      </c>
      <c r="F409" s="293"/>
      <c r="G409" s="141"/>
      <c r="H409" s="293"/>
      <c r="I409" s="141"/>
      <c r="J409" s="67">
        <f t="shared" si="211"/>
        <v>61172281</v>
      </c>
      <c r="K409" s="67"/>
      <c r="L409" s="934"/>
      <c r="M409" s="912"/>
      <c r="N409" s="141"/>
      <c r="O409" s="141">
        <v>40627257</v>
      </c>
      <c r="P409" s="78">
        <f t="shared" si="206"/>
        <v>40627257</v>
      </c>
      <c r="Q409" s="293"/>
      <c r="R409" s="141"/>
      <c r="S409" s="293"/>
      <c r="T409" s="141"/>
      <c r="U409" s="67">
        <f t="shared" si="207"/>
        <v>40627257</v>
      </c>
      <c r="V409" s="103"/>
      <c r="W409" s="7">
        <v>120490956</v>
      </c>
      <c r="X409" s="794">
        <v>120490956</v>
      </c>
      <c r="Y409" s="27">
        <f t="shared" si="213"/>
        <v>0</v>
      </c>
      <c r="Z409" s="27"/>
      <c r="AA409" s="7"/>
      <c r="AB409" s="7">
        <v>91621530</v>
      </c>
      <c r="AC409" s="7">
        <f t="shared" si="209"/>
        <v>91621530</v>
      </c>
      <c r="AD409" s="50"/>
      <c r="AE409" s="7"/>
      <c r="AF409" s="50"/>
      <c r="AG409" s="7"/>
      <c r="AH409" s="7">
        <f t="shared" si="210"/>
        <v>91621530</v>
      </c>
      <c r="AI409" s="27"/>
      <c r="AJ409" s="7">
        <v>130336036</v>
      </c>
      <c r="AK409" s="841">
        <v>130336036</v>
      </c>
      <c r="AL409" s="27">
        <f t="shared" si="212"/>
        <v>0</v>
      </c>
      <c r="AM409" s="95"/>
      <c r="AN409" s="27">
        <v>89135345</v>
      </c>
    </row>
    <row r="410" spans="1:40">
      <c r="A410" s="34"/>
      <c r="B410" s="83" t="s">
        <v>312</v>
      </c>
      <c r="C410" s="141"/>
      <c r="D410" s="141">
        <v>398789293.08000004</v>
      </c>
      <c r="E410" s="78">
        <f t="shared" si="205"/>
        <v>398789293.08000004</v>
      </c>
      <c r="F410" s="293"/>
      <c r="G410" s="141"/>
      <c r="H410" s="293"/>
      <c r="I410" s="141"/>
      <c r="J410" s="67">
        <f t="shared" si="211"/>
        <v>398789293.08000004</v>
      </c>
      <c r="K410" s="67"/>
      <c r="L410" s="934"/>
      <c r="M410" s="912"/>
      <c r="N410" s="141"/>
      <c r="O410" s="141">
        <v>325003877.67000002</v>
      </c>
      <c r="P410" s="78">
        <f t="shared" si="206"/>
        <v>325003877.67000002</v>
      </c>
      <c r="Q410" s="293"/>
      <c r="R410" s="141"/>
      <c r="S410" s="293"/>
      <c r="T410" s="141"/>
      <c r="U410" s="67">
        <f t="shared" si="207"/>
        <v>325003877.67000002</v>
      </c>
      <c r="V410" s="103"/>
      <c r="W410" s="7">
        <v>168858047</v>
      </c>
      <c r="X410" s="794">
        <v>168858047</v>
      </c>
      <c r="Y410" s="27">
        <f t="shared" si="213"/>
        <v>0</v>
      </c>
      <c r="Z410" s="27"/>
      <c r="AA410" s="7"/>
      <c r="AB410" s="7">
        <v>133097587</v>
      </c>
      <c r="AC410" s="7">
        <f t="shared" si="209"/>
        <v>133097587</v>
      </c>
      <c r="AD410" s="50"/>
      <c r="AE410" s="7"/>
      <c r="AF410" s="50"/>
      <c r="AG410" s="7"/>
      <c r="AH410" s="7">
        <f t="shared" si="210"/>
        <v>133097587</v>
      </c>
      <c r="AI410" s="27"/>
      <c r="AJ410" s="7">
        <v>469607619</v>
      </c>
      <c r="AK410" s="841">
        <v>469607619</v>
      </c>
      <c r="AL410" s="27">
        <f t="shared" si="212"/>
        <v>0</v>
      </c>
      <c r="AM410" s="95"/>
      <c r="AN410" s="27">
        <v>656511161</v>
      </c>
    </row>
    <row r="411" spans="1:40">
      <c r="A411" s="34"/>
      <c r="B411" s="83" t="s">
        <v>313</v>
      </c>
      <c r="C411" s="141"/>
      <c r="D411" s="141">
        <v>71339220</v>
      </c>
      <c r="E411" s="78">
        <f t="shared" si="205"/>
        <v>71339220</v>
      </c>
      <c r="F411" s="293"/>
      <c r="G411" s="141"/>
      <c r="H411" s="293"/>
      <c r="I411" s="141"/>
      <c r="J411" s="67">
        <f t="shared" si="211"/>
        <v>71339220</v>
      </c>
      <c r="K411" s="67"/>
      <c r="L411" s="934"/>
      <c r="M411" s="912"/>
      <c r="N411" s="141"/>
      <c r="O411" s="141">
        <v>16228200</v>
      </c>
      <c r="P411" s="78">
        <f t="shared" si="206"/>
        <v>16228200</v>
      </c>
      <c r="Q411" s="293"/>
      <c r="R411" s="141"/>
      <c r="S411" s="293"/>
      <c r="T411" s="141"/>
      <c r="U411" s="67">
        <f t="shared" si="207"/>
        <v>16228200</v>
      </c>
      <c r="V411" s="103"/>
      <c r="W411" s="7">
        <v>40946661</v>
      </c>
      <c r="X411" s="794">
        <v>40946661</v>
      </c>
      <c r="Y411" s="27">
        <f t="shared" si="213"/>
        <v>0</v>
      </c>
      <c r="Z411" s="27"/>
      <c r="AA411" s="7"/>
      <c r="AB411" s="7">
        <v>40946661</v>
      </c>
      <c r="AC411" s="7">
        <f t="shared" si="209"/>
        <v>40946661</v>
      </c>
      <c r="AD411" s="50"/>
      <c r="AE411" s="7"/>
      <c r="AF411" s="50"/>
      <c r="AG411" s="7"/>
      <c r="AH411" s="665">
        <f t="shared" si="210"/>
        <v>40946661</v>
      </c>
      <c r="AI411" s="27"/>
      <c r="AJ411" s="7">
        <v>336581935</v>
      </c>
      <c r="AK411" s="841">
        <v>336581935</v>
      </c>
      <c r="AL411" s="27">
        <f t="shared" si="212"/>
        <v>0</v>
      </c>
      <c r="AM411" s="95"/>
      <c r="AN411" s="27">
        <v>60113474</v>
      </c>
    </row>
    <row r="412" spans="1:40">
      <c r="A412" s="34"/>
      <c r="B412" s="83" t="s">
        <v>314</v>
      </c>
      <c r="C412" s="141"/>
      <c r="D412" s="141">
        <v>9095000</v>
      </c>
      <c r="E412" s="78">
        <f t="shared" si="205"/>
        <v>9095000</v>
      </c>
      <c r="F412" s="293"/>
      <c r="G412" s="141"/>
      <c r="H412" s="293"/>
      <c r="I412" s="141"/>
      <c r="J412" s="67">
        <f t="shared" si="211"/>
        <v>9095000</v>
      </c>
      <c r="K412" s="67"/>
      <c r="L412" s="934"/>
      <c r="M412" s="912"/>
      <c r="N412" s="141"/>
      <c r="O412" s="141">
        <v>7750000</v>
      </c>
      <c r="P412" s="78">
        <f t="shared" si="206"/>
        <v>7750000</v>
      </c>
      <c r="Q412" s="293"/>
      <c r="R412" s="141"/>
      <c r="S412" s="293"/>
      <c r="T412" s="141"/>
      <c r="U412" s="67">
        <f t="shared" si="207"/>
        <v>7750000</v>
      </c>
      <c r="V412" s="103"/>
      <c r="W412" s="7">
        <v>9005000</v>
      </c>
      <c r="X412" s="794">
        <v>9005000</v>
      </c>
      <c r="Y412" s="27">
        <f t="shared" si="213"/>
        <v>0</v>
      </c>
      <c r="Z412" s="27"/>
      <c r="AA412" s="7"/>
      <c r="AB412" s="7">
        <v>6140000</v>
      </c>
      <c r="AC412" s="7">
        <f t="shared" si="209"/>
        <v>6140000</v>
      </c>
      <c r="AD412" s="50"/>
      <c r="AE412" s="7"/>
      <c r="AF412" s="50"/>
      <c r="AG412" s="7"/>
      <c r="AH412" s="7">
        <f t="shared" si="210"/>
        <v>6140000</v>
      </c>
      <c r="AI412" s="27"/>
      <c r="AJ412" s="7">
        <v>7286000.5</v>
      </c>
      <c r="AK412" s="841">
        <v>7286000.5</v>
      </c>
      <c r="AL412" s="27">
        <f t="shared" si="212"/>
        <v>0</v>
      </c>
      <c r="AM412" s="95"/>
      <c r="AN412" s="27">
        <v>13938174.5</v>
      </c>
    </row>
    <row r="413" spans="1:40">
      <c r="A413" s="34"/>
      <c r="B413" s="83" t="s">
        <v>315</v>
      </c>
      <c r="C413" s="141"/>
      <c r="D413" s="141">
        <v>12600000</v>
      </c>
      <c r="E413" s="78">
        <f t="shared" si="205"/>
        <v>12600000</v>
      </c>
      <c r="F413" s="293"/>
      <c r="G413" s="141"/>
      <c r="H413" s="293"/>
      <c r="I413" s="141"/>
      <c r="J413" s="67">
        <f t="shared" si="211"/>
        <v>12600000</v>
      </c>
      <c r="K413" s="67"/>
      <c r="L413" s="934"/>
      <c r="M413" s="912"/>
      <c r="N413" s="141"/>
      <c r="O413" s="141">
        <v>6300000</v>
      </c>
      <c r="P413" s="78">
        <f t="shared" si="206"/>
        <v>6300000</v>
      </c>
      <c r="Q413" s="293"/>
      <c r="R413" s="141"/>
      <c r="S413" s="293"/>
      <c r="T413" s="141"/>
      <c r="U413" s="67">
        <f t="shared" si="207"/>
        <v>6300000</v>
      </c>
      <c r="V413" s="103"/>
      <c r="W413" s="7">
        <v>15750000</v>
      </c>
      <c r="X413" s="794">
        <v>15750000</v>
      </c>
      <c r="Y413" s="27">
        <f t="shared" si="213"/>
        <v>0</v>
      </c>
      <c r="Z413" s="27"/>
      <c r="AA413" s="7"/>
      <c r="AB413" s="7">
        <v>6450000</v>
      </c>
      <c r="AC413" s="7">
        <f t="shared" si="209"/>
        <v>6450000</v>
      </c>
      <c r="AD413" s="50"/>
      <c r="AE413" s="7"/>
      <c r="AF413" s="50"/>
      <c r="AG413" s="7"/>
      <c r="AH413" s="7">
        <f t="shared" si="210"/>
        <v>6450000</v>
      </c>
      <c r="AI413" s="27"/>
      <c r="AJ413" s="7">
        <v>16050000</v>
      </c>
      <c r="AK413" s="841">
        <v>16050000</v>
      </c>
      <c r="AL413" s="27">
        <f t="shared" si="212"/>
        <v>0</v>
      </c>
      <c r="AM413" s="95"/>
      <c r="AN413" s="27">
        <v>18750000</v>
      </c>
    </row>
    <row r="414" spans="1:40">
      <c r="A414" s="34"/>
      <c r="B414" s="83" t="s">
        <v>316</v>
      </c>
      <c r="C414" s="141"/>
      <c r="D414" s="141">
        <v>63110969</v>
      </c>
      <c r="E414" s="78">
        <f t="shared" si="205"/>
        <v>63110969</v>
      </c>
      <c r="F414" s="293"/>
      <c r="G414" s="141"/>
      <c r="H414" s="293"/>
      <c r="I414" s="141"/>
      <c r="J414" s="67">
        <f t="shared" si="211"/>
        <v>63110969</v>
      </c>
      <c r="K414" s="67"/>
      <c r="L414" s="934"/>
      <c r="M414" s="912"/>
      <c r="N414" s="141"/>
      <c r="O414" s="141">
        <v>47749920</v>
      </c>
      <c r="P414" s="78">
        <f t="shared" si="206"/>
        <v>47749920</v>
      </c>
      <c r="Q414" s="293"/>
      <c r="R414" s="141"/>
      <c r="S414" s="293"/>
      <c r="T414" s="141"/>
      <c r="U414" s="67">
        <f t="shared" si="207"/>
        <v>47749920</v>
      </c>
      <c r="V414" s="103"/>
      <c r="W414" s="7">
        <v>187461273</v>
      </c>
      <c r="X414" s="794">
        <v>187461273</v>
      </c>
      <c r="Y414" s="27">
        <f t="shared" si="213"/>
        <v>0</v>
      </c>
      <c r="Z414" s="27"/>
      <c r="AA414" s="7"/>
      <c r="AB414" s="7">
        <v>53050186</v>
      </c>
      <c r="AC414" s="7">
        <f t="shared" si="209"/>
        <v>53050186</v>
      </c>
      <c r="AD414" s="50"/>
      <c r="AE414" s="7"/>
      <c r="AF414" s="50"/>
      <c r="AG414" s="7"/>
      <c r="AH414" s="7">
        <f t="shared" si="210"/>
        <v>53050186</v>
      </c>
      <c r="AI414" s="27"/>
      <c r="AJ414" s="7">
        <v>32197750</v>
      </c>
      <c r="AK414" s="841">
        <v>32197750</v>
      </c>
      <c r="AL414" s="27">
        <f t="shared" si="212"/>
        <v>0</v>
      </c>
      <c r="AM414" s="95"/>
      <c r="AN414" s="27"/>
    </row>
    <row r="415" spans="1:40">
      <c r="A415" s="34"/>
      <c r="B415" s="83" t="s">
        <v>993</v>
      </c>
      <c r="C415" s="141"/>
      <c r="D415" s="141">
        <v>3720084779.6799998</v>
      </c>
      <c r="E415" s="78">
        <f t="shared" si="205"/>
        <v>3720084779.6799998</v>
      </c>
      <c r="F415" s="293"/>
      <c r="G415" s="141"/>
      <c r="H415" s="293"/>
      <c r="I415" s="141">
        <f>'AJE CAJE Des 24'!I42</f>
        <v>0</v>
      </c>
      <c r="J415" s="513">
        <f t="shared" si="211"/>
        <v>3720084779.6799998</v>
      </c>
      <c r="K415" s="513"/>
      <c r="L415" s="934"/>
      <c r="M415" s="912" t="s">
        <v>1013</v>
      </c>
      <c r="N415" s="141"/>
      <c r="O415" s="141">
        <v>1081932570.3499999</v>
      </c>
      <c r="P415" s="78">
        <f t="shared" ref="P415" si="214">O415</f>
        <v>1081932570.3499999</v>
      </c>
      <c r="Q415" s="293"/>
      <c r="R415" s="141"/>
      <c r="S415" s="293"/>
      <c r="T415" s="141"/>
      <c r="U415" s="513">
        <f t="shared" ref="U415" si="215">P415+R415-T415</f>
        <v>1081932570.3499999</v>
      </c>
      <c r="V415" s="103" t="s">
        <v>1013</v>
      </c>
      <c r="W415" s="7"/>
      <c r="X415" s="794">
        <v>0</v>
      </c>
      <c r="Y415" s="27"/>
      <c r="Z415" s="27"/>
      <c r="AA415" s="7"/>
      <c r="AB415" s="7"/>
      <c r="AC415" s="7"/>
      <c r="AD415" s="50"/>
      <c r="AE415" s="7"/>
      <c r="AF415" s="50"/>
      <c r="AG415" s="7"/>
      <c r="AH415" s="7"/>
      <c r="AI415" s="27"/>
      <c r="AJ415" s="7"/>
      <c r="AK415" s="841">
        <v>0</v>
      </c>
      <c r="AL415" s="27"/>
      <c r="AM415" s="95"/>
      <c r="AN415" s="27"/>
    </row>
    <row r="416" spans="1:40">
      <c r="A416" s="30"/>
      <c r="B416" s="20" t="s">
        <v>317</v>
      </c>
      <c r="C416" s="42"/>
      <c r="D416" s="42"/>
      <c r="E416" s="21">
        <f>SUM(E403:E415)</f>
        <v>14110743992.24</v>
      </c>
      <c r="F416" s="281"/>
      <c r="G416" s="42"/>
      <c r="H416" s="281"/>
      <c r="I416" s="42"/>
      <c r="J416" s="21">
        <f>SUM(J403:J415)</f>
        <v>14110743992.24</v>
      </c>
      <c r="K416" s="21"/>
      <c r="L416" s="797"/>
      <c r="M416" s="913"/>
      <c r="N416" s="42"/>
      <c r="O416" s="42"/>
      <c r="P416" s="21">
        <f>SUM(P403:P415)</f>
        <v>8566264905.3800011</v>
      </c>
      <c r="Q416" s="281"/>
      <c r="R416" s="42"/>
      <c r="S416" s="281"/>
      <c r="T416" s="42"/>
      <c r="U416" s="21">
        <f>SUM(U403:U415)</f>
        <v>9392796660.25</v>
      </c>
      <c r="V416" s="442"/>
      <c r="W416" s="21">
        <f>SUM(W403:W414)</f>
        <v>11943842250</v>
      </c>
      <c r="X416" s="795">
        <v>11943842250</v>
      </c>
      <c r="Y416" s="27">
        <f t="shared" si="213"/>
        <v>0</v>
      </c>
      <c r="Z416" s="27"/>
      <c r="AA416" s="21"/>
      <c r="AB416" s="21"/>
      <c r="AC416" s="21">
        <f>SUM(AC403:AC414)</f>
        <v>12120734219.6</v>
      </c>
      <c r="AD416" s="387"/>
      <c r="AE416" s="21"/>
      <c r="AF416" s="387"/>
      <c r="AG416" s="21"/>
      <c r="AH416" s="21">
        <f>SUM(AH403:AH414)</f>
        <v>12120734220</v>
      </c>
      <c r="AI416" s="36"/>
      <c r="AJ416" s="21">
        <f>SUM(AJ403:AJ414)</f>
        <v>19921261642.5</v>
      </c>
      <c r="AK416" s="843">
        <v>19921261642.5</v>
      </c>
      <c r="AL416" s="27">
        <f t="shared" si="212"/>
        <v>0</v>
      </c>
      <c r="AM416" s="95"/>
      <c r="AN416" s="21">
        <f>SUM(AN403:AN414)</f>
        <v>16958316385.5</v>
      </c>
    </row>
    <row r="417" spans="1:40">
      <c r="A417" s="80" t="s">
        <v>318</v>
      </c>
      <c r="B417" s="83"/>
      <c r="C417" s="141"/>
      <c r="D417" s="141"/>
      <c r="E417" s="141"/>
      <c r="F417" s="293"/>
      <c r="G417" s="141"/>
      <c r="H417" s="293"/>
      <c r="I417" s="141"/>
      <c r="J417" s="141"/>
      <c r="K417" s="141"/>
      <c r="L417" s="942"/>
      <c r="M417" s="930"/>
      <c r="N417" s="141"/>
      <c r="O417" s="141"/>
      <c r="P417" s="141"/>
      <c r="Q417" s="293"/>
      <c r="R417" s="141"/>
      <c r="S417" s="293"/>
      <c r="T417" s="141"/>
      <c r="U417" s="141"/>
      <c r="V417" s="455"/>
      <c r="W417" s="27"/>
      <c r="X417" s="794"/>
      <c r="Y417" s="27"/>
      <c r="Z417" s="27"/>
      <c r="AA417" s="27"/>
      <c r="AB417" s="27"/>
      <c r="AC417" s="27"/>
      <c r="AD417" s="371"/>
      <c r="AE417" s="27"/>
      <c r="AF417" s="371"/>
      <c r="AG417" s="27"/>
      <c r="AH417" s="27"/>
      <c r="AI417" s="27"/>
      <c r="AJ417" s="27"/>
      <c r="AK417" s="841"/>
      <c r="AL417" s="27"/>
      <c r="AM417" s="95"/>
      <c r="AN417" s="27"/>
    </row>
    <row r="418" spans="1:40">
      <c r="A418" s="80"/>
      <c r="B418" s="81" t="s">
        <v>319</v>
      </c>
      <c r="C418" s="140"/>
      <c r="D418" s="140"/>
      <c r="E418" s="140"/>
      <c r="F418" s="293"/>
      <c r="G418" s="140"/>
      <c r="H418" s="293"/>
      <c r="I418" s="140"/>
      <c r="J418" s="140"/>
      <c r="K418" s="140"/>
      <c r="L418" s="941"/>
      <c r="M418" s="929"/>
      <c r="N418" s="140"/>
      <c r="O418" s="140"/>
      <c r="P418" s="140"/>
      <c r="Q418" s="293"/>
      <c r="R418" s="140"/>
      <c r="S418" s="293"/>
      <c r="T418" s="140"/>
      <c r="U418" s="140"/>
      <c r="V418" s="454"/>
      <c r="W418" s="27"/>
      <c r="X418" s="806"/>
      <c r="Y418" s="27"/>
      <c r="Z418" s="27"/>
      <c r="AA418" s="27"/>
      <c r="AB418" s="27"/>
      <c r="AC418" s="27"/>
      <c r="AD418" s="371"/>
      <c r="AE418" s="27"/>
      <c r="AF418" s="371"/>
      <c r="AG418" s="27"/>
      <c r="AH418" s="27"/>
      <c r="AI418" s="27"/>
      <c r="AJ418" s="27"/>
      <c r="AK418" s="851"/>
      <c r="AL418" s="27"/>
      <c r="AM418" s="95"/>
      <c r="AN418" s="27"/>
    </row>
    <row r="419" spans="1:40">
      <c r="A419" s="27"/>
      <c r="B419" s="83" t="s">
        <v>320</v>
      </c>
      <c r="C419" s="141"/>
      <c r="D419" s="141">
        <v>313949059</v>
      </c>
      <c r="E419" s="78">
        <f t="shared" ref="E419:E464" si="216">D419</f>
        <v>313949059</v>
      </c>
      <c r="F419" s="293"/>
      <c r="G419" s="141"/>
      <c r="H419" s="293"/>
      <c r="I419" s="141"/>
      <c r="J419" s="67">
        <f t="shared" ref="J419:J443" si="217">E419+G419-I419</f>
        <v>313949059</v>
      </c>
      <c r="K419" s="67"/>
      <c r="L419" s="934"/>
      <c r="M419" s="911"/>
      <c r="N419" s="141"/>
      <c r="O419" s="141">
        <v>270332060</v>
      </c>
      <c r="P419" s="78">
        <f t="shared" ref="P419:P464" si="218">O419</f>
        <v>270332060</v>
      </c>
      <c r="Q419" s="293"/>
      <c r="R419" s="141"/>
      <c r="S419" s="293"/>
      <c r="T419" s="141"/>
      <c r="U419" s="67">
        <f t="shared" ref="U419:U464" si="219">P419+R419-T419</f>
        <v>270332060</v>
      </c>
      <c r="V419" s="103"/>
      <c r="W419" s="7">
        <v>326651463</v>
      </c>
      <c r="X419" s="806">
        <v>326651463</v>
      </c>
      <c r="Y419" s="27">
        <f t="shared" ref="Y419:Y422" si="220">W419-X419</f>
        <v>0</v>
      </c>
      <c r="Z419" s="27"/>
      <c r="AA419" s="7"/>
      <c r="AB419" s="7">
        <v>255023239</v>
      </c>
      <c r="AC419" s="7">
        <f t="shared" ref="AC419:AC464" si="221">AB419</f>
        <v>255023239</v>
      </c>
      <c r="AD419" s="50"/>
      <c r="AE419" s="7"/>
      <c r="AF419" s="50"/>
      <c r="AG419" s="7"/>
      <c r="AH419" s="7">
        <f t="shared" ref="AH419:AH464" si="222">ROUND(AC419+AE419-AG419,0)</f>
        <v>255023239</v>
      </c>
      <c r="AI419" s="27"/>
      <c r="AJ419" s="7">
        <v>372178723</v>
      </c>
      <c r="AK419" s="851">
        <v>372178723</v>
      </c>
      <c r="AL419" s="27">
        <f>AJ419-AK419</f>
        <v>0</v>
      </c>
      <c r="AM419" s="95"/>
      <c r="AN419" s="27">
        <v>369839628</v>
      </c>
    </row>
    <row r="420" spans="1:40">
      <c r="A420" s="34"/>
      <c r="B420" s="83" t="s">
        <v>321</v>
      </c>
      <c r="C420" s="141"/>
      <c r="D420" s="141">
        <v>3962378187</v>
      </c>
      <c r="E420" s="78">
        <f t="shared" si="216"/>
        <v>3962378187</v>
      </c>
      <c r="F420" s="293"/>
      <c r="G420" s="141"/>
      <c r="H420" s="293"/>
      <c r="I420" s="141"/>
      <c r="J420" s="67">
        <f t="shared" si="217"/>
        <v>3962378187</v>
      </c>
      <c r="K420" s="67"/>
      <c r="L420" s="934"/>
      <c r="M420" s="912"/>
      <c r="N420" s="141"/>
      <c r="O420" s="141">
        <v>2892243979</v>
      </c>
      <c r="P420" s="78">
        <f t="shared" si="218"/>
        <v>2892243979</v>
      </c>
      <c r="Q420" s="293"/>
      <c r="R420" s="141"/>
      <c r="S420" s="293"/>
      <c r="T420" s="141"/>
      <c r="U420" s="67">
        <f t="shared" si="219"/>
        <v>2892243979</v>
      </c>
      <c r="V420" s="103"/>
      <c r="W420" s="7">
        <v>3836346543</v>
      </c>
      <c r="X420" s="806">
        <v>3836346543</v>
      </c>
      <c r="Y420" s="27">
        <f t="shared" si="220"/>
        <v>0</v>
      </c>
      <c r="Z420" s="27"/>
      <c r="AA420" s="7"/>
      <c r="AB420" s="7">
        <v>2965790410</v>
      </c>
      <c r="AC420" s="7">
        <f t="shared" si="221"/>
        <v>2965790410</v>
      </c>
      <c r="AD420" s="50"/>
      <c r="AE420" s="7"/>
      <c r="AF420" s="50"/>
      <c r="AG420" s="7"/>
      <c r="AH420" s="7">
        <f t="shared" si="222"/>
        <v>2965790410</v>
      </c>
      <c r="AI420" s="27"/>
      <c r="AJ420" s="7">
        <v>4280353354</v>
      </c>
      <c r="AK420" s="851">
        <v>4280353354</v>
      </c>
      <c r="AL420" s="27">
        <f t="shared" ref="AL420:AL446" si="223">AJ420-AK420</f>
        <v>0</v>
      </c>
      <c r="AM420" s="95"/>
      <c r="AN420" s="27">
        <v>4376027431</v>
      </c>
    </row>
    <row r="421" spans="1:40">
      <c r="A421" s="34"/>
      <c r="B421" s="83" t="s">
        <v>322</v>
      </c>
      <c r="C421" s="141"/>
      <c r="D421" s="141">
        <v>332597853</v>
      </c>
      <c r="E421" s="78">
        <f t="shared" si="216"/>
        <v>332597853</v>
      </c>
      <c r="F421" s="293"/>
      <c r="G421" s="141"/>
      <c r="H421" s="293"/>
      <c r="I421" s="141"/>
      <c r="J421" s="67">
        <f t="shared" si="217"/>
        <v>332597853</v>
      </c>
      <c r="K421" s="67"/>
      <c r="L421" s="934"/>
      <c r="M421" s="912"/>
      <c r="N421" s="141"/>
      <c r="O421" s="141">
        <v>332597853</v>
      </c>
      <c r="P421" s="78">
        <f t="shared" si="218"/>
        <v>332597853</v>
      </c>
      <c r="Q421" s="293"/>
      <c r="R421" s="141"/>
      <c r="S421" s="293"/>
      <c r="T421" s="141"/>
      <c r="U421" s="67">
        <f t="shared" si="219"/>
        <v>332597853</v>
      </c>
      <c r="V421" s="103"/>
      <c r="W421" s="7">
        <v>341934529</v>
      </c>
      <c r="X421" s="806">
        <v>341934529</v>
      </c>
      <c r="Y421" s="27">
        <f t="shared" si="220"/>
        <v>0</v>
      </c>
      <c r="Z421" s="27"/>
      <c r="AA421" s="7"/>
      <c r="AB421" s="7">
        <v>341934529</v>
      </c>
      <c r="AC421" s="7">
        <f t="shared" si="221"/>
        <v>341934529</v>
      </c>
      <c r="AD421" s="50"/>
      <c r="AE421" s="7"/>
      <c r="AF421" s="50"/>
      <c r="AG421" s="7"/>
      <c r="AH421" s="7">
        <f t="shared" si="222"/>
        <v>341934529</v>
      </c>
      <c r="AI421" s="27"/>
      <c r="AJ421" s="7">
        <v>299780670</v>
      </c>
      <c r="AK421" s="851">
        <v>299780670</v>
      </c>
      <c r="AL421" s="27">
        <f t="shared" si="223"/>
        <v>0</v>
      </c>
      <c r="AM421" s="95"/>
      <c r="AN421" s="27">
        <v>390530627</v>
      </c>
    </row>
    <row r="422" spans="1:40">
      <c r="A422" s="34"/>
      <c r="B422" s="83" t="s">
        <v>323</v>
      </c>
      <c r="C422" s="141"/>
      <c r="D422" s="141">
        <v>432045000</v>
      </c>
      <c r="E422" s="78">
        <f t="shared" si="216"/>
        <v>432045000</v>
      </c>
      <c r="F422" s="293"/>
      <c r="G422" s="141"/>
      <c r="H422" s="293"/>
      <c r="I422" s="141"/>
      <c r="J422" s="67">
        <f t="shared" si="217"/>
        <v>432045000</v>
      </c>
      <c r="K422" s="67"/>
      <c r="L422" s="934"/>
      <c r="M422" s="912"/>
      <c r="N422" s="141"/>
      <c r="O422" s="141">
        <v>339109000</v>
      </c>
      <c r="P422" s="78">
        <f t="shared" si="218"/>
        <v>339109000</v>
      </c>
      <c r="Q422" s="293"/>
      <c r="R422" s="141"/>
      <c r="S422" s="293"/>
      <c r="T422" s="141"/>
      <c r="U422" s="67">
        <f t="shared" si="219"/>
        <v>339109000</v>
      </c>
      <c r="V422" s="103"/>
      <c r="W422" s="7">
        <v>381155000</v>
      </c>
      <c r="X422" s="806">
        <v>381155000</v>
      </c>
      <c r="Y422" s="27">
        <f t="shared" si="220"/>
        <v>0</v>
      </c>
      <c r="Z422" s="27"/>
      <c r="AA422" s="7"/>
      <c r="AB422" s="7">
        <v>287526000</v>
      </c>
      <c r="AC422" s="7">
        <f t="shared" si="221"/>
        <v>287526000</v>
      </c>
      <c r="AD422" s="50"/>
      <c r="AE422" s="7"/>
      <c r="AF422" s="50"/>
      <c r="AG422" s="7"/>
      <c r="AH422" s="7">
        <f t="shared" si="222"/>
        <v>287526000</v>
      </c>
      <c r="AI422" s="27"/>
      <c r="AJ422" s="7">
        <v>397974000</v>
      </c>
      <c r="AK422" s="851">
        <v>397974000</v>
      </c>
      <c r="AL422" s="27">
        <f t="shared" si="223"/>
        <v>0</v>
      </c>
      <c r="AM422" s="95"/>
      <c r="AN422" s="27">
        <v>314028666</v>
      </c>
    </row>
    <row r="423" spans="1:40">
      <c r="A423" s="34"/>
      <c r="B423" s="83" t="s">
        <v>324</v>
      </c>
      <c r="C423" s="141"/>
      <c r="D423" s="141"/>
      <c r="E423" s="78">
        <f t="shared" si="216"/>
        <v>0</v>
      </c>
      <c r="F423" s="293"/>
      <c r="G423" s="141"/>
      <c r="H423" s="293"/>
      <c r="I423" s="141"/>
      <c r="J423" s="67">
        <f t="shared" si="217"/>
        <v>0</v>
      </c>
      <c r="K423" s="67"/>
      <c r="L423" s="934"/>
      <c r="M423" s="912"/>
      <c r="N423" s="141"/>
      <c r="O423" s="141"/>
      <c r="P423" s="78">
        <f t="shared" si="218"/>
        <v>0</v>
      </c>
      <c r="Q423" s="293"/>
      <c r="R423" s="141"/>
      <c r="S423" s="293"/>
      <c r="T423" s="141"/>
      <c r="U423" s="67">
        <f t="shared" si="219"/>
        <v>0</v>
      </c>
      <c r="V423" s="103"/>
      <c r="W423" s="7"/>
      <c r="X423" s="806">
        <v>0</v>
      </c>
      <c r="Y423" s="27"/>
      <c r="Z423" s="27"/>
      <c r="AA423" s="7"/>
      <c r="AB423" s="7"/>
      <c r="AC423" s="7">
        <f t="shared" si="221"/>
        <v>0</v>
      </c>
      <c r="AD423" s="50"/>
      <c r="AE423" s="7"/>
      <c r="AF423" s="50"/>
      <c r="AG423" s="7"/>
      <c r="AH423" s="27">
        <f t="shared" si="222"/>
        <v>0</v>
      </c>
      <c r="AI423" s="27"/>
      <c r="AJ423" s="7">
        <v>7695020</v>
      </c>
      <c r="AK423" s="851">
        <v>7695020</v>
      </c>
      <c r="AL423" s="27">
        <f t="shared" si="223"/>
        <v>0</v>
      </c>
      <c r="AM423" s="95"/>
      <c r="AN423" s="27">
        <v>0</v>
      </c>
    </row>
    <row r="424" spans="1:40">
      <c r="A424" s="34"/>
      <c r="B424" s="81" t="s">
        <v>325</v>
      </c>
      <c r="C424" s="140"/>
      <c r="D424" s="140"/>
      <c r="E424" s="78">
        <f t="shared" si="216"/>
        <v>0</v>
      </c>
      <c r="F424" s="293"/>
      <c r="G424" s="140"/>
      <c r="H424" s="293"/>
      <c r="I424" s="140"/>
      <c r="J424" s="67">
        <f t="shared" si="217"/>
        <v>0</v>
      </c>
      <c r="K424" s="67"/>
      <c r="L424" s="934"/>
      <c r="M424" s="912"/>
      <c r="N424" s="140"/>
      <c r="O424" s="140"/>
      <c r="P424" s="78">
        <f t="shared" si="218"/>
        <v>0</v>
      </c>
      <c r="Q424" s="293"/>
      <c r="R424" s="140"/>
      <c r="S424" s="293"/>
      <c r="T424" s="140"/>
      <c r="U424" s="67">
        <f t="shared" si="219"/>
        <v>0</v>
      </c>
      <c r="V424" s="103"/>
      <c r="W424" s="27"/>
      <c r="X424" s="806">
        <v>0</v>
      </c>
      <c r="Y424" s="27"/>
      <c r="Z424" s="27"/>
      <c r="AA424" s="27"/>
      <c r="AB424" s="27"/>
      <c r="AC424" s="27">
        <f t="shared" si="221"/>
        <v>0</v>
      </c>
      <c r="AD424" s="371"/>
      <c r="AE424" s="27"/>
      <c r="AF424" s="371"/>
      <c r="AG424" s="27"/>
      <c r="AH424" s="27">
        <f t="shared" si="222"/>
        <v>0</v>
      </c>
      <c r="AI424" s="27"/>
      <c r="AJ424" s="27"/>
      <c r="AK424" s="851">
        <v>0</v>
      </c>
      <c r="AL424" s="27"/>
      <c r="AM424" s="95"/>
      <c r="AN424" s="27"/>
    </row>
    <row r="425" spans="1:40">
      <c r="A425" s="34"/>
      <c r="B425" s="83" t="s">
        <v>326</v>
      </c>
      <c r="C425" s="141"/>
      <c r="D425" s="141">
        <v>1343058</v>
      </c>
      <c r="E425" s="78">
        <f t="shared" si="216"/>
        <v>1343058</v>
      </c>
      <c r="F425" s="293"/>
      <c r="G425" s="141"/>
      <c r="H425" s="293"/>
      <c r="I425" s="141"/>
      <c r="J425" s="67">
        <f t="shared" si="217"/>
        <v>1343058</v>
      </c>
      <c r="K425" s="67"/>
      <c r="L425" s="934"/>
      <c r="M425" s="912"/>
      <c r="N425" s="141"/>
      <c r="O425" s="141">
        <v>1293058</v>
      </c>
      <c r="P425" s="78">
        <f t="shared" si="218"/>
        <v>1293058</v>
      </c>
      <c r="Q425" s="293"/>
      <c r="R425" s="141"/>
      <c r="S425" s="293"/>
      <c r="T425" s="141"/>
      <c r="U425" s="67">
        <f t="shared" si="219"/>
        <v>1293058</v>
      </c>
      <c r="V425" s="103"/>
      <c r="W425" s="27">
        <v>570000</v>
      </c>
      <c r="X425" s="806">
        <v>570000</v>
      </c>
      <c r="Y425" s="27">
        <f t="shared" ref="Y425:Y430" si="224">W425-X425</f>
        <v>0</v>
      </c>
      <c r="Z425" s="27"/>
      <c r="AA425" s="27"/>
      <c r="AB425" s="27">
        <v>25000</v>
      </c>
      <c r="AC425" s="27">
        <f t="shared" si="221"/>
        <v>25000</v>
      </c>
      <c r="AD425" s="371"/>
      <c r="AE425" s="27"/>
      <c r="AF425" s="371"/>
      <c r="AG425" s="27"/>
      <c r="AH425" s="27">
        <f t="shared" si="222"/>
        <v>25000</v>
      </c>
      <c r="AI425" s="27"/>
      <c r="AJ425" s="7">
        <v>115712938</v>
      </c>
      <c r="AK425" s="851">
        <v>115712938</v>
      </c>
      <c r="AL425" s="27">
        <f t="shared" si="223"/>
        <v>0</v>
      </c>
      <c r="AM425" s="95"/>
      <c r="AN425" s="27">
        <v>1273506</v>
      </c>
    </row>
    <row r="426" spans="1:40">
      <c r="A426" s="27"/>
      <c r="B426" s="83" t="s">
        <v>327</v>
      </c>
      <c r="C426" s="141"/>
      <c r="D426" s="141">
        <v>20121300</v>
      </c>
      <c r="E426" s="78">
        <f t="shared" si="216"/>
        <v>20121300</v>
      </c>
      <c r="F426" s="293"/>
      <c r="G426" s="141"/>
      <c r="H426" s="293"/>
      <c r="I426" s="141"/>
      <c r="J426" s="67">
        <f t="shared" si="217"/>
        <v>20121300</v>
      </c>
      <c r="K426" s="67"/>
      <c r="L426" s="934"/>
      <c r="M426" s="912"/>
      <c r="N426" s="141"/>
      <c r="O426" s="141">
        <v>16530500</v>
      </c>
      <c r="P426" s="78">
        <f t="shared" si="218"/>
        <v>16530500</v>
      </c>
      <c r="Q426" s="293"/>
      <c r="R426" s="141"/>
      <c r="S426" s="293"/>
      <c r="T426" s="141"/>
      <c r="U426" s="67">
        <f t="shared" si="219"/>
        <v>16530500</v>
      </c>
      <c r="V426" s="103"/>
      <c r="W426" s="7">
        <v>27120300</v>
      </c>
      <c r="X426" s="806">
        <v>27120300</v>
      </c>
      <c r="Y426" s="27">
        <f t="shared" si="224"/>
        <v>0</v>
      </c>
      <c r="Z426" s="27"/>
      <c r="AA426" s="7"/>
      <c r="AB426" s="7">
        <v>20495300</v>
      </c>
      <c r="AC426" s="7">
        <f t="shared" si="221"/>
        <v>20495300</v>
      </c>
      <c r="AD426" s="50"/>
      <c r="AE426" s="7"/>
      <c r="AF426" s="50"/>
      <c r="AG426" s="7"/>
      <c r="AH426" s="27">
        <f t="shared" si="222"/>
        <v>20495300</v>
      </c>
      <c r="AI426" s="27"/>
      <c r="AJ426" s="7">
        <v>27926500</v>
      </c>
      <c r="AK426" s="851">
        <v>27926500</v>
      </c>
      <c r="AL426" s="27">
        <f t="shared" si="223"/>
        <v>0</v>
      </c>
      <c r="AM426" s="95"/>
      <c r="AN426" s="27">
        <v>12679000</v>
      </c>
    </row>
    <row r="427" spans="1:40">
      <c r="A427" s="34"/>
      <c r="B427" s="83" t="s">
        <v>328</v>
      </c>
      <c r="C427" s="141"/>
      <c r="D427" s="141">
        <v>111024837</v>
      </c>
      <c r="E427" s="78">
        <f t="shared" si="216"/>
        <v>111024837</v>
      </c>
      <c r="F427" s="293"/>
      <c r="G427" s="141"/>
      <c r="H427" s="293"/>
      <c r="I427" s="141"/>
      <c r="J427" s="67">
        <f t="shared" si="217"/>
        <v>111024837</v>
      </c>
      <c r="K427" s="67"/>
      <c r="L427" s="934"/>
      <c r="M427" s="912"/>
      <c r="N427" s="141"/>
      <c r="O427" s="141">
        <v>80745336</v>
      </c>
      <c r="P427" s="78">
        <f t="shared" si="218"/>
        <v>80745336</v>
      </c>
      <c r="Q427" s="293"/>
      <c r="R427" s="141"/>
      <c r="S427" s="293"/>
      <c r="T427" s="141"/>
      <c r="U427" s="67">
        <f t="shared" si="219"/>
        <v>80745336</v>
      </c>
      <c r="V427" s="103"/>
      <c r="W427" s="7">
        <v>137236872</v>
      </c>
      <c r="X427" s="806">
        <v>137236872</v>
      </c>
      <c r="Y427" s="27">
        <f t="shared" si="224"/>
        <v>0</v>
      </c>
      <c r="Z427" s="27"/>
      <c r="AA427" s="7"/>
      <c r="AB427" s="7">
        <v>110236455.09</v>
      </c>
      <c r="AC427" s="7">
        <f t="shared" si="221"/>
        <v>110236455.09</v>
      </c>
      <c r="AD427" s="50"/>
      <c r="AE427" s="7"/>
      <c r="AF427" s="50"/>
      <c r="AG427" s="7"/>
      <c r="AH427" s="27">
        <f t="shared" si="222"/>
        <v>110236455</v>
      </c>
      <c r="AI427" s="27"/>
      <c r="AJ427" s="7">
        <v>126502367.93000001</v>
      </c>
      <c r="AK427" s="851">
        <v>126502367.93000001</v>
      </c>
      <c r="AL427" s="27">
        <f t="shared" si="223"/>
        <v>0</v>
      </c>
      <c r="AM427" s="95"/>
      <c r="AN427" s="27">
        <v>140294916</v>
      </c>
    </row>
    <row r="428" spans="1:40">
      <c r="A428" s="29"/>
      <c r="B428" s="83" t="s">
        <v>329</v>
      </c>
      <c r="C428" s="141"/>
      <c r="D428" s="141">
        <v>144047264</v>
      </c>
      <c r="E428" s="78">
        <f t="shared" si="216"/>
        <v>144047264</v>
      </c>
      <c r="F428" s="293"/>
      <c r="G428" s="141"/>
      <c r="H428" s="293"/>
      <c r="I428" s="141"/>
      <c r="J428" s="67">
        <f t="shared" si="217"/>
        <v>144047264</v>
      </c>
      <c r="K428" s="67"/>
      <c r="L428" s="934"/>
      <c r="M428" s="912"/>
      <c r="N428" s="141"/>
      <c r="O428" s="141">
        <v>105481619</v>
      </c>
      <c r="P428" s="78">
        <f t="shared" si="218"/>
        <v>105481619</v>
      </c>
      <c r="Q428" s="293"/>
      <c r="R428" s="141"/>
      <c r="S428" s="293"/>
      <c r="T428" s="141"/>
      <c r="U428" s="67">
        <f t="shared" si="219"/>
        <v>105481619</v>
      </c>
      <c r="V428" s="103"/>
      <c r="W428" s="7">
        <v>138181751</v>
      </c>
      <c r="X428" s="806">
        <v>138181751</v>
      </c>
      <c r="Y428" s="27">
        <f t="shared" si="224"/>
        <v>0</v>
      </c>
      <c r="Z428" s="27"/>
      <c r="AA428" s="7"/>
      <c r="AB428" s="7">
        <v>94549815</v>
      </c>
      <c r="AC428" s="7">
        <f t="shared" si="221"/>
        <v>94549815</v>
      </c>
      <c r="AD428" s="50"/>
      <c r="AE428" s="7"/>
      <c r="AF428" s="50"/>
      <c r="AG428" s="7"/>
      <c r="AH428" s="27">
        <f t="shared" si="222"/>
        <v>94549815</v>
      </c>
      <c r="AI428" s="27"/>
      <c r="AJ428" s="7">
        <v>98242064</v>
      </c>
      <c r="AK428" s="851">
        <v>98242064</v>
      </c>
      <c r="AL428" s="27">
        <f t="shared" si="223"/>
        <v>0</v>
      </c>
      <c r="AM428" s="95"/>
      <c r="AN428" s="27">
        <v>71634861</v>
      </c>
    </row>
    <row r="429" spans="1:40">
      <c r="A429" s="29"/>
      <c r="B429" s="83" t="s">
        <v>330</v>
      </c>
      <c r="C429" s="141"/>
      <c r="D429" s="141">
        <v>1750000</v>
      </c>
      <c r="E429" s="78">
        <f t="shared" si="216"/>
        <v>1750000</v>
      </c>
      <c r="F429" s="293"/>
      <c r="G429" s="141"/>
      <c r="H429" s="293"/>
      <c r="I429" s="141"/>
      <c r="J429" s="67">
        <f t="shared" si="217"/>
        <v>1750000</v>
      </c>
      <c r="K429" s="67"/>
      <c r="L429" s="934"/>
      <c r="M429" s="912"/>
      <c r="N429" s="141"/>
      <c r="O429" s="141">
        <v>1750000</v>
      </c>
      <c r="P429" s="78">
        <f t="shared" si="218"/>
        <v>1750000</v>
      </c>
      <c r="Q429" s="293"/>
      <c r="R429" s="141"/>
      <c r="S429" s="293"/>
      <c r="T429" s="141"/>
      <c r="U429" s="67">
        <f t="shared" si="219"/>
        <v>1750000</v>
      </c>
      <c r="V429" s="103"/>
      <c r="W429" s="7">
        <v>4610000</v>
      </c>
      <c r="X429" s="806">
        <v>4610000</v>
      </c>
      <c r="Y429" s="27">
        <f t="shared" si="224"/>
        <v>0</v>
      </c>
      <c r="Z429" s="27"/>
      <c r="AA429" s="7"/>
      <c r="AB429" s="7">
        <v>3550000</v>
      </c>
      <c r="AC429" s="7">
        <f t="shared" si="221"/>
        <v>3550000</v>
      </c>
      <c r="AD429" s="50"/>
      <c r="AE429" s="7"/>
      <c r="AF429" s="50"/>
      <c r="AG429" s="7"/>
      <c r="AH429" s="27">
        <f t="shared" si="222"/>
        <v>3550000</v>
      </c>
      <c r="AI429" s="27"/>
      <c r="AJ429" s="7">
        <v>3400000</v>
      </c>
      <c r="AK429" s="851">
        <v>3400000</v>
      </c>
      <c r="AL429" s="27">
        <f t="shared" si="223"/>
        <v>0</v>
      </c>
      <c r="AM429" s="95"/>
      <c r="AN429" s="27">
        <v>2467500</v>
      </c>
    </row>
    <row r="430" spans="1:40">
      <c r="A430" s="29"/>
      <c r="B430" s="83" t="s">
        <v>331</v>
      </c>
      <c r="C430" s="141"/>
      <c r="D430" s="141">
        <v>494527864</v>
      </c>
      <c r="E430" s="78">
        <f t="shared" si="216"/>
        <v>494527864</v>
      </c>
      <c r="F430" s="293"/>
      <c r="G430" s="141"/>
      <c r="H430" s="293"/>
      <c r="I430" s="141"/>
      <c r="J430" s="67">
        <f t="shared" si="217"/>
        <v>494527864</v>
      </c>
      <c r="K430" s="67"/>
      <c r="L430" s="934"/>
      <c r="M430" s="912"/>
      <c r="N430" s="141"/>
      <c r="O430" s="141">
        <v>370520898</v>
      </c>
      <c r="P430" s="78">
        <f t="shared" si="218"/>
        <v>370520898</v>
      </c>
      <c r="Q430" s="293"/>
      <c r="R430" s="141"/>
      <c r="S430" s="293"/>
      <c r="T430" s="141"/>
      <c r="U430" s="67">
        <f t="shared" si="219"/>
        <v>370520898</v>
      </c>
      <c r="V430" s="103"/>
      <c r="W430" s="7">
        <v>487203054</v>
      </c>
      <c r="X430" s="806">
        <v>487203054</v>
      </c>
      <c r="Y430" s="27">
        <f t="shared" si="224"/>
        <v>0</v>
      </c>
      <c r="Z430" s="27"/>
      <c r="AA430" s="7"/>
      <c r="AB430" s="7">
        <v>365402292</v>
      </c>
      <c r="AC430" s="7">
        <f t="shared" si="221"/>
        <v>365402292</v>
      </c>
      <c r="AD430" s="50"/>
      <c r="AE430" s="7"/>
      <c r="AF430" s="50"/>
      <c r="AG430" s="7"/>
      <c r="AH430" s="27">
        <f t="shared" si="222"/>
        <v>365402292</v>
      </c>
      <c r="AI430" s="27"/>
      <c r="AJ430" s="7">
        <v>461364173</v>
      </c>
      <c r="AK430" s="851">
        <v>461364173</v>
      </c>
      <c r="AL430" s="27">
        <f t="shared" si="223"/>
        <v>0</v>
      </c>
      <c r="AM430" s="95"/>
      <c r="AN430" s="27">
        <v>456472520</v>
      </c>
    </row>
    <row r="431" spans="1:40">
      <c r="A431" s="84"/>
      <c r="B431" s="83" t="s">
        <v>332</v>
      </c>
      <c r="C431" s="141"/>
      <c r="D431" s="141">
        <v>1985000</v>
      </c>
      <c r="E431" s="78">
        <f t="shared" si="216"/>
        <v>1985000</v>
      </c>
      <c r="F431" s="293"/>
      <c r="G431" s="141"/>
      <c r="H431" s="293"/>
      <c r="I431" s="141"/>
      <c r="J431" s="67">
        <f t="shared" si="217"/>
        <v>1985000</v>
      </c>
      <c r="K431" s="67"/>
      <c r="L431" s="934"/>
      <c r="M431" s="912"/>
      <c r="N431" s="141"/>
      <c r="O431" s="141">
        <v>2690000</v>
      </c>
      <c r="P431" s="78">
        <f t="shared" si="218"/>
        <v>2690000</v>
      </c>
      <c r="Q431" s="293"/>
      <c r="R431" s="141"/>
      <c r="S431" s="293"/>
      <c r="T431" s="141"/>
      <c r="U431" s="67">
        <f t="shared" si="219"/>
        <v>2690000</v>
      </c>
      <c r="V431" s="103"/>
      <c r="W431" s="7">
        <v>0</v>
      </c>
      <c r="X431" s="806">
        <v>0</v>
      </c>
      <c r="Y431" s="27"/>
      <c r="Z431" s="27"/>
      <c r="AA431" s="7"/>
      <c r="AB431" s="7">
        <v>-3620000</v>
      </c>
      <c r="AC431" s="7">
        <f t="shared" si="221"/>
        <v>-3620000</v>
      </c>
      <c r="AD431" s="50" t="str">
        <f>'AJE CAJE Sept 23'!B31</f>
        <v>CAJE 4</v>
      </c>
      <c r="AE431" s="7">
        <f>'AJE CAJE Sept 23'!I31</f>
        <v>3620000</v>
      </c>
      <c r="AF431" s="50"/>
      <c r="AG431" s="7"/>
      <c r="AH431" s="27">
        <f t="shared" si="222"/>
        <v>0</v>
      </c>
      <c r="AI431" s="27"/>
      <c r="AJ431" s="7">
        <v>0</v>
      </c>
      <c r="AK431" s="851">
        <v>0</v>
      </c>
      <c r="AL431" s="27"/>
      <c r="AM431" s="95"/>
      <c r="AN431" s="27">
        <v>0</v>
      </c>
    </row>
    <row r="432" spans="1:40">
      <c r="A432" s="29"/>
      <c r="B432" s="83" t="s">
        <v>333</v>
      </c>
      <c r="C432" s="141"/>
      <c r="D432" s="141">
        <v>66151774</v>
      </c>
      <c r="E432" s="78">
        <f t="shared" si="216"/>
        <v>66151774</v>
      </c>
      <c r="F432" s="293"/>
      <c r="G432" s="141"/>
      <c r="H432" s="293"/>
      <c r="I432" s="141"/>
      <c r="J432" s="67">
        <f t="shared" si="217"/>
        <v>66151774</v>
      </c>
      <c r="K432" s="67"/>
      <c r="L432" s="934"/>
      <c r="M432" s="912"/>
      <c r="N432" s="141"/>
      <c r="O432" s="141">
        <v>45624644</v>
      </c>
      <c r="P432" s="78">
        <f t="shared" si="218"/>
        <v>45624644</v>
      </c>
      <c r="Q432" s="293"/>
      <c r="R432" s="141"/>
      <c r="S432" s="293"/>
      <c r="T432" s="141"/>
      <c r="U432" s="67">
        <f t="shared" si="219"/>
        <v>45624644</v>
      </c>
      <c r="V432" s="103"/>
      <c r="W432" s="7">
        <v>60574758</v>
      </c>
      <c r="X432" s="806">
        <v>60574758</v>
      </c>
      <c r="Y432" s="27">
        <f t="shared" ref="Y432:Y435" si="225">W432-X432</f>
        <v>0</v>
      </c>
      <c r="Z432" s="27"/>
      <c r="AA432" s="7"/>
      <c r="AB432" s="7">
        <v>43166473</v>
      </c>
      <c r="AC432" s="7">
        <f t="shared" si="221"/>
        <v>43166473</v>
      </c>
      <c r="AD432" s="50"/>
      <c r="AE432" s="7"/>
      <c r="AF432" s="50"/>
      <c r="AG432" s="7"/>
      <c r="AH432" s="27">
        <f t="shared" si="222"/>
        <v>43166473</v>
      </c>
      <c r="AI432" s="27"/>
      <c r="AJ432" s="7">
        <v>27387170</v>
      </c>
      <c r="AK432" s="851">
        <v>27387170</v>
      </c>
      <c r="AL432" s="27">
        <f t="shared" si="223"/>
        <v>0</v>
      </c>
      <c r="AM432" s="95"/>
      <c r="AN432" s="27">
        <v>17265650</v>
      </c>
    </row>
    <row r="433" spans="1:40">
      <c r="A433" s="29"/>
      <c r="B433" s="83" t="s">
        <v>334</v>
      </c>
      <c r="C433" s="141"/>
      <c r="D433" s="141">
        <v>95443972</v>
      </c>
      <c r="E433" s="78">
        <f t="shared" si="216"/>
        <v>95443972</v>
      </c>
      <c r="F433" s="293"/>
      <c r="G433" s="141"/>
      <c r="H433" s="293"/>
      <c r="I433" s="141"/>
      <c r="J433" s="67">
        <f t="shared" si="217"/>
        <v>95443972</v>
      </c>
      <c r="K433" s="67"/>
      <c r="L433" s="934"/>
      <c r="M433" s="912"/>
      <c r="N433" s="141"/>
      <c r="O433" s="141">
        <v>70172940</v>
      </c>
      <c r="P433" s="78">
        <f t="shared" si="218"/>
        <v>70172940</v>
      </c>
      <c r="Q433" s="293"/>
      <c r="R433" s="141"/>
      <c r="S433" s="293"/>
      <c r="T433" s="141"/>
      <c r="U433" s="67">
        <f t="shared" si="219"/>
        <v>70172940</v>
      </c>
      <c r="V433" s="103"/>
      <c r="W433" s="7">
        <v>114566201</v>
      </c>
      <c r="X433" s="806">
        <v>114566201</v>
      </c>
      <c r="Y433" s="27">
        <f t="shared" si="225"/>
        <v>0</v>
      </c>
      <c r="Z433" s="27"/>
      <c r="AA433" s="7"/>
      <c r="AB433" s="7">
        <v>75479450</v>
      </c>
      <c r="AC433" s="7">
        <f t="shared" si="221"/>
        <v>75479450</v>
      </c>
      <c r="AD433" s="50"/>
      <c r="AE433" s="7"/>
      <c r="AF433" s="50"/>
      <c r="AG433" s="7"/>
      <c r="AH433" s="27">
        <f t="shared" si="222"/>
        <v>75479450</v>
      </c>
      <c r="AI433" s="27"/>
      <c r="AJ433" s="7">
        <v>59269613</v>
      </c>
      <c r="AK433" s="851">
        <v>59269613</v>
      </c>
      <c r="AL433" s="27">
        <f t="shared" si="223"/>
        <v>0</v>
      </c>
      <c r="AM433" s="95"/>
      <c r="AN433" s="27">
        <v>202153011</v>
      </c>
    </row>
    <row r="434" spans="1:40">
      <c r="A434" s="29"/>
      <c r="B434" s="83" t="s">
        <v>335</v>
      </c>
      <c r="C434" s="141"/>
      <c r="D434" s="667">
        <v>5877861833</v>
      </c>
      <c r="E434" s="78">
        <f t="shared" si="216"/>
        <v>5877861833</v>
      </c>
      <c r="F434" s="293"/>
      <c r="G434" s="141"/>
      <c r="H434" s="280" t="s">
        <v>706</v>
      </c>
      <c r="I434" s="141">
        <f>'AJE CAJE Des 24'!I90</f>
        <v>8465302</v>
      </c>
      <c r="J434" s="513">
        <f t="shared" si="217"/>
        <v>5869396531</v>
      </c>
      <c r="K434" s="513"/>
      <c r="L434" s="934"/>
      <c r="M434" s="912">
        <f>J434-W434</f>
        <v>5810350574</v>
      </c>
      <c r="N434" s="141"/>
      <c r="O434" s="667">
        <v>5864554452.1100006</v>
      </c>
      <c r="P434" s="78">
        <f t="shared" si="218"/>
        <v>5864554452.1100006</v>
      </c>
      <c r="Q434" s="293"/>
      <c r="R434" s="141"/>
      <c r="S434" s="293" t="str">
        <f>'AJE CAJE Sept 24'!B75</f>
        <v>RLKS 2</v>
      </c>
      <c r="T434" s="141">
        <f>'AJE CAJE Sept 24'!J75</f>
        <v>0</v>
      </c>
      <c r="U434" s="513">
        <f t="shared" si="219"/>
        <v>5864554452.1100006</v>
      </c>
      <c r="V434" s="103"/>
      <c r="W434" s="7">
        <v>59045957</v>
      </c>
      <c r="X434" s="806">
        <v>59045957</v>
      </c>
      <c r="Y434" s="27">
        <f t="shared" si="225"/>
        <v>0</v>
      </c>
      <c r="Z434" s="27"/>
      <c r="AA434" s="7"/>
      <c r="AB434" s="7">
        <v>39356478</v>
      </c>
      <c r="AC434" s="7">
        <f t="shared" si="221"/>
        <v>39356478</v>
      </c>
      <c r="AD434" s="50" t="str">
        <f>'AJE CAJE Sept 23'!B27</f>
        <v>CAJE 3</v>
      </c>
      <c r="AE434" s="7">
        <f>'AJE CAJE Sept 23'!I27</f>
        <v>14980428</v>
      </c>
      <c r="AF434" s="50"/>
      <c r="AG434" s="7"/>
      <c r="AH434" s="27">
        <f t="shared" si="222"/>
        <v>54336906</v>
      </c>
      <c r="AI434" s="27"/>
      <c r="AJ434" s="7">
        <v>32080740</v>
      </c>
      <c r="AK434" s="851">
        <v>32080740</v>
      </c>
      <c r="AL434" s="27">
        <f t="shared" si="223"/>
        <v>0</v>
      </c>
      <c r="AM434" s="95"/>
      <c r="AN434" s="27">
        <v>59424259</v>
      </c>
    </row>
    <row r="435" spans="1:40">
      <c r="A435" s="29"/>
      <c r="B435" s="83" t="s">
        <v>336</v>
      </c>
      <c r="C435" s="141"/>
      <c r="D435" s="141">
        <v>48008000</v>
      </c>
      <c r="E435" s="78">
        <f t="shared" si="216"/>
        <v>48008000</v>
      </c>
      <c r="F435" s="293"/>
      <c r="G435" s="141"/>
      <c r="H435" s="293"/>
      <c r="I435" s="141"/>
      <c r="J435" s="67">
        <f t="shared" si="217"/>
        <v>48008000</v>
      </c>
      <c r="K435" s="67"/>
      <c r="L435" s="934"/>
      <c r="M435" s="912"/>
      <c r="N435" s="141"/>
      <c r="O435" s="141">
        <v>36022500</v>
      </c>
      <c r="P435" s="78">
        <f t="shared" si="218"/>
        <v>36022500</v>
      </c>
      <c r="Q435" s="293"/>
      <c r="R435" s="141"/>
      <c r="S435" s="293"/>
      <c r="T435" s="141"/>
      <c r="U435" s="67">
        <f t="shared" si="219"/>
        <v>36022500</v>
      </c>
      <c r="V435" s="103"/>
      <c r="W435" s="7">
        <v>27965250</v>
      </c>
      <c r="X435" s="806">
        <v>27965250</v>
      </c>
      <c r="Y435" s="27">
        <f t="shared" si="225"/>
        <v>0</v>
      </c>
      <c r="Z435" s="27"/>
      <c r="AA435" s="7"/>
      <c r="AB435" s="7">
        <v>17523000</v>
      </c>
      <c r="AC435" s="7">
        <f t="shared" si="221"/>
        <v>17523000</v>
      </c>
      <c r="AD435" s="50"/>
      <c r="AE435" s="7"/>
      <c r="AF435" s="50"/>
      <c r="AG435" s="7"/>
      <c r="AH435" s="27">
        <f t="shared" si="222"/>
        <v>17523000</v>
      </c>
      <c r="AI435" s="27"/>
      <c r="AJ435" s="7">
        <v>20990750</v>
      </c>
      <c r="AK435" s="851">
        <v>20990750</v>
      </c>
      <c r="AL435" s="27">
        <f t="shared" si="223"/>
        <v>0</v>
      </c>
      <c r="AM435" s="95"/>
      <c r="AN435" s="27">
        <v>5447500</v>
      </c>
    </row>
    <row r="436" spans="1:40">
      <c r="A436" s="29"/>
      <c r="B436" s="83" t="s">
        <v>337</v>
      </c>
      <c r="C436" s="141"/>
      <c r="D436" s="141">
        <v>9081632.1500000004</v>
      </c>
      <c r="E436" s="78">
        <f t="shared" si="216"/>
        <v>9081632.1500000004</v>
      </c>
      <c r="F436" s="293"/>
      <c r="G436" s="141"/>
      <c r="H436" s="293"/>
      <c r="I436" s="141"/>
      <c r="J436" s="67">
        <f t="shared" si="217"/>
        <v>9081632.1500000004</v>
      </c>
      <c r="K436" s="67"/>
      <c r="L436" s="934"/>
      <c r="M436" s="912"/>
      <c r="N436" s="141"/>
      <c r="O436" s="141"/>
      <c r="P436" s="78">
        <f t="shared" si="218"/>
        <v>0</v>
      </c>
      <c r="Q436" s="293"/>
      <c r="R436" s="141"/>
      <c r="S436" s="293"/>
      <c r="T436" s="141"/>
      <c r="U436" s="67">
        <f t="shared" si="219"/>
        <v>0</v>
      </c>
      <c r="V436" s="103"/>
      <c r="W436" s="7">
        <v>0</v>
      </c>
      <c r="X436" s="806">
        <v>0</v>
      </c>
      <c r="Y436" s="27"/>
      <c r="Z436" s="27"/>
      <c r="AA436" s="7"/>
      <c r="AB436" s="7"/>
      <c r="AC436" s="7">
        <f t="shared" si="221"/>
        <v>0</v>
      </c>
      <c r="AD436" s="50"/>
      <c r="AE436" s="7"/>
      <c r="AF436" s="50"/>
      <c r="AG436" s="7"/>
      <c r="AH436" s="27">
        <f t="shared" si="222"/>
        <v>0</v>
      </c>
      <c r="AI436" s="27"/>
      <c r="AJ436" s="7">
        <v>0</v>
      </c>
      <c r="AK436" s="851">
        <v>0</v>
      </c>
      <c r="AL436" s="27"/>
      <c r="AM436" s="95"/>
      <c r="AN436" s="27">
        <v>400000</v>
      </c>
    </row>
    <row r="437" spans="1:40">
      <c r="A437" s="29"/>
      <c r="B437" s="83" t="s">
        <v>338</v>
      </c>
      <c r="C437" s="141"/>
      <c r="D437" s="141"/>
      <c r="E437" s="78">
        <f t="shared" si="216"/>
        <v>0</v>
      </c>
      <c r="F437" s="293"/>
      <c r="G437" s="141"/>
      <c r="H437" s="293"/>
      <c r="I437" s="141"/>
      <c r="J437" s="67">
        <f t="shared" si="217"/>
        <v>0</v>
      </c>
      <c r="K437" s="67"/>
      <c r="L437" s="934"/>
      <c r="M437" s="912"/>
      <c r="N437" s="141"/>
      <c r="O437" s="141"/>
      <c r="P437" s="78">
        <f t="shared" si="218"/>
        <v>0</v>
      </c>
      <c r="Q437" s="293"/>
      <c r="R437" s="141"/>
      <c r="S437" s="293"/>
      <c r="T437" s="141"/>
      <c r="U437" s="67">
        <f t="shared" si="219"/>
        <v>0</v>
      </c>
      <c r="V437" s="103"/>
      <c r="W437" s="7">
        <v>0</v>
      </c>
      <c r="X437" s="806">
        <v>0</v>
      </c>
      <c r="Y437" s="27"/>
      <c r="Z437" s="27"/>
      <c r="AA437" s="7"/>
      <c r="AB437" s="7"/>
      <c r="AC437" s="7">
        <f t="shared" si="221"/>
        <v>0</v>
      </c>
      <c r="AD437" s="50"/>
      <c r="AE437" s="7"/>
      <c r="AF437" s="50"/>
      <c r="AG437" s="7"/>
      <c r="AH437" s="27">
        <f t="shared" si="222"/>
        <v>0</v>
      </c>
      <c r="AI437" s="27"/>
      <c r="AJ437" s="7">
        <v>859900</v>
      </c>
      <c r="AK437" s="851">
        <v>859900</v>
      </c>
      <c r="AL437" s="27">
        <f t="shared" si="223"/>
        <v>0</v>
      </c>
      <c r="AM437" s="95"/>
      <c r="AN437" s="27">
        <v>3945000</v>
      </c>
    </row>
    <row r="438" spans="1:40">
      <c r="A438" s="29"/>
      <c r="B438" s="83" t="s">
        <v>339</v>
      </c>
      <c r="C438" s="141"/>
      <c r="D438" s="141">
        <v>29120505</v>
      </c>
      <c r="E438" s="78">
        <f t="shared" si="216"/>
        <v>29120505</v>
      </c>
      <c r="F438" s="293"/>
      <c r="G438" s="141"/>
      <c r="H438" s="293"/>
      <c r="I438" s="141"/>
      <c r="J438" s="67">
        <f t="shared" si="217"/>
        <v>29120505</v>
      </c>
      <c r="K438" s="67"/>
      <c r="L438" s="934"/>
      <c r="M438" s="912"/>
      <c r="N438" s="141"/>
      <c r="O438" s="141">
        <v>23213065</v>
      </c>
      <c r="P438" s="78">
        <f t="shared" si="218"/>
        <v>23213065</v>
      </c>
      <c r="Q438" s="293"/>
      <c r="R438" s="141"/>
      <c r="S438" s="293"/>
      <c r="T438" s="141"/>
      <c r="U438" s="67">
        <f t="shared" si="219"/>
        <v>23213065</v>
      </c>
      <c r="V438" s="103"/>
      <c r="W438" s="7">
        <v>18194800</v>
      </c>
      <c r="X438" s="806">
        <v>18194800</v>
      </c>
      <c r="Y438" s="27">
        <f t="shared" ref="Y438:Y446" si="226">W438-X438</f>
        <v>0</v>
      </c>
      <c r="Z438" s="27"/>
      <c r="AA438" s="7"/>
      <c r="AB438" s="7">
        <v>18194800</v>
      </c>
      <c r="AC438" s="7">
        <f t="shared" si="221"/>
        <v>18194800</v>
      </c>
      <c r="AD438" s="50"/>
      <c r="AE438" s="7"/>
      <c r="AF438" s="50"/>
      <c r="AG438" s="7"/>
      <c r="AH438" s="27">
        <f t="shared" si="222"/>
        <v>18194800</v>
      </c>
      <c r="AI438" s="27"/>
      <c r="AJ438" s="7">
        <v>6943000</v>
      </c>
      <c r="AK438" s="851">
        <v>6943000</v>
      </c>
      <c r="AL438" s="27">
        <f t="shared" si="223"/>
        <v>0</v>
      </c>
      <c r="AM438" s="95"/>
      <c r="AN438" s="27">
        <v>10631620</v>
      </c>
    </row>
    <row r="439" spans="1:40">
      <c r="A439" s="29"/>
      <c r="B439" s="83" t="s">
        <v>340</v>
      </c>
      <c r="C439" s="141"/>
      <c r="D439" s="141">
        <v>1940000</v>
      </c>
      <c r="E439" s="78">
        <f t="shared" si="216"/>
        <v>1940000</v>
      </c>
      <c r="F439" s="293"/>
      <c r="G439" s="141"/>
      <c r="H439" s="293"/>
      <c r="I439" s="141"/>
      <c r="J439" s="67">
        <f t="shared" si="217"/>
        <v>1940000</v>
      </c>
      <c r="K439" s="67"/>
      <c r="L439" s="934"/>
      <c r="M439" s="912"/>
      <c r="N439" s="141"/>
      <c r="O439" s="141">
        <v>1940000</v>
      </c>
      <c r="P439" s="78">
        <f t="shared" si="218"/>
        <v>1940000</v>
      </c>
      <c r="Q439" s="293"/>
      <c r="R439" s="141"/>
      <c r="S439" s="293"/>
      <c r="T439" s="141"/>
      <c r="U439" s="67">
        <f t="shared" si="219"/>
        <v>1940000</v>
      </c>
      <c r="V439" s="103"/>
      <c r="W439" s="7">
        <v>75000</v>
      </c>
      <c r="X439" s="806">
        <v>75000</v>
      </c>
      <c r="Y439" s="27">
        <f t="shared" si="226"/>
        <v>0</v>
      </c>
      <c r="Z439" s="27"/>
      <c r="AA439" s="7"/>
      <c r="AB439" s="7">
        <v>50000</v>
      </c>
      <c r="AC439" s="7">
        <f t="shared" si="221"/>
        <v>50000</v>
      </c>
      <c r="AD439" s="50"/>
      <c r="AE439" s="7"/>
      <c r="AF439" s="50"/>
      <c r="AG439" s="7"/>
      <c r="AH439" s="27">
        <f t="shared" si="222"/>
        <v>50000</v>
      </c>
      <c r="AI439" s="27"/>
      <c r="AJ439" s="7">
        <v>450000</v>
      </c>
      <c r="AK439" s="851">
        <v>450000</v>
      </c>
      <c r="AL439" s="27">
        <f t="shared" si="223"/>
        <v>0</v>
      </c>
      <c r="AM439" s="95"/>
      <c r="AN439" s="27">
        <v>400000</v>
      </c>
    </row>
    <row r="440" spans="1:40">
      <c r="A440" s="29"/>
      <c r="B440" s="83" t="s">
        <v>341</v>
      </c>
      <c r="C440" s="141"/>
      <c r="D440" s="141">
        <v>708567754</v>
      </c>
      <c r="E440" s="78">
        <f t="shared" si="216"/>
        <v>708567754</v>
      </c>
      <c r="F440" s="293"/>
      <c r="G440" s="141"/>
      <c r="H440" s="293"/>
      <c r="I440" s="141"/>
      <c r="J440" s="666">
        <f t="shared" si="217"/>
        <v>708567754</v>
      </c>
      <c r="K440" s="666"/>
      <c r="L440" s="934"/>
      <c r="M440" s="911"/>
      <c r="N440" s="141"/>
      <c r="O440" s="141">
        <v>602405740</v>
      </c>
      <c r="P440" s="78">
        <f t="shared" si="218"/>
        <v>602405740</v>
      </c>
      <c r="Q440" s="293"/>
      <c r="R440" s="141"/>
      <c r="S440" s="293" t="str">
        <f>'AJE CAJE Sept 24'!B88</f>
        <v>CAJE 16</v>
      </c>
      <c r="T440" s="141">
        <f>'AJE CAJE Sept 24'!J88</f>
        <v>203119924</v>
      </c>
      <c r="U440" s="67">
        <f t="shared" si="219"/>
        <v>399285816</v>
      </c>
      <c r="V440" s="103"/>
      <c r="W440" s="7">
        <v>659384289</v>
      </c>
      <c r="X440" s="806">
        <v>659384289</v>
      </c>
      <c r="Y440" s="27">
        <f t="shared" si="226"/>
        <v>0</v>
      </c>
      <c r="Z440" s="27"/>
      <c r="AA440" s="7"/>
      <c r="AB440" s="7">
        <v>493818134.07999998</v>
      </c>
      <c r="AC440" s="7">
        <f t="shared" si="221"/>
        <v>493818134.07999998</v>
      </c>
      <c r="AD440" s="50" t="str">
        <f>'AJE CAJE Sept 23'!B52</f>
        <v>CAJE 8</v>
      </c>
      <c r="AE440" s="7">
        <f>'AJE CAJE Sept 23'!G52</f>
        <v>2</v>
      </c>
      <c r="AF440" s="50"/>
      <c r="AG440" s="7"/>
      <c r="AH440" s="27">
        <f t="shared" si="222"/>
        <v>493818136</v>
      </c>
      <c r="AI440" s="27"/>
      <c r="AJ440" s="7">
        <v>607356946</v>
      </c>
      <c r="AK440" s="851">
        <v>607356946</v>
      </c>
      <c r="AL440" s="27">
        <f t="shared" si="223"/>
        <v>0</v>
      </c>
      <c r="AM440" s="95"/>
      <c r="AN440" s="27">
        <v>247518376</v>
      </c>
    </row>
    <row r="441" spans="1:40">
      <c r="A441" s="29"/>
      <c r="B441" s="83" t="s">
        <v>342</v>
      </c>
      <c r="C441" s="141"/>
      <c r="D441" s="141">
        <v>18004700</v>
      </c>
      <c r="E441" s="78">
        <f t="shared" si="216"/>
        <v>18004700</v>
      </c>
      <c r="F441" s="293"/>
      <c r="G441" s="141"/>
      <c r="H441" s="293"/>
      <c r="I441" s="141"/>
      <c r="J441" s="67">
        <f t="shared" si="217"/>
        <v>18004700</v>
      </c>
      <c r="K441" s="67"/>
      <c r="L441" s="934"/>
      <c r="M441" s="912"/>
      <c r="N441" s="141"/>
      <c r="O441" s="141">
        <v>10757450</v>
      </c>
      <c r="P441" s="78">
        <f t="shared" si="218"/>
        <v>10757450</v>
      </c>
      <c r="Q441" s="293"/>
      <c r="R441" s="141"/>
      <c r="S441" s="293"/>
      <c r="T441" s="141"/>
      <c r="U441" s="67">
        <f t="shared" si="219"/>
        <v>10757450</v>
      </c>
      <c r="V441" s="103"/>
      <c r="W441" s="7">
        <v>43731750</v>
      </c>
      <c r="X441" s="806">
        <v>43731750</v>
      </c>
      <c r="Y441" s="27">
        <f t="shared" si="226"/>
        <v>0</v>
      </c>
      <c r="Z441" s="27"/>
      <c r="AA441" s="7"/>
      <c r="AB441" s="7">
        <v>37163000</v>
      </c>
      <c r="AC441" s="7">
        <f t="shared" si="221"/>
        <v>37163000</v>
      </c>
      <c r="AD441" s="50"/>
      <c r="AE441" s="7"/>
      <c r="AF441" s="50"/>
      <c r="AG441" s="7"/>
      <c r="AH441" s="27">
        <f t="shared" si="222"/>
        <v>37163000</v>
      </c>
      <c r="AI441" s="27"/>
      <c r="AJ441" s="7">
        <v>36765250</v>
      </c>
      <c r="AK441" s="851">
        <v>36765250</v>
      </c>
      <c r="AL441" s="27">
        <f t="shared" si="223"/>
        <v>0</v>
      </c>
      <c r="AM441" s="95"/>
      <c r="AN441" s="27">
        <v>22077250</v>
      </c>
    </row>
    <row r="442" spans="1:40">
      <c r="A442" s="29"/>
      <c r="B442" s="83" t="s">
        <v>343</v>
      </c>
      <c r="C442" s="141"/>
      <c r="D442" s="141">
        <v>986155206</v>
      </c>
      <c r="E442" s="78">
        <f t="shared" si="216"/>
        <v>986155206</v>
      </c>
      <c r="F442" s="293"/>
      <c r="G442" s="141"/>
      <c r="H442" s="293"/>
      <c r="I442" s="141"/>
      <c r="J442" s="666">
        <f t="shared" si="217"/>
        <v>986155206</v>
      </c>
      <c r="K442" s="666"/>
      <c r="L442" s="934"/>
      <c r="M442" s="912">
        <f>J442-W442</f>
        <v>946823996</v>
      </c>
      <c r="N442" s="141"/>
      <c r="O442" s="141">
        <v>933155206</v>
      </c>
      <c r="P442" s="78">
        <f t="shared" si="218"/>
        <v>933155206</v>
      </c>
      <c r="Q442" s="293"/>
      <c r="R442" s="141"/>
      <c r="S442" s="293"/>
      <c r="T442" s="141"/>
      <c r="U442" s="669">
        <f t="shared" si="219"/>
        <v>933155206</v>
      </c>
      <c r="V442" s="103"/>
      <c r="W442" s="7">
        <v>39331210</v>
      </c>
      <c r="X442" s="806">
        <v>39331210</v>
      </c>
      <c r="Y442" s="27">
        <f t="shared" si="226"/>
        <v>0</v>
      </c>
      <c r="Z442" s="27"/>
      <c r="AA442" s="7"/>
      <c r="AB442" s="7">
        <v>-21493790</v>
      </c>
      <c r="AC442" s="7">
        <f t="shared" si="221"/>
        <v>-21493790</v>
      </c>
      <c r="AD442" s="50" t="str">
        <f>'AJE CAJE Sept 23'!B32</f>
        <v>CAJE 4</v>
      </c>
      <c r="AE442" s="7">
        <f>'AJE CAJE Sept 23'!I32</f>
        <v>21493790</v>
      </c>
      <c r="AF442" s="50"/>
      <c r="AG442" s="7"/>
      <c r="AH442" s="27">
        <f t="shared" si="222"/>
        <v>0</v>
      </c>
      <c r="AI442" s="27"/>
      <c r="AJ442" s="7">
        <v>623774312</v>
      </c>
      <c r="AK442" s="851">
        <v>623774312</v>
      </c>
      <c r="AL442" s="27">
        <f t="shared" si="223"/>
        <v>0</v>
      </c>
      <c r="AM442" s="95"/>
      <c r="AN442" s="27">
        <v>120440000</v>
      </c>
    </row>
    <row r="443" spans="1:40">
      <c r="A443" s="29"/>
      <c r="B443" s="83" t="s">
        <v>344</v>
      </c>
      <c r="C443" s="141"/>
      <c r="D443" s="141">
        <v>20197065</v>
      </c>
      <c r="E443" s="78">
        <f t="shared" si="216"/>
        <v>20197065</v>
      </c>
      <c r="F443" s="293"/>
      <c r="G443" s="141"/>
      <c r="H443" s="293"/>
      <c r="I443" s="141"/>
      <c r="J443" s="67">
        <f t="shared" si="217"/>
        <v>20197065</v>
      </c>
      <c r="K443" s="67"/>
      <c r="L443" s="934"/>
      <c r="M443" s="913"/>
      <c r="N443" s="141"/>
      <c r="O443" s="141">
        <v>14677914</v>
      </c>
      <c r="P443" s="78">
        <f t="shared" si="218"/>
        <v>14677914</v>
      </c>
      <c r="Q443" s="293"/>
      <c r="R443" s="141"/>
      <c r="S443" s="293"/>
      <c r="T443" s="141"/>
      <c r="U443" s="67">
        <f t="shared" si="219"/>
        <v>14677914</v>
      </c>
      <c r="V443" s="103"/>
      <c r="W443" s="7">
        <v>22673862</v>
      </c>
      <c r="X443" s="806">
        <v>22673862</v>
      </c>
      <c r="Y443" s="27">
        <f t="shared" si="226"/>
        <v>0</v>
      </c>
      <c r="Z443" s="27"/>
      <c r="AA443" s="7"/>
      <c r="AB443" s="7">
        <v>16408319</v>
      </c>
      <c r="AC443" s="7">
        <f t="shared" si="221"/>
        <v>16408319</v>
      </c>
      <c r="AD443" s="50"/>
      <c r="AE443" s="7"/>
      <c r="AF443" s="50"/>
      <c r="AG443" s="7"/>
      <c r="AH443" s="7">
        <f t="shared" si="222"/>
        <v>16408319</v>
      </c>
      <c r="AI443" s="27"/>
      <c r="AJ443" s="7">
        <v>16956178</v>
      </c>
      <c r="AK443" s="851">
        <v>16956178</v>
      </c>
      <c r="AL443" s="27">
        <f t="shared" si="223"/>
        <v>0</v>
      </c>
      <c r="AM443" s="95"/>
      <c r="AN443" s="27">
        <v>20854862</v>
      </c>
    </row>
    <row r="444" spans="1:40">
      <c r="A444" s="29"/>
      <c r="B444" s="83" t="s">
        <v>345</v>
      </c>
      <c r="C444" s="141"/>
      <c r="D444" s="141">
        <v>634079028</v>
      </c>
      <c r="E444" s="78">
        <f t="shared" si="216"/>
        <v>634079028</v>
      </c>
      <c r="F444" s="293"/>
      <c r="G444" s="141"/>
      <c r="H444" s="293"/>
      <c r="I444" s="141"/>
      <c r="J444" s="67">
        <f>E444+G444-I444</f>
        <v>634079028</v>
      </c>
      <c r="K444" s="67"/>
      <c r="L444" s="934"/>
      <c r="M444" s="913"/>
      <c r="N444" s="141"/>
      <c r="O444" s="141">
        <v>542168461</v>
      </c>
      <c r="P444" s="78">
        <f t="shared" si="218"/>
        <v>542168461</v>
      </c>
      <c r="Q444" s="293" t="str">
        <f>'AJE CAJE Sept 24'!B98</f>
        <v>AJE 19</v>
      </c>
      <c r="R444" s="141">
        <f>'AJE CAJE Sept 24'!G98</f>
        <v>32500000</v>
      </c>
      <c r="S444" s="293"/>
      <c r="T444" s="141"/>
      <c r="U444" s="673">
        <f>P444+R444-T444</f>
        <v>574668461</v>
      </c>
      <c r="V444" s="103"/>
      <c r="W444" s="7">
        <v>815105815</v>
      </c>
      <c r="X444" s="806">
        <v>815105815</v>
      </c>
      <c r="Y444" s="27">
        <f t="shared" si="226"/>
        <v>0</v>
      </c>
      <c r="Z444" s="27"/>
      <c r="AA444" s="7"/>
      <c r="AB444" s="7">
        <v>293940084</v>
      </c>
      <c r="AC444" s="7">
        <f t="shared" si="221"/>
        <v>293940084</v>
      </c>
      <c r="AD444" s="50"/>
      <c r="AE444" s="7"/>
      <c r="AF444" s="50"/>
      <c r="AG444" s="7"/>
      <c r="AH444" s="7">
        <f t="shared" si="222"/>
        <v>293940084</v>
      </c>
      <c r="AI444" s="27"/>
      <c r="AJ444" s="7">
        <v>1715275644</v>
      </c>
      <c r="AK444" s="851">
        <v>1715275644</v>
      </c>
      <c r="AL444" s="27">
        <f t="shared" si="223"/>
        <v>0</v>
      </c>
      <c r="AM444" s="95"/>
      <c r="AN444" s="27">
        <v>876420237</v>
      </c>
    </row>
    <row r="445" spans="1:40">
      <c r="A445" s="34"/>
      <c r="B445" s="83" t="s">
        <v>346</v>
      </c>
      <c r="C445" s="141"/>
      <c r="D445" s="141"/>
      <c r="E445" s="78">
        <f t="shared" si="216"/>
        <v>0</v>
      </c>
      <c r="F445" s="293"/>
      <c r="G445" s="141"/>
      <c r="H445" s="293"/>
      <c r="I445" s="141"/>
      <c r="J445" s="67">
        <f t="shared" ref="J445:J464" si="227">E445+G445-I445</f>
        <v>0</v>
      </c>
      <c r="K445" s="67"/>
      <c r="L445" s="934"/>
      <c r="M445" s="913"/>
      <c r="N445" s="141"/>
      <c r="O445" s="141"/>
      <c r="P445" s="78">
        <f t="shared" si="218"/>
        <v>0</v>
      </c>
      <c r="Q445" s="293" t="str">
        <f>'AJE CAJE Sept 24'!B109</f>
        <v>CAJE 22</v>
      </c>
      <c r="R445" s="141">
        <f>'AJE CAJE Sept 24'!I109</f>
        <v>209687496</v>
      </c>
      <c r="S445" s="293"/>
      <c r="T445" s="141"/>
      <c r="U445" s="67">
        <f t="shared" si="219"/>
        <v>209687496</v>
      </c>
      <c r="V445" s="103">
        <f>(W445/12)*9</f>
        <v>209687496</v>
      </c>
      <c r="W445" s="7">
        <v>279583328</v>
      </c>
      <c r="X445" s="806">
        <v>279583328</v>
      </c>
      <c r="Y445" s="27">
        <f t="shared" si="226"/>
        <v>0</v>
      </c>
      <c r="Z445" s="27"/>
      <c r="AA445" s="7"/>
      <c r="AB445" s="7"/>
      <c r="AC445" s="7">
        <f t="shared" si="221"/>
        <v>0</v>
      </c>
      <c r="AD445" s="50" t="str">
        <f>'AJE CAJE Sept 23'!B72</f>
        <v>CAJE 14</v>
      </c>
      <c r="AE445" s="7">
        <f>'AJE CAJE Sept 23'!I72</f>
        <v>81714215.25</v>
      </c>
      <c r="AF445" s="50"/>
      <c r="AG445" s="7"/>
      <c r="AH445" s="7">
        <f t="shared" si="222"/>
        <v>81714215</v>
      </c>
      <c r="AI445" s="27">
        <f>(AJ445/12)*9</f>
        <v>81714215.25</v>
      </c>
      <c r="AJ445" s="7">
        <v>108952287</v>
      </c>
      <c r="AK445" s="851">
        <v>108952287</v>
      </c>
      <c r="AL445" s="27">
        <f t="shared" si="223"/>
        <v>0</v>
      </c>
      <c r="AM445" s="95"/>
      <c r="AN445" s="27">
        <v>303537417</v>
      </c>
    </row>
    <row r="446" spans="1:40">
      <c r="A446" s="29"/>
      <c r="B446" s="83" t="s">
        <v>347</v>
      </c>
      <c r="C446" s="141"/>
      <c r="D446" s="141">
        <v>405000</v>
      </c>
      <c r="E446" s="78">
        <f t="shared" si="216"/>
        <v>405000</v>
      </c>
      <c r="F446" s="293"/>
      <c r="G446" s="141"/>
      <c r="H446" s="293"/>
      <c r="I446" s="141"/>
      <c r="J446" s="67">
        <f t="shared" si="227"/>
        <v>405000</v>
      </c>
      <c r="K446" s="67"/>
      <c r="L446" s="934"/>
      <c r="M446" s="913"/>
      <c r="N446" s="141"/>
      <c r="O446" s="141">
        <v>305000</v>
      </c>
      <c r="P446" s="78">
        <f t="shared" si="218"/>
        <v>305000</v>
      </c>
      <c r="Q446" s="293"/>
      <c r="R446" s="141"/>
      <c r="S446" s="293"/>
      <c r="T446" s="141"/>
      <c r="U446" s="67">
        <f t="shared" si="219"/>
        <v>305000</v>
      </c>
      <c r="V446" s="103"/>
      <c r="W446" s="7">
        <v>140000</v>
      </c>
      <c r="X446" s="806">
        <v>140000</v>
      </c>
      <c r="Y446" s="27">
        <f t="shared" si="226"/>
        <v>0</v>
      </c>
      <c r="Z446" s="27"/>
      <c r="AA446" s="7"/>
      <c r="AB446" s="7">
        <v>140000</v>
      </c>
      <c r="AC446" s="7">
        <f t="shared" si="221"/>
        <v>140000</v>
      </c>
      <c r="AD446" s="50"/>
      <c r="AE446" s="7"/>
      <c r="AF446" s="50"/>
      <c r="AG446" s="7"/>
      <c r="AH446" s="7">
        <f t="shared" si="222"/>
        <v>140000</v>
      </c>
      <c r="AI446" s="27"/>
      <c r="AJ446" s="7">
        <v>3700000</v>
      </c>
      <c r="AK446" s="851">
        <v>3700000</v>
      </c>
      <c r="AL446" s="27">
        <f t="shared" si="223"/>
        <v>0</v>
      </c>
      <c r="AM446" s="95"/>
      <c r="AN446" s="27">
        <v>560000</v>
      </c>
    </row>
    <row r="447" spans="1:40">
      <c r="A447" s="29"/>
      <c r="B447" s="83" t="s">
        <v>348</v>
      </c>
      <c r="C447" s="141"/>
      <c r="D447" s="141"/>
      <c r="E447" s="78">
        <f t="shared" si="216"/>
        <v>0</v>
      </c>
      <c r="F447" s="293"/>
      <c r="G447" s="141"/>
      <c r="H447" s="293"/>
      <c r="I447" s="141"/>
      <c r="J447" s="67">
        <f t="shared" si="227"/>
        <v>0</v>
      </c>
      <c r="K447" s="67"/>
      <c r="L447" s="934"/>
      <c r="M447" s="913"/>
      <c r="N447" s="141"/>
      <c r="O447" s="141"/>
      <c r="P447" s="78">
        <f t="shared" si="218"/>
        <v>0</v>
      </c>
      <c r="Q447" s="293"/>
      <c r="R447" s="141"/>
      <c r="S447" s="293"/>
      <c r="T447" s="141"/>
      <c r="U447" s="67">
        <f t="shared" si="219"/>
        <v>0</v>
      </c>
      <c r="V447" s="103"/>
      <c r="W447" s="7">
        <v>0</v>
      </c>
      <c r="X447" s="806">
        <v>0</v>
      </c>
      <c r="Y447" s="27"/>
      <c r="Z447" s="27"/>
      <c r="AA447" s="7"/>
      <c r="AB447" s="7"/>
      <c r="AC447" s="7">
        <f t="shared" si="221"/>
        <v>0</v>
      </c>
      <c r="AD447" s="50"/>
      <c r="AE447" s="7"/>
      <c r="AF447" s="50"/>
      <c r="AG447" s="7"/>
      <c r="AH447" s="7">
        <f t="shared" si="222"/>
        <v>0</v>
      </c>
      <c r="AI447" s="27"/>
      <c r="AJ447" s="7">
        <v>0</v>
      </c>
      <c r="AK447" s="851"/>
      <c r="AL447" s="27"/>
      <c r="AM447" s="95"/>
      <c r="AN447" s="27">
        <v>0</v>
      </c>
    </row>
    <row r="448" spans="1:40">
      <c r="A448" s="34"/>
      <c r="B448" s="81" t="s">
        <v>349</v>
      </c>
      <c r="C448" s="140"/>
      <c r="D448" s="140"/>
      <c r="E448" s="78">
        <f t="shared" si="216"/>
        <v>0</v>
      </c>
      <c r="F448" s="293"/>
      <c r="G448" s="140"/>
      <c r="H448" s="293"/>
      <c r="I448" s="140"/>
      <c r="J448" s="67">
        <f t="shared" si="227"/>
        <v>0</v>
      </c>
      <c r="K448" s="67"/>
      <c r="L448" s="934"/>
      <c r="M448" s="913"/>
      <c r="N448" s="140"/>
      <c r="O448" s="140"/>
      <c r="P448" s="78">
        <f t="shared" si="218"/>
        <v>0</v>
      </c>
      <c r="Q448" s="293"/>
      <c r="R448" s="140"/>
      <c r="S448" s="293"/>
      <c r="T448" s="140"/>
      <c r="U448" s="67">
        <f t="shared" si="219"/>
        <v>0</v>
      </c>
      <c r="V448" s="103"/>
      <c r="W448" s="27"/>
      <c r="X448" s="806">
        <v>0</v>
      </c>
      <c r="Y448" s="27"/>
      <c r="Z448" s="27"/>
      <c r="AA448" s="27"/>
      <c r="AB448" s="27"/>
      <c r="AC448" s="27">
        <f t="shared" si="221"/>
        <v>0</v>
      </c>
      <c r="AD448" s="371"/>
      <c r="AE448" s="27"/>
      <c r="AF448" s="371"/>
      <c r="AG448" s="27"/>
      <c r="AH448" s="7">
        <f t="shared" si="222"/>
        <v>0</v>
      </c>
      <c r="AI448" s="27"/>
      <c r="AJ448" s="27"/>
      <c r="AK448" s="851">
        <v>0</v>
      </c>
      <c r="AL448" s="27"/>
      <c r="AM448" s="95"/>
      <c r="AN448" s="27"/>
    </row>
    <row r="449" spans="1:40">
      <c r="A449" s="34"/>
      <c r="B449" s="85" t="s">
        <v>350</v>
      </c>
      <c r="C449" s="142"/>
      <c r="D449" s="142">
        <v>1230000</v>
      </c>
      <c r="E449" s="78">
        <f t="shared" si="216"/>
        <v>1230000</v>
      </c>
      <c r="F449" s="294"/>
      <c r="G449" s="142"/>
      <c r="H449" s="294"/>
      <c r="I449" s="142"/>
      <c r="J449" s="67">
        <f t="shared" si="227"/>
        <v>1230000</v>
      </c>
      <c r="K449" s="67"/>
      <c r="L449" s="934"/>
      <c r="M449" s="913"/>
      <c r="N449" s="142"/>
      <c r="O449" s="142">
        <v>1230000</v>
      </c>
      <c r="P449" s="78">
        <f t="shared" si="218"/>
        <v>1230000</v>
      </c>
      <c r="Q449" s="294"/>
      <c r="R449" s="142"/>
      <c r="S449" s="294"/>
      <c r="T449" s="142"/>
      <c r="U449" s="67">
        <f t="shared" si="219"/>
        <v>1230000</v>
      </c>
      <c r="V449" s="103"/>
      <c r="W449" s="27">
        <v>50000</v>
      </c>
      <c r="X449" s="806">
        <v>50000</v>
      </c>
      <c r="Y449" s="27">
        <f t="shared" ref="Y449:Y456" si="228">W449-X449</f>
        <v>0</v>
      </c>
      <c r="Z449" s="27"/>
      <c r="AA449" s="27"/>
      <c r="AB449" s="27">
        <v>50000</v>
      </c>
      <c r="AC449" s="27">
        <f t="shared" si="221"/>
        <v>50000</v>
      </c>
      <c r="AD449" s="371"/>
      <c r="AE449" s="27"/>
      <c r="AF449" s="371"/>
      <c r="AG449" s="27"/>
      <c r="AH449" s="7">
        <f t="shared" si="222"/>
        <v>50000</v>
      </c>
      <c r="AI449" s="27"/>
      <c r="AJ449" s="27"/>
      <c r="AK449" s="851">
        <v>0</v>
      </c>
      <c r="AL449" s="27"/>
      <c r="AM449" s="95"/>
      <c r="AN449" s="27"/>
    </row>
    <row r="450" spans="1:40">
      <c r="A450" s="34"/>
      <c r="B450" s="83" t="s">
        <v>351</v>
      </c>
      <c r="C450" s="141"/>
      <c r="D450" s="141">
        <v>75826976</v>
      </c>
      <c r="E450" s="78">
        <f t="shared" si="216"/>
        <v>75826976</v>
      </c>
      <c r="F450" s="293"/>
      <c r="G450" s="141"/>
      <c r="H450" s="293"/>
      <c r="I450" s="141"/>
      <c r="J450" s="67">
        <f t="shared" si="227"/>
        <v>75826976</v>
      </c>
      <c r="K450" s="67"/>
      <c r="L450" s="934"/>
      <c r="M450" s="931"/>
      <c r="N450" s="141"/>
      <c r="O450" s="141">
        <v>40209876</v>
      </c>
      <c r="P450" s="78">
        <f t="shared" si="218"/>
        <v>40209876</v>
      </c>
      <c r="Q450" s="293"/>
      <c r="R450" s="141"/>
      <c r="S450" s="293"/>
      <c r="T450" s="141"/>
      <c r="U450" s="67">
        <f t="shared" si="219"/>
        <v>40209876</v>
      </c>
      <c r="V450" s="103"/>
      <c r="W450" s="86">
        <v>70559347</v>
      </c>
      <c r="X450" s="806">
        <v>70559347</v>
      </c>
      <c r="Y450" s="27">
        <f t="shared" si="228"/>
        <v>0</v>
      </c>
      <c r="Z450" s="27"/>
      <c r="AA450" s="86"/>
      <c r="AB450" s="86">
        <v>56612666</v>
      </c>
      <c r="AC450" s="86">
        <f t="shared" si="221"/>
        <v>56612666</v>
      </c>
      <c r="AD450" s="401"/>
      <c r="AE450" s="86"/>
      <c r="AF450" s="401"/>
      <c r="AG450" s="86"/>
      <c r="AH450" s="665">
        <f t="shared" si="222"/>
        <v>56612666</v>
      </c>
      <c r="AI450" s="372"/>
      <c r="AJ450" s="7">
        <v>85453162.909999996</v>
      </c>
      <c r="AK450" s="851">
        <v>85453162.909999996</v>
      </c>
      <c r="AL450" s="27">
        <f>AJ450-AK450</f>
        <v>0</v>
      </c>
      <c r="AM450" s="95"/>
      <c r="AN450" s="27">
        <v>29288615</v>
      </c>
    </row>
    <row r="451" spans="1:40">
      <c r="A451" s="34"/>
      <c r="B451" s="83" t="s">
        <v>352</v>
      </c>
      <c r="C451" s="141"/>
      <c r="D451" s="141">
        <v>116254721</v>
      </c>
      <c r="E451" s="78">
        <f t="shared" si="216"/>
        <v>116254721</v>
      </c>
      <c r="F451" s="293"/>
      <c r="G451" s="141"/>
      <c r="H451" s="293"/>
      <c r="I451" s="141"/>
      <c r="J451" s="67">
        <f t="shared" si="227"/>
        <v>116254721</v>
      </c>
      <c r="K451" s="67"/>
      <c r="L451" s="934"/>
      <c r="M451" s="913"/>
      <c r="N451" s="141"/>
      <c r="O451" s="141">
        <v>104199521</v>
      </c>
      <c r="P451" s="78">
        <f t="shared" si="218"/>
        <v>104199521</v>
      </c>
      <c r="Q451" s="293"/>
      <c r="R451" s="141"/>
      <c r="S451" s="293"/>
      <c r="T451" s="141"/>
      <c r="U451" s="67">
        <f t="shared" si="219"/>
        <v>104199521</v>
      </c>
      <c r="V451" s="103"/>
      <c r="W451" s="86">
        <v>80014865</v>
      </c>
      <c r="X451" s="806">
        <v>80014865</v>
      </c>
      <c r="Y451" s="27">
        <f t="shared" si="228"/>
        <v>0</v>
      </c>
      <c r="Z451" s="27"/>
      <c r="AA451" s="86"/>
      <c r="AB451" s="86">
        <v>42577015</v>
      </c>
      <c r="AC451" s="86">
        <f t="shared" si="221"/>
        <v>42577015</v>
      </c>
      <c r="AD451" s="401"/>
      <c r="AE451" s="86"/>
      <c r="AF451" s="401"/>
      <c r="AG451" s="86"/>
      <c r="AH451" s="665">
        <f t="shared" si="222"/>
        <v>42577015</v>
      </c>
      <c r="AI451" s="372"/>
      <c r="AJ451" s="7">
        <v>58293667</v>
      </c>
      <c r="AK451" s="851">
        <v>58293667</v>
      </c>
      <c r="AL451" s="27">
        <f t="shared" ref="AL451:AL454" si="229">AJ451-AK451</f>
        <v>0</v>
      </c>
      <c r="AM451" s="95"/>
      <c r="AN451" s="27">
        <v>45157898</v>
      </c>
    </row>
    <row r="452" spans="1:40">
      <c r="A452" s="34"/>
      <c r="B452" s="83" t="s">
        <v>353</v>
      </c>
      <c r="C452" s="141"/>
      <c r="D452" s="141">
        <v>3815000</v>
      </c>
      <c r="E452" s="78">
        <f t="shared" si="216"/>
        <v>3815000</v>
      </c>
      <c r="F452" s="293"/>
      <c r="G452" s="141"/>
      <c r="H452" s="293"/>
      <c r="I452" s="141"/>
      <c r="J452" s="67">
        <f t="shared" si="227"/>
        <v>3815000</v>
      </c>
      <c r="K452" s="67"/>
      <c r="L452" s="934"/>
      <c r="M452" s="913"/>
      <c r="N452" s="141"/>
      <c r="O452" s="141">
        <v>3815000</v>
      </c>
      <c r="P452" s="78">
        <f t="shared" si="218"/>
        <v>3815000</v>
      </c>
      <c r="Q452" s="293"/>
      <c r="R452" s="141"/>
      <c r="S452" s="293"/>
      <c r="T452" s="141"/>
      <c r="U452" s="67">
        <f t="shared" si="219"/>
        <v>3815000</v>
      </c>
      <c r="V452" s="103"/>
      <c r="W452" s="86">
        <v>1150000</v>
      </c>
      <c r="X452" s="806">
        <v>1150000</v>
      </c>
      <c r="Y452" s="27">
        <f t="shared" si="228"/>
        <v>0</v>
      </c>
      <c r="Z452" s="27"/>
      <c r="AA452" s="86"/>
      <c r="AB452" s="86">
        <v>1150000</v>
      </c>
      <c r="AC452" s="86">
        <f t="shared" si="221"/>
        <v>1150000</v>
      </c>
      <c r="AD452" s="401"/>
      <c r="AE452" s="86"/>
      <c r="AF452" s="401"/>
      <c r="AG452" s="86"/>
      <c r="AH452" s="7">
        <f t="shared" si="222"/>
        <v>1150000</v>
      </c>
      <c r="AI452" s="372"/>
      <c r="AJ452" s="7">
        <v>150000</v>
      </c>
      <c r="AK452" s="851">
        <v>150000</v>
      </c>
      <c r="AL452" s="27">
        <f t="shared" si="229"/>
        <v>0</v>
      </c>
      <c r="AM452" s="95"/>
      <c r="AN452" s="27">
        <v>0</v>
      </c>
    </row>
    <row r="453" spans="1:40">
      <c r="A453" s="34"/>
      <c r="B453" s="83" t="s">
        <v>354</v>
      </c>
      <c r="C453" s="141"/>
      <c r="D453" s="268">
        <v>369131259</v>
      </c>
      <c r="E453" s="78">
        <f t="shared" si="216"/>
        <v>369131259</v>
      </c>
      <c r="F453" s="293"/>
      <c r="G453" s="141"/>
      <c r="H453" s="293"/>
      <c r="I453" s="141"/>
      <c r="J453" s="67">
        <f t="shared" si="227"/>
        <v>369131259</v>
      </c>
      <c r="K453" s="67"/>
      <c r="L453" s="934"/>
      <c r="M453" s="913"/>
      <c r="N453" s="141"/>
      <c r="O453" s="141">
        <v>242979329</v>
      </c>
      <c r="P453" s="78">
        <f t="shared" si="218"/>
        <v>242979329</v>
      </c>
      <c r="Q453" s="293"/>
      <c r="R453" s="141"/>
      <c r="S453" s="293"/>
      <c r="T453" s="141"/>
      <c r="U453" s="67">
        <f t="shared" si="219"/>
        <v>242979329</v>
      </c>
      <c r="V453" s="103"/>
      <c r="W453" s="86">
        <v>376334324</v>
      </c>
      <c r="X453" s="806">
        <v>376334324</v>
      </c>
      <c r="Y453" s="27">
        <f t="shared" si="228"/>
        <v>0</v>
      </c>
      <c r="Z453" s="27"/>
      <c r="AA453" s="86"/>
      <c r="AB453" s="86">
        <v>273933688.80000001</v>
      </c>
      <c r="AC453" s="86">
        <f t="shared" si="221"/>
        <v>273933688.80000001</v>
      </c>
      <c r="AD453" s="401"/>
      <c r="AE453" s="86"/>
      <c r="AF453" s="401"/>
      <c r="AG453" s="86"/>
      <c r="AH453" s="7">
        <f t="shared" si="222"/>
        <v>273933689</v>
      </c>
      <c r="AI453" s="372"/>
      <c r="AJ453" s="7">
        <v>365635083.55000001</v>
      </c>
      <c r="AK453" s="851">
        <v>365635083.55000001</v>
      </c>
      <c r="AL453" s="27">
        <f t="shared" si="229"/>
        <v>0</v>
      </c>
      <c r="AM453" s="95"/>
      <c r="AN453" s="27">
        <v>362576333</v>
      </c>
    </row>
    <row r="454" spans="1:40">
      <c r="A454" s="34"/>
      <c r="B454" s="83" t="s">
        <v>355</v>
      </c>
      <c r="C454" s="141"/>
      <c r="D454" s="268">
        <v>6061000</v>
      </c>
      <c r="E454" s="78">
        <f t="shared" si="216"/>
        <v>6061000</v>
      </c>
      <c r="F454" s="293"/>
      <c r="G454" s="141"/>
      <c r="H454" s="293"/>
      <c r="I454" s="141"/>
      <c r="J454" s="67">
        <f t="shared" si="227"/>
        <v>6061000</v>
      </c>
      <c r="K454" s="67"/>
      <c r="L454" s="934"/>
      <c r="M454" s="913"/>
      <c r="N454" s="141"/>
      <c r="O454" s="141">
        <v>3374000</v>
      </c>
      <c r="P454" s="78">
        <f t="shared" si="218"/>
        <v>3374000</v>
      </c>
      <c r="Q454" s="293"/>
      <c r="R454" s="141"/>
      <c r="S454" s="293"/>
      <c r="T454" s="141"/>
      <c r="U454" s="67">
        <f t="shared" si="219"/>
        <v>3374000</v>
      </c>
      <c r="V454" s="103"/>
      <c r="W454" s="86">
        <v>9233363</v>
      </c>
      <c r="X454" s="806">
        <v>9233363</v>
      </c>
      <c r="Y454" s="27">
        <f t="shared" si="228"/>
        <v>0</v>
      </c>
      <c r="Z454" s="27"/>
      <c r="AA454" s="86"/>
      <c r="AB454" s="86">
        <v>5034363</v>
      </c>
      <c r="AC454" s="86">
        <f t="shared" si="221"/>
        <v>5034363</v>
      </c>
      <c r="AD454" s="401"/>
      <c r="AE454" s="86"/>
      <c r="AF454" s="401"/>
      <c r="AG454" s="86"/>
      <c r="AH454" s="7">
        <f t="shared" si="222"/>
        <v>5034363</v>
      </c>
      <c r="AI454" s="372"/>
      <c r="AJ454" s="7">
        <v>3420000</v>
      </c>
      <c r="AK454" s="851">
        <v>3420000</v>
      </c>
      <c r="AL454" s="27">
        <f t="shared" si="229"/>
        <v>0</v>
      </c>
      <c r="AM454" s="95"/>
      <c r="AN454" s="27">
        <v>0</v>
      </c>
    </row>
    <row r="455" spans="1:40">
      <c r="A455" s="34"/>
      <c r="B455" s="81" t="s">
        <v>356</v>
      </c>
      <c r="C455" s="140"/>
      <c r="D455" s="140"/>
      <c r="E455" s="78">
        <f t="shared" si="216"/>
        <v>0</v>
      </c>
      <c r="F455" s="293"/>
      <c r="G455" s="140"/>
      <c r="H455" s="293"/>
      <c r="I455" s="140"/>
      <c r="J455" s="67">
        <f t="shared" si="227"/>
        <v>0</v>
      </c>
      <c r="K455" s="67"/>
      <c r="L455" s="934"/>
      <c r="M455" s="913"/>
      <c r="N455" s="140"/>
      <c r="O455" s="140"/>
      <c r="P455" s="78">
        <f t="shared" si="218"/>
        <v>0</v>
      </c>
      <c r="Q455" s="293"/>
      <c r="R455" s="140"/>
      <c r="S455" s="293"/>
      <c r="T455" s="140"/>
      <c r="U455" s="67">
        <f t="shared" si="219"/>
        <v>0</v>
      </c>
      <c r="V455" s="103"/>
      <c r="W455" s="27"/>
      <c r="X455" s="806">
        <v>0</v>
      </c>
      <c r="Y455" s="27"/>
      <c r="Z455" s="27"/>
      <c r="AA455" s="27"/>
      <c r="AB455" s="27"/>
      <c r="AC455" s="27">
        <f t="shared" si="221"/>
        <v>0</v>
      </c>
      <c r="AD455" s="371"/>
      <c r="AE455" s="27"/>
      <c r="AF455" s="371"/>
      <c r="AG455" s="27"/>
      <c r="AH455" s="7">
        <f t="shared" si="222"/>
        <v>0</v>
      </c>
      <c r="AI455" s="27"/>
      <c r="AJ455" s="27"/>
      <c r="AK455" s="851">
        <v>0</v>
      </c>
      <c r="AL455" s="27"/>
      <c r="AM455" s="95"/>
      <c r="AN455" s="27"/>
    </row>
    <row r="456" spans="1:40">
      <c r="A456" s="34"/>
      <c r="B456" s="83" t="s">
        <v>357</v>
      </c>
      <c r="C456" s="141"/>
      <c r="D456" s="141">
        <v>12401832</v>
      </c>
      <c r="E456" s="78">
        <f t="shared" si="216"/>
        <v>12401832</v>
      </c>
      <c r="F456" s="293"/>
      <c r="G456" s="141"/>
      <c r="H456" s="293"/>
      <c r="I456" s="141">
        <f>'AJE CAJE Des 24'!I13</f>
        <v>2289582</v>
      </c>
      <c r="J456" s="67">
        <f t="shared" si="227"/>
        <v>10112250</v>
      </c>
      <c r="K456" s="67"/>
      <c r="L456" s="934"/>
      <c r="M456" s="913"/>
      <c r="N456" s="141"/>
      <c r="O456" s="141">
        <v>9301374</v>
      </c>
      <c r="P456" s="78">
        <f t="shared" si="218"/>
        <v>9301374</v>
      </c>
      <c r="Q456" s="293"/>
      <c r="R456" s="141"/>
      <c r="S456" s="293" t="str">
        <f>'AJE CAJE Sept 24'!B15</f>
        <v>CAJE 2</v>
      </c>
      <c r="T456" s="141">
        <f>'AJE CAJE Sept 24'!J15</f>
        <v>340165.66666659701</v>
      </c>
      <c r="U456" s="67">
        <f t="shared" si="219"/>
        <v>8961208.3333334029</v>
      </c>
      <c r="V456" s="103"/>
      <c r="W456" s="86">
        <v>19295242</v>
      </c>
      <c r="X456" s="806">
        <v>19295242</v>
      </c>
      <c r="Y456" s="27">
        <f t="shared" si="228"/>
        <v>0</v>
      </c>
      <c r="Z456" s="27"/>
      <c r="AA456" s="86"/>
      <c r="AB456" s="86">
        <v>14973244</v>
      </c>
      <c r="AC456" s="86">
        <f t="shared" si="221"/>
        <v>14973244</v>
      </c>
      <c r="AD456" s="401"/>
      <c r="AE456" s="86"/>
      <c r="AF456" s="405" t="str">
        <f>'AJE CAJE Sept 23'!B6</f>
        <v>CAJE 1</v>
      </c>
      <c r="AG456" s="86">
        <f>'AJE CAJE Sept 23'!J10</f>
        <v>133252.22916666599</v>
      </c>
      <c r="AH456" s="7">
        <f t="shared" si="222"/>
        <v>14839992</v>
      </c>
      <c r="AI456" s="372"/>
      <c r="AJ456" s="7">
        <v>27536484.583333336</v>
      </c>
      <c r="AK456" s="851">
        <v>27536484.583333336</v>
      </c>
      <c r="AL456" s="27">
        <f>AJ456-AK456</f>
        <v>0</v>
      </c>
      <c r="AM456" s="95"/>
      <c r="AN456" s="27">
        <v>30965234.583333332</v>
      </c>
    </row>
    <row r="457" spans="1:40">
      <c r="A457" s="34"/>
      <c r="B457" s="83" t="s">
        <v>358</v>
      </c>
      <c r="C457" s="141"/>
      <c r="D457" s="141">
        <v>1233555408</v>
      </c>
      <c r="E457" s="78">
        <f t="shared" si="216"/>
        <v>1233555408</v>
      </c>
      <c r="F457" s="293"/>
      <c r="G457" s="141">
        <f>'AJE CAJE Des 24'!H11</f>
        <v>3.2833337783813441</v>
      </c>
      <c r="H457" s="293" t="str">
        <f>'AJE CAJE Des 24'!A23</f>
        <v>CAJE 2</v>
      </c>
      <c r="I457" s="141">
        <f>'AJE CAJE Des 24'!I23</f>
        <v>1233555411.2833338</v>
      </c>
      <c r="J457" s="67">
        <f t="shared" si="227"/>
        <v>0</v>
      </c>
      <c r="K457" s="67"/>
      <c r="L457" s="934"/>
      <c r="M457" s="913"/>
      <c r="N457" s="141"/>
      <c r="O457" s="141">
        <v>925166556</v>
      </c>
      <c r="P457" s="78">
        <f t="shared" si="218"/>
        <v>925166556</v>
      </c>
      <c r="Q457" s="293" t="str">
        <f>'AJE CAJE Sept 24'!B16</f>
        <v>CAJE 2</v>
      </c>
      <c r="R457" s="141">
        <f>'AJE CAJE Sept 24'!I16</f>
        <v>2.98199462890625</v>
      </c>
      <c r="S457" s="293" t="str">
        <f>'AJE CAJE Sept 24'!B22</f>
        <v>RKLS 1</v>
      </c>
      <c r="T457" s="141">
        <f>'AJE CAJE Sept 24'!J22</f>
        <v>925166558.98100007</v>
      </c>
      <c r="U457" s="67">
        <f t="shared" si="219"/>
        <v>9.9456310272216797E-4</v>
      </c>
      <c r="V457" s="103"/>
      <c r="W457" s="7">
        <v>0</v>
      </c>
      <c r="X457" s="806">
        <v>0</v>
      </c>
      <c r="Y457" s="27"/>
      <c r="Z457" s="27"/>
      <c r="AA457" s="7"/>
      <c r="AB457" s="7">
        <v>912535347</v>
      </c>
      <c r="AC457" s="7">
        <f t="shared" si="221"/>
        <v>912535347</v>
      </c>
      <c r="AD457" s="50"/>
      <c r="AE457" s="7"/>
      <c r="AF457" s="405" t="s">
        <v>975</v>
      </c>
      <c r="AG457" s="7">
        <f>'AJE CAJE Sept 23'!J7+'AJE CAJE Sept 23'!J17</f>
        <v>912535346.89999998</v>
      </c>
      <c r="AH457" s="7">
        <f t="shared" si="222"/>
        <v>0</v>
      </c>
      <c r="AI457" s="27"/>
      <c r="AJ457" s="7">
        <v>0</v>
      </c>
      <c r="AK457" s="851">
        <v>0</v>
      </c>
      <c r="AL457" s="27"/>
      <c r="AM457" s="95"/>
      <c r="AN457" s="27">
        <v>0</v>
      </c>
    </row>
    <row r="458" spans="1:40">
      <c r="A458" s="34"/>
      <c r="B458" s="83" t="s">
        <v>359</v>
      </c>
      <c r="C458" s="141"/>
      <c r="D458" s="141"/>
      <c r="E458" s="78">
        <f t="shared" si="216"/>
        <v>0</v>
      </c>
      <c r="F458" s="293"/>
      <c r="G458" s="141"/>
      <c r="H458" s="293"/>
      <c r="I458" s="141"/>
      <c r="J458" s="67">
        <f t="shared" si="227"/>
        <v>0</v>
      </c>
      <c r="K458" s="67"/>
      <c r="L458" s="934"/>
      <c r="M458" s="913"/>
      <c r="N458" s="141"/>
      <c r="O458" s="141"/>
      <c r="P458" s="78">
        <f t="shared" si="218"/>
        <v>0</v>
      </c>
      <c r="Q458" s="293"/>
      <c r="R458" s="141"/>
      <c r="S458" s="293"/>
      <c r="T458" s="141"/>
      <c r="U458" s="67">
        <f t="shared" si="219"/>
        <v>0</v>
      </c>
      <c r="V458" s="103"/>
      <c r="W458" s="7">
        <v>0</v>
      </c>
      <c r="X458" s="806"/>
      <c r="Y458" s="27"/>
      <c r="Z458" s="27"/>
      <c r="AA458" s="7"/>
      <c r="AB458" s="7">
        <v>20812500</v>
      </c>
      <c r="AC458" s="7">
        <f t="shared" si="221"/>
        <v>20812500</v>
      </c>
      <c r="AD458" s="50"/>
      <c r="AE458" s="7"/>
      <c r="AF458" s="50" t="str">
        <f>'AJE CAJE Sept 23'!B22</f>
        <v>RKLS 1</v>
      </c>
      <c r="AG458" s="7">
        <f>'AJE CAJE Sept 23'!J22</f>
        <v>20812500</v>
      </c>
      <c r="AH458" s="7">
        <f t="shared" si="222"/>
        <v>0</v>
      </c>
      <c r="AI458" s="27"/>
      <c r="AJ458" s="7">
        <v>0</v>
      </c>
      <c r="AK458" s="27">
        <f>AI458-AJ458</f>
        <v>0</v>
      </c>
      <c r="AL458" s="27"/>
      <c r="AM458" s="95"/>
      <c r="AN458" s="27">
        <v>0</v>
      </c>
    </row>
    <row r="459" spans="1:40">
      <c r="A459" s="34"/>
      <c r="B459" s="83" t="s">
        <v>360</v>
      </c>
      <c r="C459" s="141"/>
      <c r="D459" s="141"/>
      <c r="E459" s="78">
        <f t="shared" si="216"/>
        <v>0</v>
      </c>
      <c r="F459" s="293"/>
      <c r="G459" s="141"/>
      <c r="H459" s="293"/>
      <c r="I459" s="141"/>
      <c r="J459" s="67">
        <f t="shared" si="227"/>
        <v>0</v>
      </c>
      <c r="K459" s="67"/>
      <c r="L459" s="934"/>
      <c r="M459" s="913"/>
      <c r="N459" s="141"/>
      <c r="O459" s="141"/>
      <c r="P459" s="78">
        <f t="shared" si="218"/>
        <v>0</v>
      </c>
      <c r="Q459" s="293"/>
      <c r="R459" s="141"/>
      <c r="S459" s="293"/>
      <c r="T459" s="141"/>
      <c r="U459" s="67">
        <f t="shared" si="219"/>
        <v>0</v>
      </c>
      <c r="V459" s="103"/>
      <c r="W459" s="7">
        <v>0</v>
      </c>
      <c r="X459" s="806">
        <v>0</v>
      </c>
      <c r="Y459" s="27"/>
      <c r="Z459" s="27"/>
      <c r="AA459" s="7"/>
      <c r="AB459" s="7"/>
      <c r="AC459" s="7">
        <f t="shared" si="221"/>
        <v>0</v>
      </c>
      <c r="AD459" s="50"/>
      <c r="AE459" s="7"/>
      <c r="AF459" s="50"/>
      <c r="AG459" s="7"/>
      <c r="AH459" s="7">
        <f t="shared" si="222"/>
        <v>0</v>
      </c>
      <c r="AI459" s="27"/>
      <c r="AJ459" s="7">
        <v>0</v>
      </c>
      <c r="AK459" s="851">
        <v>0</v>
      </c>
      <c r="AL459" s="27"/>
      <c r="AM459" s="95"/>
      <c r="AN459" s="27">
        <v>0</v>
      </c>
    </row>
    <row r="460" spans="1:40">
      <c r="A460" s="34"/>
      <c r="B460" s="83" t="s">
        <v>361</v>
      </c>
      <c r="C460" s="141"/>
      <c r="D460" s="141">
        <v>228154848</v>
      </c>
      <c r="E460" s="78">
        <f t="shared" si="216"/>
        <v>228154848</v>
      </c>
      <c r="F460" s="293"/>
      <c r="G460" s="141"/>
      <c r="H460" s="293" t="s">
        <v>1210</v>
      </c>
      <c r="I460" s="141">
        <f>'AJE CAJE Des 24'!I12+'AJE CAJE Des 24'!I25</f>
        <v>228154848</v>
      </c>
      <c r="J460" s="67">
        <f t="shared" si="227"/>
        <v>0</v>
      </c>
      <c r="K460" s="67"/>
      <c r="L460" s="934"/>
      <c r="M460" s="913"/>
      <c r="N460" s="141"/>
      <c r="O460" s="141">
        <v>171116136</v>
      </c>
      <c r="P460" s="78">
        <f t="shared" si="218"/>
        <v>171116136</v>
      </c>
      <c r="Q460" s="293" t="str">
        <f>'AJE CAJE Sept 24'!B7</f>
        <v>CAJE 1</v>
      </c>
      <c r="R460" s="141">
        <f>'AJE CAJE Sept 24'!I7</f>
        <v>5205094.125</v>
      </c>
      <c r="S460" s="293" t="str">
        <f>'AJE CAJE Sept 24'!B24</f>
        <v>RKLS 1</v>
      </c>
      <c r="T460" s="141">
        <f>'AJE CAJE Sept 24'!J24</f>
        <v>18634480.125</v>
      </c>
      <c r="U460" s="67">
        <f t="shared" si="219"/>
        <v>157686750</v>
      </c>
      <c r="V460" s="103"/>
      <c r="W460" s="7">
        <v>203779849</v>
      </c>
      <c r="X460" s="806">
        <v>203779849</v>
      </c>
      <c r="Y460" s="27">
        <f>W460-X460</f>
        <v>0</v>
      </c>
      <c r="Z460" s="27"/>
      <c r="AA460" s="7"/>
      <c r="AB460" s="7">
        <v>171116136</v>
      </c>
      <c r="AC460" s="7">
        <f t="shared" si="221"/>
        <v>171116136</v>
      </c>
      <c r="AD460" s="50"/>
      <c r="AE460" s="7"/>
      <c r="AF460" s="50" t="str">
        <f>'AJE CAJE Sept 23'!B19</f>
        <v>RKLS 1</v>
      </c>
      <c r="AG460" s="7">
        <f>'AJE CAJE Sept 23'!J19</f>
        <v>134200406</v>
      </c>
      <c r="AH460" s="7">
        <f t="shared" si="222"/>
        <v>36915730</v>
      </c>
      <c r="AI460" s="27"/>
      <c r="AJ460" s="7">
        <v>203779848.5</v>
      </c>
      <c r="AK460" s="851">
        <v>203779848.5</v>
      </c>
      <c r="AL460" s="27">
        <f>AJ460-AK460</f>
        <v>0</v>
      </c>
      <c r="AM460" s="95"/>
      <c r="AN460" s="27">
        <v>178933875</v>
      </c>
    </row>
    <row r="461" spans="1:40">
      <c r="A461" s="34"/>
      <c r="B461" s="83" t="s">
        <v>362</v>
      </c>
      <c r="C461" s="141"/>
      <c r="D461" s="141">
        <v>779056476</v>
      </c>
      <c r="E461" s="78">
        <f t="shared" si="216"/>
        <v>779056476</v>
      </c>
      <c r="F461" s="293"/>
      <c r="G461" s="141"/>
      <c r="H461" s="293" t="str">
        <f>'AJE CAJE Des 24'!A24</f>
        <v>CAJE 2</v>
      </c>
      <c r="I461" s="141">
        <f>'AJE CAJE Des 24'!I14+'AJE CAJE Des 24'!I24</f>
        <v>779056476</v>
      </c>
      <c r="J461" s="67">
        <f t="shared" si="227"/>
        <v>0</v>
      </c>
      <c r="K461" s="67"/>
      <c r="L461" s="934"/>
      <c r="M461" s="913"/>
      <c r="N461" s="141"/>
      <c r="O461" s="141">
        <v>584292357</v>
      </c>
      <c r="P461" s="78">
        <f t="shared" si="218"/>
        <v>584292357</v>
      </c>
      <c r="Q461" s="293" t="str">
        <f>'AJE CAJE Sept 24'!B17</f>
        <v>CAJE 2</v>
      </c>
      <c r="R461" s="141">
        <f>'AJE CAJE Sept 24'!I17</f>
        <v>63019277.937499002</v>
      </c>
      <c r="S461" s="293" t="str">
        <f>'AJE CAJE Sept 24'!B23</f>
        <v>RKLS 1</v>
      </c>
      <c r="T461" s="141">
        <f>'AJE CAJE Sept 24'!J23</f>
        <v>647311634.93749905</v>
      </c>
      <c r="U461" s="67">
        <f t="shared" si="219"/>
        <v>0</v>
      </c>
      <c r="V461" s="103"/>
      <c r="W461" s="7">
        <v>0</v>
      </c>
      <c r="X461" s="806">
        <v>0</v>
      </c>
      <c r="Y461" s="27"/>
      <c r="Z461" s="27"/>
      <c r="AA461" s="7"/>
      <c r="AB461" s="7">
        <v>590292348</v>
      </c>
      <c r="AC461" s="7">
        <f t="shared" si="221"/>
        <v>590292348</v>
      </c>
      <c r="AD461" s="50"/>
      <c r="AE461" s="7"/>
      <c r="AF461" s="405" t="s">
        <v>975</v>
      </c>
      <c r="AG461" s="7">
        <f>'AJE CAJE Sept 23'!J9+'AJE CAJE Sept 23'!J18</f>
        <v>590292348</v>
      </c>
      <c r="AH461" s="7">
        <f t="shared" si="222"/>
        <v>0</v>
      </c>
      <c r="AI461" s="27"/>
      <c r="AJ461" s="7">
        <v>0</v>
      </c>
      <c r="AK461" s="851">
        <v>0</v>
      </c>
      <c r="AL461" s="27"/>
      <c r="AM461" s="95"/>
      <c r="AN461" s="27">
        <v>0</v>
      </c>
    </row>
    <row r="462" spans="1:40">
      <c r="A462" s="34"/>
      <c r="B462" s="83" t="s">
        <v>363</v>
      </c>
      <c r="C462" s="141"/>
      <c r="D462" s="141">
        <v>18968580</v>
      </c>
      <c r="E462" s="78">
        <f t="shared" si="216"/>
        <v>18968580</v>
      </c>
      <c r="F462" s="293"/>
      <c r="G462" s="141"/>
      <c r="H462" s="293" t="s">
        <v>1210</v>
      </c>
      <c r="I462" s="141">
        <f>'AJE CAJE Des 24'!I15+'AJE CAJE Des 24'!I26</f>
        <v>18968580</v>
      </c>
      <c r="J462" s="67">
        <f t="shared" si="227"/>
        <v>0</v>
      </c>
      <c r="K462" s="67"/>
      <c r="L462" s="934"/>
      <c r="M462" s="913"/>
      <c r="N462" s="141"/>
      <c r="O462" s="141">
        <v>14226435</v>
      </c>
      <c r="P462" s="78">
        <f t="shared" si="218"/>
        <v>14226435</v>
      </c>
      <c r="Q462" s="293"/>
      <c r="R462" s="141"/>
      <c r="S462" s="293" t="s">
        <v>995</v>
      </c>
      <c r="T462" s="141">
        <f>'AJE CAJE Sept 24'!J18+'AJE CAJE Sept 24'!J25</f>
        <v>14226434.687500158</v>
      </c>
      <c r="U462" s="67">
        <f t="shared" si="219"/>
        <v>0.31249984167516232</v>
      </c>
      <c r="V462" s="103"/>
      <c r="W462" s="7">
        <v>0</v>
      </c>
      <c r="X462" s="806">
        <v>0</v>
      </c>
      <c r="Y462" s="27"/>
      <c r="Z462" s="27"/>
      <c r="AA462" s="7"/>
      <c r="AB462" s="7">
        <v>33090084</v>
      </c>
      <c r="AC462" s="7">
        <f t="shared" si="221"/>
        <v>33090084</v>
      </c>
      <c r="AD462" s="50"/>
      <c r="AE462" s="7"/>
      <c r="AF462" s="405" t="s">
        <v>975</v>
      </c>
      <c r="AG462" s="7">
        <f>'AJE CAJE Sept 23'!J14+'AJE CAJE Sept 23'!J20</f>
        <v>33090083.5625</v>
      </c>
      <c r="AH462" s="7">
        <f t="shared" si="222"/>
        <v>0</v>
      </c>
      <c r="AI462" s="27"/>
      <c r="AJ462" s="7">
        <v>0</v>
      </c>
      <c r="AK462" s="851">
        <v>0</v>
      </c>
      <c r="AL462" s="27"/>
      <c r="AM462" s="95"/>
      <c r="AN462" s="27">
        <v>0</v>
      </c>
    </row>
    <row r="463" spans="1:40">
      <c r="A463" s="34"/>
      <c r="B463" s="83" t="s">
        <v>364</v>
      </c>
      <c r="C463" s="141"/>
      <c r="D463" s="268">
        <v>26018820</v>
      </c>
      <c r="E463" s="78">
        <f t="shared" si="216"/>
        <v>26018820</v>
      </c>
      <c r="F463" s="293"/>
      <c r="G463" s="141"/>
      <c r="H463" s="293" t="s">
        <v>1210</v>
      </c>
      <c r="I463" s="141">
        <f>'AJE CAJE Des 24'!I16+'AJE CAJE Des 24'!I27</f>
        <v>26018820</v>
      </c>
      <c r="J463" s="67">
        <f t="shared" si="227"/>
        <v>0</v>
      </c>
      <c r="K463" s="67"/>
      <c r="L463" s="934"/>
      <c r="M463" s="913"/>
      <c r="N463" s="141"/>
      <c r="O463" s="268">
        <v>19514115</v>
      </c>
      <c r="P463" s="78">
        <f t="shared" si="218"/>
        <v>19514115</v>
      </c>
      <c r="Q463" s="293" t="str">
        <f>'AJE CAJE Sept 24'!B19</f>
        <v>CAJE 2</v>
      </c>
      <c r="R463" s="141">
        <f>'AJE CAJE Sept 24'!I19</f>
        <v>4</v>
      </c>
      <c r="S463" s="293" t="str">
        <f>'AJE CAJE Sept 24'!B26</f>
        <v>RKLS 1</v>
      </c>
      <c r="T463" s="141">
        <f>'AJE CAJE Sept 24'!J26</f>
        <v>19514118.75</v>
      </c>
      <c r="U463" s="67">
        <f t="shared" si="219"/>
        <v>0.25</v>
      </c>
      <c r="V463" s="103"/>
      <c r="W463" s="7">
        <v>0</v>
      </c>
      <c r="X463" s="806">
        <v>0</v>
      </c>
      <c r="Y463" s="27"/>
      <c r="Z463" s="27"/>
      <c r="AA463" s="7"/>
      <c r="AB463" s="7">
        <v>19514115</v>
      </c>
      <c r="AC463" s="7">
        <f t="shared" si="221"/>
        <v>19514115</v>
      </c>
      <c r="AD463" s="405" t="s">
        <v>571</v>
      </c>
      <c r="AE463" s="7">
        <f>'AJE CAJE Sept 23'!I11</f>
        <v>3.75</v>
      </c>
      <c r="AF463" s="50" t="str">
        <f>'AJE CAJE Sept 23'!B21</f>
        <v>RKLS 1</v>
      </c>
      <c r="AG463" s="7">
        <f>'AJE CAJE Sept 23'!J21</f>
        <v>19514119</v>
      </c>
      <c r="AH463" s="7">
        <f>ROUND(AC463+AE463-AG463,0)</f>
        <v>0</v>
      </c>
      <c r="AI463" s="27"/>
      <c r="AJ463" s="7">
        <v>0</v>
      </c>
      <c r="AK463" s="851">
        <v>0</v>
      </c>
      <c r="AL463" s="27"/>
      <c r="AM463" s="95"/>
      <c r="AN463" s="27">
        <v>0</v>
      </c>
    </row>
    <row r="464" spans="1:40">
      <c r="A464" s="34"/>
      <c r="B464" s="83" t="s">
        <v>365</v>
      </c>
      <c r="C464" s="141"/>
      <c r="D464" s="141"/>
      <c r="E464" s="78">
        <f t="shared" si="216"/>
        <v>0</v>
      </c>
      <c r="F464" s="293"/>
      <c r="G464" s="141"/>
      <c r="H464" s="293"/>
      <c r="I464" s="141"/>
      <c r="J464" s="67">
        <f t="shared" si="227"/>
        <v>0</v>
      </c>
      <c r="K464" s="67"/>
      <c r="L464" s="934"/>
      <c r="M464" s="913"/>
      <c r="N464" s="141"/>
      <c r="O464" s="141"/>
      <c r="P464" s="78">
        <f t="shared" si="218"/>
        <v>0</v>
      </c>
      <c r="Q464" s="293"/>
      <c r="R464" s="141"/>
      <c r="S464" s="293"/>
      <c r="T464" s="141"/>
      <c r="U464" s="67">
        <f t="shared" si="219"/>
        <v>0</v>
      </c>
      <c r="V464" s="103"/>
      <c r="W464" s="7">
        <v>0</v>
      </c>
      <c r="X464" s="806">
        <v>0</v>
      </c>
      <c r="Y464" s="27"/>
      <c r="Z464" s="27"/>
      <c r="AA464" s="7"/>
      <c r="AB464" s="7"/>
      <c r="AC464" s="7">
        <f t="shared" si="221"/>
        <v>0</v>
      </c>
      <c r="AD464" s="50"/>
      <c r="AE464" s="7"/>
      <c r="AF464" s="50"/>
      <c r="AG464" s="7"/>
      <c r="AH464" s="7">
        <f t="shared" si="222"/>
        <v>0</v>
      </c>
      <c r="AI464" s="27"/>
      <c r="AJ464" s="7">
        <v>16885000</v>
      </c>
      <c r="AK464" s="851">
        <v>16885000</v>
      </c>
      <c r="AL464" s="27">
        <f t="shared" ref="AL464:AL467" si="230">AJ464-AK464</f>
        <v>0</v>
      </c>
      <c r="AM464" s="95"/>
      <c r="AN464" s="27">
        <v>28242500</v>
      </c>
    </row>
    <row r="465" spans="1:40">
      <c r="A465" s="20"/>
      <c r="B465" s="20" t="s">
        <v>366</v>
      </c>
      <c r="C465" s="42"/>
      <c r="D465" s="42"/>
      <c r="E465" s="21">
        <f>SUM(E419:E464)</f>
        <v>17181260811.150002</v>
      </c>
      <c r="F465" s="281"/>
      <c r="G465" s="42"/>
      <c r="H465" s="281"/>
      <c r="I465" s="42"/>
      <c r="J465" s="21">
        <f>SUM(J419:J464)</f>
        <v>14884751795.15</v>
      </c>
      <c r="K465" s="21"/>
      <c r="L465" s="797"/>
      <c r="M465" s="913">
        <f>J465-W465</f>
        <v>6302953073.1499996</v>
      </c>
      <c r="N465" s="42"/>
      <c r="O465" s="42"/>
      <c r="P465" s="21">
        <f>SUM(P419:P464)</f>
        <v>14677716374.110001</v>
      </c>
      <c r="Q465" s="281"/>
      <c r="R465" s="42"/>
      <c r="S465" s="281"/>
      <c r="T465" s="42"/>
      <c r="U465" s="21">
        <f>SUM(U419:U464)</f>
        <v>13159814932.006828</v>
      </c>
      <c r="V465" s="442"/>
      <c r="W465" s="21">
        <f>SUM(W419:W464)</f>
        <v>8581798722</v>
      </c>
      <c r="X465" s="807">
        <v>8581798722</v>
      </c>
      <c r="Y465" s="36">
        <f>W465-X465</f>
        <v>0</v>
      </c>
      <c r="Z465" s="36"/>
      <c r="AA465" s="21"/>
      <c r="AB465" s="21"/>
      <c r="AC465" s="21">
        <f>SUM(AC419:AC464)</f>
        <v>7596350494.9700003</v>
      </c>
      <c r="AD465" s="387"/>
      <c r="AE465" s="21"/>
      <c r="AF465" s="387"/>
      <c r="AG465" s="21"/>
      <c r="AH465" s="21">
        <f>SUM(AH419:AH464)</f>
        <v>6007580878</v>
      </c>
      <c r="AI465" s="36"/>
      <c r="AJ465" s="21">
        <f>SUM(AJ419:AJ464)</f>
        <v>10213044846.473333</v>
      </c>
      <c r="AK465" s="852">
        <v>10213044846.473333</v>
      </c>
      <c r="AL465" s="27">
        <f t="shared" si="230"/>
        <v>0</v>
      </c>
      <c r="AM465" s="95"/>
      <c r="AN465" s="21">
        <f>SUM(AN419:AN464)</f>
        <v>8701488292.5833321</v>
      </c>
    </row>
    <row r="466" spans="1:40">
      <c r="A466" s="20"/>
      <c r="B466" s="20" t="s">
        <v>367</v>
      </c>
      <c r="C466" s="42"/>
      <c r="D466" s="42"/>
      <c r="E466" s="21">
        <f>E416+E465</f>
        <v>31292004803.389999</v>
      </c>
      <c r="F466" s="281"/>
      <c r="G466" s="42"/>
      <c r="H466" s="281"/>
      <c r="I466" s="42"/>
      <c r="J466" s="21">
        <f>J416+J465</f>
        <v>28995495787.389999</v>
      </c>
      <c r="K466" s="21"/>
      <c r="L466" s="797"/>
      <c r="M466" s="913"/>
      <c r="N466" s="42"/>
      <c r="O466" s="42"/>
      <c r="P466" s="21">
        <f>P416+P465</f>
        <v>23243981279.490002</v>
      </c>
      <c r="Q466" s="281"/>
      <c r="R466" s="42"/>
      <c r="S466" s="281"/>
      <c r="T466" s="42"/>
      <c r="U466" s="21">
        <f>U416+U465</f>
        <v>22552611592.256828</v>
      </c>
      <c r="V466" s="442"/>
      <c r="W466" s="21">
        <f>W416+W465</f>
        <v>20525640972</v>
      </c>
      <c r="X466" s="807">
        <v>20525640972</v>
      </c>
      <c r="Y466" s="38">
        <f>W466-X466</f>
        <v>0</v>
      </c>
      <c r="Z466" s="38"/>
      <c r="AA466" s="21"/>
      <c r="AB466" s="21"/>
      <c r="AC466" s="21">
        <f>AC416+AC465</f>
        <v>19717084714.57</v>
      </c>
      <c r="AD466" s="387"/>
      <c r="AE466" s="21"/>
      <c r="AF466" s="387"/>
      <c r="AG466" s="21"/>
      <c r="AH466" s="21">
        <f>AH416+AH465</f>
        <v>18128315098</v>
      </c>
      <c r="AI466" s="36"/>
      <c r="AJ466" s="21">
        <f>AJ416+AJ465</f>
        <v>30134306488.973335</v>
      </c>
      <c r="AK466" s="852">
        <v>30134306488.973335</v>
      </c>
      <c r="AL466" s="27">
        <f t="shared" si="230"/>
        <v>0</v>
      </c>
      <c r="AM466" s="95"/>
      <c r="AN466" s="21">
        <f>AN416+AN465</f>
        <v>25659804678.083332</v>
      </c>
    </row>
    <row r="467" spans="1:40">
      <c r="A467" s="87"/>
      <c r="B467" s="87" t="s">
        <v>368</v>
      </c>
      <c r="C467" s="143"/>
      <c r="D467" s="143"/>
      <c r="E467" s="32">
        <f>E400-E466</f>
        <v>14071320375.279999</v>
      </c>
      <c r="F467" s="282"/>
      <c r="G467" s="143"/>
      <c r="H467" s="282"/>
      <c r="I467" s="143"/>
      <c r="J467" s="32">
        <f>J400-J466</f>
        <v>14112987917.30397</v>
      </c>
      <c r="K467" s="32"/>
      <c r="L467" s="797"/>
      <c r="M467" s="914"/>
      <c r="N467" s="143"/>
      <c r="O467" s="143"/>
      <c r="P467" s="32">
        <f>P400-P466</f>
        <v>-1317270620.1300011</v>
      </c>
      <c r="Q467" s="282"/>
      <c r="R467" s="143"/>
      <c r="S467" s="282"/>
      <c r="T467" s="143"/>
      <c r="U467" s="32">
        <f>U400-U466</f>
        <v>7037686080.6254959</v>
      </c>
      <c r="V467" s="443"/>
      <c r="W467" s="32">
        <f>W400-W466</f>
        <v>11964904910</v>
      </c>
      <c r="X467" s="824">
        <v>11964904910</v>
      </c>
      <c r="Y467" s="38">
        <f>W467-X467</f>
        <v>0</v>
      </c>
      <c r="Z467" s="38"/>
      <c r="AA467" s="32"/>
      <c r="AB467" s="32"/>
      <c r="AC467" s="32">
        <f>AC400-AC466</f>
        <v>8064981747.5199814</v>
      </c>
      <c r="AD467" s="390"/>
      <c r="AE467" s="32"/>
      <c r="AF467" s="390"/>
      <c r="AG467" s="32"/>
      <c r="AH467" s="32">
        <f>AH400-AH466</f>
        <v>7946449513</v>
      </c>
      <c r="AI467" s="36"/>
      <c r="AJ467" s="32">
        <f>AJ400-AJ466</f>
        <v>14434881675.380791</v>
      </c>
      <c r="AK467" s="865">
        <v>14434881675.380821</v>
      </c>
      <c r="AL467" s="27">
        <f t="shared" si="230"/>
        <v>-3.0517578125E-5</v>
      </c>
      <c r="AM467" s="95"/>
      <c r="AN467" s="32">
        <f>AN400-AN466</f>
        <v>9055384527.039196</v>
      </c>
    </row>
    <row r="468" spans="1:40">
      <c r="A468" s="12" t="s">
        <v>369</v>
      </c>
      <c r="B468" s="12"/>
      <c r="C468" s="89"/>
      <c r="D468" s="89"/>
      <c r="E468" s="89"/>
      <c r="F468" s="280"/>
      <c r="G468" s="89"/>
      <c r="H468" s="280"/>
      <c r="I468" s="89"/>
      <c r="J468" s="89"/>
      <c r="K468" s="89"/>
      <c r="L468" s="933"/>
      <c r="M468" s="911"/>
      <c r="N468" s="89"/>
      <c r="O468" s="89"/>
      <c r="P468" s="89"/>
      <c r="Q468" s="280"/>
      <c r="R468" s="89"/>
      <c r="S468" s="280"/>
      <c r="T468" s="89"/>
      <c r="U468" s="89"/>
      <c r="V468" s="106"/>
      <c r="W468" s="7"/>
      <c r="X468" s="790"/>
      <c r="Y468" s="27"/>
      <c r="Z468" s="27"/>
      <c r="AA468" s="7"/>
      <c r="AB468" s="7"/>
      <c r="AC468" s="7"/>
      <c r="AD468" s="50"/>
      <c r="AE468" s="7"/>
      <c r="AF468" s="50"/>
      <c r="AG468" s="7"/>
      <c r="AH468" s="7"/>
      <c r="AI468" s="27"/>
      <c r="AJ468" s="7"/>
      <c r="AK468" s="837"/>
      <c r="AL468" s="27"/>
      <c r="AM468" s="95"/>
      <c r="AN468" s="7"/>
    </row>
    <row r="469" spans="1:40">
      <c r="A469" s="12" t="s">
        <v>370</v>
      </c>
      <c r="B469" s="12"/>
      <c r="C469" s="89"/>
      <c r="D469" s="89"/>
      <c r="E469" s="89"/>
      <c r="F469" s="280"/>
      <c r="G469" s="89"/>
      <c r="H469" s="280"/>
      <c r="I469" s="89"/>
      <c r="J469" s="89"/>
      <c r="K469" s="89"/>
      <c r="L469" s="933"/>
      <c r="M469" s="911"/>
      <c r="N469" s="89"/>
      <c r="O469" s="89"/>
      <c r="P469" s="89"/>
      <c r="Q469" s="280"/>
      <c r="R469" s="89"/>
      <c r="S469" s="280"/>
      <c r="T469" s="89"/>
      <c r="U469" s="89"/>
      <c r="V469" s="106"/>
      <c r="W469" s="27"/>
      <c r="X469" s="794"/>
      <c r="Y469" s="27"/>
      <c r="Z469" s="27"/>
      <c r="AA469" s="27"/>
      <c r="AB469" s="27"/>
      <c r="AC469" s="27"/>
      <c r="AD469" s="371"/>
      <c r="AE469" s="27"/>
      <c r="AF469" s="371"/>
      <c r="AG469" s="27"/>
      <c r="AH469" s="27"/>
      <c r="AI469" s="27"/>
      <c r="AJ469" s="27"/>
      <c r="AK469" s="841"/>
      <c r="AL469" s="27"/>
      <c r="AM469" s="95"/>
      <c r="AN469" s="27"/>
    </row>
    <row r="470" spans="1:40">
      <c r="A470" s="34"/>
      <c r="B470" s="26" t="s">
        <v>371</v>
      </c>
      <c r="C470" s="78"/>
      <c r="D470" s="78">
        <v>-70634245.090000004</v>
      </c>
      <c r="E470" s="78">
        <f>-D470</f>
        <v>70634245.090000004</v>
      </c>
      <c r="F470" s="280"/>
      <c r="G470" s="78"/>
      <c r="H470" s="280"/>
      <c r="I470" s="78"/>
      <c r="J470" s="67">
        <f>E470-G470+I470</f>
        <v>70634245.090000004</v>
      </c>
      <c r="K470" s="67"/>
      <c r="L470" s="934"/>
      <c r="M470" s="912"/>
      <c r="N470" s="78"/>
      <c r="O470" s="78">
        <v>-69022353.189999998</v>
      </c>
      <c r="P470" s="78">
        <f>-O470</f>
        <v>69022353.189999998</v>
      </c>
      <c r="Q470" s="280"/>
      <c r="R470" s="78"/>
      <c r="S470" s="280"/>
      <c r="T470" s="78"/>
      <c r="U470" s="67">
        <f>P470-R470+T470</f>
        <v>69022353.189999998</v>
      </c>
      <c r="V470" s="103"/>
      <c r="W470" s="7">
        <v>65659825</v>
      </c>
      <c r="X470" s="794">
        <v>65659825</v>
      </c>
      <c r="Y470" s="38">
        <f t="shared" ref="Y470:Y474" si="231">W470-X470</f>
        <v>0</v>
      </c>
      <c r="Z470" s="38"/>
      <c r="AA470" s="7"/>
      <c r="AB470" s="7">
        <v>-47280775.520000003</v>
      </c>
      <c r="AC470" s="7">
        <f>-AB470</f>
        <v>47280775.520000003</v>
      </c>
      <c r="AD470" s="50"/>
      <c r="AE470" s="7"/>
      <c r="AF470" s="50"/>
      <c r="AG470" s="7"/>
      <c r="AH470" s="665">
        <f>ROUND(AC470-AE470+AG470,0)</f>
        <v>47280776</v>
      </c>
      <c r="AI470" s="27"/>
      <c r="AJ470" s="7">
        <v>68879296</v>
      </c>
      <c r="AK470" s="841">
        <v>68879296</v>
      </c>
      <c r="AL470" s="27">
        <f>AJ470-AK470</f>
        <v>0</v>
      </c>
      <c r="AM470" s="95"/>
      <c r="AN470" s="27">
        <v>46643732</v>
      </c>
    </row>
    <row r="471" spans="1:40">
      <c r="A471" s="34"/>
      <c r="B471" s="26" t="s">
        <v>372</v>
      </c>
      <c r="C471" s="78"/>
      <c r="D471" s="78">
        <v>1674956528.5</v>
      </c>
      <c r="E471" s="78">
        <f>-D471</f>
        <v>-1674956528.5</v>
      </c>
      <c r="F471" s="280"/>
      <c r="G471" s="78"/>
      <c r="H471" s="280"/>
      <c r="I471" s="78"/>
      <c r="J471" s="67">
        <f>E471-G471+I471</f>
        <v>-1674956528.5</v>
      </c>
      <c r="K471" s="67"/>
      <c r="L471" s="934"/>
      <c r="M471" s="912"/>
      <c r="N471" s="78"/>
      <c r="O471" s="78">
        <v>-1578595518.5</v>
      </c>
      <c r="P471" s="78">
        <f>-O471</f>
        <v>1578595518.5</v>
      </c>
      <c r="Q471" s="280"/>
      <c r="R471" s="78"/>
      <c r="S471" s="280"/>
      <c r="T471" s="78"/>
      <c r="U471" s="67">
        <f>P471-R471+T471</f>
        <v>1578595518.5</v>
      </c>
      <c r="V471" s="103"/>
      <c r="W471" s="27">
        <v>-566637806</v>
      </c>
      <c r="X471" s="820">
        <v>-566637806</v>
      </c>
      <c r="Y471" s="38">
        <f t="shared" si="231"/>
        <v>0</v>
      </c>
      <c r="Z471" s="38"/>
      <c r="AA471" s="27"/>
      <c r="AB471" s="27">
        <v>751427729.21000051</v>
      </c>
      <c r="AC471" s="27">
        <f t="shared" ref="AC471:AC473" si="232">-AB471</f>
        <v>-751427729.21000051</v>
      </c>
      <c r="AD471" s="371"/>
      <c r="AE471" s="27"/>
      <c r="AF471" s="371"/>
      <c r="AG471" s="27"/>
      <c r="AH471" s="7">
        <f>ROUND(AC471-AE471+AG471,0)</f>
        <v>-751427729</v>
      </c>
      <c r="AI471" s="27"/>
      <c r="AJ471" s="27">
        <v>-828395345.29999995</v>
      </c>
      <c r="AK471" s="860">
        <v>-828395345.29999995</v>
      </c>
      <c r="AL471" s="27"/>
      <c r="AM471" s="95"/>
      <c r="AN471" s="27">
        <v>56417514</v>
      </c>
    </row>
    <row r="472" spans="1:40">
      <c r="A472" s="34"/>
      <c r="B472" s="26" t="s">
        <v>373</v>
      </c>
      <c r="C472" s="78"/>
      <c r="D472" s="78"/>
      <c r="E472" s="78">
        <f>-D472</f>
        <v>0</v>
      </c>
      <c r="F472" s="280"/>
      <c r="G472" s="78"/>
      <c r="H472" s="280"/>
      <c r="I472" s="78"/>
      <c r="J472" s="67">
        <f>E472-G472+I472</f>
        <v>0</v>
      </c>
      <c r="K472" s="67"/>
      <c r="L472" s="934"/>
      <c r="M472" s="912"/>
      <c r="N472" s="78"/>
      <c r="O472" s="78"/>
      <c r="P472" s="78">
        <f>-O472</f>
        <v>0</v>
      </c>
      <c r="Q472" s="280"/>
      <c r="R472" s="78"/>
      <c r="S472" s="280"/>
      <c r="T472" s="78"/>
      <c r="U472" s="67">
        <f>P472-R472+T472</f>
        <v>0</v>
      </c>
      <c r="V472" s="103"/>
      <c r="W472" s="27">
        <v>-119304064</v>
      </c>
      <c r="X472" s="820">
        <v>-119304064</v>
      </c>
      <c r="Y472" s="38">
        <f t="shared" si="231"/>
        <v>0</v>
      </c>
      <c r="Z472" s="38"/>
      <c r="AA472" s="27"/>
      <c r="AB472" s="27"/>
      <c r="AC472" s="27">
        <f t="shared" si="232"/>
        <v>0</v>
      </c>
      <c r="AD472" s="371"/>
      <c r="AE472" s="27"/>
      <c r="AF472" s="371"/>
      <c r="AG472" s="27"/>
      <c r="AH472" s="7">
        <f t="shared" ref="AH472:AH473" si="233">ROUND(AC472-AE472+AG472,0)</f>
        <v>0</v>
      </c>
      <c r="AI472" s="27"/>
      <c r="AJ472" s="27">
        <v>-379120191.12149799</v>
      </c>
      <c r="AK472" s="860">
        <v>-379120191.12149763</v>
      </c>
      <c r="AL472" s="27"/>
      <c r="AM472" s="95"/>
      <c r="AN472" s="27">
        <v>-227692469.97810555</v>
      </c>
    </row>
    <row r="473" spans="1:40">
      <c r="A473" s="34"/>
      <c r="B473" s="26" t="s">
        <v>374</v>
      </c>
      <c r="C473" s="78"/>
      <c r="D473" s="78"/>
      <c r="E473" s="78">
        <f>-D473</f>
        <v>0</v>
      </c>
      <c r="F473" s="280" t="str">
        <f>'AJE CAJE Des 24'!A81</f>
        <v>CAJE 11</v>
      </c>
      <c r="G473" s="78">
        <f>'AJE CAJE Des 24'!H81+'AJE CAJE Des 24'!H93</f>
        <v>9056754</v>
      </c>
      <c r="H473" s="280" t="str">
        <f>'AJE CAJE Des 24'!A117</f>
        <v>CAJE 15</v>
      </c>
      <c r="I473" s="78">
        <f>'AJE CAJE Des 24'!I117</f>
        <v>873000</v>
      </c>
      <c r="J473" s="67">
        <f>E473-G473+I473</f>
        <v>-8183754</v>
      </c>
      <c r="K473" s="67"/>
      <c r="L473" s="934"/>
      <c r="M473" s="912"/>
      <c r="N473" s="78"/>
      <c r="O473" s="78"/>
      <c r="P473" s="78">
        <f>-O473</f>
        <v>0</v>
      </c>
      <c r="Q473" s="280"/>
      <c r="R473" s="78"/>
      <c r="S473" s="280"/>
      <c r="T473" s="78"/>
      <c r="U473" s="67">
        <f>P473-R473+T473</f>
        <v>0</v>
      </c>
      <c r="V473" s="103"/>
      <c r="W473" s="27">
        <v>19197314</v>
      </c>
      <c r="X473" s="820">
        <v>19197314</v>
      </c>
      <c r="Y473" s="38">
        <f t="shared" si="231"/>
        <v>0</v>
      </c>
      <c r="Z473" s="38"/>
      <c r="AA473" s="27"/>
      <c r="AB473" s="27"/>
      <c r="AC473" s="27">
        <f t="shared" si="232"/>
        <v>0</v>
      </c>
      <c r="AD473" s="371"/>
      <c r="AE473" s="27"/>
      <c r="AF473" s="371" t="str">
        <f>'AJE CAJE Sept 23'!B61</f>
        <v>CAJE 11</v>
      </c>
      <c r="AG473" s="27">
        <f>'AJE CAJE Sept 23'!J62</f>
        <v>11038330</v>
      </c>
      <c r="AH473" s="7">
        <f t="shared" si="233"/>
        <v>11038330</v>
      </c>
      <c r="AI473" s="27"/>
      <c r="AJ473" s="7">
        <v>162000</v>
      </c>
      <c r="AK473" s="860">
        <v>162000</v>
      </c>
      <c r="AL473" s="27"/>
      <c r="AM473" s="95"/>
      <c r="AN473" s="27">
        <v>0</v>
      </c>
    </row>
    <row r="474" spans="1:40">
      <c r="A474" s="20"/>
      <c r="B474" s="20" t="s">
        <v>375</v>
      </c>
      <c r="C474" s="42"/>
      <c r="D474" s="42"/>
      <c r="E474" s="21">
        <f>SUM(E470:E473)</f>
        <v>-1604322283.4100001</v>
      </c>
      <c r="F474" s="281"/>
      <c r="G474" s="42"/>
      <c r="H474" s="281"/>
      <c r="I474" s="42"/>
      <c r="J474" s="21">
        <f>SUM(J470:J473)</f>
        <v>-1612506037.4100001</v>
      </c>
      <c r="K474" s="21"/>
      <c r="L474" s="797"/>
      <c r="M474" s="913"/>
      <c r="N474" s="42"/>
      <c r="O474" s="42"/>
      <c r="P474" s="21">
        <f>SUM(P470:P473)</f>
        <v>1647617871.6900001</v>
      </c>
      <c r="Q474" s="281"/>
      <c r="R474" s="42"/>
      <c r="S474" s="281"/>
      <c r="T474" s="42"/>
      <c r="U474" s="21">
        <f>SUM(U470:U473)</f>
        <v>1647617871.6900001</v>
      </c>
      <c r="V474" s="442"/>
      <c r="W474" s="21">
        <f>SUM(W470:W473)</f>
        <v>-601084731</v>
      </c>
      <c r="X474" s="795">
        <v>-601084731</v>
      </c>
      <c r="Y474" s="38">
        <f t="shared" si="231"/>
        <v>0</v>
      </c>
      <c r="Z474" s="38"/>
      <c r="AA474" s="21"/>
      <c r="AB474" s="21"/>
      <c r="AC474" s="21">
        <f>SUM(AC470:AC473)</f>
        <v>-704146953.69000053</v>
      </c>
      <c r="AD474" s="387"/>
      <c r="AE474" s="21"/>
      <c r="AF474" s="387"/>
      <c r="AG474" s="21"/>
      <c r="AH474" s="21">
        <f>SUM(AH470:AH473)</f>
        <v>-693108623</v>
      </c>
      <c r="AI474" s="36"/>
      <c r="AJ474" s="21">
        <f>SUM(AJ470:AJ473)</f>
        <v>-1138474240.4214978</v>
      </c>
      <c r="AK474" s="843">
        <v>-1138474240.4214976</v>
      </c>
      <c r="AL474" s="36"/>
      <c r="AM474" s="95"/>
      <c r="AN474" s="21">
        <f>SUM(AN470:AN473)</f>
        <v>-124631223.97810555</v>
      </c>
    </row>
    <row r="475" spans="1:40">
      <c r="A475" s="12" t="s">
        <v>376</v>
      </c>
      <c r="B475" s="12"/>
      <c r="C475" s="89"/>
      <c r="D475" s="89"/>
      <c r="E475" s="89"/>
      <c r="F475" s="280"/>
      <c r="G475" s="89"/>
      <c r="H475" s="280"/>
      <c r="I475" s="89"/>
      <c r="J475" s="89"/>
      <c r="K475" s="89"/>
      <c r="L475" s="933"/>
      <c r="M475" s="911"/>
      <c r="N475" s="89"/>
      <c r="O475" s="89"/>
      <c r="P475" s="89"/>
      <c r="Q475" s="280"/>
      <c r="R475" s="89"/>
      <c r="S475" s="280"/>
      <c r="T475" s="89"/>
      <c r="U475" s="89"/>
      <c r="V475" s="106"/>
      <c r="W475" s="27"/>
      <c r="X475" s="794"/>
      <c r="Y475" s="27"/>
      <c r="Z475" s="27"/>
      <c r="AA475" s="27"/>
      <c r="AB475" s="27"/>
      <c r="AC475" s="27"/>
      <c r="AD475" s="371"/>
      <c r="AE475" s="27"/>
      <c r="AF475" s="371"/>
      <c r="AG475" s="27"/>
      <c r="AH475" s="27"/>
      <c r="AI475" s="27"/>
      <c r="AJ475" s="27"/>
      <c r="AK475" s="841"/>
      <c r="AL475" s="27"/>
      <c r="AM475" s="95"/>
      <c r="AN475" s="27"/>
    </row>
    <row r="476" spans="1:40">
      <c r="A476" s="34"/>
      <c r="B476" s="83" t="s">
        <v>377</v>
      </c>
      <c r="C476" s="141"/>
      <c r="D476" s="141">
        <v>74572923</v>
      </c>
      <c r="E476" s="141">
        <f t="shared" ref="E476:E484" si="234">D476</f>
        <v>74572923</v>
      </c>
      <c r="F476" s="293"/>
      <c r="G476" s="141"/>
      <c r="H476" s="293"/>
      <c r="I476" s="141"/>
      <c r="J476" s="67">
        <f t="shared" ref="J476:J484" si="235">E476+G476-I476</f>
        <v>74572923</v>
      </c>
      <c r="K476" s="67"/>
      <c r="L476" s="934"/>
      <c r="M476" s="912"/>
      <c r="N476" s="141"/>
      <c r="O476" s="141">
        <v>49376357</v>
      </c>
      <c r="P476" s="141">
        <f t="shared" ref="P476:P484" si="236">O476</f>
        <v>49376357</v>
      </c>
      <c r="Q476" s="293"/>
      <c r="R476" s="141"/>
      <c r="S476" s="293"/>
      <c r="T476" s="141"/>
      <c r="U476" s="67">
        <f t="shared" ref="U476:U484" si="237">P476+R476-T476</f>
        <v>49376357</v>
      </c>
      <c r="V476" s="103"/>
      <c r="W476" s="27">
        <v>180322105.63999999</v>
      </c>
      <c r="X476" s="820">
        <v>180322105.63999999</v>
      </c>
      <c r="Y476" s="27">
        <f>W476-X476</f>
        <v>0</v>
      </c>
      <c r="Z476" s="27"/>
      <c r="AA476" s="27"/>
      <c r="AB476" s="27">
        <v>114713721</v>
      </c>
      <c r="AC476" s="27">
        <f>AB476</f>
        <v>114713721</v>
      </c>
      <c r="AD476" s="371"/>
      <c r="AE476" s="27"/>
      <c r="AF476" s="371"/>
      <c r="AG476" s="27"/>
      <c r="AH476" s="7">
        <f t="shared" ref="AH476:AH484" si="238">ROUND(AC476-AE476+AG476,0)</f>
        <v>114713721</v>
      </c>
      <c r="AI476" s="27"/>
      <c r="AJ476" s="7">
        <v>134464422</v>
      </c>
      <c r="AK476" s="860">
        <v>134464422</v>
      </c>
      <c r="AL476" s="27"/>
      <c r="AM476" s="95"/>
      <c r="AN476" s="27">
        <v>174340314</v>
      </c>
    </row>
    <row r="477" spans="1:40">
      <c r="A477" s="34"/>
      <c r="B477" s="83" t="s">
        <v>378</v>
      </c>
      <c r="C477" s="141"/>
      <c r="D477" s="141">
        <v>14686912.57</v>
      </c>
      <c r="E477" s="141">
        <f t="shared" si="234"/>
        <v>14686912.57</v>
      </c>
      <c r="F477" s="293"/>
      <c r="G477" s="141"/>
      <c r="H477" s="293"/>
      <c r="I477" s="141"/>
      <c r="J477" s="67">
        <f t="shared" si="235"/>
        <v>14686912.57</v>
      </c>
      <c r="K477" s="67"/>
      <c r="L477" s="934"/>
      <c r="M477" s="912"/>
      <c r="N477" s="141"/>
      <c r="O477" s="141">
        <v>14108708.98</v>
      </c>
      <c r="P477" s="141">
        <f t="shared" si="236"/>
        <v>14108708.98</v>
      </c>
      <c r="Q477" s="293"/>
      <c r="R477" s="141"/>
      <c r="S477" s="293"/>
      <c r="T477" s="141"/>
      <c r="U477" s="67">
        <f t="shared" si="237"/>
        <v>14108708.98</v>
      </c>
      <c r="V477" s="103"/>
      <c r="W477" s="7">
        <v>13516147</v>
      </c>
      <c r="X477" s="820">
        <v>13516147</v>
      </c>
      <c r="Y477" s="27">
        <f>W477-X477</f>
        <v>0</v>
      </c>
      <c r="Z477" s="27"/>
      <c r="AA477" s="7"/>
      <c r="AB477" s="7">
        <v>9605267.8000000007</v>
      </c>
      <c r="AC477" s="7">
        <f t="shared" ref="AC477:AC484" si="239">AB477</f>
        <v>9605267.8000000007</v>
      </c>
      <c r="AD477" s="50"/>
      <c r="AE477" s="7"/>
      <c r="AF477" s="50"/>
      <c r="AG477" s="7"/>
      <c r="AH477" s="7">
        <f t="shared" si="238"/>
        <v>9605268</v>
      </c>
      <c r="AI477" s="27"/>
      <c r="AJ477" s="7">
        <v>12258502</v>
      </c>
      <c r="AK477" s="860">
        <v>12258502</v>
      </c>
      <c r="AL477" s="27"/>
      <c r="AM477" s="95"/>
      <c r="AN477" s="27">
        <v>0</v>
      </c>
    </row>
    <row r="478" spans="1:40">
      <c r="A478" s="34"/>
      <c r="B478" s="83" t="s">
        <v>379</v>
      </c>
      <c r="C478" s="141"/>
      <c r="D478" s="141">
        <v>169215000</v>
      </c>
      <c r="E478" s="141">
        <f t="shared" si="234"/>
        <v>169215000</v>
      </c>
      <c r="F478" s="293"/>
      <c r="G478" s="141"/>
      <c r="H478" s="293"/>
      <c r="I478" s="141"/>
      <c r="J478" s="67">
        <f t="shared" si="235"/>
        <v>169215000</v>
      </c>
      <c r="K478" s="67"/>
      <c r="L478" s="934"/>
      <c r="M478" s="912"/>
      <c r="N478" s="141"/>
      <c r="O478" s="141"/>
      <c r="P478" s="141">
        <f t="shared" si="236"/>
        <v>0</v>
      </c>
      <c r="Q478" s="293"/>
      <c r="R478" s="141"/>
      <c r="S478" s="293"/>
      <c r="T478" s="141"/>
      <c r="U478" s="67">
        <f t="shared" si="237"/>
        <v>0</v>
      </c>
      <c r="V478" s="103"/>
      <c r="W478" s="7">
        <v>0</v>
      </c>
      <c r="X478" s="820">
        <v>0</v>
      </c>
      <c r="Y478" s="27"/>
      <c r="Z478" s="27"/>
      <c r="AA478" s="7"/>
      <c r="AB478" s="7"/>
      <c r="AC478" s="7">
        <f t="shared" si="239"/>
        <v>0</v>
      </c>
      <c r="AD478" s="50"/>
      <c r="AE478" s="7"/>
      <c r="AF478" s="50"/>
      <c r="AG478" s="7"/>
      <c r="AH478" s="7">
        <f t="shared" si="238"/>
        <v>0</v>
      </c>
      <c r="AI478" s="27"/>
      <c r="AJ478" s="7">
        <v>360880500</v>
      </c>
      <c r="AK478" s="860">
        <v>360880500</v>
      </c>
      <c r="AL478" s="27"/>
      <c r="AM478" s="95"/>
      <c r="AN478" s="27">
        <v>0</v>
      </c>
    </row>
    <row r="479" spans="1:40">
      <c r="A479" s="34"/>
      <c r="B479" s="83" t="s">
        <v>380</v>
      </c>
      <c r="C479" s="141"/>
      <c r="D479" s="141"/>
      <c r="E479" s="141">
        <f t="shared" si="234"/>
        <v>0</v>
      </c>
      <c r="F479" s="293"/>
      <c r="G479" s="141"/>
      <c r="H479" s="293"/>
      <c r="I479" s="141"/>
      <c r="J479" s="67">
        <f t="shared" si="235"/>
        <v>0</v>
      </c>
      <c r="K479" s="67"/>
      <c r="L479" s="934"/>
      <c r="M479" s="912"/>
      <c r="N479" s="141"/>
      <c r="O479" s="141"/>
      <c r="P479" s="141">
        <f t="shared" si="236"/>
        <v>0</v>
      </c>
      <c r="Q479" s="293"/>
      <c r="R479" s="141"/>
      <c r="S479" s="293"/>
      <c r="T479" s="141"/>
      <c r="U479" s="67">
        <f t="shared" si="237"/>
        <v>0</v>
      </c>
      <c r="V479" s="103"/>
      <c r="W479" s="7">
        <v>0</v>
      </c>
      <c r="X479" s="820">
        <v>0</v>
      </c>
      <c r="Y479" s="27"/>
      <c r="Z479" s="27"/>
      <c r="AA479" s="7"/>
      <c r="AB479" s="7"/>
      <c r="AC479" s="7">
        <f t="shared" si="239"/>
        <v>0</v>
      </c>
      <c r="AD479" s="50"/>
      <c r="AE479" s="7"/>
      <c r="AF479" s="50"/>
      <c r="AG479" s="7"/>
      <c r="AH479" s="7">
        <f t="shared" si="238"/>
        <v>0</v>
      </c>
      <c r="AI479" s="27"/>
      <c r="AJ479" s="7">
        <v>0</v>
      </c>
      <c r="AK479" s="860">
        <v>0</v>
      </c>
      <c r="AL479" s="27"/>
      <c r="AM479" s="95"/>
      <c r="AN479" s="27">
        <v>616393032</v>
      </c>
    </row>
    <row r="480" spans="1:40">
      <c r="A480" s="34"/>
      <c r="B480" s="83" t="s">
        <v>1016</v>
      </c>
      <c r="C480" s="141"/>
      <c r="D480" s="141"/>
      <c r="E480" s="141">
        <f t="shared" si="234"/>
        <v>0</v>
      </c>
      <c r="F480" s="293"/>
      <c r="G480" s="141"/>
      <c r="H480" s="293"/>
      <c r="I480" s="141"/>
      <c r="J480" s="67">
        <f t="shared" si="235"/>
        <v>0</v>
      </c>
      <c r="K480" s="67"/>
      <c r="L480" s="934"/>
      <c r="M480" s="912"/>
      <c r="N480" s="141"/>
      <c r="O480" s="141"/>
      <c r="P480" s="141">
        <f t="shared" si="236"/>
        <v>0</v>
      </c>
      <c r="Q480" s="293" t="str">
        <f>'AJE CAJE Sept 24'!B75</f>
        <v>RLKS 2</v>
      </c>
      <c r="R480" s="141">
        <f>'AJE CAJE Sept 24'!J75</f>
        <v>0</v>
      </c>
      <c r="S480" s="293"/>
      <c r="T480" s="141"/>
      <c r="U480" s="67">
        <f t="shared" si="237"/>
        <v>0</v>
      </c>
      <c r="V480" s="103"/>
      <c r="W480" s="7">
        <v>0</v>
      </c>
      <c r="X480" s="820">
        <v>0</v>
      </c>
      <c r="Y480" s="27"/>
      <c r="Z480" s="27"/>
      <c r="AA480" s="7"/>
      <c r="AB480" s="7"/>
      <c r="AC480" s="7">
        <f t="shared" si="239"/>
        <v>0</v>
      </c>
      <c r="AD480" s="50"/>
      <c r="AE480" s="7"/>
      <c r="AF480" s="50"/>
      <c r="AG480" s="7"/>
      <c r="AH480" s="7">
        <f t="shared" si="238"/>
        <v>0</v>
      </c>
      <c r="AI480" s="27"/>
      <c r="AJ480" s="7">
        <v>0</v>
      </c>
      <c r="AK480" s="860">
        <v>0</v>
      </c>
      <c r="AL480" s="27"/>
      <c r="AM480" s="95"/>
      <c r="AN480" s="27">
        <v>0</v>
      </c>
    </row>
    <row r="481" spans="1:40">
      <c r="A481" s="34"/>
      <c r="B481" s="83" t="s">
        <v>382</v>
      </c>
      <c r="C481" s="141"/>
      <c r="D481" s="141">
        <v>9984777061</v>
      </c>
      <c r="E481" s="141">
        <f t="shared" si="234"/>
        <v>9984777061</v>
      </c>
      <c r="F481" s="293"/>
      <c r="G481" s="141"/>
      <c r="H481" s="293"/>
      <c r="I481" s="141"/>
      <c r="J481" s="67">
        <f>E481+G481-I481</f>
        <v>9984777061</v>
      </c>
      <c r="K481" s="67"/>
      <c r="L481" s="934"/>
      <c r="M481" s="912"/>
      <c r="N481" s="141"/>
      <c r="O481" s="141">
        <v>6639200650</v>
      </c>
      <c r="P481" s="141">
        <f t="shared" si="236"/>
        <v>6639200650</v>
      </c>
      <c r="Q481" s="293"/>
      <c r="R481" s="141"/>
      <c r="S481" s="293"/>
      <c r="T481" s="141"/>
      <c r="U481" s="67">
        <f t="shared" si="237"/>
        <v>6639200650</v>
      </c>
      <c r="V481" s="103"/>
      <c r="W481" s="7">
        <v>9144417786</v>
      </c>
      <c r="X481" s="820">
        <v>9144417786</v>
      </c>
      <c r="Y481" s="27">
        <f>W481-X481</f>
        <v>0</v>
      </c>
      <c r="Z481" s="27"/>
      <c r="AA481" s="7"/>
      <c r="AB481" s="7">
        <v>6294987446</v>
      </c>
      <c r="AC481" s="7">
        <f t="shared" si="239"/>
        <v>6294987446</v>
      </c>
      <c r="AD481" s="50"/>
      <c r="AE481" s="7"/>
      <c r="AF481" s="50"/>
      <c r="AG481" s="7"/>
      <c r="AH481" s="665">
        <f t="shared" si="238"/>
        <v>6294987446</v>
      </c>
      <c r="AI481" s="27"/>
      <c r="AJ481" s="7">
        <v>6124053152</v>
      </c>
      <c r="AK481" s="860">
        <v>6124053152</v>
      </c>
      <c r="AL481" s="27"/>
      <c r="AM481" s="95"/>
      <c r="AN481" s="27">
        <v>4019502945</v>
      </c>
    </row>
    <row r="482" spans="1:40">
      <c r="A482" s="34"/>
      <c r="B482" s="83" t="s">
        <v>383</v>
      </c>
      <c r="C482" s="141"/>
      <c r="D482" s="141">
        <v>5239977</v>
      </c>
      <c r="E482" s="141">
        <f t="shared" si="234"/>
        <v>5239977</v>
      </c>
      <c r="F482" s="293"/>
      <c r="G482" s="141"/>
      <c r="H482" s="293"/>
      <c r="I482" s="141"/>
      <c r="J482" s="67">
        <f>E482+G482-I482</f>
        <v>5239977</v>
      </c>
      <c r="K482" s="67"/>
      <c r="L482" s="934"/>
      <c r="M482" s="912"/>
      <c r="N482" s="141"/>
      <c r="O482" s="141">
        <v>4288654</v>
      </c>
      <c r="P482" s="141">
        <f t="shared" si="236"/>
        <v>4288654</v>
      </c>
      <c r="Q482" s="293"/>
      <c r="R482" s="141"/>
      <c r="S482" s="293"/>
      <c r="T482" s="141"/>
      <c r="U482" s="67">
        <f t="shared" si="237"/>
        <v>4288654</v>
      </c>
      <c r="V482" s="103"/>
      <c r="W482" s="7">
        <v>14124706</v>
      </c>
      <c r="X482" s="820">
        <v>14124706</v>
      </c>
      <c r="Y482" s="27">
        <f>W482-X482</f>
        <v>0</v>
      </c>
      <c r="Z482" s="27"/>
      <c r="AA482" s="7"/>
      <c r="AB482" s="7">
        <v>11383894</v>
      </c>
      <c r="AC482" s="7">
        <f t="shared" si="239"/>
        <v>11383894</v>
      </c>
      <c r="AD482" s="50"/>
      <c r="AE482" s="7"/>
      <c r="AF482" s="50"/>
      <c r="AG482" s="7"/>
      <c r="AH482" s="7">
        <f t="shared" si="238"/>
        <v>11383894</v>
      </c>
      <c r="AI482" s="27"/>
      <c r="AJ482" s="7">
        <v>19867531</v>
      </c>
      <c r="AK482" s="860">
        <v>19867531</v>
      </c>
      <c r="AL482" s="27"/>
      <c r="AM482" s="95"/>
      <c r="AN482" s="27">
        <v>0</v>
      </c>
    </row>
    <row r="483" spans="1:40">
      <c r="A483" s="34"/>
      <c r="B483" s="83" t="s">
        <v>1270</v>
      </c>
      <c r="C483" s="141"/>
      <c r="D483" s="141"/>
      <c r="E483" s="141">
        <f t="shared" si="234"/>
        <v>0</v>
      </c>
      <c r="F483" s="293"/>
      <c r="G483" s="141"/>
      <c r="H483" s="293" t="str">
        <f>'AJE CAJE Des 24'!A107</f>
        <v>CAJE 13</v>
      </c>
      <c r="I483" s="141">
        <f>'AJE CAJE Des 24'!I107</f>
        <v>824199778.11700904</v>
      </c>
      <c r="J483" s="67">
        <f t="shared" si="235"/>
        <v>-824199778.11700904</v>
      </c>
      <c r="K483" s="67"/>
      <c r="L483" s="934"/>
      <c r="M483" s="912"/>
      <c r="N483" s="141"/>
      <c r="O483" s="141"/>
      <c r="P483" s="141">
        <f t="shared" si="236"/>
        <v>0</v>
      </c>
      <c r="Q483" s="293"/>
      <c r="R483" s="141"/>
      <c r="S483" s="293"/>
      <c r="T483" s="141"/>
      <c r="U483" s="67">
        <f t="shared" si="237"/>
        <v>0</v>
      </c>
      <c r="V483" s="103"/>
      <c r="W483" s="7">
        <v>0</v>
      </c>
      <c r="X483" s="820">
        <v>0</v>
      </c>
      <c r="Y483" s="27"/>
      <c r="Z483" s="27"/>
      <c r="AA483" s="7"/>
      <c r="AB483" s="7"/>
      <c r="AC483" s="7">
        <f t="shared" si="239"/>
        <v>0</v>
      </c>
      <c r="AD483" s="50"/>
      <c r="AE483" s="7"/>
      <c r="AF483" s="50"/>
      <c r="AG483" s="7"/>
      <c r="AH483" s="7">
        <f t="shared" si="238"/>
        <v>0</v>
      </c>
      <c r="AI483" s="27"/>
      <c r="AJ483" s="7">
        <v>0</v>
      </c>
      <c r="AK483" s="860">
        <v>0</v>
      </c>
      <c r="AL483" s="27"/>
      <c r="AM483" s="95"/>
      <c r="AN483" s="27">
        <v>0</v>
      </c>
    </row>
    <row r="484" spans="1:40">
      <c r="A484" s="34"/>
      <c r="B484" s="83" t="s">
        <v>384</v>
      </c>
      <c r="C484" s="141"/>
      <c r="D484" s="141"/>
      <c r="E484" s="141">
        <f t="shared" si="234"/>
        <v>0</v>
      </c>
      <c r="F484" s="293"/>
      <c r="G484" s="141"/>
      <c r="H484" s="293"/>
      <c r="I484" s="141"/>
      <c r="J484" s="67">
        <f t="shared" si="235"/>
        <v>0</v>
      </c>
      <c r="K484" s="67"/>
      <c r="L484" s="934"/>
      <c r="M484" s="912"/>
      <c r="N484" s="141"/>
      <c r="O484" s="141"/>
      <c r="P484" s="141">
        <f t="shared" si="236"/>
        <v>0</v>
      </c>
      <c r="Q484" s="293"/>
      <c r="R484" s="141"/>
      <c r="S484" s="293"/>
      <c r="T484" s="141"/>
      <c r="U484" s="67">
        <f t="shared" si="237"/>
        <v>0</v>
      </c>
      <c r="V484" s="103"/>
      <c r="W484" s="7">
        <v>0</v>
      </c>
      <c r="X484" s="820">
        <v>0</v>
      </c>
      <c r="Y484" s="27"/>
      <c r="Z484" s="27"/>
      <c r="AA484" s="7"/>
      <c r="AB484" s="7"/>
      <c r="AC484" s="7">
        <f t="shared" si="239"/>
        <v>0</v>
      </c>
      <c r="AD484" s="50"/>
      <c r="AE484" s="7"/>
      <c r="AF484" s="50"/>
      <c r="AG484" s="7"/>
      <c r="AH484" s="7">
        <f t="shared" si="238"/>
        <v>0</v>
      </c>
      <c r="AI484" s="27"/>
      <c r="AJ484" s="7">
        <v>0</v>
      </c>
      <c r="AK484" s="860">
        <v>0</v>
      </c>
      <c r="AL484" s="27"/>
      <c r="AM484" s="95"/>
      <c r="AN484" s="27">
        <v>0</v>
      </c>
    </row>
    <row r="485" spans="1:40">
      <c r="A485" s="20"/>
      <c r="B485" s="20" t="s">
        <v>385</v>
      </c>
      <c r="C485" s="42"/>
      <c r="D485" s="42"/>
      <c r="E485" s="21">
        <f>SUM(E476:E484)</f>
        <v>10248491873.57</v>
      </c>
      <c r="F485" s="281"/>
      <c r="G485" s="42"/>
      <c r="H485" s="281"/>
      <c r="I485" s="42"/>
      <c r="J485" s="21">
        <f>SUM(J476:J484)</f>
        <v>9424292095.4529915</v>
      </c>
      <c r="K485" s="21"/>
      <c r="L485" s="797"/>
      <c r="M485" s="913"/>
      <c r="N485" s="42"/>
      <c r="O485" s="42"/>
      <c r="P485" s="21">
        <f>SUM(P476:P484)</f>
        <v>6706974369.9799995</v>
      </c>
      <c r="Q485" s="281"/>
      <c r="R485" s="42"/>
      <c r="S485" s="281"/>
      <c r="T485" s="42"/>
      <c r="U485" s="21">
        <f>SUM(U476:U484)</f>
        <v>6706974369.9799995</v>
      </c>
      <c r="V485" s="442"/>
      <c r="W485" s="21">
        <f>SUM(W476:W484)</f>
        <v>9352380744.6399994</v>
      </c>
      <c r="X485" s="791">
        <v>9352380744.6399994</v>
      </c>
      <c r="Y485" s="36">
        <f>W485-X485</f>
        <v>0</v>
      </c>
      <c r="Z485" s="36"/>
      <c r="AA485" s="21"/>
      <c r="AB485" s="21"/>
      <c r="AC485" s="21">
        <f>SUM(AC476:AC484)</f>
        <v>6430690328.8000002</v>
      </c>
      <c r="AD485" s="387"/>
      <c r="AE485" s="21"/>
      <c r="AF485" s="387"/>
      <c r="AG485" s="21"/>
      <c r="AH485" s="21">
        <f>SUM(AH476:AH484)</f>
        <v>6430690329</v>
      </c>
      <c r="AI485" s="36"/>
      <c r="AJ485" s="21">
        <f>SUM(AJ476:AJ484)</f>
        <v>6651524107</v>
      </c>
      <c r="AK485" s="838">
        <v>6651524107</v>
      </c>
      <c r="AL485" s="36"/>
      <c r="AM485" s="95"/>
      <c r="AN485" s="21">
        <f>SUM(AN476:AN484)</f>
        <v>4810236291</v>
      </c>
    </row>
    <row r="486" spans="1:40">
      <c r="A486" s="88"/>
      <c r="B486" s="58" t="s">
        <v>386</v>
      </c>
      <c r="C486" s="138"/>
      <c r="D486" s="138"/>
      <c r="E486" s="59">
        <f>E474-E485</f>
        <v>-11852814156.98</v>
      </c>
      <c r="F486" s="290"/>
      <c r="G486" s="138"/>
      <c r="H486" s="290"/>
      <c r="I486" s="138"/>
      <c r="J486" s="59">
        <f>J474-J485</f>
        <v>-11036798132.862991</v>
      </c>
      <c r="K486" s="59"/>
      <c r="L486" s="797"/>
      <c r="M486" s="924"/>
      <c r="N486" s="138"/>
      <c r="O486" s="138"/>
      <c r="P486" s="59">
        <f>P474-P485</f>
        <v>-5059356498.289999</v>
      </c>
      <c r="Q486" s="290"/>
      <c r="R486" s="138"/>
      <c r="S486" s="290"/>
      <c r="T486" s="138"/>
      <c r="U486" s="59">
        <f>U474-U485</f>
        <v>-5059356498.289999</v>
      </c>
      <c r="V486" s="450"/>
      <c r="W486" s="59">
        <f>W474-W485</f>
        <v>-9953465475.6399994</v>
      </c>
      <c r="X486" s="825">
        <v>-9953465475.6399994</v>
      </c>
      <c r="Y486" s="36">
        <f>W486-X486</f>
        <v>0</v>
      </c>
      <c r="Z486" s="36"/>
      <c r="AA486" s="59"/>
      <c r="AB486" s="59"/>
      <c r="AC486" s="59">
        <f>AC474-AC485</f>
        <v>-7134837282.4900007</v>
      </c>
      <c r="AD486" s="398"/>
      <c r="AE486" s="59"/>
      <c r="AF486" s="398"/>
      <c r="AG486" s="59"/>
      <c r="AH486" s="59">
        <f>AH474-AH485</f>
        <v>-7123798952</v>
      </c>
      <c r="AI486" s="36"/>
      <c r="AJ486" s="59">
        <f>AJ474-AJ485</f>
        <v>-7789998347.4214973</v>
      </c>
      <c r="AK486" s="866">
        <v>-7789998347.4214973</v>
      </c>
      <c r="AL486" s="36"/>
      <c r="AM486" s="95"/>
      <c r="AN486" s="59">
        <f>AN474-AN485</f>
        <v>-4934867514.9781055</v>
      </c>
    </row>
    <row r="487" spans="1:40">
      <c r="A487" s="45"/>
      <c r="B487" s="45" t="s">
        <v>387</v>
      </c>
      <c r="C487" s="128"/>
      <c r="D487" s="128"/>
      <c r="E487" s="46">
        <f>E467+E486</f>
        <v>2218506218.2999992</v>
      </c>
      <c r="F487" s="287"/>
      <c r="G487" s="128"/>
      <c r="H487" s="287"/>
      <c r="I487" s="128"/>
      <c r="J487" s="46">
        <f>J467+J486</f>
        <v>3076189784.440979</v>
      </c>
      <c r="K487" s="46"/>
      <c r="L487" s="937"/>
      <c r="M487" s="922"/>
      <c r="N487" s="128"/>
      <c r="O487" s="128"/>
      <c r="P487" s="46">
        <f>P467+P486</f>
        <v>-6376627118.4200001</v>
      </c>
      <c r="Q487" s="287"/>
      <c r="R487" s="128"/>
      <c r="S487" s="287"/>
      <c r="T487" s="128"/>
      <c r="U487" s="46">
        <f>U467+U486</f>
        <v>1978329582.3354969</v>
      </c>
      <c r="V487" s="448"/>
      <c r="W487" s="46">
        <f>W467+W486</f>
        <v>2011439434.3600006</v>
      </c>
      <c r="X487" s="826">
        <v>2011439434.3600006</v>
      </c>
      <c r="Y487" s="36">
        <f>W487-X487</f>
        <v>0</v>
      </c>
      <c r="Z487" s="36"/>
      <c r="AA487" s="46"/>
      <c r="AB487" s="46"/>
      <c r="AC487" s="46">
        <f>AC467+AC486</f>
        <v>930144465.02998066</v>
      </c>
      <c r="AD487" s="395"/>
      <c r="AE487" s="46"/>
      <c r="AF487" s="395"/>
      <c r="AG487" s="46"/>
      <c r="AH487" s="46">
        <f>AH467+AH486</f>
        <v>822650561</v>
      </c>
      <c r="AI487" s="370"/>
      <c r="AJ487" s="46">
        <f>AJ467+AJ486</f>
        <v>6644883327.9592934</v>
      </c>
      <c r="AK487" s="867">
        <v>6644883327.9593239</v>
      </c>
      <c r="AL487" s="370"/>
      <c r="AM487" s="95"/>
      <c r="AN487" s="46">
        <f>AN467+AN486</f>
        <v>4120517012.0610905</v>
      </c>
    </row>
    <row r="488" spans="1:40">
      <c r="A488" s="12" t="s">
        <v>388</v>
      </c>
      <c r="B488" s="89"/>
      <c r="C488" s="89"/>
      <c r="D488" s="89"/>
      <c r="E488" s="89"/>
      <c r="F488" s="280"/>
      <c r="G488" s="89"/>
      <c r="H488" s="280"/>
      <c r="I488" s="89"/>
      <c r="J488" s="89"/>
      <c r="K488" s="89"/>
      <c r="L488" s="933"/>
      <c r="M488" s="911"/>
      <c r="N488" s="89"/>
      <c r="O488" s="89"/>
      <c r="P488" s="89"/>
      <c r="Q488" s="280"/>
      <c r="R488" s="89"/>
      <c r="S488" s="280"/>
      <c r="T488" s="89"/>
      <c r="U488" s="89"/>
      <c r="V488" s="106"/>
      <c r="W488" s="7"/>
      <c r="X488" s="790"/>
      <c r="Y488" s="27"/>
      <c r="Z488" s="27"/>
      <c r="AA488" s="7"/>
      <c r="AB488" s="7"/>
      <c r="AC488" s="7"/>
      <c r="AD488" s="50"/>
      <c r="AE488" s="7"/>
      <c r="AF488" s="50"/>
      <c r="AG488" s="7"/>
      <c r="AH488" s="7"/>
      <c r="AI488" s="27"/>
      <c r="AJ488" s="7"/>
      <c r="AK488" s="837"/>
      <c r="AL488" s="27"/>
      <c r="AM488" s="95"/>
      <c r="AN488" s="7"/>
    </row>
    <row r="489" spans="1:40">
      <c r="A489" s="34"/>
      <c r="B489" s="35" t="s">
        <v>389</v>
      </c>
      <c r="C489" s="78"/>
      <c r="D489" s="78"/>
      <c r="E489" s="78">
        <f>D489</f>
        <v>0</v>
      </c>
      <c r="F489" s="280" t="str">
        <f>'AJE CAJE Des 24'!A110</f>
        <v>CAJE 14</v>
      </c>
      <c r="G489" s="78">
        <f>'AJE CAJE Des 24'!H110</f>
        <v>1135531100</v>
      </c>
      <c r="H489" s="280"/>
      <c r="I489" s="78"/>
      <c r="J489" s="67">
        <f>E489+G489-I489</f>
        <v>1135531100</v>
      </c>
      <c r="K489" s="67"/>
      <c r="L489" s="934"/>
      <c r="M489" s="912"/>
      <c r="N489" s="78"/>
      <c r="O489" s="78"/>
      <c r="P489" s="78">
        <f>O489</f>
        <v>0</v>
      </c>
      <c r="Q489" s="280" t="str">
        <f>'AJE CAJE Sept 24'!B59</f>
        <v>CAJE 12</v>
      </c>
      <c r="R489" s="78">
        <f>'AJE CAJE Sept 24'!I59</f>
        <v>1066942140</v>
      </c>
      <c r="S489" s="280"/>
      <c r="T489" s="78"/>
      <c r="U489" s="67">
        <f>P489+R489-T489</f>
        <v>1066942140</v>
      </c>
      <c r="V489" s="103"/>
      <c r="W489" s="833">
        <v>673327819.87</v>
      </c>
      <c r="X489" s="832">
        <v>647080925.69546688</v>
      </c>
      <c r="Y489" s="27">
        <f>W489-X489</f>
        <v>26246894.174533129</v>
      </c>
      <c r="Z489" s="27"/>
      <c r="AA489" s="7"/>
      <c r="AB489" s="7"/>
      <c r="AC489" s="7">
        <f>AB489</f>
        <v>0</v>
      </c>
      <c r="AD489" s="50" t="str">
        <f>'AJE CAJE Sept 23'!B67</f>
        <v>CAJE 13</v>
      </c>
      <c r="AE489" s="7">
        <f>'AJE CAJE Sept 23'!I67</f>
        <v>299497000</v>
      </c>
      <c r="AF489" s="50"/>
      <c r="AG489" s="7"/>
      <c r="AH489" s="7">
        <f>ROUND(AC489+AE489-AG489,0)</f>
        <v>299497000</v>
      </c>
      <c r="AI489" s="27"/>
      <c r="AJ489" s="7">
        <v>1515553820</v>
      </c>
      <c r="AK489" s="27">
        <v>1515553820</v>
      </c>
      <c r="AL489" s="27"/>
      <c r="AM489" s="95"/>
      <c r="AN489" s="27">
        <v>879111420.35991669</v>
      </c>
    </row>
    <row r="490" spans="1:40">
      <c r="A490" s="12" t="s">
        <v>390</v>
      </c>
      <c r="B490" s="12"/>
      <c r="C490" s="89"/>
      <c r="D490" s="89"/>
      <c r="E490" s="89"/>
      <c r="F490" s="280"/>
      <c r="G490" s="89"/>
      <c r="H490" s="280"/>
      <c r="I490" s="89"/>
      <c r="J490" s="89"/>
      <c r="K490" s="89"/>
      <c r="L490" s="933"/>
      <c r="M490" s="911"/>
      <c r="N490" s="89"/>
      <c r="O490" s="89"/>
      <c r="P490" s="89"/>
      <c r="Q490" s="280"/>
      <c r="R490" s="89"/>
      <c r="S490" s="280"/>
      <c r="T490" s="89"/>
      <c r="U490" s="89"/>
      <c r="V490" s="106"/>
      <c r="W490" s="7"/>
      <c r="X490" s="790"/>
      <c r="Y490" s="27">
        <v>26246894.174533099</v>
      </c>
      <c r="Z490" s="27"/>
      <c r="AA490" s="7"/>
      <c r="AB490" s="7"/>
      <c r="AC490" s="7"/>
      <c r="AD490" s="50"/>
      <c r="AE490" s="7"/>
      <c r="AF490" s="50"/>
      <c r="AG490" s="7"/>
      <c r="AH490" s="7"/>
      <c r="AI490" s="27"/>
      <c r="AJ490" s="7">
        <v>0</v>
      </c>
      <c r="AK490" s="7"/>
      <c r="AL490" s="27"/>
      <c r="AM490" s="95"/>
      <c r="AN490" s="7"/>
    </row>
    <row r="491" spans="1:40">
      <c r="A491" s="34"/>
      <c r="B491" s="26" t="s">
        <v>391</v>
      </c>
      <c r="C491" s="78"/>
      <c r="D491" s="78"/>
      <c r="E491" s="78">
        <f>D491</f>
        <v>0</v>
      </c>
      <c r="F491" s="280"/>
      <c r="G491" s="78"/>
      <c r="H491" s="280"/>
      <c r="I491" s="78"/>
      <c r="J491" s="67">
        <f>E491+G491-I491</f>
        <v>0</v>
      </c>
      <c r="K491" s="67"/>
      <c r="L491" s="934"/>
      <c r="M491" s="912"/>
      <c r="N491" s="78"/>
      <c r="O491" s="78"/>
      <c r="P491" s="78">
        <f>O491</f>
        <v>0</v>
      </c>
      <c r="Q491" s="280"/>
      <c r="R491" s="78"/>
      <c r="S491" s="280"/>
      <c r="T491" s="78"/>
      <c r="U491" s="67">
        <f>P491+R491-T491</f>
        <v>0</v>
      </c>
      <c r="V491" s="103"/>
      <c r="W491" s="7"/>
      <c r="X491" s="790"/>
      <c r="Y491" s="27"/>
      <c r="Z491" s="27"/>
      <c r="AA491" s="7"/>
      <c r="AB491" s="7"/>
      <c r="AC491" s="7">
        <f>AB491</f>
        <v>0</v>
      </c>
      <c r="AD491" s="50"/>
      <c r="AE491" s="7"/>
      <c r="AF491" s="50"/>
      <c r="AG491" s="7"/>
      <c r="AH491" s="7">
        <f t="shared" ref="AH491:AH492" si="240">ROUND(AC491+AE491-AG491,0)</f>
        <v>0</v>
      </c>
      <c r="AI491" s="27"/>
      <c r="AJ491" s="7">
        <v>0</v>
      </c>
      <c r="AK491" s="7"/>
      <c r="AL491" s="27"/>
      <c r="AM491" s="95"/>
      <c r="AN491" s="7"/>
    </row>
    <row r="492" spans="1:40">
      <c r="A492" s="34"/>
      <c r="B492" s="26" t="s">
        <v>392</v>
      </c>
      <c r="C492" s="78"/>
      <c r="D492" s="78"/>
      <c r="E492" s="78">
        <f>D492</f>
        <v>0</v>
      </c>
      <c r="F492" s="280"/>
      <c r="G492" s="78"/>
      <c r="H492" s="280"/>
      <c r="I492" s="78"/>
      <c r="J492" s="67">
        <f>E492+G492-I492</f>
        <v>0</v>
      </c>
      <c r="K492" s="67"/>
      <c r="L492" s="934"/>
      <c r="M492" s="912"/>
      <c r="N492" s="78"/>
      <c r="O492" s="78"/>
      <c r="P492" s="78">
        <f>O492</f>
        <v>0</v>
      </c>
      <c r="Q492" s="280"/>
      <c r="R492" s="78"/>
      <c r="S492" s="280"/>
      <c r="T492" s="78"/>
      <c r="U492" s="67">
        <f>P492+R492-T492</f>
        <v>0</v>
      </c>
      <c r="V492" s="103"/>
      <c r="W492" s="833">
        <v>-61828680.772033125</v>
      </c>
      <c r="X492" s="806">
        <v>-35581786.597500004</v>
      </c>
      <c r="Y492" s="27">
        <f>W492-X492</f>
        <v>-26246894.174533121</v>
      </c>
      <c r="Z492" s="27"/>
      <c r="AA492" s="7"/>
      <c r="AB492" s="7"/>
      <c r="AC492" s="7">
        <f>AB492</f>
        <v>0</v>
      </c>
      <c r="AD492" s="50"/>
      <c r="AE492" s="7"/>
      <c r="AF492" s="50"/>
      <c r="AG492" s="7"/>
      <c r="AH492" s="7">
        <f t="shared" si="240"/>
        <v>0</v>
      </c>
      <c r="AI492" s="27"/>
      <c r="AJ492" s="7">
        <v>-81839521.499229476</v>
      </c>
      <c r="AK492" s="7"/>
      <c r="AL492" s="27"/>
      <c r="AM492" s="95"/>
      <c r="AN492" s="27">
        <v>93846379.31268318</v>
      </c>
    </row>
    <row r="493" spans="1:40">
      <c r="A493" s="20"/>
      <c r="B493" s="20" t="s">
        <v>393</v>
      </c>
      <c r="C493" s="42"/>
      <c r="D493" s="42"/>
      <c r="E493" s="21">
        <f>SUM(E489:E492)</f>
        <v>0</v>
      </c>
      <c r="F493" s="281"/>
      <c r="G493" s="42"/>
      <c r="H493" s="281"/>
      <c r="I493" s="42"/>
      <c r="J493" s="21">
        <f>SUM(J489:J492)</f>
        <v>1135531100</v>
      </c>
      <c r="K493" s="21"/>
      <c r="L493" s="797"/>
      <c r="M493" s="913"/>
      <c r="N493" s="42"/>
      <c r="O493" s="42"/>
      <c r="P493" s="21">
        <f>SUM(P489:P492)</f>
        <v>0</v>
      </c>
      <c r="Q493" s="281"/>
      <c r="R493" s="42"/>
      <c r="S493" s="281"/>
      <c r="T493" s="42"/>
      <c r="U493" s="21">
        <f>SUM(U489:U492)</f>
        <v>1066942140</v>
      </c>
      <c r="V493" s="442"/>
      <c r="W493" s="21">
        <f>SUM(W489:W492)</f>
        <v>611499139.09796691</v>
      </c>
      <c r="X493" s="795">
        <v>611499139.09796691</v>
      </c>
      <c r="Y493" s="27">
        <f>W493-X493</f>
        <v>0</v>
      </c>
      <c r="Z493" s="27"/>
      <c r="AA493" s="21"/>
      <c r="AB493" s="21"/>
      <c r="AC493" s="21">
        <f>SUM(AC489:AC492)</f>
        <v>0</v>
      </c>
      <c r="AD493" s="387"/>
      <c r="AE493" s="21"/>
      <c r="AF493" s="387"/>
      <c r="AG493" s="21"/>
      <c r="AH493" s="21">
        <f>SUM(AH489:AH492)</f>
        <v>299497000</v>
      </c>
      <c r="AI493" s="36"/>
      <c r="AJ493" s="21">
        <f>SUM(AJ489:AJ492)</f>
        <v>1433714298.5007706</v>
      </c>
      <c r="AK493" s="27">
        <v>-81839521.499229476</v>
      </c>
      <c r="AL493" s="36"/>
      <c r="AM493" s="95"/>
      <c r="AN493" s="21">
        <f>-AN489+AN492</f>
        <v>-785265041.04723346</v>
      </c>
    </row>
    <row r="494" spans="1:40">
      <c r="A494" s="12"/>
      <c r="B494" s="12"/>
      <c r="C494" s="89"/>
      <c r="D494" s="89"/>
      <c r="E494" s="68"/>
      <c r="F494" s="280"/>
      <c r="G494" s="89"/>
      <c r="H494" s="280"/>
      <c r="I494" s="89"/>
      <c r="J494" s="68"/>
      <c r="K494" s="68"/>
      <c r="L494" s="797"/>
      <c r="M494" s="923"/>
      <c r="N494" s="89"/>
      <c r="O494" s="89"/>
      <c r="P494" s="68"/>
      <c r="Q494" s="280"/>
      <c r="R494" s="89"/>
      <c r="S494" s="280"/>
      <c r="T494" s="89"/>
      <c r="U494" s="68"/>
      <c r="V494" s="449"/>
      <c r="W494" s="68"/>
      <c r="X494" s="818"/>
      <c r="Y494" s="36"/>
      <c r="Z494" s="36"/>
      <c r="AA494" s="68"/>
      <c r="AB494" s="68"/>
      <c r="AC494" s="68"/>
      <c r="AD494" s="50"/>
      <c r="AE494" s="68"/>
      <c r="AF494" s="50"/>
      <c r="AG494" s="68"/>
      <c r="AH494" s="68"/>
      <c r="AI494" s="36"/>
      <c r="AJ494" s="68"/>
      <c r="AK494" s="868"/>
      <c r="AL494" s="36"/>
      <c r="AM494" s="95"/>
      <c r="AN494" s="68"/>
    </row>
    <row r="495" spans="1:40">
      <c r="A495" s="90"/>
      <c r="B495" s="90" t="s">
        <v>394</v>
      </c>
      <c r="C495" s="144"/>
      <c r="D495" s="144"/>
      <c r="E495" s="91">
        <f>E487-E493</f>
        <v>2218506218.2999992</v>
      </c>
      <c r="F495" s="295"/>
      <c r="G495" s="144"/>
      <c r="H495" s="295"/>
      <c r="I495" s="144"/>
      <c r="J495" s="91">
        <f>J487-J493</f>
        <v>1940658684.440979</v>
      </c>
      <c r="K495" s="91"/>
      <c r="L495" s="937"/>
      <c r="M495" s="932"/>
      <c r="N495" s="144"/>
      <c r="O495" s="144"/>
      <c r="P495" s="91">
        <f>P487-P493</f>
        <v>-6376627118.4200001</v>
      </c>
      <c r="Q495" s="295"/>
      <c r="R495" s="144"/>
      <c r="S495" s="295"/>
      <c r="T495" s="144"/>
      <c r="U495" s="91">
        <f>U487-U493</f>
        <v>911387442.3354969</v>
      </c>
      <c r="V495" s="456"/>
      <c r="W495" s="91">
        <f>W487-W493</f>
        <v>1399940295.2620337</v>
      </c>
      <c r="X495" s="827">
        <v>1399940295.2620337</v>
      </c>
      <c r="Y495" s="27">
        <f>W495-X495</f>
        <v>0</v>
      </c>
      <c r="Z495" s="27"/>
      <c r="AA495" s="46"/>
      <c r="AB495" s="46"/>
      <c r="AC495" s="46">
        <f>AC487-AC493</f>
        <v>930144465.02998066</v>
      </c>
      <c r="AD495" s="395"/>
      <c r="AE495" s="46"/>
      <c r="AF495" s="395"/>
      <c r="AG495" s="46"/>
      <c r="AH495" s="46">
        <f>AH487-AH493</f>
        <v>523153561</v>
      </c>
      <c r="AI495" s="370"/>
      <c r="AJ495" s="91">
        <f>AJ487-AJ493</f>
        <v>5211169029.4585228</v>
      </c>
      <c r="AK495" s="851"/>
      <c r="AL495" s="370"/>
      <c r="AM495" s="95"/>
      <c r="AN495" s="91">
        <f>AN487+AN493</f>
        <v>3335251971.0138569</v>
      </c>
    </row>
    <row r="496" spans="1:40">
      <c r="A496" s="12" t="s">
        <v>395</v>
      </c>
      <c r="B496" s="12"/>
      <c r="C496" s="89"/>
      <c r="D496" s="89"/>
      <c r="E496" s="89"/>
      <c r="F496" s="280"/>
      <c r="G496" s="89"/>
      <c r="H496" s="280"/>
      <c r="I496" s="89"/>
      <c r="J496" s="89"/>
      <c r="K496" s="89"/>
      <c r="L496" s="933"/>
      <c r="M496" s="911"/>
      <c r="N496" s="89"/>
      <c r="O496" s="89"/>
      <c r="P496" s="89"/>
      <c r="Q496" s="280"/>
      <c r="R496" s="89"/>
      <c r="S496" s="280"/>
      <c r="T496" s="89"/>
      <c r="U496" s="89"/>
      <c r="V496" s="106"/>
      <c r="W496" s="7"/>
      <c r="X496" s="790"/>
      <c r="Y496" s="27"/>
      <c r="Z496" s="27"/>
      <c r="AA496" s="7"/>
      <c r="AB496" s="7"/>
      <c r="AC496" s="7"/>
      <c r="AD496" s="50"/>
      <c r="AE496" s="7"/>
      <c r="AF496" s="50"/>
      <c r="AG496" s="7"/>
      <c r="AH496" s="7"/>
      <c r="AI496" s="27"/>
      <c r="AJ496" s="7"/>
      <c r="AK496" s="843">
        <v>1433714298.5007706</v>
      </c>
      <c r="AL496" s="27"/>
      <c r="AM496" s="95"/>
      <c r="AN496" s="7"/>
    </row>
    <row r="497" spans="1:40">
      <c r="A497" s="34"/>
      <c r="B497" s="26" t="s">
        <v>395</v>
      </c>
      <c r="C497" s="78"/>
      <c r="D497" s="78"/>
      <c r="E497" s="78">
        <f>D497</f>
        <v>0</v>
      </c>
      <c r="F497" s="280"/>
      <c r="G497" s="78"/>
      <c r="H497" s="280"/>
      <c r="I497" s="78"/>
      <c r="J497" s="67">
        <f>E497+G497-I497</f>
        <v>0</v>
      </c>
      <c r="K497" s="67"/>
      <c r="L497" s="934"/>
      <c r="M497" s="912"/>
      <c r="N497" s="78"/>
      <c r="O497" s="78"/>
      <c r="P497" s="78">
        <f>O497</f>
        <v>0</v>
      </c>
      <c r="Q497" s="280"/>
      <c r="R497" s="78"/>
      <c r="S497" s="280"/>
      <c r="T497" s="78"/>
      <c r="U497" s="67">
        <f>P497+R497-T497</f>
        <v>0</v>
      </c>
      <c r="V497" s="103"/>
      <c r="W497" s="7">
        <v>-5379083</v>
      </c>
      <c r="X497" s="790">
        <v>-5379083</v>
      </c>
      <c r="Y497" s="27">
        <f>W497-X497</f>
        <v>0</v>
      </c>
      <c r="Z497" s="27"/>
      <c r="AA497" s="7"/>
      <c r="AB497" s="7"/>
      <c r="AC497" s="7">
        <f>AB497</f>
        <v>0</v>
      </c>
      <c r="AD497" s="50"/>
      <c r="AE497" s="7"/>
      <c r="AF497" s="50"/>
      <c r="AG497" s="7"/>
      <c r="AH497" s="7">
        <f>ROUND(AC497+AE497-AG497,0)</f>
        <v>0</v>
      </c>
      <c r="AI497" s="27"/>
      <c r="AJ497" s="7">
        <v>156702531</v>
      </c>
      <c r="AK497" s="861"/>
      <c r="AL497" s="27"/>
      <c r="AM497" s="95"/>
      <c r="AN497" s="7">
        <v>27264083</v>
      </c>
    </row>
    <row r="498" spans="1:40">
      <c r="A498" s="20"/>
      <c r="B498" s="20" t="s">
        <v>396</v>
      </c>
      <c r="C498" s="42"/>
      <c r="D498" s="42"/>
      <c r="E498" s="21">
        <f>E497</f>
        <v>0</v>
      </c>
      <c r="F498" s="281"/>
      <c r="G498" s="42"/>
      <c r="H498" s="281"/>
      <c r="I498" s="42"/>
      <c r="J498" s="21">
        <f>J497</f>
        <v>0</v>
      </c>
      <c r="K498" s="21"/>
      <c r="L498" s="797"/>
      <c r="M498" s="913"/>
      <c r="N498" s="42"/>
      <c r="O498" s="42"/>
      <c r="P498" s="21">
        <f>P497</f>
        <v>0</v>
      </c>
      <c r="Q498" s="281"/>
      <c r="R498" s="42"/>
      <c r="S498" s="281"/>
      <c r="T498" s="42"/>
      <c r="U498" s="21">
        <f>U497</f>
        <v>0</v>
      </c>
      <c r="V498" s="442"/>
      <c r="W498" s="21">
        <f>W497</f>
        <v>-5379083</v>
      </c>
      <c r="X498" s="791">
        <v>-5379083</v>
      </c>
      <c r="Y498" s="27">
        <f>W498-X498</f>
        <v>0</v>
      </c>
      <c r="Z498" s="27"/>
      <c r="AA498" s="21"/>
      <c r="AB498" s="21"/>
      <c r="AC498" s="21">
        <f>AC497</f>
        <v>0</v>
      </c>
      <c r="AD498" s="387"/>
      <c r="AE498" s="21"/>
      <c r="AF498" s="387"/>
      <c r="AG498" s="21"/>
      <c r="AH498" s="21">
        <f>AH497</f>
        <v>0</v>
      </c>
      <c r="AI498" s="36"/>
      <c r="AJ498" s="21">
        <v>156702531</v>
      </c>
      <c r="AK498" s="869">
        <v>5211169029.4585533</v>
      </c>
      <c r="AL498" s="36"/>
      <c r="AM498" s="95"/>
      <c r="AN498" s="21">
        <v>27264083</v>
      </c>
    </row>
    <row r="499" spans="1:40">
      <c r="A499" s="12" t="s">
        <v>390</v>
      </c>
      <c r="B499" s="12"/>
      <c r="C499" s="89"/>
      <c r="D499" s="89"/>
      <c r="E499" s="89"/>
      <c r="F499" s="280"/>
      <c r="G499" s="89"/>
      <c r="H499" s="280"/>
      <c r="I499" s="89"/>
      <c r="J499" s="89"/>
      <c r="K499" s="89"/>
      <c r="L499" s="933"/>
      <c r="M499" s="911"/>
      <c r="N499" s="89"/>
      <c r="O499" s="89"/>
      <c r="P499" s="89"/>
      <c r="Q499" s="280"/>
      <c r="R499" s="89"/>
      <c r="S499" s="280"/>
      <c r="T499" s="89"/>
      <c r="U499" s="89"/>
      <c r="V499" s="106"/>
      <c r="W499" s="7"/>
      <c r="X499" s="790"/>
      <c r="Y499" s="27"/>
      <c r="Z499" s="27"/>
      <c r="AA499" s="7"/>
      <c r="AB499" s="7"/>
      <c r="AC499" s="7"/>
      <c r="AD499" s="50"/>
      <c r="AE499" s="7"/>
      <c r="AF499" s="50"/>
      <c r="AG499" s="7"/>
      <c r="AH499" s="7"/>
      <c r="AI499" s="27"/>
      <c r="AJ499" s="7"/>
      <c r="AK499" s="837"/>
      <c r="AL499" s="27"/>
      <c r="AM499" s="95"/>
      <c r="AN499" s="7"/>
    </row>
    <row r="500" spans="1:40">
      <c r="A500" s="34"/>
      <c r="B500" s="26" t="s">
        <v>397</v>
      </c>
      <c r="C500" s="78"/>
      <c r="D500" s="78"/>
      <c r="E500" s="78">
        <f>D500</f>
        <v>0</v>
      </c>
      <c r="F500" s="280"/>
      <c r="G500" s="78"/>
      <c r="H500" s="280"/>
      <c r="I500" s="78"/>
      <c r="J500" s="67">
        <f>E500+G500-I500</f>
        <v>0</v>
      </c>
      <c r="K500" s="67"/>
      <c r="L500" s="934"/>
      <c r="M500" s="912"/>
      <c r="N500" s="78"/>
      <c r="O500" s="78"/>
      <c r="P500" s="78">
        <f>O500</f>
        <v>0</v>
      </c>
      <c r="Q500" s="280"/>
      <c r="R500" s="78"/>
      <c r="S500" s="280"/>
      <c r="T500" s="78"/>
      <c r="U500" s="67">
        <f>P500+R500-T500</f>
        <v>0</v>
      </c>
      <c r="V500" s="103"/>
      <c r="W500" s="27">
        <v>-1183398.26</v>
      </c>
      <c r="X500" s="820">
        <v>-1183398.26</v>
      </c>
      <c r="Y500" s="27">
        <f>W500-X500</f>
        <v>0</v>
      </c>
      <c r="Z500" s="27"/>
      <c r="AA500" s="27"/>
      <c r="AB500" s="27"/>
      <c r="AC500" s="27">
        <f>AB500</f>
        <v>0</v>
      </c>
      <c r="AD500" s="371"/>
      <c r="AE500" s="27"/>
      <c r="AF500" s="371"/>
      <c r="AG500" s="27"/>
      <c r="AH500" s="7">
        <f>ROUND(AC500+AE500-AG500,0)</f>
        <v>0</v>
      </c>
      <c r="AI500" s="27"/>
      <c r="AJ500" s="27">
        <v>34474556.82</v>
      </c>
      <c r="AK500" s="7">
        <v>156702531</v>
      </c>
      <c r="AL500" s="27"/>
      <c r="AM500" s="95"/>
      <c r="AN500" s="27">
        <v>5998098</v>
      </c>
    </row>
    <row r="501" spans="1:40">
      <c r="A501" s="20"/>
      <c r="B501" s="20" t="s">
        <v>393</v>
      </c>
      <c r="C501" s="42"/>
      <c r="D501" s="42"/>
      <c r="E501" s="21">
        <f>E500</f>
        <v>0</v>
      </c>
      <c r="F501" s="281"/>
      <c r="G501" s="42"/>
      <c r="H501" s="281"/>
      <c r="I501" s="42"/>
      <c r="J501" s="21">
        <f>J500</f>
        <v>0</v>
      </c>
      <c r="K501" s="21"/>
      <c r="L501" s="797"/>
      <c r="M501" s="913"/>
      <c r="N501" s="42"/>
      <c r="O501" s="42"/>
      <c r="P501" s="21">
        <f>P500</f>
        <v>0</v>
      </c>
      <c r="Q501" s="281"/>
      <c r="R501" s="42"/>
      <c r="S501" s="281"/>
      <c r="T501" s="42"/>
      <c r="U501" s="21">
        <f>U500</f>
        <v>0</v>
      </c>
      <c r="V501" s="442"/>
      <c r="W501" s="21">
        <f>W500</f>
        <v>-1183398.26</v>
      </c>
      <c r="X501" s="791">
        <v>-1183398.26</v>
      </c>
      <c r="Y501" s="27">
        <f>W501-X501</f>
        <v>0</v>
      </c>
      <c r="Z501" s="27"/>
      <c r="AA501" s="21"/>
      <c r="AB501" s="21"/>
      <c r="AC501" s="21">
        <f>AC500</f>
        <v>0</v>
      </c>
      <c r="AD501" s="387"/>
      <c r="AE501" s="21"/>
      <c r="AF501" s="387"/>
      <c r="AG501" s="21"/>
      <c r="AH501" s="21">
        <f>AH500</f>
        <v>0</v>
      </c>
      <c r="AI501" s="36"/>
      <c r="AJ501" s="21">
        <v>34474556.82</v>
      </c>
      <c r="AK501" s="838">
        <v>156702531</v>
      </c>
      <c r="AL501" s="36"/>
      <c r="AM501" s="95"/>
      <c r="AN501" s="21">
        <v>5998098</v>
      </c>
    </row>
    <row r="502" spans="1:40">
      <c r="A502" s="34"/>
      <c r="B502" s="26"/>
      <c r="C502" s="78"/>
      <c r="D502" s="78"/>
      <c r="E502" s="78"/>
      <c r="F502" s="280"/>
      <c r="G502" s="78"/>
      <c r="H502" s="280"/>
      <c r="I502" s="78"/>
      <c r="J502" s="78"/>
      <c r="K502" s="78"/>
      <c r="L502" s="936"/>
      <c r="M502" s="917"/>
      <c r="N502" s="78"/>
      <c r="O502" s="78"/>
      <c r="P502" s="78"/>
      <c r="Q502" s="280"/>
      <c r="R502" s="78"/>
      <c r="S502" s="280"/>
      <c r="T502" s="78"/>
      <c r="U502" s="78"/>
      <c r="V502" s="105"/>
      <c r="W502" s="7"/>
      <c r="X502" s="790"/>
      <c r="Y502" s="27"/>
      <c r="Z502" s="27"/>
      <c r="AA502" s="7"/>
      <c r="AB502" s="7"/>
      <c r="AC502" s="7"/>
      <c r="AD502" s="50"/>
      <c r="AE502" s="7"/>
      <c r="AF502" s="50"/>
      <c r="AG502" s="7"/>
      <c r="AH502" s="7"/>
      <c r="AI502" s="27"/>
      <c r="AJ502" s="7"/>
      <c r="AK502" s="837"/>
      <c r="AL502" s="27"/>
      <c r="AM502" s="95"/>
      <c r="AN502" s="7"/>
    </row>
    <row r="503" spans="1:40">
      <c r="A503" s="90"/>
      <c r="B503" s="90" t="s">
        <v>145</v>
      </c>
      <c r="C503" s="144"/>
      <c r="D503" s="144"/>
      <c r="E503" s="91">
        <f>E495+E498-E501</f>
        <v>2218506218.2999992</v>
      </c>
      <c r="F503" s="295"/>
      <c r="G503" s="144"/>
      <c r="H503" s="295"/>
      <c r="I503" s="144"/>
      <c r="J503" s="91">
        <f>J495+J498-J501</f>
        <v>1940658684.440979</v>
      </c>
      <c r="K503" s="91"/>
      <c r="L503" s="937"/>
      <c r="M503" s="932"/>
      <c r="N503" s="144"/>
      <c r="O503" s="144"/>
      <c r="P503" s="91">
        <f>P495+P498-P501</f>
        <v>-6376627118.4200001</v>
      </c>
      <c r="Q503" s="295"/>
      <c r="R503" s="144"/>
      <c r="S503" s="295"/>
      <c r="T503" s="144"/>
      <c r="U503" s="91">
        <f>U495+U498-U501</f>
        <v>911387442.3354969</v>
      </c>
      <c r="V503" s="456"/>
      <c r="W503" s="91">
        <f>W495+W498-W501</f>
        <v>1395744610.5220337</v>
      </c>
      <c r="X503" s="828">
        <v>1395744610.5220337</v>
      </c>
      <c r="Y503" s="27">
        <f>W503-X503</f>
        <v>0</v>
      </c>
      <c r="Z503" s="27"/>
      <c r="AA503" s="46"/>
      <c r="AB503" s="46"/>
      <c r="AC503" s="46">
        <f>AC495+AC498-AC501</f>
        <v>930144465.02998066</v>
      </c>
      <c r="AD503" s="395"/>
      <c r="AE503" s="46"/>
      <c r="AF503" s="395"/>
      <c r="AG503" s="46"/>
      <c r="AH503" s="46">
        <f>AH495+AH498-AH501</f>
        <v>523153561</v>
      </c>
      <c r="AI503" s="370"/>
      <c r="AJ503" s="91">
        <f>AJ495+AJ498-AJ501</f>
        <v>5333397003.6385231</v>
      </c>
      <c r="AK503" s="860">
        <v>34474556.82</v>
      </c>
      <c r="AL503" s="370"/>
      <c r="AM503" s="95"/>
      <c r="AN503" s="91">
        <f>AN495+AN498-AN501</f>
        <v>3356517956.0138569</v>
      </c>
    </row>
    <row r="504" spans="1:40">
      <c r="D504" s="269"/>
      <c r="E504" s="111">
        <v>2199137778.5599976</v>
      </c>
      <c r="O504" s="269"/>
      <c r="P504" s="111">
        <v>-7478922879.8100586</v>
      </c>
      <c r="AC504" s="9">
        <v>934783375.48007202</v>
      </c>
      <c r="AK504" s="838">
        <v>34474556.82</v>
      </c>
    </row>
    <row r="505" spans="1:40">
      <c r="E505" s="111">
        <f>E503-E504</f>
        <v>19368439.740001678</v>
      </c>
      <c r="P505" s="111">
        <f>P503-P504</f>
        <v>1102295761.3900585</v>
      </c>
      <c r="AC505" s="9">
        <f>AC503-AC504</f>
        <v>-4638910.450091362</v>
      </c>
      <c r="AK505" s="837"/>
    </row>
    <row r="506" spans="1:40">
      <c r="AK506" s="870">
        <v>5333397003.6385536</v>
      </c>
    </row>
  </sheetData>
  <mergeCells count="5">
    <mergeCell ref="A11:A12"/>
    <mergeCell ref="B11:B12"/>
    <mergeCell ref="Q11:T11"/>
    <mergeCell ref="AD11:AG11"/>
    <mergeCell ref="F11:I11"/>
  </mergeCells>
  <pageMargins left="0.7" right="0.7" top="0.75" bottom="0.75" header="0.3" footer="0.3"/>
  <pageSetup orientation="portrait" horizontalDpi="360" verticalDpi="36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7D09-F9B5-4AD1-A4EA-45052529DC1B}">
  <sheetPr>
    <tabColor theme="4" tint="-0.249977111117893"/>
  </sheetPr>
  <dimension ref="A1:Q102"/>
  <sheetViews>
    <sheetView showGridLines="0" workbookViewId="0">
      <pane xSplit="7" ySplit="10" topLeftCell="H84" activePane="bottomRight" state="frozen"/>
      <selection pane="topRight" activeCell="H1" sqref="H1"/>
      <selection pane="bottomLeft" activeCell="A11" sqref="A11"/>
      <selection pane="bottomRight" activeCell="H87" sqref="H87"/>
    </sheetView>
  </sheetViews>
  <sheetFormatPr defaultColWidth="8.81640625" defaultRowHeight="14.5"/>
  <cols>
    <col min="1" max="2" width="1.54296875" style="152" customWidth="1"/>
    <col min="3" max="3" width="26.26953125" style="152" customWidth="1"/>
    <col min="4" max="4" width="2.453125" style="153" customWidth="1"/>
    <col min="5" max="5" width="0.81640625" style="153" customWidth="1"/>
    <col min="6" max="6" width="8.453125" style="153" bestFit="1" customWidth="1"/>
    <col min="7" max="7" width="0.81640625" style="153" customWidth="1"/>
    <col min="8" max="8" width="14.26953125" style="153" bestFit="1" customWidth="1"/>
    <col min="9" max="9" width="0.81640625" style="153" hidden="1" customWidth="1"/>
    <col min="10" max="10" width="14.26953125" style="153" hidden="1" customWidth="1"/>
    <col min="11" max="11" width="1.81640625" style="153" customWidth="1"/>
    <col min="12" max="12" width="15.54296875" style="153" bestFit="1" customWidth="1"/>
    <col min="13" max="13" width="3.81640625" style="147" customWidth="1"/>
    <col min="14" max="14" width="2.26953125" style="157" customWidth="1"/>
    <col min="15" max="15" width="32.6328125" style="157" customWidth="1"/>
    <col min="16" max="16" width="17" style="147" bestFit="1" customWidth="1"/>
    <col min="17" max="17" width="15.81640625" style="147" bestFit="1" customWidth="1"/>
    <col min="18" max="16384" width="8.81640625" style="147"/>
  </cols>
  <sheetData>
    <row r="1" spans="1:17">
      <c r="A1" s="966" t="s">
        <v>411</v>
      </c>
      <c r="B1" s="966"/>
      <c r="C1" s="966"/>
      <c r="D1" s="966"/>
      <c r="E1" s="966"/>
      <c r="F1" s="966"/>
      <c r="G1" s="966"/>
      <c r="H1" s="966"/>
      <c r="I1" s="966"/>
      <c r="J1" s="966"/>
      <c r="K1" s="966"/>
      <c r="L1" s="966"/>
      <c r="N1" s="148"/>
      <c r="O1" s="148"/>
      <c r="Q1" s="881"/>
    </row>
    <row r="2" spans="1:17">
      <c r="A2" s="966" t="s">
        <v>412</v>
      </c>
      <c r="B2" s="966"/>
      <c r="C2" s="966"/>
      <c r="D2" s="966"/>
      <c r="E2" s="966"/>
      <c r="F2" s="966"/>
      <c r="G2" s="966"/>
      <c r="H2" s="966"/>
      <c r="I2" s="966"/>
      <c r="J2" s="966"/>
      <c r="K2" s="966"/>
      <c r="L2" s="966"/>
      <c r="N2" s="148"/>
      <c r="O2" s="148"/>
      <c r="Q2" s="881"/>
    </row>
    <row r="3" spans="1:17">
      <c r="A3" s="966" t="s">
        <v>1055</v>
      </c>
      <c r="B3" s="966"/>
      <c r="C3" s="966"/>
      <c r="D3" s="966"/>
      <c r="E3" s="966"/>
      <c r="F3" s="966"/>
      <c r="G3" s="966"/>
      <c r="H3" s="966"/>
      <c r="I3" s="966"/>
      <c r="J3" s="966"/>
      <c r="K3" s="966"/>
      <c r="L3" s="966"/>
      <c r="N3" s="148"/>
      <c r="O3" s="148"/>
    </row>
    <row r="4" spans="1:17">
      <c r="A4" s="966" t="s">
        <v>413</v>
      </c>
      <c r="B4" s="966"/>
      <c r="C4" s="966"/>
      <c r="D4" s="966"/>
      <c r="E4" s="966"/>
      <c r="F4" s="966"/>
      <c r="G4" s="966"/>
      <c r="H4" s="966"/>
      <c r="I4" s="966"/>
      <c r="J4" s="966"/>
      <c r="K4" s="966"/>
      <c r="L4" s="966"/>
      <c r="N4" s="148"/>
      <c r="O4" s="148"/>
    </row>
    <row r="5" spans="1:17">
      <c r="A5" s="146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50"/>
      <c r="N5" s="148"/>
      <c r="O5" s="148"/>
    </row>
    <row r="6" spans="1:17" ht="13.5" customHeight="1">
      <c r="A6" s="151"/>
      <c r="F6" s="154" t="s">
        <v>414</v>
      </c>
      <c r="L6" s="155"/>
      <c r="N6" s="156"/>
    </row>
    <row r="7" spans="1:17" hidden="1">
      <c r="D7" s="154"/>
      <c r="E7" s="154"/>
      <c r="F7" s="158" t="s">
        <v>415</v>
      </c>
      <c r="G7" s="154"/>
      <c r="H7" s="154"/>
      <c r="I7" s="154"/>
      <c r="J7" s="154"/>
      <c r="K7" s="154"/>
      <c r="L7" s="154"/>
    </row>
    <row r="8" spans="1:17" hidden="1">
      <c r="A8" s="151"/>
      <c r="N8" s="156"/>
    </row>
    <row r="9" spans="1:17" hidden="1">
      <c r="A9" s="151"/>
      <c r="N9" s="156"/>
    </row>
    <row r="10" spans="1:17">
      <c r="D10" s="154"/>
      <c r="E10" s="154"/>
      <c r="F10" s="160" t="s">
        <v>416</v>
      </c>
      <c r="G10" s="154"/>
      <c r="H10" s="161">
        <v>2024</v>
      </c>
      <c r="I10" s="154"/>
      <c r="J10" s="207">
        <v>45536</v>
      </c>
      <c r="K10" s="154"/>
      <c r="L10" s="161">
        <v>2023</v>
      </c>
    </row>
    <row r="11" spans="1:17">
      <c r="A11" s="151"/>
      <c r="L11" s="159"/>
      <c r="N11" s="156"/>
    </row>
    <row r="12" spans="1:17" ht="13.5" customHeight="1">
      <c r="A12" s="151" t="s">
        <v>418</v>
      </c>
      <c r="L12" s="159"/>
      <c r="N12" s="156" t="s">
        <v>7</v>
      </c>
    </row>
    <row r="13" spans="1:17" ht="13.5" customHeight="1">
      <c r="A13" s="151" t="s">
        <v>419</v>
      </c>
      <c r="L13" s="159"/>
      <c r="N13" s="156" t="s">
        <v>420</v>
      </c>
    </row>
    <row r="14" spans="1:17" ht="13.5" customHeight="1">
      <c r="A14" s="152" t="s">
        <v>421</v>
      </c>
      <c r="F14" s="153">
        <v>4</v>
      </c>
      <c r="H14" s="162">
        <f>WS!J43</f>
        <v>420682221.70998776</v>
      </c>
      <c r="J14" s="162">
        <f>WS!U43</f>
        <v>11398024861.483475</v>
      </c>
      <c r="L14" s="162">
        <f>WS!W43</f>
        <v>2159354956</v>
      </c>
      <c r="N14" s="157" t="s">
        <v>422</v>
      </c>
    </row>
    <row r="15" spans="1:17" ht="13.5" customHeight="1">
      <c r="A15" s="152" t="s">
        <v>423</v>
      </c>
      <c r="H15" s="162"/>
      <c r="J15" s="162"/>
      <c r="L15" s="162"/>
      <c r="N15" s="157" t="s">
        <v>424</v>
      </c>
    </row>
    <row r="16" spans="1:17" ht="13.5" customHeight="1">
      <c r="B16" s="152" t="s">
        <v>425</v>
      </c>
      <c r="F16" s="153">
        <v>5</v>
      </c>
      <c r="G16" s="457"/>
      <c r="H16" s="458">
        <f>WS!J75</f>
        <v>8079657361</v>
      </c>
      <c r="I16" s="457"/>
      <c r="J16" s="458">
        <f>WS!U75</f>
        <v>2637090788.1499977</v>
      </c>
      <c r="L16" s="162">
        <f>WS!W75</f>
        <v>8079657361</v>
      </c>
      <c r="O16" s="157" t="s">
        <v>426</v>
      </c>
    </row>
    <row r="17" spans="1:15" ht="13.5" customHeight="1">
      <c r="B17" s="152" t="s">
        <v>427</v>
      </c>
      <c r="F17" s="153">
        <v>5</v>
      </c>
      <c r="G17" s="457"/>
      <c r="H17" s="164">
        <f>WS!J70+WS!J79</f>
        <v>44619751805.917015</v>
      </c>
      <c r="I17" s="457"/>
      <c r="J17" s="164">
        <f>WS!U70+WS!U79</f>
        <v>22964047771</v>
      </c>
      <c r="L17" s="164">
        <f>WS!W70+WS!W79</f>
        <v>13123277095</v>
      </c>
      <c r="O17" s="157" t="s">
        <v>428</v>
      </c>
    </row>
    <row r="18" spans="1:15" ht="13.5" customHeight="1">
      <c r="A18" s="152" t="s">
        <v>429</v>
      </c>
      <c r="F18" s="153">
        <v>6</v>
      </c>
      <c r="G18" s="457"/>
      <c r="H18" s="162">
        <f>WS!J90</f>
        <v>91174796671</v>
      </c>
      <c r="I18" s="457"/>
      <c r="J18" s="162">
        <f>WS!U90</f>
        <v>94963698422</v>
      </c>
      <c r="L18" s="162">
        <f>WS!W90</f>
        <v>133158984576</v>
      </c>
      <c r="N18" s="157" t="s">
        <v>430</v>
      </c>
    </row>
    <row r="19" spans="1:15" ht="13.5" customHeight="1">
      <c r="A19" s="152" t="s">
        <v>431</v>
      </c>
      <c r="F19" s="153">
        <v>7</v>
      </c>
      <c r="G19" s="457"/>
      <c r="H19" s="165">
        <f>WS!J97</f>
        <v>117254789147</v>
      </c>
      <c r="I19" s="457"/>
      <c r="J19" s="165">
        <f>WS!U97</f>
        <v>135330080886.42998</v>
      </c>
      <c r="L19" s="165">
        <f>WS!W97</f>
        <v>108322822660</v>
      </c>
      <c r="N19" s="157" t="s">
        <v>432</v>
      </c>
    </row>
    <row r="20" spans="1:15" ht="13.5" customHeight="1">
      <c r="A20" s="152" t="s">
        <v>433</v>
      </c>
      <c r="F20" s="153" t="s">
        <v>434</v>
      </c>
      <c r="G20" s="457"/>
      <c r="H20" s="458">
        <f>SUM(WS!J99:J104)</f>
        <v>8388948819.9099998</v>
      </c>
      <c r="I20" s="457"/>
      <c r="J20" s="458">
        <f>SUM(WS!U99:U103)</f>
        <v>8003985307.8800001</v>
      </c>
      <c r="L20" s="162">
        <f>SUM(WS!W99:W103)</f>
        <v>6807425746</v>
      </c>
      <c r="N20" s="157" t="s">
        <v>435</v>
      </c>
    </row>
    <row r="21" spans="1:15" ht="13.5" customHeight="1">
      <c r="A21" s="152" t="s">
        <v>436</v>
      </c>
      <c r="G21" s="457"/>
      <c r="H21" s="883">
        <f>SUM(WS!J106:J111)</f>
        <v>29458465566.379997</v>
      </c>
      <c r="I21" s="457"/>
      <c r="J21" s="459">
        <f>SUM(WS!U106:U110)</f>
        <v>1208434926.8</v>
      </c>
      <c r="L21" s="883">
        <f>SUM(WS!W106:W109)</f>
        <v>897473228</v>
      </c>
      <c r="N21" s="157" t="s">
        <v>437</v>
      </c>
    </row>
    <row r="22" spans="1:15" ht="6" customHeight="1">
      <c r="H22" s="162"/>
      <c r="J22" s="162"/>
      <c r="L22" s="162"/>
    </row>
    <row r="23" spans="1:15" ht="13.5" customHeight="1">
      <c r="A23" s="151" t="s">
        <v>438</v>
      </c>
      <c r="B23" s="151"/>
      <c r="C23" s="151"/>
      <c r="D23" s="154"/>
      <c r="E23" s="154"/>
      <c r="F23" s="154"/>
      <c r="G23" s="154"/>
      <c r="H23" s="166">
        <f>SUM(H14:H21)</f>
        <v>299397091592.91699</v>
      </c>
      <c r="I23" s="154"/>
      <c r="J23" s="166">
        <f>SUM(J14:J21)</f>
        <v>276505362963.74341</v>
      </c>
      <c r="L23" s="166">
        <f>SUM(L14:L21)</f>
        <v>272548995622</v>
      </c>
      <c r="N23" s="156" t="s">
        <v>439</v>
      </c>
      <c r="O23" s="156"/>
    </row>
    <row r="24" spans="1:15" ht="6" customHeight="1">
      <c r="H24" s="159"/>
      <c r="J24" s="159"/>
      <c r="L24" s="159"/>
    </row>
    <row r="25" spans="1:15" ht="13.5" customHeight="1">
      <c r="A25" s="151" t="s">
        <v>440</v>
      </c>
      <c r="B25" s="151"/>
      <c r="H25" s="159"/>
      <c r="J25" s="159"/>
      <c r="L25" s="159"/>
      <c r="N25" s="156" t="s">
        <v>441</v>
      </c>
      <c r="O25" s="156"/>
    </row>
    <row r="26" spans="1:15" ht="13.5" customHeight="1">
      <c r="A26" s="167" t="s">
        <v>442</v>
      </c>
      <c r="B26" s="167"/>
      <c r="C26" s="167"/>
      <c r="D26" s="168"/>
      <c r="E26" s="168"/>
      <c r="N26" s="157" t="s">
        <v>443</v>
      </c>
    </row>
    <row r="27" spans="1:15" ht="13.5" hidden="1" customHeight="1">
      <c r="A27" s="170" t="s">
        <v>444</v>
      </c>
      <c r="B27" s="170"/>
      <c r="C27" s="170"/>
      <c r="D27" s="171"/>
      <c r="E27" s="171"/>
      <c r="F27" s="171">
        <v>8</v>
      </c>
      <c r="G27" s="171"/>
      <c r="H27" s="172"/>
      <c r="I27" s="171"/>
      <c r="J27" s="172"/>
      <c r="K27" s="171"/>
      <c r="L27" s="172"/>
      <c r="M27" s="173"/>
      <c r="N27" s="174" t="s">
        <v>445</v>
      </c>
      <c r="O27" s="174"/>
    </row>
    <row r="28" spans="1:15" ht="13.5" customHeight="1">
      <c r="A28" s="170"/>
      <c r="B28" s="175" t="s">
        <v>446</v>
      </c>
      <c r="C28" s="151"/>
      <c r="D28" s="171"/>
      <c r="E28" s="171"/>
      <c r="F28" s="171"/>
      <c r="G28" s="171"/>
      <c r="H28" s="172"/>
      <c r="I28" s="171"/>
      <c r="J28" s="172"/>
      <c r="K28" s="171"/>
      <c r="L28" s="172"/>
      <c r="M28" s="173"/>
      <c r="N28" s="174"/>
      <c r="O28" s="176" t="s">
        <v>447</v>
      </c>
    </row>
    <row r="29" spans="1:15" ht="13.5" customHeight="1">
      <c r="A29" s="170"/>
      <c r="B29" s="175" t="s">
        <v>448</v>
      </c>
      <c r="C29" s="151"/>
      <c r="D29" s="171"/>
      <c r="E29" s="171"/>
      <c r="F29" s="171"/>
      <c r="G29" s="171"/>
      <c r="H29" s="172"/>
      <c r="I29" s="171"/>
      <c r="J29" s="172"/>
      <c r="K29" s="171"/>
      <c r="L29" s="172"/>
      <c r="M29" s="173"/>
      <c r="N29" s="174"/>
      <c r="O29" s="176" t="s">
        <v>449</v>
      </c>
    </row>
    <row r="30" spans="1:15" ht="13.5" customHeight="1">
      <c r="A30" s="170"/>
      <c r="B30" s="177" t="s">
        <v>1235</v>
      </c>
      <c r="C30" s="151"/>
      <c r="D30" s="171"/>
      <c r="E30" s="171"/>
      <c r="F30" s="171"/>
      <c r="G30" s="171"/>
      <c r="H30" s="172"/>
      <c r="I30" s="171"/>
      <c r="J30" s="172"/>
      <c r="K30" s="171"/>
      <c r="L30" s="172"/>
      <c r="M30" s="173"/>
      <c r="N30" s="174"/>
      <c r="O30" s="177" t="s">
        <v>1235</v>
      </c>
    </row>
    <row r="31" spans="1:15" ht="13.5" customHeight="1">
      <c r="A31" s="170"/>
      <c r="B31" s="177" t="s">
        <v>1234</v>
      </c>
      <c r="C31" s="178"/>
      <c r="D31" s="171"/>
      <c r="E31" s="171"/>
      <c r="F31" s="171"/>
      <c r="G31" s="171"/>
      <c r="H31" s="172"/>
      <c r="I31" s="171"/>
      <c r="J31" s="172"/>
      <c r="K31" s="171"/>
      <c r="L31" s="172"/>
      <c r="M31" s="173"/>
      <c r="N31" s="174"/>
      <c r="O31" s="177" t="s">
        <v>1233</v>
      </c>
    </row>
    <row r="32" spans="1:15" ht="13.5" customHeight="1">
      <c r="A32" s="170"/>
      <c r="B32" s="175" t="s">
        <v>450</v>
      </c>
      <c r="C32" s="151"/>
      <c r="D32" s="171"/>
      <c r="E32" s="171"/>
      <c r="F32" s="171"/>
      <c r="G32" s="171"/>
      <c r="H32" s="172"/>
      <c r="I32" s="171"/>
      <c r="J32" s="172"/>
      <c r="K32" s="171"/>
      <c r="L32" s="172"/>
      <c r="M32" s="173"/>
      <c r="N32" s="174"/>
      <c r="O32" s="175" t="s">
        <v>1229</v>
      </c>
    </row>
    <row r="33" spans="1:15" ht="13.5" customHeight="1">
      <c r="A33" s="170"/>
      <c r="B33" s="175" t="s">
        <v>1228</v>
      </c>
      <c r="C33" s="151"/>
      <c r="D33" s="171"/>
      <c r="E33" s="171"/>
      <c r="F33" s="168">
        <v>9</v>
      </c>
      <c r="G33" s="168"/>
      <c r="H33" s="169">
        <f>WS!J124-WS!J134+WS!J138</f>
        <v>25023282848.023956</v>
      </c>
      <c r="I33" s="168"/>
      <c r="J33" s="169">
        <f>WS!U124-WS!U134+WS!U138</f>
        <v>25513226596.4375</v>
      </c>
      <c r="K33" s="168"/>
      <c r="L33" s="169">
        <f>WS!W124-WS!W134+WS!W138-1</f>
        <v>27302363571</v>
      </c>
      <c r="M33" s="173"/>
      <c r="N33" s="174"/>
      <c r="O33" s="175" t="s">
        <v>1230</v>
      </c>
    </row>
    <row r="34" spans="1:15" ht="13.5" customHeight="1">
      <c r="A34" s="152" t="s">
        <v>451</v>
      </c>
      <c r="C34" s="179"/>
      <c r="D34" s="171"/>
      <c r="E34" s="171"/>
      <c r="H34" s="180">
        <f>WS!J143</f>
        <v>1050000000</v>
      </c>
      <c r="J34" s="180">
        <f>WS!U143</f>
        <v>1050000000</v>
      </c>
      <c r="L34" s="180">
        <f>WS!W143</f>
        <v>1050000000</v>
      </c>
      <c r="M34" s="173"/>
      <c r="N34" s="175" t="s">
        <v>452</v>
      </c>
      <c r="O34" s="174"/>
    </row>
    <row r="35" spans="1:15" ht="13.5" customHeight="1">
      <c r="A35" s="167" t="s">
        <v>453</v>
      </c>
      <c r="B35" s="167"/>
      <c r="C35" s="167"/>
      <c r="D35" s="168"/>
      <c r="E35" s="168"/>
      <c r="F35" s="168" t="s">
        <v>454</v>
      </c>
      <c r="G35" s="168"/>
      <c r="H35" s="181">
        <f>SUM(WS!J145:J146)-WS!J148</f>
        <v>242569785.03203309</v>
      </c>
      <c r="I35" s="168"/>
      <c r="J35" s="181">
        <f>SUM(WS!U145:U146)-WS!U148</f>
        <v>242569785.03203309</v>
      </c>
      <c r="K35" s="168"/>
      <c r="L35" s="181">
        <f>SUM(WS!W145:W146)-WS!W148</f>
        <v>242569785.03203309</v>
      </c>
      <c r="N35" s="157" t="s">
        <v>113</v>
      </c>
    </row>
    <row r="36" spans="1:15" ht="6" customHeight="1">
      <c r="B36" s="151"/>
      <c r="H36" s="163"/>
      <c r="J36" s="163"/>
      <c r="L36" s="163"/>
      <c r="O36" s="156"/>
    </row>
    <row r="37" spans="1:15" ht="13.5" customHeight="1">
      <c r="A37" s="151" t="s">
        <v>455</v>
      </c>
      <c r="B37" s="151"/>
      <c r="C37" s="151"/>
      <c r="D37" s="154"/>
      <c r="E37" s="154"/>
      <c r="F37" s="154"/>
      <c r="G37" s="154"/>
      <c r="H37" s="166">
        <f>SUM(H27:H35)</f>
        <v>26315852633.055988</v>
      </c>
      <c r="I37" s="154"/>
      <c r="J37" s="166">
        <f>SUM(J27:J35)</f>
        <v>26805796381.469532</v>
      </c>
      <c r="K37" s="154"/>
      <c r="L37" s="166">
        <f>SUM(L27:L35)</f>
        <v>28594933356.032032</v>
      </c>
      <c r="N37" s="156" t="s">
        <v>456</v>
      </c>
      <c r="O37" s="156"/>
    </row>
    <row r="38" spans="1:15" ht="6" customHeight="1">
      <c r="H38" s="159"/>
      <c r="J38" s="159"/>
      <c r="L38" s="159"/>
    </row>
    <row r="39" spans="1:15" ht="13.5" customHeight="1" thickBot="1">
      <c r="A39" s="151" t="s">
        <v>457</v>
      </c>
      <c r="B39" s="151"/>
      <c r="C39" s="151"/>
      <c r="D39" s="154"/>
      <c r="E39" s="154"/>
      <c r="F39" s="154"/>
      <c r="G39" s="154"/>
      <c r="H39" s="182">
        <f>H23+H37</f>
        <v>325712944225.97296</v>
      </c>
      <c r="I39" s="154"/>
      <c r="J39" s="182">
        <f>J23+J37</f>
        <v>303311159345.21295</v>
      </c>
      <c r="K39" s="154"/>
      <c r="L39" s="182">
        <f>L23+L37</f>
        <v>301143928978.03204</v>
      </c>
      <c r="M39" s="149"/>
      <c r="N39" s="156" t="s">
        <v>125</v>
      </c>
      <c r="O39" s="156"/>
    </row>
    <row r="40" spans="1:15" ht="13.5" customHeight="1" thickTop="1">
      <c r="H40" s="159"/>
      <c r="J40" s="159"/>
      <c r="L40" s="159"/>
    </row>
    <row r="41" spans="1:15">
      <c r="H41" s="159"/>
      <c r="J41" s="159"/>
      <c r="L41" s="159"/>
    </row>
    <row r="42" spans="1:15" ht="13.5" customHeight="1">
      <c r="F42" s="154" t="s">
        <v>414</v>
      </c>
      <c r="H42" s="155"/>
      <c r="J42" s="155"/>
      <c r="L42" s="155"/>
    </row>
    <row r="43" spans="1:15" ht="13.5" customHeight="1">
      <c r="F43" s="160" t="s">
        <v>416</v>
      </c>
      <c r="G43" s="154"/>
      <c r="H43" s="161">
        <v>2024</v>
      </c>
      <c r="I43" s="154"/>
      <c r="J43" s="208">
        <f>J10</f>
        <v>45536</v>
      </c>
      <c r="K43" s="154"/>
      <c r="L43" s="161">
        <v>2023</v>
      </c>
    </row>
    <row r="44" spans="1:15" ht="13.5" customHeight="1">
      <c r="A44" s="151" t="s">
        <v>460</v>
      </c>
      <c r="H44" s="159"/>
      <c r="J44" s="159"/>
      <c r="L44" s="159"/>
      <c r="N44" s="156" t="s">
        <v>461</v>
      </c>
    </row>
    <row r="45" spans="1:15" ht="13.5" customHeight="1">
      <c r="A45" s="151" t="s">
        <v>462</v>
      </c>
      <c r="H45" s="159"/>
      <c r="J45" s="159"/>
      <c r="L45" s="159"/>
      <c r="N45" s="156" t="s">
        <v>463</v>
      </c>
    </row>
    <row r="46" spans="1:15" ht="13.5" customHeight="1">
      <c r="A46" s="151" t="s">
        <v>464</v>
      </c>
      <c r="H46" s="159"/>
      <c r="J46" s="159"/>
      <c r="L46" s="159"/>
      <c r="N46" s="156" t="s">
        <v>465</v>
      </c>
    </row>
    <row r="47" spans="1:15" ht="13.5" customHeight="1">
      <c r="A47" s="152" t="s">
        <v>466</v>
      </c>
      <c r="F47" s="147"/>
      <c r="H47" s="147"/>
      <c r="J47" s="147"/>
      <c r="L47" s="147"/>
      <c r="N47" s="157" t="s">
        <v>467</v>
      </c>
    </row>
    <row r="48" spans="1:15" ht="13.5" customHeight="1">
      <c r="B48" s="152" t="s">
        <v>425</v>
      </c>
      <c r="C48" s="183"/>
      <c r="F48" s="153">
        <v>10</v>
      </c>
      <c r="G48" s="457"/>
      <c r="H48" s="460">
        <f>WS!J241</f>
        <v>33114818396.509995</v>
      </c>
      <c r="I48" s="457"/>
      <c r="J48" s="460">
        <f>WS!U241</f>
        <v>34916763131.660004</v>
      </c>
      <c r="L48" s="159">
        <f>WS!W241</f>
        <v>62518053072</v>
      </c>
      <c r="O48" s="157" t="s">
        <v>426</v>
      </c>
    </row>
    <row r="49" spans="1:17" ht="13.5" customHeight="1">
      <c r="B49" s="152" t="s">
        <v>427</v>
      </c>
      <c r="C49" s="183"/>
      <c r="F49" s="153">
        <v>10</v>
      </c>
      <c r="G49" s="457"/>
      <c r="H49" s="184">
        <f>WS!J237</f>
        <v>4291735758.2199998</v>
      </c>
      <c r="I49" s="457"/>
      <c r="J49" s="184">
        <f>WS!U237</f>
        <v>3709508895.7299995</v>
      </c>
      <c r="L49" s="184">
        <f>WS!W237</f>
        <v>12029137713</v>
      </c>
      <c r="O49" s="157" t="s">
        <v>428</v>
      </c>
      <c r="P49" s="881"/>
    </row>
    <row r="50" spans="1:17" ht="13.5" customHeight="1">
      <c r="A50" s="152" t="s">
        <v>468</v>
      </c>
      <c r="F50" s="147"/>
      <c r="G50"/>
      <c r="H50"/>
      <c r="I50"/>
      <c r="J50"/>
      <c r="L50" s="147"/>
      <c r="N50" s="157" t="s">
        <v>469</v>
      </c>
    </row>
    <row r="51" spans="1:17" ht="13.5" customHeight="1">
      <c r="B51" s="152" t="s">
        <v>425</v>
      </c>
      <c r="F51" s="153">
        <v>11</v>
      </c>
      <c r="H51" s="185">
        <f>WS!J248-H52</f>
        <v>0</v>
      </c>
      <c r="J51" s="185">
        <f>WS!U248-J52</f>
        <v>-451584604</v>
      </c>
      <c r="L51" s="185">
        <f>WS!W248-L52</f>
        <v>0</v>
      </c>
      <c r="O51" s="157" t="s">
        <v>426</v>
      </c>
    </row>
    <row r="52" spans="1:17" ht="13.5" customHeight="1">
      <c r="B52" s="152" t="s">
        <v>427</v>
      </c>
      <c r="F52" s="153">
        <v>11</v>
      </c>
      <c r="H52" s="185">
        <f>WS!J243</f>
        <v>0</v>
      </c>
      <c r="J52" s="185">
        <f>WS!U243</f>
        <v>0</v>
      </c>
      <c r="L52" s="185">
        <f>WS!W243</f>
        <v>41000000</v>
      </c>
      <c r="O52" s="157" t="s">
        <v>428</v>
      </c>
    </row>
    <row r="53" spans="1:17" ht="13.5" customHeight="1">
      <c r="A53" s="152" t="s">
        <v>470</v>
      </c>
      <c r="F53" s="153">
        <v>15</v>
      </c>
      <c r="H53" s="884">
        <f>WS!J175</f>
        <v>126612232871</v>
      </c>
      <c r="J53" s="159">
        <f>WS!U175</f>
        <v>100164739154</v>
      </c>
      <c r="L53" s="884">
        <f>WS!W175</f>
        <v>135768265866</v>
      </c>
      <c r="N53" s="157" t="s">
        <v>471</v>
      </c>
      <c r="P53" s="881"/>
      <c r="Q53" s="882"/>
    </row>
    <row r="54" spans="1:17" ht="13.5" customHeight="1">
      <c r="A54" s="152" t="s">
        <v>472</v>
      </c>
      <c r="F54" s="153">
        <v>12</v>
      </c>
      <c r="H54" s="159">
        <f>WS!J278-H59</f>
        <v>1563952385.3499997</v>
      </c>
      <c r="J54" s="159">
        <f>WS!U278-J59</f>
        <v>2309181670.3299999</v>
      </c>
      <c r="L54" s="159">
        <f>WS!W278-L59</f>
        <v>937337041</v>
      </c>
      <c r="N54" s="157" t="s">
        <v>203</v>
      </c>
    </row>
    <row r="55" spans="1:17" ht="13.5" customHeight="1">
      <c r="A55" s="152" t="s">
        <v>473</v>
      </c>
      <c r="F55" s="153" t="s">
        <v>474</v>
      </c>
      <c r="H55" s="159">
        <f>WS!J266</f>
        <v>731397456.79999995</v>
      </c>
      <c r="J55" s="159">
        <f>WS!U266</f>
        <v>4063881308.9400001</v>
      </c>
      <c r="L55" s="159">
        <f>WS!W266</f>
        <v>1699681674.8699999</v>
      </c>
      <c r="N55" s="157" t="s">
        <v>475</v>
      </c>
    </row>
    <row r="56" spans="1:17" ht="13.5" customHeight="1">
      <c r="A56" s="152" t="s">
        <v>476</v>
      </c>
      <c r="H56" s="159"/>
      <c r="J56" s="159"/>
      <c r="L56" s="159"/>
      <c r="N56" s="157" t="s">
        <v>477</v>
      </c>
    </row>
    <row r="57" spans="1:17" ht="13.5" customHeight="1">
      <c r="B57" s="152" t="s">
        <v>478</v>
      </c>
      <c r="H57" s="159"/>
      <c r="J57" s="159"/>
      <c r="L57" s="159"/>
      <c r="O57" s="157" t="s">
        <v>479</v>
      </c>
    </row>
    <row r="58" spans="1:17" ht="13.5" customHeight="1">
      <c r="A58" s="147"/>
      <c r="B58" s="152" t="s">
        <v>470</v>
      </c>
      <c r="F58" s="153">
        <v>15</v>
      </c>
      <c r="H58" s="159">
        <f>WS!J285</f>
        <v>0</v>
      </c>
      <c r="J58" s="159">
        <f>WS!U285</f>
        <v>0</v>
      </c>
      <c r="L58" s="159">
        <f>WS!W285</f>
        <v>0</v>
      </c>
      <c r="N58" s="148"/>
      <c r="O58" s="157" t="s">
        <v>471</v>
      </c>
    </row>
    <row r="59" spans="1:17" ht="13.5" customHeight="1">
      <c r="B59" s="152" t="s">
        <v>224</v>
      </c>
      <c r="F59" s="153">
        <v>13</v>
      </c>
      <c r="H59" s="186">
        <f>WS!J274</f>
        <v>0</v>
      </c>
      <c r="J59" s="186">
        <f>WS!U274</f>
        <v>19446177</v>
      </c>
      <c r="L59" s="186">
        <f>WS!W274</f>
        <v>76360023</v>
      </c>
      <c r="O59" s="157" t="s">
        <v>480</v>
      </c>
    </row>
    <row r="60" spans="1:17" hidden="1">
      <c r="A60" s="147"/>
      <c r="B60" s="179" t="s">
        <v>217</v>
      </c>
      <c r="C60" s="179"/>
      <c r="D60" s="187"/>
      <c r="E60" s="187"/>
      <c r="F60" s="187"/>
      <c r="G60" s="187"/>
      <c r="H60" s="188">
        <f>[1]WBS!AO324</f>
        <v>0</v>
      </c>
      <c r="I60" s="187"/>
      <c r="J60" s="188">
        <f>[1]WBS!AQ324</f>
        <v>0</v>
      </c>
      <c r="K60" s="187"/>
      <c r="L60" s="188">
        <f>[1]WBS!AU324</f>
        <v>0</v>
      </c>
      <c r="M60" s="173"/>
      <c r="N60" s="189"/>
      <c r="O60" s="174" t="s">
        <v>481</v>
      </c>
    </row>
    <row r="61" spans="1:17" hidden="1"/>
    <row r="62" spans="1:17" ht="6" customHeight="1">
      <c r="H62" s="185"/>
      <c r="J62" s="185"/>
      <c r="L62" s="185"/>
    </row>
    <row r="63" spans="1:17" ht="13.5" customHeight="1">
      <c r="A63" s="151" t="s">
        <v>482</v>
      </c>
      <c r="B63" s="151"/>
      <c r="C63" s="151"/>
      <c r="D63" s="154"/>
      <c r="E63" s="154"/>
      <c r="F63" s="154"/>
      <c r="G63" s="154"/>
      <c r="H63" s="190">
        <f>SUM(H48:H60)</f>
        <v>166314136867.87997</v>
      </c>
      <c r="I63" s="154"/>
      <c r="J63" s="190">
        <f>SUM(J48:J60)</f>
        <v>144731935733.66</v>
      </c>
      <c r="K63" s="154"/>
      <c r="L63" s="190">
        <f>SUM(L48:L60)</f>
        <v>213069835389.87</v>
      </c>
      <c r="N63" s="156" t="s">
        <v>483</v>
      </c>
      <c r="O63" s="156"/>
    </row>
    <row r="64" spans="1:17" ht="10" customHeight="1">
      <c r="H64" s="159"/>
      <c r="J64" s="159"/>
      <c r="L64" s="159"/>
    </row>
    <row r="65" spans="1:15" ht="13.5" customHeight="1">
      <c r="A65" s="151" t="s">
        <v>484</v>
      </c>
      <c r="H65" s="159"/>
      <c r="J65" s="159"/>
      <c r="L65" s="159"/>
      <c r="N65" s="156" t="s">
        <v>485</v>
      </c>
    </row>
    <row r="66" spans="1:15" ht="13.5" customHeight="1">
      <c r="A66" s="152" t="s">
        <v>486</v>
      </c>
      <c r="H66" s="159"/>
      <c r="J66" s="159"/>
      <c r="L66" s="159"/>
      <c r="N66" s="175" t="s">
        <v>487</v>
      </c>
    </row>
    <row r="67" spans="1:15" ht="13.5" customHeight="1">
      <c r="A67" s="152" t="s">
        <v>488</v>
      </c>
      <c r="H67" s="159"/>
      <c r="J67" s="159"/>
      <c r="L67" s="159"/>
      <c r="N67" s="175" t="s">
        <v>489</v>
      </c>
    </row>
    <row r="68" spans="1:15" ht="13.5" customHeight="1">
      <c r="B68" s="167" t="s">
        <v>470</v>
      </c>
      <c r="C68" s="167"/>
      <c r="D68" s="168"/>
      <c r="E68" s="168"/>
      <c r="F68" s="153">
        <v>15</v>
      </c>
      <c r="G68" s="168"/>
      <c r="H68" s="169">
        <f>WS!J304-WS!J295</f>
        <v>0</v>
      </c>
      <c r="I68" s="168"/>
      <c r="J68" s="169">
        <f>WS!U304-WS!U295</f>
        <v>0</v>
      </c>
      <c r="K68" s="168"/>
      <c r="L68" s="169">
        <f>WS!W304-WS!W295</f>
        <v>0</v>
      </c>
      <c r="O68" s="157" t="s">
        <v>471</v>
      </c>
    </row>
    <row r="69" spans="1:15" ht="13.5" customHeight="1">
      <c r="B69" s="152" t="s">
        <v>224</v>
      </c>
      <c r="C69" s="167"/>
      <c r="D69" s="168"/>
      <c r="E69" s="168"/>
      <c r="F69" s="168">
        <v>13</v>
      </c>
      <c r="G69" s="168"/>
      <c r="H69" s="169">
        <f>WS!J295</f>
        <v>0</v>
      </c>
      <c r="I69" s="168"/>
      <c r="J69" s="169">
        <f>WS!U295</f>
        <v>0</v>
      </c>
      <c r="K69" s="168"/>
      <c r="L69" s="169">
        <f>WS!W295</f>
        <v>0</v>
      </c>
      <c r="O69" s="157" t="s">
        <v>480</v>
      </c>
    </row>
    <row r="70" spans="1:15" ht="13.5" customHeight="1">
      <c r="A70" s="167" t="s">
        <v>490</v>
      </c>
      <c r="B70" s="167"/>
      <c r="C70" s="167"/>
      <c r="D70" s="168"/>
      <c r="E70" s="168"/>
      <c r="F70" s="168">
        <v>16</v>
      </c>
      <c r="G70" s="168"/>
      <c r="H70" s="181">
        <f>WS!J292</f>
        <v>2647745936</v>
      </c>
      <c r="I70" s="168"/>
      <c r="J70" s="181">
        <f>WS!U292</f>
        <v>2857433432</v>
      </c>
      <c r="K70" s="168"/>
      <c r="L70" s="181">
        <f>WS!W292</f>
        <v>2647745936</v>
      </c>
      <c r="N70" s="191" t="s">
        <v>491</v>
      </c>
    </row>
    <row r="71" spans="1:15" ht="6" customHeight="1"/>
    <row r="72" spans="1:15" hidden="1">
      <c r="A72" s="152" t="s">
        <v>468</v>
      </c>
      <c r="H72" s="162">
        <v>0</v>
      </c>
      <c r="J72" s="162">
        <v>0</v>
      </c>
      <c r="L72" s="162">
        <v>0</v>
      </c>
      <c r="N72" s="157" t="s">
        <v>492</v>
      </c>
    </row>
    <row r="73" spans="1:15" ht="13.5" customHeight="1">
      <c r="A73" s="151" t="s">
        <v>493</v>
      </c>
      <c r="H73" s="190">
        <f>SUM(H68:H72)</f>
        <v>2647745936</v>
      </c>
      <c r="J73" s="190">
        <f>SUM(J68:J72)</f>
        <v>2857433432</v>
      </c>
      <c r="L73" s="190">
        <f>SUM(L68:L72)</f>
        <v>2647745936</v>
      </c>
      <c r="N73" s="156" t="s">
        <v>494</v>
      </c>
    </row>
    <row r="74" spans="1:15" ht="6" customHeight="1">
      <c r="A74" s="151"/>
      <c r="H74" s="159"/>
      <c r="J74" s="159"/>
      <c r="L74" s="159"/>
      <c r="N74" s="156"/>
    </row>
    <row r="75" spans="1:15" ht="13.5" customHeight="1">
      <c r="A75" s="151" t="s">
        <v>495</v>
      </c>
      <c r="B75" s="151"/>
      <c r="C75" s="151"/>
      <c r="D75" s="154"/>
      <c r="E75" s="154"/>
      <c r="F75" s="154"/>
      <c r="G75" s="154"/>
      <c r="H75" s="190">
        <f>H63+H73</f>
        <v>168961882803.87997</v>
      </c>
      <c r="I75" s="154"/>
      <c r="J75" s="190">
        <f>J63+J73</f>
        <v>147589369165.66</v>
      </c>
      <c r="K75" s="154"/>
      <c r="L75" s="190">
        <f>L63+L73</f>
        <v>215717581325.87</v>
      </c>
      <c r="M75" s="192"/>
      <c r="N75" s="156" t="s">
        <v>496</v>
      </c>
      <c r="O75" s="156"/>
    </row>
    <row r="76" spans="1:15" ht="10" customHeight="1">
      <c r="A76" s="151"/>
      <c r="H76" s="159"/>
      <c r="J76" s="159"/>
      <c r="L76" s="159"/>
      <c r="N76" s="156"/>
    </row>
    <row r="77" spans="1:15" ht="13.5" customHeight="1">
      <c r="A77" s="151" t="s">
        <v>497</v>
      </c>
      <c r="H77" s="159"/>
      <c r="J77" s="159"/>
      <c r="L77" s="159"/>
      <c r="N77" s="156" t="s">
        <v>231</v>
      </c>
    </row>
    <row r="78" spans="1:15" ht="13.5" customHeight="1">
      <c r="A78" s="152" t="s">
        <v>498</v>
      </c>
      <c r="H78" s="159"/>
      <c r="J78" s="159"/>
      <c r="L78" s="159"/>
      <c r="N78" s="157" t="s">
        <v>499</v>
      </c>
    </row>
    <row r="79" spans="1:15" ht="13.5" customHeight="1">
      <c r="A79" s="152" t="s">
        <v>500</v>
      </c>
      <c r="F79" s="147"/>
      <c r="G79" s="147"/>
      <c r="H79" s="147"/>
      <c r="I79" s="147"/>
      <c r="J79" s="147"/>
      <c r="L79" s="147"/>
      <c r="N79" s="157" t="s">
        <v>501</v>
      </c>
    </row>
    <row r="80" spans="1:15" ht="13.5" customHeight="1">
      <c r="B80" s="670" t="s">
        <v>1040</v>
      </c>
      <c r="C80" s="183"/>
      <c r="D80" s="193"/>
      <c r="H80" s="159"/>
      <c r="J80" s="159"/>
      <c r="L80" s="159"/>
      <c r="O80" s="676" t="s">
        <v>1046</v>
      </c>
    </row>
    <row r="81" spans="1:15" ht="13.5" customHeight="1">
      <c r="B81" s="670" t="s">
        <v>1231</v>
      </c>
      <c r="C81" s="183"/>
      <c r="D81" s="193"/>
      <c r="H81" s="159"/>
      <c r="J81" s="159"/>
      <c r="L81" s="159"/>
      <c r="O81" s="676" t="s">
        <v>1232</v>
      </c>
    </row>
    <row r="82" spans="1:15" ht="13.5" customHeight="1">
      <c r="B82" s="670" t="s">
        <v>1041</v>
      </c>
      <c r="C82" s="183"/>
      <c r="D82" s="193"/>
      <c r="H82" s="159"/>
      <c r="J82" s="159"/>
      <c r="L82" s="159"/>
      <c r="O82" s="676" t="s">
        <v>1047</v>
      </c>
    </row>
    <row r="83" spans="1:15" ht="13.5" customHeight="1">
      <c r="B83" s="670" t="s">
        <v>1042</v>
      </c>
      <c r="C83" s="183"/>
      <c r="D83" s="193"/>
      <c r="H83" s="159"/>
      <c r="J83" s="159"/>
      <c r="L83" s="159"/>
      <c r="O83" s="676" t="s">
        <v>1048</v>
      </c>
    </row>
    <row r="84" spans="1:15" ht="13.5" customHeight="1">
      <c r="B84" s="675" t="s">
        <v>1043</v>
      </c>
      <c r="C84" s="183"/>
      <c r="D84" s="193"/>
      <c r="H84" s="159"/>
      <c r="J84" s="159"/>
      <c r="L84" s="159"/>
      <c r="O84" s="677" t="s">
        <v>1049</v>
      </c>
    </row>
    <row r="85" spans="1:15" ht="13.5" customHeight="1">
      <c r="B85" s="670" t="s">
        <v>1044</v>
      </c>
      <c r="C85" s="183"/>
      <c r="D85" s="193"/>
      <c r="H85" s="159"/>
      <c r="J85" s="159"/>
      <c r="L85" s="159"/>
      <c r="O85" s="676" t="s">
        <v>1050</v>
      </c>
    </row>
    <row r="86" spans="1:15" ht="13.5" customHeight="1">
      <c r="B86" s="670" t="s">
        <v>1045</v>
      </c>
      <c r="C86" s="183"/>
      <c r="D86" s="193"/>
      <c r="F86" s="153" t="s">
        <v>502</v>
      </c>
      <c r="H86" s="159">
        <f>SUM(WS!J309:J310)</f>
        <v>69500000000</v>
      </c>
      <c r="J86" s="159">
        <f>SUM(WS!U309:U310)</f>
        <v>69500000000</v>
      </c>
      <c r="L86" s="159">
        <f>WS!W309</f>
        <v>40000000000</v>
      </c>
      <c r="O86" s="671" t="s">
        <v>1051</v>
      </c>
    </row>
    <row r="87" spans="1:15" ht="13.5" customHeight="1">
      <c r="A87" s="152" t="s">
        <v>503</v>
      </c>
      <c r="F87" s="153">
        <v>18</v>
      </c>
      <c r="H87" s="159">
        <f>SUM(WS!J311:J313)</f>
        <v>80755745754</v>
      </c>
      <c r="J87" s="159">
        <f>SUM(WS!U311:U313)</f>
        <v>80755745754</v>
      </c>
      <c r="L87" s="159">
        <f>WS!W311</f>
        <v>25871690669</v>
      </c>
      <c r="N87" s="157" t="s">
        <v>504</v>
      </c>
    </row>
    <row r="88" spans="1:15" ht="13.5" customHeight="1">
      <c r="A88" s="152" t="s">
        <v>505</v>
      </c>
      <c r="H88" s="159"/>
      <c r="J88" s="159"/>
      <c r="L88" s="159"/>
      <c r="N88" s="157" t="s">
        <v>505</v>
      </c>
    </row>
    <row r="89" spans="1:15" ht="13.5" customHeight="1">
      <c r="A89" s="152" t="s">
        <v>506</v>
      </c>
      <c r="F89" s="153">
        <v>25</v>
      </c>
      <c r="H89" s="194">
        <f>WS!J326</f>
        <v>-482786190.74000001</v>
      </c>
      <c r="J89" s="194">
        <f>WS!U326</f>
        <v>-482786190.74000001</v>
      </c>
      <c r="L89" s="194">
        <f>WS!W326</f>
        <v>-482786190.74000001</v>
      </c>
      <c r="N89" s="157" t="s">
        <v>398</v>
      </c>
    </row>
    <row r="90" spans="1:15" ht="13.5" customHeight="1">
      <c r="A90" s="152" t="s">
        <v>507</v>
      </c>
      <c r="H90" s="159"/>
      <c r="J90" s="159"/>
      <c r="L90" s="159"/>
      <c r="N90" s="157" t="s">
        <v>508</v>
      </c>
    </row>
    <row r="91" spans="1:15" ht="13.5" customHeight="1">
      <c r="A91" s="195" t="s">
        <v>509</v>
      </c>
      <c r="F91" s="153" t="s">
        <v>510</v>
      </c>
      <c r="H91" s="159">
        <f>WS!J309*1%</f>
        <v>550000000</v>
      </c>
      <c r="J91" s="159">
        <f>WS!W309*1%</f>
        <v>400000000</v>
      </c>
      <c r="L91" s="159">
        <f>L86*1%</f>
        <v>400000000</v>
      </c>
      <c r="N91" s="196" t="s">
        <v>511</v>
      </c>
    </row>
    <row r="92" spans="1:15" ht="13.5" customHeight="1">
      <c r="A92" s="195" t="s">
        <v>1010</v>
      </c>
      <c r="H92" s="460">
        <f>WS!J316-H91</f>
        <v>4487443173.9075432</v>
      </c>
      <c r="J92" s="460">
        <f>WS!U316-J91</f>
        <v>4637443173.9075432</v>
      </c>
      <c r="L92" s="159">
        <f>WS!W316-L91</f>
        <v>18237502878.645508</v>
      </c>
      <c r="N92" s="196" t="s">
        <v>508</v>
      </c>
    </row>
    <row r="93" spans="1:15" ht="13.5" customHeight="1">
      <c r="A93" s="195" t="s">
        <v>1011</v>
      </c>
      <c r="H93" s="663">
        <f>WS!J317</f>
        <v>1940658684.440979</v>
      </c>
      <c r="J93" s="663">
        <f>WS!U317</f>
        <v>911387442.3354969</v>
      </c>
      <c r="L93" s="159">
        <f>WS!W317</f>
        <v>1399940295.2620337</v>
      </c>
      <c r="N93" s="196" t="s">
        <v>1012</v>
      </c>
    </row>
    <row r="94" spans="1:15" ht="13.5" hidden="1" customHeight="1">
      <c r="A94" s="195" t="s">
        <v>512</v>
      </c>
      <c r="F94" s="153" t="s">
        <v>510</v>
      </c>
      <c r="H94" s="197">
        <f>(WS!S319-H91)*0</f>
        <v>0</v>
      </c>
      <c r="J94" s="197">
        <f>(WS!U319-J91)*0</f>
        <v>0</v>
      </c>
      <c r="L94" s="197">
        <f>(WS!W319-L91)*0</f>
        <v>0</v>
      </c>
      <c r="N94" s="196" t="s">
        <v>513</v>
      </c>
    </row>
    <row r="95" spans="1:15" ht="6" customHeight="1">
      <c r="A95" s="195"/>
      <c r="H95" s="198"/>
      <c r="J95" s="198"/>
      <c r="L95" s="198"/>
      <c r="N95" s="196"/>
    </row>
    <row r="96" spans="1:15" ht="13.5" customHeight="1">
      <c r="A96" s="151" t="s">
        <v>514</v>
      </c>
      <c r="B96" s="151"/>
      <c r="C96" s="151"/>
      <c r="D96" s="154"/>
      <c r="E96" s="154"/>
      <c r="F96" s="154"/>
      <c r="G96" s="154"/>
      <c r="H96" s="166">
        <f>SUM(H80:H94)</f>
        <v>156751061421.60852</v>
      </c>
      <c r="I96" s="154"/>
      <c r="J96" s="166">
        <f>SUM(J80:J94)</f>
        <v>155721790179.50305</v>
      </c>
      <c r="K96" s="154"/>
      <c r="L96" s="166">
        <f>SUM(L80:L94)</f>
        <v>85426347652.167557</v>
      </c>
      <c r="N96" s="156" t="s">
        <v>515</v>
      </c>
      <c r="O96" s="156"/>
    </row>
    <row r="97" spans="1:15" ht="6" customHeight="1">
      <c r="H97" s="159"/>
      <c r="J97" s="159"/>
      <c r="L97" s="159"/>
    </row>
    <row r="98" spans="1:15" ht="13.5" customHeight="1" thickBot="1">
      <c r="A98" s="151" t="s">
        <v>516</v>
      </c>
      <c r="B98" s="151"/>
      <c r="C98" s="151"/>
      <c r="D98" s="154"/>
      <c r="E98" s="154"/>
      <c r="F98" s="154"/>
      <c r="G98" s="154"/>
      <c r="H98" s="199">
        <f>H75+H96</f>
        <v>325712944225.48853</v>
      </c>
      <c r="I98" s="154"/>
      <c r="J98" s="199">
        <f>J75+J96</f>
        <v>303311159345.16309</v>
      </c>
      <c r="K98" s="154"/>
      <c r="L98" s="199">
        <f>L75+L96</f>
        <v>301143928978.03754</v>
      </c>
      <c r="N98" s="156" t="s">
        <v>517</v>
      </c>
      <c r="O98" s="156"/>
    </row>
    <row r="99" spans="1:15" ht="13.5" customHeight="1" thickTop="1">
      <c r="A99" s="200"/>
      <c r="B99" s="200"/>
      <c r="C99" s="201"/>
      <c r="D99" s="202"/>
      <c r="E99" s="202"/>
      <c r="F99" s="202"/>
      <c r="G99" s="202"/>
      <c r="H99" s="203"/>
      <c r="I99" s="202"/>
      <c r="J99" s="203"/>
      <c r="K99" s="202"/>
      <c r="L99" s="203"/>
      <c r="N99" s="204"/>
      <c r="O99" s="204"/>
    </row>
    <row r="100" spans="1:15" ht="13.5" hidden="1" customHeight="1">
      <c r="A100" s="152" t="s">
        <v>458</v>
      </c>
      <c r="B100" s="200"/>
      <c r="C100" s="201"/>
      <c r="D100" s="202"/>
      <c r="E100" s="202"/>
      <c r="F100" s="202"/>
      <c r="G100" s="202"/>
      <c r="H100" s="203"/>
      <c r="I100" s="202"/>
      <c r="J100" s="203"/>
      <c r="K100" s="202"/>
      <c r="L100" s="203"/>
      <c r="N100" s="157" t="s">
        <v>459</v>
      </c>
      <c r="O100" s="204"/>
    </row>
    <row r="101" spans="1:15">
      <c r="A101" s="200"/>
      <c r="B101" s="200"/>
      <c r="C101" s="201"/>
      <c r="D101" s="202"/>
      <c r="E101" s="202"/>
      <c r="F101" s="202"/>
      <c r="G101" s="202"/>
      <c r="H101" s="203"/>
      <c r="I101" s="202"/>
      <c r="J101" s="203"/>
      <c r="K101" s="202"/>
      <c r="L101" s="203"/>
      <c r="N101" s="204"/>
      <c r="O101" s="204"/>
    </row>
    <row r="102" spans="1:15">
      <c r="C102" s="205" t="s">
        <v>518</v>
      </c>
      <c r="D102" s="187"/>
      <c r="E102" s="187"/>
      <c r="F102" s="187"/>
      <c r="G102" s="187"/>
      <c r="H102" s="206">
        <f>H98-H39</f>
        <v>-0.48443603515625</v>
      </c>
      <c r="I102" s="187"/>
      <c r="J102" s="206">
        <f>J98-J39</f>
        <v>-4.986572265625E-2</v>
      </c>
      <c r="K102" s="187"/>
      <c r="L102" s="206">
        <f>L98-L39</f>
        <v>5.4931640625E-3</v>
      </c>
    </row>
  </sheetData>
  <mergeCells count="4">
    <mergeCell ref="A1:L1"/>
    <mergeCell ref="A2:L2"/>
    <mergeCell ref="A3:L3"/>
    <mergeCell ref="A4:L4"/>
  </mergeCells>
  <pageMargins left="0.7" right="0.7" top="0.75" bottom="0.75" header="0.3" footer="0.3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E788-0517-4BD2-8A46-59A52661220E}">
  <sheetPr>
    <tabColor theme="4" tint="-0.249977111117893"/>
  </sheetPr>
  <dimension ref="A1:AB71"/>
  <sheetViews>
    <sheetView topLeftCell="A2" zoomScale="75" workbookViewId="0">
      <selection activeCell="F23" sqref="F23"/>
    </sheetView>
  </sheetViews>
  <sheetFormatPr defaultColWidth="8.81640625" defaultRowHeight="14.5"/>
  <cols>
    <col min="1" max="2" width="1.54296875" style="213" customWidth="1"/>
    <col min="3" max="3" width="28.54296875" style="213" customWidth="1"/>
    <col min="4" max="4" width="8.7265625" style="213" bestFit="1" customWidth="1"/>
    <col min="5" max="5" width="3.54296875" style="213" customWidth="1"/>
    <col min="6" max="6" width="17.453125" style="213" customWidth="1"/>
    <col min="7" max="7" width="3.54296875" style="213" customWidth="1"/>
    <col min="8" max="8" width="17.453125" style="213" hidden="1" customWidth="1"/>
    <col min="9" max="9" width="2.54296875" style="213" hidden="1" customWidth="1"/>
    <col min="10" max="10" width="15.81640625" style="213" hidden="1" customWidth="1"/>
    <col min="11" max="11" width="3.54296875" style="213" hidden="1" customWidth="1"/>
    <col min="12" max="12" width="15.81640625" style="194" bestFit="1" customWidth="1"/>
    <col min="13" max="13" width="2.81640625" style="214" customWidth="1"/>
    <col min="14" max="14" width="15.81640625" style="194" hidden="1" customWidth="1"/>
    <col min="15" max="15" width="2.1796875" style="213" hidden="1" customWidth="1"/>
    <col min="16" max="16" width="15.81640625" style="194" hidden="1" customWidth="1"/>
    <col min="17" max="17" width="1.54296875" style="194" customWidth="1"/>
    <col min="18" max="18" width="2.26953125" style="147" customWidth="1"/>
    <col min="19" max="19" width="1.54296875" style="148" customWidth="1"/>
    <col min="20" max="20" width="8.81640625" style="147"/>
    <col min="21" max="21" width="25.453125" style="147" customWidth="1"/>
    <col min="22" max="22" width="14.7265625" style="147" bestFit="1" customWidth="1"/>
    <col min="23" max="23" width="11.81640625" style="147" customWidth="1"/>
    <col min="24" max="25" width="11.81640625" style="147" hidden="1" customWidth="1"/>
    <col min="26" max="26" width="7" style="147" hidden="1" customWidth="1"/>
    <col min="27" max="27" width="8.7265625" style="147" customWidth="1"/>
    <col min="28" max="16384" width="8.81640625" style="147"/>
  </cols>
  <sheetData>
    <row r="1" spans="1:28" ht="13.5" customHeight="1">
      <c r="A1" s="967" t="s">
        <v>411</v>
      </c>
      <c r="B1" s="967"/>
      <c r="C1" s="967"/>
      <c r="D1" s="967"/>
      <c r="E1" s="967"/>
      <c r="F1" s="967"/>
      <c r="G1" s="967"/>
      <c r="H1" s="967"/>
      <c r="I1" s="967"/>
      <c r="J1" s="967"/>
      <c r="K1" s="967"/>
      <c r="L1" s="967"/>
      <c r="M1" s="967"/>
      <c r="N1" s="967"/>
      <c r="O1" s="967"/>
      <c r="P1" s="967"/>
      <c r="Q1" s="209"/>
      <c r="R1" s="210"/>
    </row>
    <row r="2" spans="1:28" ht="13.5" customHeight="1">
      <c r="A2" s="967" t="s">
        <v>519</v>
      </c>
      <c r="B2" s="967"/>
      <c r="C2" s="967"/>
      <c r="D2" s="967"/>
      <c r="E2" s="967"/>
      <c r="F2" s="967"/>
      <c r="G2" s="967"/>
      <c r="H2" s="967"/>
      <c r="I2" s="967"/>
      <c r="J2" s="967"/>
      <c r="K2" s="967"/>
      <c r="L2" s="967"/>
      <c r="M2" s="967"/>
      <c r="N2" s="967"/>
      <c r="O2" s="967"/>
      <c r="P2" s="967"/>
      <c r="Q2" s="209"/>
      <c r="R2" s="210"/>
    </row>
    <row r="3" spans="1:28" ht="13.5" customHeight="1">
      <c r="A3" s="967" t="s">
        <v>520</v>
      </c>
      <c r="B3" s="967"/>
      <c r="C3" s="967"/>
      <c r="D3" s="967"/>
      <c r="E3" s="967"/>
      <c r="F3" s="967"/>
      <c r="G3" s="967"/>
      <c r="H3" s="967"/>
      <c r="I3" s="967"/>
      <c r="J3" s="967"/>
      <c r="K3" s="967"/>
      <c r="L3" s="967"/>
      <c r="M3" s="967"/>
      <c r="N3" s="967"/>
      <c r="O3" s="967"/>
      <c r="P3" s="967"/>
      <c r="Q3" s="209"/>
      <c r="R3" s="210"/>
    </row>
    <row r="4" spans="1:28" ht="13.5" customHeight="1">
      <c r="A4" s="967" t="s">
        <v>1211</v>
      </c>
      <c r="B4" s="967"/>
      <c r="C4" s="967"/>
      <c r="D4" s="967"/>
      <c r="E4" s="967"/>
      <c r="F4" s="967"/>
      <c r="G4" s="967"/>
      <c r="H4" s="967"/>
      <c r="I4" s="967"/>
      <c r="J4" s="967"/>
      <c r="K4" s="967"/>
      <c r="L4" s="967"/>
      <c r="M4" s="967"/>
      <c r="N4" s="967"/>
      <c r="O4" s="967"/>
      <c r="P4" s="967"/>
      <c r="Q4" s="209"/>
      <c r="R4" s="210"/>
      <c r="U4" s="211"/>
      <c r="AA4" s="211"/>
    </row>
    <row r="5" spans="1:28" ht="13.5" customHeight="1">
      <c r="A5" s="967" t="s">
        <v>413</v>
      </c>
      <c r="B5" s="967"/>
      <c r="C5" s="967"/>
      <c r="D5" s="967"/>
      <c r="E5" s="967"/>
      <c r="F5" s="967"/>
      <c r="G5" s="967"/>
      <c r="H5" s="967"/>
      <c r="I5" s="967"/>
      <c r="J5" s="967"/>
      <c r="K5" s="967"/>
      <c r="L5" s="967"/>
      <c r="M5" s="967"/>
      <c r="N5" s="967"/>
      <c r="O5" s="967"/>
      <c r="P5" s="967"/>
      <c r="Q5" s="209"/>
      <c r="R5" s="210"/>
      <c r="U5" s="211"/>
    </row>
    <row r="6" spans="1:28" ht="13.5" customHeight="1">
      <c r="A6" s="152"/>
      <c r="C6" s="194"/>
      <c r="J6" s="230"/>
    </row>
    <row r="7" spans="1:28" ht="13.5" customHeight="1">
      <c r="A7" s="215"/>
      <c r="B7" s="215"/>
      <c r="C7" s="216"/>
      <c r="D7" s="217" t="s">
        <v>414</v>
      </c>
      <c r="E7" s="217"/>
      <c r="F7" s="217"/>
      <c r="G7" s="217"/>
      <c r="H7" s="217"/>
      <c r="I7" s="217"/>
      <c r="J7" s="217"/>
      <c r="K7" s="217"/>
      <c r="L7" s="218"/>
      <c r="N7" s="219"/>
      <c r="O7" s="220"/>
      <c r="P7" s="219"/>
      <c r="Q7" s="219"/>
      <c r="V7" s="212" t="s">
        <v>521</v>
      </c>
      <c r="W7" s="212"/>
      <c r="X7" s="212"/>
      <c r="Y7" s="212"/>
      <c r="Z7" s="212"/>
      <c r="AA7" s="212"/>
    </row>
    <row r="8" spans="1:28" ht="13.5" customHeight="1">
      <c r="A8" s="215"/>
      <c r="B8" s="215"/>
      <c r="C8" s="215"/>
      <c r="D8" s="221" t="s">
        <v>416</v>
      </c>
      <c r="E8" s="217"/>
      <c r="F8" s="161">
        <v>2024</v>
      </c>
      <c r="G8" s="217"/>
      <c r="H8" s="208">
        <v>45536</v>
      </c>
      <c r="I8" s="217"/>
      <c r="J8" s="375">
        <v>45170</v>
      </c>
      <c r="K8" s="217"/>
      <c r="L8" s="161">
        <v>2023</v>
      </c>
      <c r="N8" s="222">
        <v>2022</v>
      </c>
      <c r="O8" s="220"/>
      <c r="P8" s="222" t="s">
        <v>417</v>
      </c>
      <c r="Q8" s="219"/>
      <c r="W8" s="270">
        <v>45627</v>
      </c>
      <c r="X8" s="270">
        <v>45536</v>
      </c>
      <c r="Y8" s="270">
        <v>45536</v>
      </c>
      <c r="Z8" s="270">
        <v>45170</v>
      </c>
      <c r="AA8" s="270">
        <v>45261</v>
      </c>
    </row>
    <row r="9" spans="1:28" ht="8.15" customHeight="1">
      <c r="F9" s="194"/>
      <c r="H9" s="194"/>
      <c r="I9" s="217"/>
      <c r="J9" s="217"/>
    </row>
    <row r="10" spans="1:28" ht="13.5" customHeight="1">
      <c r="A10" s="215" t="s">
        <v>246</v>
      </c>
      <c r="B10" s="215"/>
      <c r="D10" s="214">
        <v>19</v>
      </c>
      <c r="E10" s="214"/>
      <c r="F10" s="223">
        <f>WS!J338</f>
        <v>182493349323.69</v>
      </c>
      <c r="G10" s="214"/>
      <c r="H10" s="223">
        <f>WS!U338</f>
        <v>100295084365.17999</v>
      </c>
      <c r="I10" s="217"/>
      <c r="J10" s="223">
        <f>WS!AH338</f>
        <v>145641937120</v>
      </c>
      <c r="K10" s="214"/>
      <c r="L10" s="223">
        <f>WS!W338</f>
        <v>189007036121</v>
      </c>
      <c r="N10" s="223">
        <f>WS!AJ338</f>
        <v>245651809706</v>
      </c>
      <c r="P10" s="223">
        <f>WS!AN338</f>
        <v>212866021082</v>
      </c>
      <c r="Q10" s="223"/>
      <c r="S10" s="224" t="s">
        <v>522</v>
      </c>
      <c r="W10" s="225">
        <f>F13/F10</f>
        <v>0.23621947794129264</v>
      </c>
      <c r="X10" s="225">
        <f>F13/F10</f>
        <v>0.23621947794129264</v>
      </c>
      <c r="Y10" s="225">
        <f>H13/H10</f>
        <v>0.29503238229762163</v>
      </c>
      <c r="Z10" s="225">
        <f>J13/J10</f>
        <v>0.17903335486066763</v>
      </c>
      <c r="AA10" s="225">
        <f>L13/L10</f>
        <v>0.17190125060317832</v>
      </c>
      <c r="AB10" s="946"/>
    </row>
    <row r="11" spans="1:28" ht="13.5" customHeight="1">
      <c r="A11" s="215" t="s">
        <v>523</v>
      </c>
      <c r="B11" s="215"/>
      <c r="D11" s="214">
        <v>20</v>
      </c>
      <c r="E11" s="214"/>
      <c r="F11" s="885">
        <f>-WS!J399</f>
        <v>-139384865618.99603</v>
      </c>
      <c r="G11" s="214"/>
      <c r="H11" s="226">
        <f>-WS!U399</f>
        <v>-70704786692.297668</v>
      </c>
      <c r="I11" s="217"/>
      <c r="J11" s="226">
        <f>-WS!AH399</f>
        <v>-119567172509</v>
      </c>
      <c r="K11" s="214"/>
      <c r="L11" s="885">
        <f>-WS!W399</f>
        <v>-156516490239</v>
      </c>
      <c r="N11" s="226">
        <f>-WS!AJ399</f>
        <v>-201082621541.64587</v>
      </c>
      <c r="P11" s="226">
        <f>-WS!AN399</f>
        <v>-178150831876.87747</v>
      </c>
      <c r="Q11" s="223"/>
      <c r="S11" s="224" t="s">
        <v>524</v>
      </c>
      <c r="AA11" s="211"/>
    </row>
    <row r="12" spans="1:28" ht="5.5" customHeight="1">
      <c r="B12" s="215"/>
      <c r="F12" s="194"/>
      <c r="H12" s="194"/>
      <c r="I12" s="217"/>
      <c r="J12" s="194"/>
      <c r="S12" s="227"/>
    </row>
    <row r="13" spans="1:28" ht="13.5" customHeight="1">
      <c r="A13" s="215" t="s">
        <v>525</v>
      </c>
      <c r="B13" s="215"/>
      <c r="F13" s="228">
        <f>ROUND(F10+F11,0)</f>
        <v>43108483705</v>
      </c>
      <c r="H13" s="228">
        <f>ROUND(H10+H11,0)</f>
        <v>29590297673</v>
      </c>
      <c r="I13" s="217"/>
      <c r="J13" s="228">
        <f>ROUND(J10+J11,0)</f>
        <v>26074764611</v>
      </c>
      <c r="L13" s="228">
        <f>ROUND(L10+L11,0)</f>
        <v>32490545882</v>
      </c>
      <c r="N13" s="228">
        <f>ROUND(N10+N11,0)</f>
        <v>44569188164</v>
      </c>
      <c r="P13" s="228">
        <f>ROUND(P10+P11,0)</f>
        <v>34715189205</v>
      </c>
      <c r="Q13" s="229"/>
      <c r="S13" s="224" t="s">
        <v>302</v>
      </c>
      <c r="AA13" s="149"/>
    </row>
    <row r="14" spans="1:28" ht="13.5" customHeight="1">
      <c r="A14" s="231" t="s">
        <v>526</v>
      </c>
      <c r="B14" s="231"/>
      <c r="C14" s="231"/>
      <c r="D14" s="232">
        <v>21</v>
      </c>
      <c r="E14" s="232"/>
      <c r="F14" s="233">
        <f>-WS!J416</f>
        <v>-14110743992.24</v>
      </c>
      <c r="G14" s="232"/>
      <c r="H14" s="233">
        <f>-WS!U416</f>
        <v>-9392796660.25</v>
      </c>
      <c r="I14" s="217"/>
      <c r="J14" s="233">
        <f>-WS!AH416</f>
        <v>-12120734220</v>
      </c>
      <c r="K14" s="232"/>
      <c r="L14" s="233">
        <f>-WS!W416</f>
        <v>-11943842250</v>
      </c>
      <c r="M14" s="232"/>
      <c r="N14" s="233">
        <f>-WS!AJ416</f>
        <v>-19921261642.5</v>
      </c>
      <c r="O14" s="231"/>
      <c r="P14" s="233">
        <f>-WS!AN416</f>
        <v>-16958316385.5</v>
      </c>
      <c r="Q14" s="233"/>
      <c r="S14" s="227" t="s">
        <v>527</v>
      </c>
      <c r="W14" s="234">
        <f>-F14/F10</f>
        <v>7.7321962934724014E-2</v>
      </c>
      <c r="X14" s="234">
        <f>-F14/F10</f>
        <v>7.7321962934724014E-2</v>
      </c>
      <c r="Y14" s="234">
        <f>-H14/H10</f>
        <v>9.3651615327928775E-2</v>
      </c>
      <c r="Z14" s="234">
        <f>-J14/J10</f>
        <v>8.3222830317158311E-2</v>
      </c>
      <c r="AA14" s="234">
        <f>-L14/$L$10</f>
        <v>6.3192579996618203E-2</v>
      </c>
    </row>
    <row r="15" spans="1:28" ht="13.5" customHeight="1">
      <c r="A15" s="213" t="s">
        <v>528</v>
      </c>
      <c r="D15" s="214">
        <v>22</v>
      </c>
      <c r="E15" s="214"/>
      <c r="F15" s="235">
        <f>-WS!J465</f>
        <v>-14884751795.15</v>
      </c>
      <c r="G15" s="214"/>
      <c r="H15" s="235">
        <f>-WS!U465</f>
        <v>-13159814932.006828</v>
      </c>
      <c r="I15" s="217"/>
      <c r="J15" s="235">
        <f>-WS!AH465</f>
        <v>-6007580878</v>
      </c>
      <c r="K15" s="214"/>
      <c r="L15" s="235">
        <f>-WS!W465</f>
        <v>-8581798722</v>
      </c>
      <c r="N15" s="235">
        <f>-WS!AJ465</f>
        <v>-10213044846.473333</v>
      </c>
      <c r="P15" s="235">
        <f>-WS!AN465</f>
        <v>-8701488292.5833321</v>
      </c>
      <c r="Q15" s="235"/>
      <c r="S15" s="227" t="s">
        <v>529</v>
      </c>
      <c r="V15" s="211"/>
      <c r="W15" s="234">
        <f>-F15/F10</f>
        <v>8.1563256142276122E-2</v>
      </c>
      <c r="X15" s="234">
        <f>-F15/F10</f>
        <v>8.1563256142276122E-2</v>
      </c>
      <c r="Y15" s="234">
        <f>-H15/H10</f>
        <v>0.13121096627319448</v>
      </c>
      <c r="Z15" s="234">
        <f>-J15/J10</f>
        <v>4.1248976749396864E-2</v>
      </c>
      <c r="AA15" s="234">
        <f>-L15/$L$10</f>
        <v>4.540465211308873E-2</v>
      </c>
    </row>
    <row r="16" spans="1:28" ht="13.5" customHeight="1">
      <c r="A16" s="236" t="s">
        <v>530</v>
      </c>
      <c r="D16" s="214">
        <v>23</v>
      </c>
      <c r="E16" s="214"/>
      <c r="F16" s="237">
        <f>WS!J474</f>
        <v>-1612506037.4100001</v>
      </c>
      <c r="G16" s="214"/>
      <c r="H16" s="237">
        <f>WS!U474</f>
        <v>1647617871.6900001</v>
      </c>
      <c r="I16" s="217"/>
      <c r="J16" s="237">
        <f>WS!AH474</f>
        <v>-693108623</v>
      </c>
      <c r="K16" s="214"/>
      <c r="L16" s="237">
        <f>WS!W474</f>
        <v>-601084731</v>
      </c>
      <c r="N16" s="237">
        <f>WS!AJ474</f>
        <v>-1138474240.4214978</v>
      </c>
      <c r="P16" s="237">
        <f>WS!AN474</f>
        <v>-124631223.97810555</v>
      </c>
      <c r="Q16" s="237"/>
      <c r="S16" s="238" t="s">
        <v>531</v>
      </c>
      <c r="V16" s="211"/>
      <c r="W16" s="211"/>
      <c r="X16" s="211"/>
      <c r="Y16" s="211"/>
      <c r="Z16" s="211"/>
    </row>
    <row r="17" spans="1:27" ht="13.5" customHeight="1">
      <c r="A17" s="236" t="s">
        <v>532</v>
      </c>
      <c r="D17" s="214">
        <v>24</v>
      </c>
      <c r="E17" s="214"/>
      <c r="F17" s="237">
        <f>-WS!J485</f>
        <v>-9424292095.4529915</v>
      </c>
      <c r="G17" s="214"/>
      <c r="H17" s="237">
        <f>-WS!U485</f>
        <v>-6706974369.9799995</v>
      </c>
      <c r="I17" s="217"/>
      <c r="J17" s="237">
        <f>-WS!AH485</f>
        <v>-6430690329</v>
      </c>
      <c r="K17" s="214"/>
      <c r="L17" s="237">
        <f>-WS!W485</f>
        <v>-9352380744.6399994</v>
      </c>
      <c r="N17" s="237">
        <f>-WS!AJ485</f>
        <v>-6651524107</v>
      </c>
      <c r="O17" s="239"/>
      <c r="P17" s="237">
        <f>-WS!AN485</f>
        <v>-4810236291</v>
      </c>
      <c r="Q17" s="237"/>
      <c r="R17" s="149"/>
      <c r="S17" s="238" t="s">
        <v>533</v>
      </c>
      <c r="V17" s="211"/>
      <c r="W17" s="211"/>
      <c r="X17" s="211"/>
      <c r="Y17" s="211"/>
      <c r="Z17" s="211"/>
    </row>
    <row r="18" spans="1:27" ht="13" customHeight="1">
      <c r="F18" s="240"/>
      <c r="H18" s="240"/>
      <c r="J18" s="240"/>
      <c r="L18" s="240"/>
      <c r="N18" s="240"/>
      <c r="P18" s="240"/>
      <c r="Q18" s="237"/>
      <c r="S18" s="227"/>
      <c r="V18" s="211"/>
      <c r="W18" s="211"/>
      <c r="X18" s="211"/>
      <c r="Y18" s="211"/>
      <c r="Z18" s="211"/>
    </row>
    <row r="19" spans="1:27" ht="13.5" customHeight="1">
      <c r="A19" s="215" t="s">
        <v>534</v>
      </c>
      <c r="B19" s="215"/>
      <c r="F19" s="241">
        <f>SUM(F14:F17)</f>
        <v>-40032293920.252991</v>
      </c>
      <c r="H19" s="241">
        <f>SUM(H14:H17)</f>
        <v>-27611968090.546829</v>
      </c>
      <c r="J19" s="241">
        <f>SUM(J14:J17)</f>
        <v>-25252114050</v>
      </c>
      <c r="L19" s="241">
        <f>SUM(L14:L17)</f>
        <v>-30479106447.639999</v>
      </c>
      <c r="N19" s="241">
        <f>SUM(N14:N17)</f>
        <v>-37924304836.394836</v>
      </c>
      <c r="P19" s="241">
        <f>SUM(P14:P17)</f>
        <v>-30594672193.06144</v>
      </c>
      <c r="Q19" s="242"/>
      <c r="S19" s="224" t="s">
        <v>535</v>
      </c>
    </row>
    <row r="20" spans="1:27" ht="5.15" customHeight="1">
      <c r="A20" s="215"/>
      <c r="B20" s="215"/>
      <c r="C20" s="215"/>
      <c r="D20" s="215"/>
      <c r="E20" s="215"/>
      <c r="F20" s="243"/>
      <c r="G20" s="215"/>
      <c r="H20" s="243"/>
      <c r="I20" s="215"/>
      <c r="J20" s="243"/>
      <c r="K20" s="215"/>
      <c r="L20" s="243"/>
      <c r="M20" s="244"/>
      <c r="N20" s="243"/>
      <c r="O20" s="215"/>
      <c r="P20" s="243"/>
      <c r="Q20" s="243"/>
      <c r="S20" s="224"/>
    </row>
    <row r="21" spans="1:27" ht="13.5" customHeight="1">
      <c r="A21" s="215" t="s">
        <v>536</v>
      </c>
      <c r="F21" s="245">
        <f>F13+F19</f>
        <v>3076189784.7470093</v>
      </c>
      <c r="H21" s="245">
        <f>H13+H19</f>
        <v>1978329582.4531708</v>
      </c>
      <c r="J21" s="245">
        <f>J13+J19</f>
        <v>822650561</v>
      </c>
      <c r="L21" s="245">
        <f>L13+L19</f>
        <v>2011439434.3600006</v>
      </c>
      <c r="N21" s="245">
        <f>N13+N19</f>
        <v>6644883327.6051636</v>
      </c>
      <c r="O21" s="247"/>
      <c r="P21" s="245">
        <f>P13+P19</f>
        <v>4120517011.9385605</v>
      </c>
      <c r="Q21" s="246"/>
      <c r="S21" s="224" t="s">
        <v>537</v>
      </c>
      <c r="V21" s="211"/>
    </row>
    <row r="22" spans="1:27" ht="13.5" customHeight="1">
      <c r="A22" s="213" t="s">
        <v>538</v>
      </c>
      <c r="F22" s="194"/>
      <c r="H22" s="194"/>
      <c r="J22" s="194"/>
      <c r="S22" s="227" t="s">
        <v>539</v>
      </c>
    </row>
    <row r="23" spans="1:27" ht="13.5" customHeight="1">
      <c r="B23" s="213" t="s">
        <v>540</v>
      </c>
      <c r="D23" s="214" t="s">
        <v>541</v>
      </c>
      <c r="E23" s="214"/>
      <c r="F23" s="194">
        <f>-WS!J489</f>
        <v>-1135531100</v>
      </c>
      <c r="G23" s="214"/>
      <c r="H23" s="194">
        <f>-WS!U489</f>
        <v>-1066942140</v>
      </c>
      <c r="I23" s="214"/>
      <c r="J23" s="194">
        <f>-WS!AH489</f>
        <v>-299497000</v>
      </c>
      <c r="K23" s="214"/>
      <c r="L23" s="194">
        <f>-WS!W489</f>
        <v>-673327819.87</v>
      </c>
      <c r="N23" s="194">
        <f>-WS!AJ489</f>
        <v>-1515553820</v>
      </c>
      <c r="P23" s="194">
        <f>-WS!AN489</f>
        <v>-879111420.35991669</v>
      </c>
      <c r="T23" s="227" t="s">
        <v>542</v>
      </c>
      <c r="V23" s="211"/>
      <c r="W23" s="945"/>
      <c r="AA23" s="945"/>
    </row>
    <row r="24" spans="1:27" ht="13.5" customHeight="1">
      <c r="B24" s="248" t="s">
        <v>543</v>
      </c>
      <c r="D24" s="214" t="s">
        <v>541</v>
      </c>
      <c r="E24" s="214"/>
      <c r="F24" s="223">
        <f>-WS!J492</f>
        <v>0</v>
      </c>
      <c r="G24" s="214"/>
      <c r="H24" s="223">
        <f>-WS!U492</f>
        <v>0</v>
      </c>
      <c r="I24" s="214"/>
      <c r="J24" s="223">
        <f>-WS!AH492</f>
        <v>0</v>
      </c>
      <c r="K24" s="214"/>
      <c r="L24" s="223">
        <f>-WS!W492</f>
        <v>61828680.772033125</v>
      </c>
      <c r="N24" s="223">
        <f>-WS!AJ492</f>
        <v>81839521.499229476</v>
      </c>
      <c r="O24" s="249"/>
      <c r="P24" s="223">
        <f>WS!AN492</f>
        <v>93846379.31268318</v>
      </c>
      <c r="Q24" s="223"/>
      <c r="T24" s="250" t="s">
        <v>391</v>
      </c>
    </row>
    <row r="25" spans="1:27" ht="4.5" customHeight="1">
      <c r="F25" s="251"/>
      <c r="H25" s="251"/>
      <c r="J25" s="251"/>
      <c r="L25" s="251"/>
      <c r="N25" s="251"/>
      <c r="P25" s="251"/>
      <c r="S25" s="227"/>
    </row>
    <row r="26" spans="1:27">
      <c r="A26" s="215" t="s">
        <v>544</v>
      </c>
      <c r="F26" s="252">
        <f>F21+F24+F23</f>
        <v>1940658684.7470093</v>
      </c>
      <c r="H26" s="252">
        <f>H21+H24+H23</f>
        <v>911387442.45317078</v>
      </c>
      <c r="J26" s="252">
        <f>J21+J24+J23</f>
        <v>523153561</v>
      </c>
      <c r="L26" s="252">
        <f>L21+L24+L23</f>
        <v>1399940295.2620339</v>
      </c>
      <c r="N26" s="252">
        <f>N21+N24+N23</f>
        <v>5211169029.104393</v>
      </c>
      <c r="O26" s="247"/>
      <c r="P26" s="252">
        <f>P21+P24+P23</f>
        <v>3335251970.8913269</v>
      </c>
      <c r="Q26" s="253"/>
      <c r="S26" s="224" t="s">
        <v>545</v>
      </c>
    </row>
    <row r="27" spans="1:27">
      <c r="A27" s="213" t="s">
        <v>546</v>
      </c>
      <c r="D27" s="232">
        <v>25</v>
      </c>
      <c r="E27" s="232"/>
      <c r="F27" s="233">
        <f>WS!J498</f>
        <v>0</v>
      </c>
      <c r="G27" s="232"/>
      <c r="H27" s="233">
        <f>WS!U498</f>
        <v>0</v>
      </c>
      <c r="I27" s="232"/>
      <c r="J27" s="233">
        <f>WS!AH498</f>
        <v>0</v>
      </c>
      <c r="K27" s="232"/>
      <c r="L27" s="233">
        <f>WS!W498</f>
        <v>-5379083</v>
      </c>
      <c r="M27" s="232"/>
      <c r="N27" s="233">
        <f>WS!AJ498</f>
        <v>156702531</v>
      </c>
      <c r="O27" s="231"/>
      <c r="P27" s="233">
        <f>WS!AN498</f>
        <v>27264083</v>
      </c>
      <c r="Q27" s="233"/>
      <c r="S27" s="227" t="s">
        <v>547</v>
      </c>
    </row>
    <row r="28" spans="1:27" ht="13.5" customHeight="1">
      <c r="A28" s="213" t="s">
        <v>548</v>
      </c>
      <c r="D28" s="232">
        <v>25</v>
      </c>
      <c r="E28" s="232"/>
      <c r="F28" s="194">
        <f>-WS!J501</f>
        <v>0</v>
      </c>
      <c r="G28" s="232"/>
      <c r="H28" s="194">
        <f>-WS!U501</f>
        <v>0</v>
      </c>
      <c r="I28" s="232"/>
      <c r="J28" s="194">
        <f>-WS!AH501</f>
        <v>0</v>
      </c>
      <c r="K28" s="232"/>
      <c r="L28" s="194">
        <f>-WS!W501</f>
        <v>1183398.26</v>
      </c>
      <c r="N28" s="194">
        <f>-WS!AJ501</f>
        <v>-34474556.82</v>
      </c>
      <c r="P28" s="194">
        <f>-WS!AN501</f>
        <v>-5998098</v>
      </c>
      <c r="S28" s="227" t="s">
        <v>549</v>
      </c>
    </row>
    <row r="29" spans="1:27" ht="5.5" customHeight="1">
      <c r="F29" s="251"/>
      <c r="H29" s="251"/>
      <c r="J29" s="251"/>
      <c r="L29" s="251"/>
      <c r="N29" s="251"/>
      <c r="P29" s="251"/>
      <c r="S29" s="227"/>
    </row>
    <row r="30" spans="1:27" ht="13.5" customHeight="1">
      <c r="A30" s="215" t="s">
        <v>550</v>
      </c>
      <c r="F30" s="194"/>
      <c r="H30" s="194"/>
      <c r="J30" s="194"/>
      <c r="S30" s="224" t="s">
        <v>551</v>
      </c>
      <c r="T30" s="254"/>
      <c r="U30" s="254"/>
    </row>
    <row r="31" spans="1:27" ht="13.5" customHeight="1" thickBot="1">
      <c r="A31" s="215" t="s">
        <v>552</v>
      </c>
      <c r="B31" s="215"/>
      <c r="C31" s="215"/>
      <c r="D31" s="215"/>
      <c r="E31" s="215"/>
      <c r="F31" s="255">
        <f>F26+F27+F28</f>
        <v>1940658684.7470093</v>
      </c>
      <c r="G31" s="215"/>
      <c r="H31" s="255">
        <f>H26+H27+H28</f>
        <v>911387442.45317078</v>
      </c>
      <c r="I31" s="215"/>
      <c r="J31" s="255">
        <f>J26+J27+J28</f>
        <v>523153561</v>
      </c>
      <c r="K31" s="215"/>
      <c r="L31" s="255">
        <f>L26+L27+L28</f>
        <v>1395744610.5220339</v>
      </c>
      <c r="M31" s="244"/>
      <c r="N31" s="255">
        <f>N26+N27+N28</f>
        <v>5333397003.2843933</v>
      </c>
      <c r="O31" s="253"/>
      <c r="P31" s="255">
        <f>P26+P27+P28</f>
        <v>3356517955.8913269</v>
      </c>
      <c r="Q31" s="253"/>
      <c r="S31" s="224" t="s">
        <v>553</v>
      </c>
      <c r="T31" s="224"/>
      <c r="U31" s="224"/>
    </row>
    <row r="32" spans="1:27" ht="9" customHeight="1" thickTop="1">
      <c r="A32" s="215"/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44"/>
      <c r="N32" s="216"/>
      <c r="O32" s="247"/>
      <c r="P32" s="216"/>
      <c r="Q32" s="216"/>
    </row>
    <row r="33" spans="1:19">
      <c r="A33" s="256" t="s">
        <v>554</v>
      </c>
      <c r="D33" s="214">
        <v>26</v>
      </c>
      <c r="E33" s="214"/>
      <c r="F33" s="214"/>
      <c r="G33" s="214"/>
      <c r="H33" s="214"/>
      <c r="I33" s="214"/>
      <c r="J33" s="214"/>
      <c r="K33" s="214"/>
      <c r="L33" s="260">
        <v>1.7446804866578756</v>
      </c>
      <c r="N33" s="260">
        <v>6.513961286380491</v>
      </c>
      <c r="O33" s="260"/>
      <c r="P33" s="260">
        <v>4.1690649636141588</v>
      </c>
      <c r="Q33" s="260"/>
      <c r="R33" s="261"/>
      <c r="S33" s="259" t="s">
        <v>555</v>
      </c>
    </row>
    <row r="34" spans="1:19">
      <c r="A34" s="256"/>
      <c r="L34" s="147"/>
      <c r="N34" s="147"/>
      <c r="O34" s="147"/>
      <c r="P34" s="147"/>
      <c r="Q34" s="147"/>
      <c r="S34" s="259"/>
    </row>
    <row r="35" spans="1:19">
      <c r="C35" s="262"/>
      <c r="D35" s="262"/>
      <c r="E35" s="262"/>
      <c r="F35" s="262"/>
      <c r="G35" s="262"/>
      <c r="H35" s="262"/>
      <c r="I35" s="262"/>
      <c r="J35" s="262"/>
      <c r="K35" s="262"/>
      <c r="L35" s="263">
        <f>L27*22%</f>
        <v>-1183398.26</v>
      </c>
      <c r="N35" s="263">
        <f>N27*22%</f>
        <v>34474556.82</v>
      </c>
      <c r="O35" s="264"/>
      <c r="P35" s="263">
        <f>P27*22%</f>
        <v>5998098.2599999998</v>
      </c>
      <c r="Q35" s="263"/>
      <c r="R35" s="173"/>
    </row>
    <row r="36" spans="1:19">
      <c r="L36" s="265"/>
      <c r="N36" s="265"/>
      <c r="O36" s="258"/>
      <c r="P36" s="265"/>
      <c r="Q36" s="265"/>
    </row>
    <row r="37" spans="1:19">
      <c r="D37" s="266" t="s">
        <v>518</v>
      </c>
      <c r="E37" s="266"/>
      <c r="F37" s="257">
        <f>F31-WS!J503</f>
        <v>0.3060302734375</v>
      </c>
      <c r="G37" s="266"/>
      <c r="H37" s="257">
        <f>H31-WS!U503</f>
        <v>0.11767387390136719</v>
      </c>
      <c r="I37" s="266"/>
      <c r="J37" s="376">
        <f>J31-WS!AH503</f>
        <v>0</v>
      </c>
      <c r="K37" s="266"/>
      <c r="L37" s="257">
        <f>L31-WS!W503</f>
        <v>0</v>
      </c>
      <c r="N37" s="257">
        <f>N31-[1]WBS!BX535</f>
        <v>-0.35416030883789063</v>
      </c>
      <c r="O37" s="258"/>
      <c r="P37" s="257">
        <f>P31-[1]WBS!CE535</f>
        <v>-0.12252998352050781</v>
      </c>
      <c r="Q37" s="257"/>
    </row>
    <row r="38" spans="1:19">
      <c r="L38" s="257"/>
      <c r="N38" s="257"/>
      <c r="O38" s="258"/>
      <c r="P38" s="257"/>
      <c r="Q38" s="257"/>
    </row>
    <row r="39" spans="1:19">
      <c r="L39" s="239"/>
      <c r="N39" s="239"/>
      <c r="P39" s="230"/>
      <c r="Q39" s="230"/>
    </row>
    <row r="71" spans="1:1" ht="13.5" customHeight="1">
      <c r="A71" s="213" t="s">
        <v>556</v>
      </c>
    </row>
  </sheetData>
  <mergeCells count="5">
    <mergeCell ref="A1:P1"/>
    <mergeCell ref="A2:P2"/>
    <mergeCell ref="A3:P3"/>
    <mergeCell ref="A4:P4"/>
    <mergeCell ref="A5:P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83DDD-C417-458B-9E4E-C1D87940421C}">
  <sheetPr>
    <tabColor theme="4" tint="-0.249977111117893"/>
  </sheetPr>
  <dimension ref="A1:X128"/>
  <sheetViews>
    <sheetView showGridLines="0" topLeftCell="A2" zoomScale="84" workbookViewId="0">
      <pane xSplit="8" ySplit="14" topLeftCell="I43" activePane="bottomRight" state="frozen"/>
      <selection activeCell="A2" sqref="A2"/>
      <selection pane="topRight" activeCell="I2" sqref="I2"/>
      <selection pane="bottomLeft" activeCell="A16" sqref="A16"/>
      <selection pane="bottomRight" activeCell="K60" sqref="K60"/>
    </sheetView>
  </sheetViews>
  <sheetFormatPr defaultRowHeight="14"/>
  <cols>
    <col min="1" max="3" width="1.81640625" style="529" customWidth="1"/>
    <col min="4" max="4" width="22.7265625" style="529" customWidth="1"/>
    <col min="5" max="5" width="8.81640625" style="529" customWidth="1"/>
    <col min="6" max="6" width="17.54296875" style="529" customWidth="1"/>
    <col min="7" max="8" width="0.81640625" style="529" customWidth="1"/>
    <col min="9" max="9" width="17.54296875" style="529" customWidth="1"/>
    <col min="10" max="10" width="0.81640625" style="529" customWidth="1"/>
    <col min="11" max="11" width="21.54296875" style="529" customWidth="1"/>
    <col min="12" max="12" width="0.81640625" style="529" hidden="1" customWidth="1"/>
    <col min="13" max="13" width="0.81640625" style="529" customWidth="1"/>
    <col min="14" max="14" width="17.54296875" style="529" customWidth="1"/>
    <col min="15" max="15" width="0.81640625" style="529" customWidth="1"/>
    <col min="16" max="16" width="17.54296875" style="529" customWidth="1"/>
    <col min="17" max="17" width="0.81640625" style="529" customWidth="1"/>
    <col min="18" max="18" width="17.54296875" style="529" hidden="1" customWidth="1"/>
    <col min="19" max="19" width="0.81640625" style="529" customWidth="1"/>
    <col min="20" max="20" width="18.54296875" style="529" bestFit="1" customWidth="1"/>
    <col min="21" max="21" width="1.453125" style="529" customWidth="1"/>
    <col min="22" max="22" width="16.81640625" style="530" bestFit="1" customWidth="1"/>
    <col min="23" max="23" width="12.81640625" style="529" customWidth="1"/>
    <col min="24" max="254" width="8.7265625" style="529"/>
    <col min="255" max="257" width="1.81640625" style="529" customWidth="1"/>
    <col min="258" max="258" width="47.1796875" style="529" customWidth="1"/>
    <col min="259" max="259" width="8.54296875" style="529" bestFit="1" customWidth="1"/>
    <col min="260" max="260" width="0.81640625" style="529" customWidth="1"/>
    <col min="261" max="261" width="17.54296875" style="529" customWidth="1"/>
    <col min="262" max="263" width="0.81640625" style="529" customWidth="1"/>
    <col min="264" max="264" width="17.54296875" style="529" customWidth="1"/>
    <col min="265" max="265" width="0.81640625" style="529" customWidth="1"/>
    <col min="266" max="266" width="17.54296875" style="529" customWidth="1"/>
    <col min="267" max="267" width="0.81640625" style="529" customWidth="1"/>
    <col min="268" max="268" width="17.54296875" style="529" customWidth="1"/>
    <col min="269" max="269" width="0.81640625" style="529" customWidth="1"/>
    <col min="270" max="270" width="19.81640625" style="529" bestFit="1" customWidth="1"/>
    <col min="271" max="272" width="1.453125" style="529" customWidth="1"/>
    <col min="273" max="273" width="20.1796875" style="529" bestFit="1" customWidth="1"/>
    <col min="274" max="510" width="8.7265625" style="529"/>
    <col min="511" max="513" width="1.81640625" style="529" customWidth="1"/>
    <col min="514" max="514" width="47.1796875" style="529" customWidth="1"/>
    <col min="515" max="515" width="8.54296875" style="529" bestFit="1" customWidth="1"/>
    <col min="516" max="516" width="0.81640625" style="529" customWidth="1"/>
    <col min="517" max="517" width="17.54296875" style="529" customWidth="1"/>
    <col min="518" max="519" width="0.81640625" style="529" customWidth="1"/>
    <col min="520" max="520" width="17.54296875" style="529" customWidth="1"/>
    <col min="521" max="521" width="0.81640625" style="529" customWidth="1"/>
    <col min="522" max="522" width="17.54296875" style="529" customWidth="1"/>
    <col min="523" max="523" width="0.81640625" style="529" customWidth="1"/>
    <col min="524" max="524" width="17.54296875" style="529" customWidth="1"/>
    <col min="525" max="525" width="0.81640625" style="529" customWidth="1"/>
    <col min="526" max="526" width="19.81640625" style="529" bestFit="1" customWidth="1"/>
    <col min="527" max="528" width="1.453125" style="529" customWidth="1"/>
    <col min="529" max="529" width="20.1796875" style="529" bestFit="1" customWidth="1"/>
    <col min="530" max="766" width="8.7265625" style="529"/>
    <col min="767" max="769" width="1.81640625" style="529" customWidth="1"/>
    <col min="770" max="770" width="47.1796875" style="529" customWidth="1"/>
    <col min="771" max="771" width="8.54296875" style="529" bestFit="1" customWidth="1"/>
    <col min="772" max="772" width="0.81640625" style="529" customWidth="1"/>
    <col min="773" max="773" width="17.54296875" style="529" customWidth="1"/>
    <col min="774" max="775" width="0.81640625" style="529" customWidth="1"/>
    <col min="776" max="776" width="17.54296875" style="529" customWidth="1"/>
    <col min="777" max="777" width="0.81640625" style="529" customWidth="1"/>
    <col min="778" max="778" width="17.54296875" style="529" customWidth="1"/>
    <col min="779" max="779" width="0.81640625" style="529" customWidth="1"/>
    <col min="780" max="780" width="17.54296875" style="529" customWidth="1"/>
    <col min="781" max="781" width="0.81640625" style="529" customWidth="1"/>
    <col min="782" max="782" width="19.81640625" style="529" bestFit="1" customWidth="1"/>
    <col min="783" max="784" width="1.453125" style="529" customWidth="1"/>
    <col min="785" max="785" width="20.1796875" style="529" bestFit="1" customWidth="1"/>
    <col min="786" max="1022" width="8.7265625" style="529"/>
    <col min="1023" max="1025" width="1.81640625" style="529" customWidth="1"/>
    <col min="1026" max="1026" width="47.1796875" style="529" customWidth="1"/>
    <col min="1027" max="1027" width="8.54296875" style="529" bestFit="1" customWidth="1"/>
    <col min="1028" max="1028" width="0.81640625" style="529" customWidth="1"/>
    <col min="1029" max="1029" width="17.54296875" style="529" customWidth="1"/>
    <col min="1030" max="1031" width="0.81640625" style="529" customWidth="1"/>
    <col min="1032" max="1032" width="17.54296875" style="529" customWidth="1"/>
    <col min="1033" max="1033" width="0.81640625" style="529" customWidth="1"/>
    <col min="1034" max="1034" width="17.54296875" style="529" customWidth="1"/>
    <col min="1035" max="1035" width="0.81640625" style="529" customWidth="1"/>
    <col min="1036" max="1036" width="17.54296875" style="529" customWidth="1"/>
    <col min="1037" max="1037" width="0.81640625" style="529" customWidth="1"/>
    <col min="1038" max="1038" width="19.81640625" style="529" bestFit="1" customWidth="1"/>
    <col min="1039" max="1040" width="1.453125" style="529" customWidth="1"/>
    <col min="1041" max="1041" width="20.1796875" style="529" bestFit="1" customWidth="1"/>
    <col min="1042" max="1278" width="8.7265625" style="529"/>
    <col min="1279" max="1281" width="1.81640625" style="529" customWidth="1"/>
    <col min="1282" max="1282" width="47.1796875" style="529" customWidth="1"/>
    <col min="1283" max="1283" width="8.54296875" style="529" bestFit="1" customWidth="1"/>
    <col min="1284" max="1284" width="0.81640625" style="529" customWidth="1"/>
    <col min="1285" max="1285" width="17.54296875" style="529" customWidth="1"/>
    <col min="1286" max="1287" width="0.81640625" style="529" customWidth="1"/>
    <col min="1288" max="1288" width="17.54296875" style="529" customWidth="1"/>
    <col min="1289" max="1289" width="0.81640625" style="529" customWidth="1"/>
    <col min="1290" max="1290" width="17.54296875" style="529" customWidth="1"/>
    <col min="1291" max="1291" width="0.81640625" style="529" customWidth="1"/>
    <col min="1292" max="1292" width="17.54296875" style="529" customWidth="1"/>
    <col min="1293" max="1293" width="0.81640625" style="529" customWidth="1"/>
    <col min="1294" max="1294" width="19.81640625" style="529" bestFit="1" customWidth="1"/>
    <col min="1295" max="1296" width="1.453125" style="529" customWidth="1"/>
    <col min="1297" max="1297" width="20.1796875" style="529" bestFit="1" customWidth="1"/>
    <col min="1298" max="1534" width="8.7265625" style="529"/>
    <col min="1535" max="1537" width="1.81640625" style="529" customWidth="1"/>
    <col min="1538" max="1538" width="47.1796875" style="529" customWidth="1"/>
    <col min="1539" max="1539" width="8.54296875" style="529" bestFit="1" customWidth="1"/>
    <col min="1540" max="1540" width="0.81640625" style="529" customWidth="1"/>
    <col min="1541" max="1541" width="17.54296875" style="529" customWidth="1"/>
    <col min="1542" max="1543" width="0.81640625" style="529" customWidth="1"/>
    <col min="1544" max="1544" width="17.54296875" style="529" customWidth="1"/>
    <col min="1545" max="1545" width="0.81640625" style="529" customWidth="1"/>
    <col min="1546" max="1546" width="17.54296875" style="529" customWidth="1"/>
    <col min="1547" max="1547" width="0.81640625" style="529" customWidth="1"/>
    <col min="1548" max="1548" width="17.54296875" style="529" customWidth="1"/>
    <col min="1549" max="1549" width="0.81640625" style="529" customWidth="1"/>
    <col min="1550" max="1550" width="19.81640625" style="529" bestFit="1" customWidth="1"/>
    <col min="1551" max="1552" width="1.453125" style="529" customWidth="1"/>
    <col min="1553" max="1553" width="20.1796875" style="529" bestFit="1" customWidth="1"/>
    <col min="1554" max="1790" width="8.7265625" style="529"/>
    <col min="1791" max="1793" width="1.81640625" style="529" customWidth="1"/>
    <col min="1794" max="1794" width="47.1796875" style="529" customWidth="1"/>
    <col min="1795" max="1795" width="8.54296875" style="529" bestFit="1" customWidth="1"/>
    <col min="1796" max="1796" width="0.81640625" style="529" customWidth="1"/>
    <col min="1797" max="1797" width="17.54296875" style="529" customWidth="1"/>
    <col min="1798" max="1799" width="0.81640625" style="529" customWidth="1"/>
    <col min="1800" max="1800" width="17.54296875" style="529" customWidth="1"/>
    <col min="1801" max="1801" width="0.81640625" style="529" customWidth="1"/>
    <col min="1802" max="1802" width="17.54296875" style="529" customWidth="1"/>
    <col min="1803" max="1803" width="0.81640625" style="529" customWidth="1"/>
    <col min="1804" max="1804" width="17.54296875" style="529" customWidth="1"/>
    <col min="1805" max="1805" width="0.81640625" style="529" customWidth="1"/>
    <col min="1806" max="1806" width="19.81640625" style="529" bestFit="1" customWidth="1"/>
    <col min="1807" max="1808" width="1.453125" style="529" customWidth="1"/>
    <col min="1809" max="1809" width="20.1796875" style="529" bestFit="1" customWidth="1"/>
    <col min="1810" max="2046" width="8.7265625" style="529"/>
    <col min="2047" max="2049" width="1.81640625" style="529" customWidth="1"/>
    <col min="2050" max="2050" width="47.1796875" style="529" customWidth="1"/>
    <col min="2051" max="2051" width="8.54296875" style="529" bestFit="1" customWidth="1"/>
    <col min="2052" max="2052" width="0.81640625" style="529" customWidth="1"/>
    <col min="2053" max="2053" width="17.54296875" style="529" customWidth="1"/>
    <col min="2054" max="2055" width="0.81640625" style="529" customWidth="1"/>
    <col min="2056" max="2056" width="17.54296875" style="529" customWidth="1"/>
    <col min="2057" max="2057" width="0.81640625" style="529" customWidth="1"/>
    <col min="2058" max="2058" width="17.54296875" style="529" customWidth="1"/>
    <col min="2059" max="2059" width="0.81640625" style="529" customWidth="1"/>
    <col min="2060" max="2060" width="17.54296875" style="529" customWidth="1"/>
    <col min="2061" max="2061" width="0.81640625" style="529" customWidth="1"/>
    <col min="2062" max="2062" width="19.81640625" style="529" bestFit="1" customWidth="1"/>
    <col min="2063" max="2064" width="1.453125" style="529" customWidth="1"/>
    <col min="2065" max="2065" width="20.1796875" style="529" bestFit="1" customWidth="1"/>
    <col min="2066" max="2302" width="8.7265625" style="529"/>
    <col min="2303" max="2305" width="1.81640625" style="529" customWidth="1"/>
    <col min="2306" max="2306" width="47.1796875" style="529" customWidth="1"/>
    <col min="2307" max="2307" width="8.54296875" style="529" bestFit="1" customWidth="1"/>
    <col min="2308" max="2308" width="0.81640625" style="529" customWidth="1"/>
    <col min="2309" max="2309" width="17.54296875" style="529" customWidth="1"/>
    <col min="2310" max="2311" width="0.81640625" style="529" customWidth="1"/>
    <col min="2312" max="2312" width="17.54296875" style="529" customWidth="1"/>
    <col min="2313" max="2313" width="0.81640625" style="529" customWidth="1"/>
    <col min="2314" max="2314" width="17.54296875" style="529" customWidth="1"/>
    <col min="2315" max="2315" width="0.81640625" style="529" customWidth="1"/>
    <col min="2316" max="2316" width="17.54296875" style="529" customWidth="1"/>
    <col min="2317" max="2317" width="0.81640625" style="529" customWidth="1"/>
    <col min="2318" max="2318" width="19.81640625" style="529" bestFit="1" customWidth="1"/>
    <col min="2319" max="2320" width="1.453125" style="529" customWidth="1"/>
    <col min="2321" max="2321" width="20.1796875" style="529" bestFit="1" customWidth="1"/>
    <col min="2322" max="2558" width="8.7265625" style="529"/>
    <col min="2559" max="2561" width="1.81640625" style="529" customWidth="1"/>
    <col min="2562" max="2562" width="47.1796875" style="529" customWidth="1"/>
    <col min="2563" max="2563" width="8.54296875" style="529" bestFit="1" customWidth="1"/>
    <col min="2564" max="2564" width="0.81640625" style="529" customWidth="1"/>
    <col min="2565" max="2565" width="17.54296875" style="529" customWidth="1"/>
    <col min="2566" max="2567" width="0.81640625" style="529" customWidth="1"/>
    <col min="2568" max="2568" width="17.54296875" style="529" customWidth="1"/>
    <col min="2569" max="2569" width="0.81640625" style="529" customWidth="1"/>
    <col min="2570" max="2570" width="17.54296875" style="529" customWidth="1"/>
    <col min="2571" max="2571" width="0.81640625" style="529" customWidth="1"/>
    <col min="2572" max="2572" width="17.54296875" style="529" customWidth="1"/>
    <col min="2573" max="2573" width="0.81640625" style="529" customWidth="1"/>
    <col min="2574" max="2574" width="19.81640625" style="529" bestFit="1" customWidth="1"/>
    <col min="2575" max="2576" width="1.453125" style="529" customWidth="1"/>
    <col min="2577" max="2577" width="20.1796875" style="529" bestFit="1" customWidth="1"/>
    <col min="2578" max="2814" width="8.7265625" style="529"/>
    <col min="2815" max="2817" width="1.81640625" style="529" customWidth="1"/>
    <col min="2818" max="2818" width="47.1796875" style="529" customWidth="1"/>
    <col min="2819" max="2819" width="8.54296875" style="529" bestFit="1" customWidth="1"/>
    <col min="2820" max="2820" width="0.81640625" style="529" customWidth="1"/>
    <col min="2821" max="2821" width="17.54296875" style="529" customWidth="1"/>
    <col min="2822" max="2823" width="0.81640625" style="529" customWidth="1"/>
    <col min="2824" max="2824" width="17.54296875" style="529" customWidth="1"/>
    <col min="2825" max="2825" width="0.81640625" style="529" customWidth="1"/>
    <col min="2826" max="2826" width="17.54296875" style="529" customWidth="1"/>
    <col min="2827" max="2827" width="0.81640625" style="529" customWidth="1"/>
    <col min="2828" max="2828" width="17.54296875" style="529" customWidth="1"/>
    <col min="2829" max="2829" width="0.81640625" style="529" customWidth="1"/>
    <col min="2830" max="2830" width="19.81640625" style="529" bestFit="1" customWidth="1"/>
    <col min="2831" max="2832" width="1.453125" style="529" customWidth="1"/>
    <col min="2833" max="2833" width="20.1796875" style="529" bestFit="1" customWidth="1"/>
    <col min="2834" max="3070" width="8.7265625" style="529"/>
    <col min="3071" max="3073" width="1.81640625" style="529" customWidth="1"/>
    <col min="3074" max="3074" width="47.1796875" style="529" customWidth="1"/>
    <col min="3075" max="3075" width="8.54296875" style="529" bestFit="1" customWidth="1"/>
    <col min="3076" max="3076" width="0.81640625" style="529" customWidth="1"/>
    <col min="3077" max="3077" width="17.54296875" style="529" customWidth="1"/>
    <col min="3078" max="3079" width="0.81640625" style="529" customWidth="1"/>
    <col min="3080" max="3080" width="17.54296875" style="529" customWidth="1"/>
    <col min="3081" max="3081" width="0.81640625" style="529" customWidth="1"/>
    <col min="3082" max="3082" width="17.54296875" style="529" customWidth="1"/>
    <col min="3083" max="3083" width="0.81640625" style="529" customWidth="1"/>
    <col min="3084" max="3084" width="17.54296875" style="529" customWidth="1"/>
    <col min="3085" max="3085" width="0.81640625" style="529" customWidth="1"/>
    <col min="3086" max="3086" width="19.81640625" style="529" bestFit="1" customWidth="1"/>
    <col min="3087" max="3088" width="1.453125" style="529" customWidth="1"/>
    <col min="3089" max="3089" width="20.1796875" style="529" bestFit="1" customWidth="1"/>
    <col min="3090" max="3326" width="8.7265625" style="529"/>
    <col min="3327" max="3329" width="1.81640625" style="529" customWidth="1"/>
    <col min="3330" max="3330" width="47.1796875" style="529" customWidth="1"/>
    <col min="3331" max="3331" width="8.54296875" style="529" bestFit="1" customWidth="1"/>
    <col min="3332" max="3332" width="0.81640625" style="529" customWidth="1"/>
    <col min="3333" max="3333" width="17.54296875" style="529" customWidth="1"/>
    <col min="3334" max="3335" width="0.81640625" style="529" customWidth="1"/>
    <col min="3336" max="3336" width="17.54296875" style="529" customWidth="1"/>
    <col min="3337" max="3337" width="0.81640625" style="529" customWidth="1"/>
    <col min="3338" max="3338" width="17.54296875" style="529" customWidth="1"/>
    <col min="3339" max="3339" width="0.81640625" style="529" customWidth="1"/>
    <col min="3340" max="3340" width="17.54296875" style="529" customWidth="1"/>
    <col min="3341" max="3341" width="0.81640625" style="529" customWidth="1"/>
    <col min="3342" max="3342" width="19.81640625" style="529" bestFit="1" customWidth="1"/>
    <col min="3343" max="3344" width="1.453125" style="529" customWidth="1"/>
    <col min="3345" max="3345" width="20.1796875" style="529" bestFit="1" customWidth="1"/>
    <col min="3346" max="3582" width="8.7265625" style="529"/>
    <col min="3583" max="3585" width="1.81640625" style="529" customWidth="1"/>
    <col min="3586" max="3586" width="47.1796875" style="529" customWidth="1"/>
    <col min="3587" max="3587" width="8.54296875" style="529" bestFit="1" customWidth="1"/>
    <col min="3588" max="3588" width="0.81640625" style="529" customWidth="1"/>
    <col min="3589" max="3589" width="17.54296875" style="529" customWidth="1"/>
    <col min="3590" max="3591" width="0.81640625" style="529" customWidth="1"/>
    <col min="3592" max="3592" width="17.54296875" style="529" customWidth="1"/>
    <col min="3593" max="3593" width="0.81640625" style="529" customWidth="1"/>
    <col min="3594" max="3594" width="17.54296875" style="529" customWidth="1"/>
    <col min="3595" max="3595" width="0.81640625" style="529" customWidth="1"/>
    <col min="3596" max="3596" width="17.54296875" style="529" customWidth="1"/>
    <col min="3597" max="3597" width="0.81640625" style="529" customWidth="1"/>
    <col min="3598" max="3598" width="19.81640625" style="529" bestFit="1" customWidth="1"/>
    <col min="3599" max="3600" width="1.453125" style="529" customWidth="1"/>
    <col min="3601" max="3601" width="20.1796875" style="529" bestFit="1" customWidth="1"/>
    <col min="3602" max="3838" width="8.7265625" style="529"/>
    <col min="3839" max="3841" width="1.81640625" style="529" customWidth="1"/>
    <col min="3842" max="3842" width="47.1796875" style="529" customWidth="1"/>
    <col min="3843" max="3843" width="8.54296875" style="529" bestFit="1" customWidth="1"/>
    <col min="3844" max="3844" width="0.81640625" style="529" customWidth="1"/>
    <col min="3845" max="3845" width="17.54296875" style="529" customWidth="1"/>
    <col min="3846" max="3847" width="0.81640625" style="529" customWidth="1"/>
    <col min="3848" max="3848" width="17.54296875" style="529" customWidth="1"/>
    <col min="3849" max="3849" width="0.81640625" style="529" customWidth="1"/>
    <col min="3850" max="3850" width="17.54296875" style="529" customWidth="1"/>
    <col min="3851" max="3851" width="0.81640625" style="529" customWidth="1"/>
    <col min="3852" max="3852" width="17.54296875" style="529" customWidth="1"/>
    <col min="3853" max="3853" width="0.81640625" style="529" customWidth="1"/>
    <col min="3854" max="3854" width="19.81640625" style="529" bestFit="1" customWidth="1"/>
    <col min="3855" max="3856" width="1.453125" style="529" customWidth="1"/>
    <col min="3857" max="3857" width="20.1796875" style="529" bestFit="1" customWidth="1"/>
    <col min="3858" max="4094" width="8.7265625" style="529"/>
    <col min="4095" max="4097" width="1.81640625" style="529" customWidth="1"/>
    <col min="4098" max="4098" width="47.1796875" style="529" customWidth="1"/>
    <col min="4099" max="4099" width="8.54296875" style="529" bestFit="1" customWidth="1"/>
    <col min="4100" max="4100" width="0.81640625" style="529" customWidth="1"/>
    <col min="4101" max="4101" width="17.54296875" style="529" customWidth="1"/>
    <col min="4102" max="4103" width="0.81640625" style="529" customWidth="1"/>
    <col min="4104" max="4104" width="17.54296875" style="529" customWidth="1"/>
    <col min="4105" max="4105" width="0.81640625" style="529" customWidth="1"/>
    <col min="4106" max="4106" width="17.54296875" style="529" customWidth="1"/>
    <col min="4107" max="4107" width="0.81640625" style="529" customWidth="1"/>
    <col min="4108" max="4108" width="17.54296875" style="529" customWidth="1"/>
    <col min="4109" max="4109" width="0.81640625" style="529" customWidth="1"/>
    <col min="4110" max="4110" width="19.81640625" style="529" bestFit="1" customWidth="1"/>
    <col min="4111" max="4112" width="1.453125" style="529" customWidth="1"/>
    <col min="4113" max="4113" width="20.1796875" style="529" bestFit="1" customWidth="1"/>
    <col min="4114" max="4350" width="8.7265625" style="529"/>
    <col min="4351" max="4353" width="1.81640625" style="529" customWidth="1"/>
    <col min="4354" max="4354" width="47.1796875" style="529" customWidth="1"/>
    <col min="4355" max="4355" width="8.54296875" style="529" bestFit="1" customWidth="1"/>
    <col min="4356" max="4356" width="0.81640625" style="529" customWidth="1"/>
    <col min="4357" max="4357" width="17.54296875" style="529" customWidth="1"/>
    <col min="4358" max="4359" width="0.81640625" style="529" customWidth="1"/>
    <col min="4360" max="4360" width="17.54296875" style="529" customWidth="1"/>
    <col min="4361" max="4361" width="0.81640625" style="529" customWidth="1"/>
    <col min="4362" max="4362" width="17.54296875" style="529" customWidth="1"/>
    <col min="4363" max="4363" width="0.81640625" style="529" customWidth="1"/>
    <col min="4364" max="4364" width="17.54296875" style="529" customWidth="1"/>
    <col min="4365" max="4365" width="0.81640625" style="529" customWidth="1"/>
    <col min="4366" max="4366" width="19.81640625" style="529" bestFit="1" customWidth="1"/>
    <col min="4367" max="4368" width="1.453125" style="529" customWidth="1"/>
    <col min="4369" max="4369" width="20.1796875" style="529" bestFit="1" customWidth="1"/>
    <col min="4370" max="4606" width="8.7265625" style="529"/>
    <col min="4607" max="4609" width="1.81640625" style="529" customWidth="1"/>
    <col min="4610" max="4610" width="47.1796875" style="529" customWidth="1"/>
    <col min="4611" max="4611" width="8.54296875" style="529" bestFit="1" customWidth="1"/>
    <col min="4612" max="4612" width="0.81640625" style="529" customWidth="1"/>
    <col min="4613" max="4613" width="17.54296875" style="529" customWidth="1"/>
    <col min="4614" max="4615" width="0.81640625" style="529" customWidth="1"/>
    <col min="4616" max="4616" width="17.54296875" style="529" customWidth="1"/>
    <col min="4617" max="4617" width="0.81640625" style="529" customWidth="1"/>
    <col min="4618" max="4618" width="17.54296875" style="529" customWidth="1"/>
    <col min="4619" max="4619" width="0.81640625" style="529" customWidth="1"/>
    <col min="4620" max="4620" width="17.54296875" style="529" customWidth="1"/>
    <col min="4621" max="4621" width="0.81640625" style="529" customWidth="1"/>
    <col min="4622" max="4622" width="19.81640625" style="529" bestFit="1" customWidth="1"/>
    <col min="4623" max="4624" width="1.453125" style="529" customWidth="1"/>
    <col min="4625" max="4625" width="20.1796875" style="529" bestFit="1" customWidth="1"/>
    <col min="4626" max="4862" width="8.7265625" style="529"/>
    <col min="4863" max="4865" width="1.81640625" style="529" customWidth="1"/>
    <col min="4866" max="4866" width="47.1796875" style="529" customWidth="1"/>
    <col min="4867" max="4867" width="8.54296875" style="529" bestFit="1" customWidth="1"/>
    <col min="4868" max="4868" width="0.81640625" style="529" customWidth="1"/>
    <col min="4869" max="4869" width="17.54296875" style="529" customWidth="1"/>
    <col min="4870" max="4871" width="0.81640625" style="529" customWidth="1"/>
    <col min="4872" max="4872" width="17.54296875" style="529" customWidth="1"/>
    <col min="4873" max="4873" width="0.81640625" style="529" customWidth="1"/>
    <col min="4874" max="4874" width="17.54296875" style="529" customWidth="1"/>
    <col min="4875" max="4875" width="0.81640625" style="529" customWidth="1"/>
    <col min="4876" max="4876" width="17.54296875" style="529" customWidth="1"/>
    <col min="4877" max="4877" width="0.81640625" style="529" customWidth="1"/>
    <col min="4878" max="4878" width="19.81640625" style="529" bestFit="1" customWidth="1"/>
    <col min="4879" max="4880" width="1.453125" style="529" customWidth="1"/>
    <col min="4881" max="4881" width="20.1796875" style="529" bestFit="1" customWidth="1"/>
    <col min="4882" max="5118" width="8.7265625" style="529"/>
    <col min="5119" max="5121" width="1.81640625" style="529" customWidth="1"/>
    <col min="5122" max="5122" width="47.1796875" style="529" customWidth="1"/>
    <col min="5123" max="5123" width="8.54296875" style="529" bestFit="1" customWidth="1"/>
    <col min="5124" max="5124" width="0.81640625" style="529" customWidth="1"/>
    <col min="5125" max="5125" width="17.54296875" style="529" customWidth="1"/>
    <col min="5126" max="5127" width="0.81640625" style="529" customWidth="1"/>
    <col min="5128" max="5128" width="17.54296875" style="529" customWidth="1"/>
    <col min="5129" max="5129" width="0.81640625" style="529" customWidth="1"/>
    <col min="5130" max="5130" width="17.54296875" style="529" customWidth="1"/>
    <col min="5131" max="5131" width="0.81640625" style="529" customWidth="1"/>
    <col min="5132" max="5132" width="17.54296875" style="529" customWidth="1"/>
    <col min="5133" max="5133" width="0.81640625" style="529" customWidth="1"/>
    <col min="5134" max="5134" width="19.81640625" style="529" bestFit="1" customWidth="1"/>
    <col min="5135" max="5136" width="1.453125" style="529" customWidth="1"/>
    <col min="5137" max="5137" width="20.1796875" style="529" bestFit="1" customWidth="1"/>
    <col min="5138" max="5374" width="8.7265625" style="529"/>
    <col min="5375" max="5377" width="1.81640625" style="529" customWidth="1"/>
    <col min="5378" max="5378" width="47.1796875" style="529" customWidth="1"/>
    <col min="5379" max="5379" width="8.54296875" style="529" bestFit="1" customWidth="1"/>
    <col min="5380" max="5380" width="0.81640625" style="529" customWidth="1"/>
    <col min="5381" max="5381" width="17.54296875" style="529" customWidth="1"/>
    <col min="5382" max="5383" width="0.81640625" style="529" customWidth="1"/>
    <col min="5384" max="5384" width="17.54296875" style="529" customWidth="1"/>
    <col min="5385" max="5385" width="0.81640625" style="529" customWidth="1"/>
    <col min="5386" max="5386" width="17.54296875" style="529" customWidth="1"/>
    <col min="5387" max="5387" width="0.81640625" style="529" customWidth="1"/>
    <col min="5388" max="5388" width="17.54296875" style="529" customWidth="1"/>
    <col min="5389" max="5389" width="0.81640625" style="529" customWidth="1"/>
    <col min="5390" max="5390" width="19.81640625" style="529" bestFit="1" customWidth="1"/>
    <col min="5391" max="5392" width="1.453125" style="529" customWidth="1"/>
    <col min="5393" max="5393" width="20.1796875" style="529" bestFit="1" customWidth="1"/>
    <col min="5394" max="5630" width="8.7265625" style="529"/>
    <col min="5631" max="5633" width="1.81640625" style="529" customWidth="1"/>
    <col min="5634" max="5634" width="47.1796875" style="529" customWidth="1"/>
    <col min="5635" max="5635" width="8.54296875" style="529" bestFit="1" customWidth="1"/>
    <col min="5636" max="5636" width="0.81640625" style="529" customWidth="1"/>
    <col min="5637" max="5637" width="17.54296875" style="529" customWidth="1"/>
    <col min="5638" max="5639" width="0.81640625" style="529" customWidth="1"/>
    <col min="5640" max="5640" width="17.54296875" style="529" customWidth="1"/>
    <col min="5641" max="5641" width="0.81640625" style="529" customWidth="1"/>
    <col min="5642" max="5642" width="17.54296875" style="529" customWidth="1"/>
    <col min="5643" max="5643" width="0.81640625" style="529" customWidth="1"/>
    <col min="5644" max="5644" width="17.54296875" style="529" customWidth="1"/>
    <col min="5645" max="5645" width="0.81640625" style="529" customWidth="1"/>
    <col min="5646" max="5646" width="19.81640625" style="529" bestFit="1" customWidth="1"/>
    <col min="5647" max="5648" width="1.453125" style="529" customWidth="1"/>
    <col min="5649" max="5649" width="20.1796875" style="529" bestFit="1" customWidth="1"/>
    <col min="5650" max="5886" width="8.7265625" style="529"/>
    <col min="5887" max="5889" width="1.81640625" style="529" customWidth="1"/>
    <col min="5890" max="5890" width="47.1796875" style="529" customWidth="1"/>
    <col min="5891" max="5891" width="8.54296875" style="529" bestFit="1" customWidth="1"/>
    <col min="5892" max="5892" width="0.81640625" style="529" customWidth="1"/>
    <col min="5893" max="5893" width="17.54296875" style="529" customWidth="1"/>
    <col min="5894" max="5895" width="0.81640625" style="529" customWidth="1"/>
    <col min="5896" max="5896" width="17.54296875" style="529" customWidth="1"/>
    <col min="5897" max="5897" width="0.81640625" style="529" customWidth="1"/>
    <col min="5898" max="5898" width="17.54296875" style="529" customWidth="1"/>
    <col min="5899" max="5899" width="0.81640625" style="529" customWidth="1"/>
    <col min="5900" max="5900" width="17.54296875" style="529" customWidth="1"/>
    <col min="5901" max="5901" width="0.81640625" style="529" customWidth="1"/>
    <col min="5902" max="5902" width="19.81640625" style="529" bestFit="1" customWidth="1"/>
    <col min="5903" max="5904" width="1.453125" style="529" customWidth="1"/>
    <col min="5905" max="5905" width="20.1796875" style="529" bestFit="1" customWidth="1"/>
    <col min="5906" max="6142" width="8.7265625" style="529"/>
    <col min="6143" max="6145" width="1.81640625" style="529" customWidth="1"/>
    <col min="6146" max="6146" width="47.1796875" style="529" customWidth="1"/>
    <col min="6147" max="6147" width="8.54296875" style="529" bestFit="1" customWidth="1"/>
    <col min="6148" max="6148" width="0.81640625" style="529" customWidth="1"/>
    <col min="6149" max="6149" width="17.54296875" style="529" customWidth="1"/>
    <col min="6150" max="6151" width="0.81640625" style="529" customWidth="1"/>
    <col min="6152" max="6152" width="17.54296875" style="529" customWidth="1"/>
    <col min="6153" max="6153" width="0.81640625" style="529" customWidth="1"/>
    <col min="6154" max="6154" width="17.54296875" style="529" customWidth="1"/>
    <col min="6155" max="6155" width="0.81640625" style="529" customWidth="1"/>
    <col min="6156" max="6156" width="17.54296875" style="529" customWidth="1"/>
    <col min="6157" max="6157" width="0.81640625" style="529" customWidth="1"/>
    <col min="6158" max="6158" width="19.81640625" style="529" bestFit="1" customWidth="1"/>
    <col min="6159" max="6160" width="1.453125" style="529" customWidth="1"/>
    <col min="6161" max="6161" width="20.1796875" style="529" bestFit="1" customWidth="1"/>
    <col min="6162" max="6398" width="8.7265625" style="529"/>
    <col min="6399" max="6401" width="1.81640625" style="529" customWidth="1"/>
    <col min="6402" max="6402" width="47.1796875" style="529" customWidth="1"/>
    <col min="6403" max="6403" width="8.54296875" style="529" bestFit="1" customWidth="1"/>
    <col min="6404" max="6404" width="0.81640625" style="529" customWidth="1"/>
    <col min="6405" max="6405" width="17.54296875" style="529" customWidth="1"/>
    <col min="6406" max="6407" width="0.81640625" style="529" customWidth="1"/>
    <col min="6408" max="6408" width="17.54296875" style="529" customWidth="1"/>
    <col min="6409" max="6409" width="0.81640625" style="529" customWidth="1"/>
    <col min="6410" max="6410" width="17.54296875" style="529" customWidth="1"/>
    <col min="6411" max="6411" width="0.81640625" style="529" customWidth="1"/>
    <col min="6412" max="6412" width="17.54296875" style="529" customWidth="1"/>
    <col min="6413" max="6413" width="0.81640625" style="529" customWidth="1"/>
    <col min="6414" max="6414" width="19.81640625" style="529" bestFit="1" customWidth="1"/>
    <col min="6415" max="6416" width="1.453125" style="529" customWidth="1"/>
    <col min="6417" max="6417" width="20.1796875" style="529" bestFit="1" customWidth="1"/>
    <col min="6418" max="6654" width="8.7265625" style="529"/>
    <col min="6655" max="6657" width="1.81640625" style="529" customWidth="1"/>
    <col min="6658" max="6658" width="47.1796875" style="529" customWidth="1"/>
    <col min="6659" max="6659" width="8.54296875" style="529" bestFit="1" customWidth="1"/>
    <col min="6660" max="6660" width="0.81640625" style="529" customWidth="1"/>
    <col min="6661" max="6661" width="17.54296875" style="529" customWidth="1"/>
    <col min="6662" max="6663" width="0.81640625" style="529" customWidth="1"/>
    <col min="6664" max="6664" width="17.54296875" style="529" customWidth="1"/>
    <col min="6665" max="6665" width="0.81640625" style="529" customWidth="1"/>
    <col min="6666" max="6666" width="17.54296875" style="529" customWidth="1"/>
    <col min="6667" max="6667" width="0.81640625" style="529" customWidth="1"/>
    <col min="6668" max="6668" width="17.54296875" style="529" customWidth="1"/>
    <col min="6669" max="6669" width="0.81640625" style="529" customWidth="1"/>
    <col min="6670" max="6670" width="19.81640625" style="529" bestFit="1" customWidth="1"/>
    <col min="6671" max="6672" width="1.453125" style="529" customWidth="1"/>
    <col min="6673" max="6673" width="20.1796875" style="529" bestFit="1" customWidth="1"/>
    <col min="6674" max="6910" width="8.7265625" style="529"/>
    <col min="6911" max="6913" width="1.81640625" style="529" customWidth="1"/>
    <col min="6914" max="6914" width="47.1796875" style="529" customWidth="1"/>
    <col min="6915" max="6915" width="8.54296875" style="529" bestFit="1" customWidth="1"/>
    <col min="6916" max="6916" width="0.81640625" style="529" customWidth="1"/>
    <col min="6917" max="6917" width="17.54296875" style="529" customWidth="1"/>
    <col min="6918" max="6919" width="0.81640625" style="529" customWidth="1"/>
    <col min="6920" max="6920" width="17.54296875" style="529" customWidth="1"/>
    <col min="6921" max="6921" width="0.81640625" style="529" customWidth="1"/>
    <col min="6922" max="6922" width="17.54296875" style="529" customWidth="1"/>
    <col min="6923" max="6923" width="0.81640625" style="529" customWidth="1"/>
    <col min="6924" max="6924" width="17.54296875" style="529" customWidth="1"/>
    <col min="6925" max="6925" width="0.81640625" style="529" customWidth="1"/>
    <col min="6926" max="6926" width="19.81640625" style="529" bestFit="1" customWidth="1"/>
    <col min="6927" max="6928" width="1.453125" style="529" customWidth="1"/>
    <col min="6929" max="6929" width="20.1796875" style="529" bestFit="1" customWidth="1"/>
    <col min="6930" max="7166" width="8.7265625" style="529"/>
    <col min="7167" max="7169" width="1.81640625" style="529" customWidth="1"/>
    <col min="7170" max="7170" width="47.1796875" style="529" customWidth="1"/>
    <col min="7171" max="7171" width="8.54296875" style="529" bestFit="1" customWidth="1"/>
    <col min="7172" max="7172" width="0.81640625" style="529" customWidth="1"/>
    <col min="7173" max="7173" width="17.54296875" style="529" customWidth="1"/>
    <col min="7174" max="7175" width="0.81640625" style="529" customWidth="1"/>
    <col min="7176" max="7176" width="17.54296875" style="529" customWidth="1"/>
    <col min="7177" max="7177" width="0.81640625" style="529" customWidth="1"/>
    <col min="7178" max="7178" width="17.54296875" style="529" customWidth="1"/>
    <col min="7179" max="7179" width="0.81640625" style="529" customWidth="1"/>
    <col min="7180" max="7180" width="17.54296875" style="529" customWidth="1"/>
    <col min="7181" max="7181" width="0.81640625" style="529" customWidth="1"/>
    <col min="7182" max="7182" width="19.81640625" style="529" bestFit="1" customWidth="1"/>
    <col min="7183" max="7184" width="1.453125" style="529" customWidth="1"/>
    <col min="7185" max="7185" width="20.1796875" style="529" bestFit="1" customWidth="1"/>
    <col min="7186" max="7422" width="8.7265625" style="529"/>
    <col min="7423" max="7425" width="1.81640625" style="529" customWidth="1"/>
    <col min="7426" max="7426" width="47.1796875" style="529" customWidth="1"/>
    <col min="7427" max="7427" width="8.54296875" style="529" bestFit="1" customWidth="1"/>
    <col min="7428" max="7428" width="0.81640625" style="529" customWidth="1"/>
    <col min="7429" max="7429" width="17.54296875" style="529" customWidth="1"/>
    <col min="7430" max="7431" width="0.81640625" style="529" customWidth="1"/>
    <col min="7432" max="7432" width="17.54296875" style="529" customWidth="1"/>
    <col min="7433" max="7433" width="0.81640625" style="529" customWidth="1"/>
    <col min="7434" max="7434" width="17.54296875" style="529" customWidth="1"/>
    <col min="7435" max="7435" width="0.81640625" style="529" customWidth="1"/>
    <col min="7436" max="7436" width="17.54296875" style="529" customWidth="1"/>
    <col min="7437" max="7437" width="0.81640625" style="529" customWidth="1"/>
    <col min="7438" max="7438" width="19.81640625" style="529" bestFit="1" customWidth="1"/>
    <col min="7439" max="7440" width="1.453125" style="529" customWidth="1"/>
    <col min="7441" max="7441" width="20.1796875" style="529" bestFit="1" customWidth="1"/>
    <col min="7442" max="7678" width="8.7265625" style="529"/>
    <col min="7679" max="7681" width="1.81640625" style="529" customWidth="1"/>
    <col min="7682" max="7682" width="47.1796875" style="529" customWidth="1"/>
    <col min="7683" max="7683" width="8.54296875" style="529" bestFit="1" customWidth="1"/>
    <col min="7684" max="7684" width="0.81640625" style="529" customWidth="1"/>
    <col min="7685" max="7685" width="17.54296875" style="529" customWidth="1"/>
    <col min="7686" max="7687" width="0.81640625" style="529" customWidth="1"/>
    <col min="7688" max="7688" width="17.54296875" style="529" customWidth="1"/>
    <col min="7689" max="7689" width="0.81640625" style="529" customWidth="1"/>
    <col min="7690" max="7690" width="17.54296875" style="529" customWidth="1"/>
    <col min="7691" max="7691" width="0.81640625" style="529" customWidth="1"/>
    <col min="7692" max="7692" width="17.54296875" style="529" customWidth="1"/>
    <col min="7693" max="7693" width="0.81640625" style="529" customWidth="1"/>
    <col min="7694" max="7694" width="19.81640625" style="529" bestFit="1" customWidth="1"/>
    <col min="7695" max="7696" width="1.453125" style="529" customWidth="1"/>
    <col min="7697" max="7697" width="20.1796875" style="529" bestFit="1" customWidth="1"/>
    <col min="7698" max="7934" width="8.7265625" style="529"/>
    <col min="7935" max="7937" width="1.81640625" style="529" customWidth="1"/>
    <col min="7938" max="7938" width="47.1796875" style="529" customWidth="1"/>
    <col min="7939" max="7939" width="8.54296875" style="529" bestFit="1" customWidth="1"/>
    <col min="7940" max="7940" width="0.81640625" style="529" customWidth="1"/>
    <col min="7941" max="7941" width="17.54296875" style="529" customWidth="1"/>
    <col min="7942" max="7943" width="0.81640625" style="529" customWidth="1"/>
    <col min="7944" max="7944" width="17.54296875" style="529" customWidth="1"/>
    <col min="7945" max="7945" width="0.81640625" style="529" customWidth="1"/>
    <col min="7946" max="7946" width="17.54296875" style="529" customWidth="1"/>
    <col min="7947" max="7947" width="0.81640625" style="529" customWidth="1"/>
    <col min="7948" max="7948" width="17.54296875" style="529" customWidth="1"/>
    <col min="7949" max="7949" width="0.81640625" style="529" customWidth="1"/>
    <col min="7950" max="7950" width="19.81640625" style="529" bestFit="1" customWidth="1"/>
    <col min="7951" max="7952" width="1.453125" style="529" customWidth="1"/>
    <col min="7953" max="7953" width="20.1796875" style="529" bestFit="1" customWidth="1"/>
    <col min="7954" max="8190" width="8.7265625" style="529"/>
    <col min="8191" max="8193" width="1.81640625" style="529" customWidth="1"/>
    <col min="8194" max="8194" width="47.1796875" style="529" customWidth="1"/>
    <col min="8195" max="8195" width="8.54296875" style="529" bestFit="1" customWidth="1"/>
    <col min="8196" max="8196" width="0.81640625" style="529" customWidth="1"/>
    <col min="8197" max="8197" width="17.54296875" style="529" customWidth="1"/>
    <col min="8198" max="8199" width="0.81640625" style="529" customWidth="1"/>
    <col min="8200" max="8200" width="17.54296875" style="529" customWidth="1"/>
    <col min="8201" max="8201" width="0.81640625" style="529" customWidth="1"/>
    <col min="8202" max="8202" width="17.54296875" style="529" customWidth="1"/>
    <col min="8203" max="8203" width="0.81640625" style="529" customWidth="1"/>
    <col min="8204" max="8204" width="17.54296875" style="529" customWidth="1"/>
    <col min="8205" max="8205" width="0.81640625" style="529" customWidth="1"/>
    <col min="8206" max="8206" width="19.81640625" style="529" bestFit="1" customWidth="1"/>
    <col min="8207" max="8208" width="1.453125" style="529" customWidth="1"/>
    <col min="8209" max="8209" width="20.1796875" style="529" bestFit="1" customWidth="1"/>
    <col min="8210" max="8446" width="8.7265625" style="529"/>
    <col min="8447" max="8449" width="1.81640625" style="529" customWidth="1"/>
    <col min="8450" max="8450" width="47.1796875" style="529" customWidth="1"/>
    <col min="8451" max="8451" width="8.54296875" style="529" bestFit="1" customWidth="1"/>
    <col min="8452" max="8452" width="0.81640625" style="529" customWidth="1"/>
    <col min="8453" max="8453" width="17.54296875" style="529" customWidth="1"/>
    <col min="8454" max="8455" width="0.81640625" style="529" customWidth="1"/>
    <col min="8456" max="8456" width="17.54296875" style="529" customWidth="1"/>
    <col min="8457" max="8457" width="0.81640625" style="529" customWidth="1"/>
    <col min="8458" max="8458" width="17.54296875" style="529" customWidth="1"/>
    <col min="8459" max="8459" width="0.81640625" style="529" customWidth="1"/>
    <col min="8460" max="8460" width="17.54296875" style="529" customWidth="1"/>
    <col min="8461" max="8461" width="0.81640625" style="529" customWidth="1"/>
    <col min="8462" max="8462" width="19.81640625" style="529" bestFit="1" customWidth="1"/>
    <col min="8463" max="8464" width="1.453125" style="529" customWidth="1"/>
    <col min="8465" max="8465" width="20.1796875" style="529" bestFit="1" customWidth="1"/>
    <col min="8466" max="8702" width="8.7265625" style="529"/>
    <col min="8703" max="8705" width="1.81640625" style="529" customWidth="1"/>
    <col min="8706" max="8706" width="47.1796875" style="529" customWidth="1"/>
    <col min="8707" max="8707" width="8.54296875" style="529" bestFit="1" customWidth="1"/>
    <col min="8708" max="8708" width="0.81640625" style="529" customWidth="1"/>
    <col min="8709" max="8709" width="17.54296875" style="529" customWidth="1"/>
    <col min="8710" max="8711" width="0.81640625" style="529" customWidth="1"/>
    <col min="8712" max="8712" width="17.54296875" style="529" customWidth="1"/>
    <col min="8713" max="8713" width="0.81640625" style="529" customWidth="1"/>
    <col min="8714" max="8714" width="17.54296875" style="529" customWidth="1"/>
    <col min="8715" max="8715" width="0.81640625" style="529" customWidth="1"/>
    <col min="8716" max="8716" width="17.54296875" style="529" customWidth="1"/>
    <col min="8717" max="8717" width="0.81640625" style="529" customWidth="1"/>
    <col min="8718" max="8718" width="19.81640625" style="529" bestFit="1" customWidth="1"/>
    <col min="8719" max="8720" width="1.453125" style="529" customWidth="1"/>
    <col min="8721" max="8721" width="20.1796875" style="529" bestFit="1" customWidth="1"/>
    <col min="8722" max="8958" width="8.7265625" style="529"/>
    <col min="8959" max="8961" width="1.81640625" style="529" customWidth="1"/>
    <col min="8962" max="8962" width="47.1796875" style="529" customWidth="1"/>
    <col min="8963" max="8963" width="8.54296875" style="529" bestFit="1" customWidth="1"/>
    <col min="8964" max="8964" width="0.81640625" style="529" customWidth="1"/>
    <col min="8965" max="8965" width="17.54296875" style="529" customWidth="1"/>
    <col min="8966" max="8967" width="0.81640625" style="529" customWidth="1"/>
    <col min="8968" max="8968" width="17.54296875" style="529" customWidth="1"/>
    <col min="8969" max="8969" width="0.81640625" style="529" customWidth="1"/>
    <col min="8970" max="8970" width="17.54296875" style="529" customWidth="1"/>
    <col min="8971" max="8971" width="0.81640625" style="529" customWidth="1"/>
    <col min="8972" max="8972" width="17.54296875" style="529" customWidth="1"/>
    <col min="8973" max="8973" width="0.81640625" style="529" customWidth="1"/>
    <col min="8974" max="8974" width="19.81640625" style="529" bestFit="1" customWidth="1"/>
    <col min="8975" max="8976" width="1.453125" style="529" customWidth="1"/>
    <col min="8977" max="8977" width="20.1796875" style="529" bestFit="1" customWidth="1"/>
    <col min="8978" max="9214" width="8.7265625" style="529"/>
    <col min="9215" max="9217" width="1.81640625" style="529" customWidth="1"/>
    <col min="9218" max="9218" width="47.1796875" style="529" customWidth="1"/>
    <col min="9219" max="9219" width="8.54296875" style="529" bestFit="1" customWidth="1"/>
    <col min="9220" max="9220" width="0.81640625" style="529" customWidth="1"/>
    <col min="9221" max="9221" width="17.54296875" style="529" customWidth="1"/>
    <col min="9222" max="9223" width="0.81640625" style="529" customWidth="1"/>
    <col min="9224" max="9224" width="17.54296875" style="529" customWidth="1"/>
    <col min="9225" max="9225" width="0.81640625" style="529" customWidth="1"/>
    <col min="9226" max="9226" width="17.54296875" style="529" customWidth="1"/>
    <col min="9227" max="9227" width="0.81640625" style="529" customWidth="1"/>
    <col min="9228" max="9228" width="17.54296875" style="529" customWidth="1"/>
    <col min="9229" max="9229" width="0.81640625" style="529" customWidth="1"/>
    <col min="9230" max="9230" width="19.81640625" style="529" bestFit="1" customWidth="1"/>
    <col min="9231" max="9232" width="1.453125" style="529" customWidth="1"/>
    <col min="9233" max="9233" width="20.1796875" style="529" bestFit="1" customWidth="1"/>
    <col min="9234" max="9470" width="8.7265625" style="529"/>
    <col min="9471" max="9473" width="1.81640625" style="529" customWidth="1"/>
    <col min="9474" max="9474" width="47.1796875" style="529" customWidth="1"/>
    <col min="9475" max="9475" width="8.54296875" style="529" bestFit="1" customWidth="1"/>
    <col min="9476" max="9476" width="0.81640625" style="529" customWidth="1"/>
    <col min="9477" max="9477" width="17.54296875" style="529" customWidth="1"/>
    <col min="9478" max="9479" width="0.81640625" style="529" customWidth="1"/>
    <col min="9480" max="9480" width="17.54296875" style="529" customWidth="1"/>
    <col min="9481" max="9481" width="0.81640625" style="529" customWidth="1"/>
    <col min="9482" max="9482" width="17.54296875" style="529" customWidth="1"/>
    <col min="9483" max="9483" width="0.81640625" style="529" customWidth="1"/>
    <col min="9484" max="9484" width="17.54296875" style="529" customWidth="1"/>
    <col min="9485" max="9485" width="0.81640625" style="529" customWidth="1"/>
    <col min="9486" max="9486" width="19.81640625" style="529" bestFit="1" customWidth="1"/>
    <col min="9487" max="9488" width="1.453125" style="529" customWidth="1"/>
    <col min="9489" max="9489" width="20.1796875" style="529" bestFit="1" customWidth="1"/>
    <col min="9490" max="9726" width="8.7265625" style="529"/>
    <col min="9727" max="9729" width="1.81640625" style="529" customWidth="1"/>
    <col min="9730" max="9730" width="47.1796875" style="529" customWidth="1"/>
    <col min="9731" max="9731" width="8.54296875" style="529" bestFit="1" customWidth="1"/>
    <col min="9732" max="9732" width="0.81640625" style="529" customWidth="1"/>
    <col min="9733" max="9733" width="17.54296875" style="529" customWidth="1"/>
    <col min="9734" max="9735" width="0.81640625" style="529" customWidth="1"/>
    <col min="9736" max="9736" width="17.54296875" style="529" customWidth="1"/>
    <col min="9737" max="9737" width="0.81640625" style="529" customWidth="1"/>
    <col min="9738" max="9738" width="17.54296875" style="529" customWidth="1"/>
    <col min="9739" max="9739" width="0.81640625" style="529" customWidth="1"/>
    <col min="9740" max="9740" width="17.54296875" style="529" customWidth="1"/>
    <col min="9741" max="9741" width="0.81640625" style="529" customWidth="1"/>
    <col min="9742" max="9742" width="19.81640625" style="529" bestFit="1" customWidth="1"/>
    <col min="9743" max="9744" width="1.453125" style="529" customWidth="1"/>
    <col min="9745" max="9745" width="20.1796875" style="529" bestFit="1" customWidth="1"/>
    <col min="9746" max="9982" width="8.7265625" style="529"/>
    <col min="9983" max="9985" width="1.81640625" style="529" customWidth="1"/>
    <col min="9986" max="9986" width="47.1796875" style="529" customWidth="1"/>
    <col min="9987" max="9987" width="8.54296875" style="529" bestFit="1" customWidth="1"/>
    <col min="9988" max="9988" width="0.81640625" style="529" customWidth="1"/>
    <col min="9989" max="9989" width="17.54296875" style="529" customWidth="1"/>
    <col min="9990" max="9991" width="0.81640625" style="529" customWidth="1"/>
    <col min="9992" max="9992" width="17.54296875" style="529" customWidth="1"/>
    <col min="9993" max="9993" width="0.81640625" style="529" customWidth="1"/>
    <col min="9994" max="9994" width="17.54296875" style="529" customWidth="1"/>
    <col min="9995" max="9995" width="0.81640625" style="529" customWidth="1"/>
    <col min="9996" max="9996" width="17.54296875" style="529" customWidth="1"/>
    <col min="9997" max="9997" width="0.81640625" style="529" customWidth="1"/>
    <col min="9998" max="9998" width="19.81640625" style="529" bestFit="1" customWidth="1"/>
    <col min="9999" max="10000" width="1.453125" style="529" customWidth="1"/>
    <col min="10001" max="10001" width="20.1796875" style="529" bestFit="1" customWidth="1"/>
    <col min="10002" max="10238" width="8.7265625" style="529"/>
    <col min="10239" max="10241" width="1.81640625" style="529" customWidth="1"/>
    <col min="10242" max="10242" width="47.1796875" style="529" customWidth="1"/>
    <col min="10243" max="10243" width="8.54296875" style="529" bestFit="1" customWidth="1"/>
    <col min="10244" max="10244" width="0.81640625" style="529" customWidth="1"/>
    <col min="10245" max="10245" width="17.54296875" style="529" customWidth="1"/>
    <col min="10246" max="10247" width="0.81640625" style="529" customWidth="1"/>
    <col min="10248" max="10248" width="17.54296875" style="529" customWidth="1"/>
    <col min="10249" max="10249" width="0.81640625" style="529" customWidth="1"/>
    <col min="10250" max="10250" width="17.54296875" style="529" customWidth="1"/>
    <col min="10251" max="10251" width="0.81640625" style="529" customWidth="1"/>
    <col min="10252" max="10252" width="17.54296875" style="529" customWidth="1"/>
    <col min="10253" max="10253" width="0.81640625" style="529" customWidth="1"/>
    <col min="10254" max="10254" width="19.81640625" style="529" bestFit="1" customWidth="1"/>
    <col min="10255" max="10256" width="1.453125" style="529" customWidth="1"/>
    <col min="10257" max="10257" width="20.1796875" style="529" bestFit="1" customWidth="1"/>
    <col min="10258" max="10494" width="8.7265625" style="529"/>
    <col min="10495" max="10497" width="1.81640625" style="529" customWidth="1"/>
    <col min="10498" max="10498" width="47.1796875" style="529" customWidth="1"/>
    <col min="10499" max="10499" width="8.54296875" style="529" bestFit="1" customWidth="1"/>
    <col min="10500" max="10500" width="0.81640625" style="529" customWidth="1"/>
    <col min="10501" max="10501" width="17.54296875" style="529" customWidth="1"/>
    <col min="10502" max="10503" width="0.81640625" style="529" customWidth="1"/>
    <col min="10504" max="10504" width="17.54296875" style="529" customWidth="1"/>
    <col min="10505" max="10505" width="0.81640625" style="529" customWidth="1"/>
    <col min="10506" max="10506" width="17.54296875" style="529" customWidth="1"/>
    <col min="10507" max="10507" width="0.81640625" style="529" customWidth="1"/>
    <col min="10508" max="10508" width="17.54296875" style="529" customWidth="1"/>
    <col min="10509" max="10509" width="0.81640625" style="529" customWidth="1"/>
    <col min="10510" max="10510" width="19.81640625" style="529" bestFit="1" customWidth="1"/>
    <col min="10511" max="10512" width="1.453125" style="529" customWidth="1"/>
    <col min="10513" max="10513" width="20.1796875" style="529" bestFit="1" customWidth="1"/>
    <col min="10514" max="10750" width="8.7265625" style="529"/>
    <col min="10751" max="10753" width="1.81640625" style="529" customWidth="1"/>
    <col min="10754" max="10754" width="47.1796875" style="529" customWidth="1"/>
    <col min="10755" max="10755" width="8.54296875" style="529" bestFit="1" customWidth="1"/>
    <col min="10756" max="10756" width="0.81640625" style="529" customWidth="1"/>
    <col min="10757" max="10757" width="17.54296875" style="529" customWidth="1"/>
    <col min="10758" max="10759" width="0.81640625" style="529" customWidth="1"/>
    <col min="10760" max="10760" width="17.54296875" style="529" customWidth="1"/>
    <col min="10761" max="10761" width="0.81640625" style="529" customWidth="1"/>
    <col min="10762" max="10762" width="17.54296875" style="529" customWidth="1"/>
    <col min="10763" max="10763" width="0.81640625" style="529" customWidth="1"/>
    <col min="10764" max="10764" width="17.54296875" style="529" customWidth="1"/>
    <col min="10765" max="10765" width="0.81640625" style="529" customWidth="1"/>
    <col min="10766" max="10766" width="19.81640625" style="529" bestFit="1" customWidth="1"/>
    <col min="10767" max="10768" width="1.453125" style="529" customWidth="1"/>
    <col min="10769" max="10769" width="20.1796875" style="529" bestFit="1" customWidth="1"/>
    <col min="10770" max="11006" width="8.7265625" style="529"/>
    <col min="11007" max="11009" width="1.81640625" style="529" customWidth="1"/>
    <col min="11010" max="11010" width="47.1796875" style="529" customWidth="1"/>
    <col min="11011" max="11011" width="8.54296875" style="529" bestFit="1" customWidth="1"/>
    <col min="11012" max="11012" width="0.81640625" style="529" customWidth="1"/>
    <col min="11013" max="11013" width="17.54296875" style="529" customWidth="1"/>
    <col min="11014" max="11015" width="0.81640625" style="529" customWidth="1"/>
    <col min="11016" max="11016" width="17.54296875" style="529" customWidth="1"/>
    <col min="11017" max="11017" width="0.81640625" style="529" customWidth="1"/>
    <col min="11018" max="11018" width="17.54296875" style="529" customWidth="1"/>
    <col min="11019" max="11019" width="0.81640625" style="529" customWidth="1"/>
    <col min="11020" max="11020" width="17.54296875" style="529" customWidth="1"/>
    <col min="11021" max="11021" width="0.81640625" style="529" customWidth="1"/>
    <col min="11022" max="11022" width="19.81640625" style="529" bestFit="1" customWidth="1"/>
    <col min="11023" max="11024" width="1.453125" style="529" customWidth="1"/>
    <col min="11025" max="11025" width="20.1796875" style="529" bestFit="1" customWidth="1"/>
    <col min="11026" max="11262" width="8.7265625" style="529"/>
    <col min="11263" max="11265" width="1.81640625" style="529" customWidth="1"/>
    <col min="11266" max="11266" width="47.1796875" style="529" customWidth="1"/>
    <col min="11267" max="11267" width="8.54296875" style="529" bestFit="1" customWidth="1"/>
    <col min="11268" max="11268" width="0.81640625" style="529" customWidth="1"/>
    <col min="11269" max="11269" width="17.54296875" style="529" customWidth="1"/>
    <col min="11270" max="11271" width="0.81640625" style="529" customWidth="1"/>
    <col min="11272" max="11272" width="17.54296875" style="529" customWidth="1"/>
    <col min="11273" max="11273" width="0.81640625" style="529" customWidth="1"/>
    <col min="11274" max="11274" width="17.54296875" style="529" customWidth="1"/>
    <col min="11275" max="11275" width="0.81640625" style="529" customWidth="1"/>
    <col min="11276" max="11276" width="17.54296875" style="529" customWidth="1"/>
    <col min="11277" max="11277" width="0.81640625" style="529" customWidth="1"/>
    <col min="11278" max="11278" width="19.81640625" style="529" bestFit="1" customWidth="1"/>
    <col min="11279" max="11280" width="1.453125" style="529" customWidth="1"/>
    <col min="11281" max="11281" width="20.1796875" style="529" bestFit="1" customWidth="1"/>
    <col min="11282" max="11518" width="8.7265625" style="529"/>
    <col min="11519" max="11521" width="1.81640625" style="529" customWidth="1"/>
    <col min="11522" max="11522" width="47.1796875" style="529" customWidth="1"/>
    <col min="11523" max="11523" width="8.54296875" style="529" bestFit="1" customWidth="1"/>
    <col min="11524" max="11524" width="0.81640625" style="529" customWidth="1"/>
    <col min="11525" max="11525" width="17.54296875" style="529" customWidth="1"/>
    <col min="11526" max="11527" width="0.81640625" style="529" customWidth="1"/>
    <col min="11528" max="11528" width="17.54296875" style="529" customWidth="1"/>
    <col min="11529" max="11529" width="0.81640625" style="529" customWidth="1"/>
    <col min="11530" max="11530" width="17.54296875" style="529" customWidth="1"/>
    <col min="11531" max="11531" width="0.81640625" style="529" customWidth="1"/>
    <col min="11532" max="11532" width="17.54296875" style="529" customWidth="1"/>
    <col min="11533" max="11533" width="0.81640625" style="529" customWidth="1"/>
    <col min="11534" max="11534" width="19.81640625" style="529" bestFit="1" customWidth="1"/>
    <col min="11535" max="11536" width="1.453125" style="529" customWidth="1"/>
    <col min="11537" max="11537" width="20.1796875" style="529" bestFit="1" customWidth="1"/>
    <col min="11538" max="11774" width="8.7265625" style="529"/>
    <col min="11775" max="11777" width="1.81640625" style="529" customWidth="1"/>
    <col min="11778" max="11778" width="47.1796875" style="529" customWidth="1"/>
    <col min="11779" max="11779" width="8.54296875" style="529" bestFit="1" customWidth="1"/>
    <col min="11780" max="11780" width="0.81640625" style="529" customWidth="1"/>
    <col min="11781" max="11781" width="17.54296875" style="529" customWidth="1"/>
    <col min="11782" max="11783" width="0.81640625" style="529" customWidth="1"/>
    <col min="11784" max="11784" width="17.54296875" style="529" customWidth="1"/>
    <col min="11785" max="11785" width="0.81640625" style="529" customWidth="1"/>
    <col min="11786" max="11786" width="17.54296875" style="529" customWidth="1"/>
    <col min="11787" max="11787" width="0.81640625" style="529" customWidth="1"/>
    <col min="11788" max="11788" width="17.54296875" style="529" customWidth="1"/>
    <col min="11789" max="11789" width="0.81640625" style="529" customWidth="1"/>
    <col min="11790" max="11790" width="19.81640625" style="529" bestFit="1" customWidth="1"/>
    <col min="11791" max="11792" width="1.453125" style="529" customWidth="1"/>
    <col min="11793" max="11793" width="20.1796875" style="529" bestFit="1" customWidth="1"/>
    <col min="11794" max="12030" width="8.7265625" style="529"/>
    <col min="12031" max="12033" width="1.81640625" style="529" customWidth="1"/>
    <col min="12034" max="12034" width="47.1796875" style="529" customWidth="1"/>
    <col min="12035" max="12035" width="8.54296875" style="529" bestFit="1" customWidth="1"/>
    <col min="12036" max="12036" width="0.81640625" style="529" customWidth="1"/>
    <col min="12037" max="12037" width="17.54296875" style="529" customWidth="1"/>
    <col min="12038" max="12039" width="0.81640625" style="529" customWidth="1"/>
    <col min="12040" max="12040" width="17.54296875" style="529" customWidth="1"/>
    <col min="12041" max="12041" width="0.81640625" style="529" customWidth="1"/>
    <col min="12042" max="12042" width="17.54296875" style="529" customWidth="1"/>
    <col min="12043" max="12043" width="0.81640625" style="529" customWidth="1"/>
    <col min="12044" max="12044" width="17.54296875" style="529" customWidth="1"/>
    <col min="12045" max="12045" width="0.81640625" style="529" customWidth="1"/>
    <col min="12046" max="12046" width="19.81640625" style="529" bestFit="1" customWidth="1"/>
    <col min="12047" max="12048" width="1.453125" style="529" customWidth="1"/>
    <col min="12049" max="12049" width="20.1796875" style="529" bestFit="1" customWidth="1"/>
    <col min="12050" max="12286" width="8.7265625" style="529"/>
    <col min="12287" max="12289" width="1.81640625" style="529" customWidth="1"/>
    <col min="12290" max="12290" width="47.1796875" style="529" customWidth="1"/>
    <col min="12291" max="12291" width="8.54296875" style="529" bestFit="1" customWidth="1"/>
    <col min="12292" max="12292" width="0.81640625" style="529" customWidth="1"/>
    <col min="12293" max="12293" width="17.54296875" style="529" customWidth="1"/>
    <col min="12294" max="12295" width="0.81640625" style="529" customWidth="1"/>
    <col min="12296" max="12296" width="17.54296875" style="529" customWidth="1"/>
    <col min="12297" max="12297" width="0.81640625" style="529" customWidth="1"/>
    <col min="12298" max="12298" width="17.54296875" style="529" customWidth="1"/>
    <col min="12299" max="12299" width="0.81640625" style="529" customWidth="1"/>
    <col min="12300" max="12300" width="17.54296875" style="529" customWidth="1"/>
    <col min="12301" max="12301" width="0.81640625" style="529" customWidth="1"/>
    <col min="12302" max="12302" width="19.81640625" style="529" bestFit="1" customWidth="1"/>
    <col min="12303" max="12304" width="1.453125" style="529" customWidth="1"/>
    <col min="12305" max="12305" width="20.1796875" style="529" bestFit="1" customWidth="1"/>
    <col min="12306" max="12542" width="8.7265625" style="529"/>
    <col min="12543" max="12545" width="1.81640625" style="529" customWidth="1"/>
    <col min="12546" max="12546" width="47.1796875" style="529" customWidth="1"/>
    <col min="12547" max="12547" width="8.54296875" style="529" bestFit="1" customWidth="1"/>
    <col min="12548" max="12548" width="0.81640625" style="529" customWidth="1"/>
    <col min="12549" max="12549" width="17.54296875" style="529" customWidth="1"/>
    <col min="12550" max="12551" width="0.81640625" style="529" customWidth="1"/>
    <col min="12552" max="12552" width="17.54296875" style="529" customWidth="1"/>
    <col min="12553" max="12553" width="0.81640625" style="529" customWidth="1"/>
    <col min="12554" max="12554" width="17.54296875" style="529" customWidth="1"/>
    <col min="12555" max="12555" width="0.81640625" style="529" customWidth="1"/>
    <col min="12556" max="12556" width="17.54296875" style="529" customWidth="1"/>
    <col min="12557" max="12557" width="0.81640625" style="529" customWidth="1"/>
    <col min="12558" max="12558" width="19.81640625" style="529" bestFit="1" customWidth="1"/>
    <col min="12559" max="12560" width="1.453125" style="529" customWidth="1"/>
    <col min="12561" max="12561" width="20.1796875" style="529" bestFit="1" customWidth="1"/>
    <col min="12562" max="12798" width="8.7265625" style="529"/>
    <col min="12799" max="12801" width="1.81640625" style="529" customWidth="1"/>
    <col min="12802" max="12802" width="47.1796875" style="529" customWidth="1"/>
    <col min="12803" max="12803" width="8.54296875" style="529" bestFit="1" customWidth="1"/>
    <col min="12804" max="12804" width="0.81640625" style="529" customWidth="1"/>
    <col min="12805" max="12805" width="17.54296875" style="529" customWidth="1"/>
    <col min="12806" max="12807" width="0.81640625" style="529" customWidth="1"/>
    <col min="12808" max="12808" width="17.54296875" style="529" customWidth="1"/>
    <col min="12809" max="12809" width="0.81640625" style="529" customWidth="1"/>
    <col min="12810" max="12810" width="17.54296875" style="529" customWidth="1"/>
    <col min="12811" max="12811" width="0.81640625" style="529" customWidth="1"/>
    <col min="12812" max="12812" width="17.54296875" style="529" customWidth="1"/>
    <col min="12813" max="12813" width="0.81640625" style="529" customWidth="1"/>
    <col min="12814" max="12814" width="19.81640625" style="529" bestFit="1" customWidth="1"/>
    <col min="12815" max="12816" width="1.453125" style="529" customWidth="1"/>
    <col min="12817" max="12817" width="20.1796875" style="529" bestFit="1" customWidth="1"/>
    <col min="12818" max="13054" width="8.7265625" style="529"/>
    <col min="13055" max="13057" width="1.81640625" style="529" customWidth="1"/>
    <col min="13058" max="13058" width="47.1796875" style="529" customWidth="1"/>
    <col min="13059" max="13059" width="8.54296875" style="529" bestFit="1" customWidth="1"/>
    <col min="13060" max="13060" width="0.81640625" style="529" customWidth="1"/>
    <col min="13061" max="13061" width="17.54296875" style="529" customWidth="1"/>
    <col min="13062" max="13063" width="0.81640625" style="529" customWidth="1"/>
    <col min="13064" max="13064" width="17.54296875" style="529" customWidth="1"/>
    <col min="13065" max="13065" width="0.81640625" style="529" customWidth="1"/>
    <col min="13066" max="13066" width="17.54296875" style="529" customWidth="1"/>
    <col min="13067" max="13067" width="0.81640625" style="529" customWidth="1"/>
    <col min="13068" max="13068" width="17.54296875" style="529" customWidth="1"/>
    <col min="13069" max="13069" width="0.81640625" style="529" customWidth="1"/>
    <col min="13070" max="13070" width="19.81640625" style="529" bestFit="1" customWidth="1"/>
    <col min="13071" max="13072" width="1.453125" style="529" customWidth="1"/>
    <col min="13073" max="13073" width="20.1796875" style="529" bestFit="1" customWidth="1"/>
    <col min="13074" max="13310" width="8.7265625" style="529"/>
    <col min="13311" max="13313" width="1.81640625" style="529" customWidth="1"/>
    <col min="13314" max="13314" width="47.1796875" style="529" customWidth="1"/>
    <col min="13315" max="13315" width="8.54296875" style="529" bestFit="1" customWidth="1"/>
    <col min="13316" max="13316" width="0.81640625" style="529" customWidth="1"/>
    <col min="13317" max="13317" width="17.54296875" style="529" customWidth="1"/>
    <col min="13318" max="13319" width="0.81640625" style="529" customWidth="1"/>
    <col min="13320" max="13320" width="17.54296875" style="529" customWidth="1"/>
    <col min="13321" max="13321" width="0.81640625" style="529" customWidth="1"/>
    <col min="13322" max="13322" width="17.54296875" style="529" customWidth="1"/>
    <col min="13323" max="13323" width="0.81640625" style="529" customWidth="1"/>
    <col min="13324" max="13324" width="17.54296875" style="529" customWidth="1"/>
    <col min="13325" max="13325" width="0.81640625" style="529" customWidth="1"/>
    <col min="13326" max="13326" width="19.81640625" style="529" bestFit="1" customWidth="1"/>
    <col min="13327" max="13328" width="1.453125" style="529" customWidth="1"/>
    <col min="13329" max="13329" width="20.1796875" style="529" bestFit="1" customWidth="1"/>
    <col min="13330" max="13566" width="8.7265625" style="529"/>
    <col min="13567" max="13569" width="1.81640625" style="529" customWidth="1"/>
    <col min="13570" max="13570" width="47.1796875" style="529" customWidth="1"/>
    <col min="13571" max="13571" width="8.54296875" style="529" bestFit="1" customWidth="1"/>
    <col min="13572" max="13572" width="0.81640625" style="529" customWidth="1"/>
    <col min="13573" max="13573" width="17.54296875" style="529" customWidth="1"/>
    <col min="13574" max="13575" width="0.81640625" style="529" customWidth="1"/>
    <col min="13576" max="13576" width="17.54296875" style="529" customWidth="1"/>
    <col min="13577" max="13577" width="0.81640625" style="529" customWidth="1"/>
    <col min="13578" max="13578" width="17.54296875" style="529" customWidth="1"/>
    <col min="13579" max="13579" width="0.81640625" style="529" customWidth="1"/>
    <col min="13580" max="13580" width="17.54296875" style="529" customWidth="1"/>
    <col min="13581" max="13581" width="0.81640625" style="529" customWidth="1"/>
    <col min="13582" max="13582" width="19.81640625" style="529" bestFit="1" customWidth="1"/>
    <col min="13583" max="13584" width="1.453125" style="529" customWidth="1"/>
    <col min="13585" max="13585" width="20.1796875" style="529" bestFit="1" customWidth="1"/>
    <col min="13586" max="13822" width="8.7265625" style="529"/>
    <col min="13823" max="13825" width="1.81640625" style="529" customWidth="1"/>
    <col min="13826" max="13826" width="47.1796875" style="529" customWidth="1"/>
    <col min="13827" max="13827" width="8.54296875" style="529" bestFit="1" customWidth="1"/>
    <col min="13828" max="13828" width="0.81640625" style="529" customWidth="1"/>
    <col min="13829" max="13829" width="17.54296875" style="529" customWidth="1"/>
    <col min="13830" max="13831" width="0.81640625" style="529" customWidth="1"/>
    <col min="13832" max="13832" width="17.54296875" style="529" customWidth="1"/>
    <col min="13833" max="13833" width="0.81640625" style="529" customWidth="1"/>
    <col min="13834" max="13834" width="17.54296875" style="529" customWidth="1"/>
    <col min="13835" max="13835" width="0.81640625" style="529" customWidth="1"/>
    <col min="13836" max="13836" width="17.54296875" style="529" customWidth="1"/>
    <col min="13837" max="13837" width="0.81640625" style="529" customWidth="1"/>
    <col min="13838" max="13838" width="19.81640625" style="529" bestFit="1" customWidth="1"/>
    <col min="13839" max="13840" width="1.453125" style="529" customWidth="1"/>
    <col min="13841" max="13841" width="20.1796875" style="529" bestFit="1" customWidth="1"/>
    <col min="13842" max="14078" width="8.7265625" style="529"/>
    <col min="14079" max="14081" width="1.81640625" style="529" customWidth="1"/>
    <col min="14082" max="14082" width="47.1796875" style="529" customWidth="1"/>
    <col min="14083" max="14083" width="8.54296875" style="529" bestFit="1" customWidth="1"/>
    <col min="14084" max="14084" width="0.81640625" style="529" customWidth="1"/>
    <col min="14085" max="14085" width="17.54296875" style="529" customWidth="1"/>
    <col min="14086" max="14087" width="0.81640625" style="529" customWidth="1"/>
    <col min="14088" max="14088" width="17.54296875" style="529" customWidth="1"/>
    <col min="14089" max="14089" width="0.81640625" style="529" customWidth="1"/>
    <col min="14090" max="14090" width="17.54296875" style="529" customWidth="1"/>
    <col min="14091" max="14091" width="0.81640625" style="529" customWidth="1"/>
    <col min="14092" max="14092" width="17.54296875" style="529" customWidth="1"/>
    <col min="14093" max="14093" width="0.81640625" style="529" customWidth="1"/>
    <col min="14094" max="14094" width="19.81640625" style="529" bestFit="1" customWidth="1"/>
    <col min="14095" max="14096" width="1.453125" style="529" customWidth="1"/>
    <col min="14097" max="14097" width="20.1796875" style="529" bestFit="1" customWidth="1"/>
    <col min="14098" max="14334" width="8.7265625" style="529"/>
    <col min="14335" max="14337" width="1.81640625" style="529" customWidth="1"/>
    <col min="14338" max="14338" width="47.1796875" style="529" customWidth="1"/>
    <col min="14339" max="14339" width="8.54296875" style="529" bestFit="1" customWidth="1"/>
    <col min="14340" max="14340" width="0.81640625" style="529" customWidth="1"/>
    <col min="14341" max="14341" width="17.54296875" style="529" customWidth="1"/>
    <col min="14342" max="14343" width="0.81640625" style="529" customWidth="1"/>
    <col min="14344" max="14344" width="17.54296875" style="529" customWidth="1"/>
    <col min="14345" max="14345" width="0.81640625" style="529" customWidth="1"/>
    <col min="14346" max="14346" width="17.54296875" style="529" customWidth="1"/>
    <col min="14347" max="14347" width="0.81640625" style="529" customWidth="1"/>
    <col min="14348" max="14348" width="17.54296875" style="529" customWidth="1"/>
    <col min="14349" max="14349" width="0.81640625" style="529" customWidth="1"/>
    <col min="14350" max="14350" width="19.81640625" style="529" bestFit="1" customWidth="1"/>
    <col min="14351" max="14352" width="1.453125" style="529" customWidth="1"/>
    <col min="14353" max="14353" width="20.1796875" style="529" bestFit="1" customWidth="1"/>
    <col min="14354" max="14590" width="8.7265625" style="529"/>
    <col min="14591" max="14593" width="1.81640625" style="529" customWidth="1"/>
    <col min="14594" max="14594" width="47.1796875" style="529" customWidth="1"/>
    <col min="14595" max="14595" width="8.54296875" style="529" bestFit="1" customWidth="1"/>
    <col min="14596" max="14596" width="0.81640625" style="529" customWidth="1"/>
    <col min="14597" max="14597" width="17.54296875" style="529" customWidth="1"/>
    <col min="14598" max="14599" width="0.81640625" style="529" customWidth="1"/>
    <col min="14600" max="14600" width="17.54296875" style="529" customWidth="1"/>
    <col min="14601" max="14601" width="0.81640625" style="529" customWidth="1"/>
    <col min="14602" max="14602" width="17.54296875" style="529" customWidth="1"/>
    <col min="14603" max="14603" width="0.81640625" style="529" customWidth="1"/>
    <col min="14604" max="14604" width="17.54296875" style="529" customWidth="1"/>
    <col min="14605" max="14605" width="0.81640625" style="529" customWidth="1"/>
    <col min="14606" max="14606" width="19.81640625" style="529" bestFit="1" customWidth="1"/>
    <col min="14607" max="14608" width="1.453125" style="529" customWidth="1"/>
    <col min="14609" max="14609" width="20.1796875" style="529" bestFit="1" customWidth="1"/>
    <col min="14610" max="14846" width="8.7265625" style="529"/>
    <col min="14847" max="14849" width="1.81640625" style="529" customWidth="1"/>
    <col min="14850" max="14850" width="47.1796875" style="529" customWidth="1"/>
    <col min="14851" max="14851" width="8.54296875" style="529" bestFit="1" customWidth="1"/>
    <col min="14852" max="14852" width="0.81640625" style="529" customWidth="1"/>
    <col min="14853" max="14853" width="17.54296875" style="529" customWidth="1"/>
    <col min="14854" max="14855" width="0.81640625" style="529" customWidth="1"/>
    <col min="14856" max="14856" width="17.54296875" style="529" customWidth="1"/>
    <col min="14857" max="14857" width="0.81640625" style="529" customWidth="1"/>
    <col min="14858" max="14858" width="17.54296875" style="529" customWidth="1"/>
    <col min="14859" max="14859" width="0.81640625" style="529" customWidth="1"/>
    <col min="14860" max="14860" width="17.54296875" style="529" customWidth="1"/>
    <col min="14861" max="14861" width="0.81640625" style="529" customWidth="1"/>
    <col min="14862" max="14862" width="19.81640625" style="529" bestFit="1" customWidth="1"/>
    <col min="14863" max="14864" width="1.453125" style="529" customWidth="1"/>
    <col min="14865" max="14865" width="20.1796875" style="529" bestFit="1" customWidth="1"/>
    <col min="14866" max="15102" width="8.7265625" style="529"/>
    <col min="15103" max="15105" width="1.81640625" style="529" customWidth="1"/>
    <col min="15106" max="15106" width="47.1796875" style="529" customWidth="1"/>
    <col min="15107" max="15107" width="8.54296875" style="529" bestFit="1" customWidth="1"/>
    <col min="15108" max="15108" width="0.81640625" style="529" customWidth="1"/>
    <col min="15109" max="15109" width="17.54296875" style="529" customWidth="1"/>
    <col min="15110" max="15111" width="0.81640625" style="529" customWidth="1"/>
    <col min="15112" max="15112" width="17.54296875" style="529" customWidth="1"/>
    <col min="15113" max="15113" width="0.81640625" style="529" customWidth="1"/>
    <col min="15114" max="15114" width="17.54296875" style="529" customWidth="1"/>
    <col min="15115" max="15115" width="0.81640625" style="529" customWidth="1"/>
    <col min="15116" max="15116" width="17.54296875" style="529" customWidth="1"/>
    <col min="15117" max="15117" width="0.81640625" style="529" customWidth="1"/>
    <col min="15118" max="15118" width="19.81640625" style="529" bestFit="1" customWidth="1"/>
    <col min="15119" max="15120" width="1.453125" style="529" customWidth="1"/>
    <col min="15121" max="15121" width="20.1796875" style="529" bestFit="1" customWidth="1"/>
    <col min="15122" max="15358" width="8.7265625" style="529"/>
    <col min="15359" max="15361" width="1.81640625" style="529" customWidth="1"/>
    <col min="15362" max="15362" width="47.1796875" style="529" customWidth="1"/>
    <col min="15363" max="15363" width="8.54296875" style="529" bestFit="1" customWidth="1"/>
    <col min="15364" max="15364" width="0.81640625" style="529" customWidth="1"/>
    <col min="15365" max="15365" width="17.54296875" style="529" customWidth="1"/>
    <col min="15366" max="15367" width="0.81640625" style="529" customWidth="1"/>
    <col min="15368" max="15368" width="17.54296875" style="529" customWidth="1"/>
    <col min="15369" max="15369" width="0.81640625" style="529" customWidth="1"/>
    <col min="15370" max="15370" width="17.54296875" style="529" customWidth="1"/>
    <col min="15371" max="15371" width="0.81640625" style="529" customWidth="1"/>
    <col min="15372" max="15372" width="17.54296875" style="529" customWidth="1"/>
    <col min="15373" max="15373" width="0.81640625" style="529" customWidth="1"/>
    <col min="15374" max="15374" width="19.81640625" style="529" bestFit="1" customWidth="1"/>
    <col min="15375" max="15376" width="1.453125" style="529" customWidth="1"/>
    <col min="15377" max="15377" width="20.1796875" style="529" bestFit="1" customWidth="1"/>
    <col min="15378" max="15614" width="8.7265625" style="529"/>
    <col min="15615" max="15617" width="1.81640625" style="529" customWidth="1"/>
    <col min="15618" max="15618" width="47.1796875" style="529" customWidth="1"/>
    <col min="15619" max="15619" width="8.54296875" style="529" bestFit="1" customWidth="1"/>
    <col min="15620" max="15620" width="0.81640625" style="529" customWidth="1"/>
    <col min="15621" max="15621" width="17.54296875" style="529" customWidth="1"/>
    <col min="15622" max="15623" width="0.81640625" style="529" customWidth="1"/>
    <col min="15624" max="15624" width="17.54296875" style="529" customWidth="1"/>
    <col min="15625" max="15625" width="0.81640625" style="529" customWidth="1"/>
    <col min="15626" max="15626" width="17.54296875" style="529" customWidth="1"/>
    <col min="15627" max="15627" width="0.81640625" style="529" customWidth="1"/>
    <col min="15628" max="15628" width="17.54296875" style="529" customWidth="1"/>
    <col min="15629" max="15629" width="0.81640625" style="529" customWidth="1"/>
    <col min="15630" max="15630" width="19.81640625" style="529" bestFit="1" customWidth="1"/>
    <col min="15631" max="15632" width="1.453125" style="529" customWidth="1"/>
    <col min="15633" max="15633" width="20.1796875" style="529" bestFit="1" customWidth="1"/>
    <col min="15634" max="15870" width="8.7265625" style="529"/>
    <col min="15871" max="15873" width="1.81640625" style="529" customWidth="1"/>
    <col min="15874" max="15874" width="47.1796875" style="529" customWidth="1"/>
    <col min="15875" max="15875" width="8.54296875" style="529" bestFit="1" customWidth="1"/>
    <col min="15876" max="15876" width="0.81640625" style="529" customWidth="1"/>
    <col min="15877" max="15877" width="17.54296875" style="529" customWidth="1"/>
    <col min="15878" max="15879" width="0.81640625" style="529" customWidth="1"/>
    <col min="15880" max="15880" width="17.54296875" style="529" customWidth="1"/>
    <col min="15881" max="15881" width="0.81640625" style="529" customWidth="1"/>
    <col min="15882" max="15882" width="17.54296875" style="529" customWidth="1"/>
    <col min="15883" max="15883" width="0.81640625" style="529" customWidth="1"/>
    <col min="15884" max="15884" width="17.54296875" style="529" customWidth="1"/>
    <col min="15885" max="15885" width="0.81640625" style="529" customWidth="1"/>
    <col min="15886" max="15886" width="19.81640625" style="529" bestFit="1" customWidth="1"/>
    <col min="15887" max="15888" width="1.453125" style="529" customWidth="1"/>
    <col min="15889" max="15889" width="20.1796875" style="529" bestFit="1" customWidth="1"/>
    <col min="15890" max="16126" width="8.7265625" style="529"/>
    <col min="16127" max="16129" width="1.81640625" style="529" customWidth="1"/>
    <col min="16130" max="16130" width="47.1796875" style="529" customWidth="1"/>
    <col min="16131" max="16131" width="8.54296875" style="529" bestFit="1" customWidth="1"/>
    <col min="16132" max="16132" width="0.81640625" style="529" customWidth="1"/>
    <col min="16133" max="16133" width="17.54296875" style="529" customWidth="1"/>
    <col min="16134" max="16135" width="0.81640625" style="529" customWidth="1"/>
    <col min="16136" max="16136" width="17.54296875" style="529" customWidth="1"/>
    <col min="16137" max="16137" width="0.81640625" style="529" customWidth="1"/>
    <col min="16138" max="16138" width="17.54296875" style="529" customWidth="1"/>
    <col min="16139" max="16139" width="0.81640625" style="529" customWidth="1"/>
    <col min="16140" max="16140" width="17.54296875" style="529" customWidth="1"/>
    <col min="16141" max="16141" width="0.81640625" style="529" customWidth="1"/>
    <col min="16142" max="16142" width="19.81640625" style="529" bestFit="1" customWidth="1"/>
    <col min="16143" max="16144" width="1.453125" style="529" customWidth="1"/>
    <col min="16145" max="16145" width="20.1796875" style="529" bestFit="1" customWidth="1"/>
    <col min="16146" max="16384" width="8.7265625" style="529"/>
  </cols>
  <sheetData>
    <row r="1" spans="1:23" ht="12.75" customHeight="1">
      <c r="A1" s="528" t="str">
        <f>[2]PL!A1</f>
        <v xml:space="preserve">PT INDO AMERICAN SEAFOODS 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  <c r="R1" s="528"/>
      <c r="S1" s="528"/>
      <c r="T1" s="528"/>
    </row>
    <row r="2" spans="1:23" ht="12.75" customHeight="1">
      <c r="A2" s="528" t="s">
        <v>917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8"/>
      <c r="R2" s="528"/>
      <c r="S2" s="528"/>
      <c r="T2" s="528"/>
    </row>
    <row r="3" spans="1:23" ht="12.75" customHeight="1">
      <c r="A3" s="210" t="s">
        <v>918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</row>
    <row r="4" spans="1:23" ht="12.75" customHeight="1">
      <c r="A4" s="210" t="s">
        <v>958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</row>
    <row r="5" spans="1:23" ht="12.75" customHeight="1">
      <c r="A5" s="531" t="s">
        <v>413</v>
      </c>
      <c r="B5" s="531"/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28"/>
      <c r="P5" s="531"/>
      <c r="Q5" s="528"/>
      <c r="R5" s="531"/>
      <c r="S5" s="531"/>
      <c r="T5" s="531"/>
    </row>
    <row r="6" spans="1:23" hidden="1">
      <c r="A6" s="528"/>
      <c r="B6" s="528"/>
      <c r="C6" s="528"/>
      <c r="D6" s="528"/>
      <c r="E6" s="528"/>
      <c r="F6" s="528"/>
      <c r="G6" s="528"/>
      <c r="H6" s="528"/>
      <c r="I6" s="528"/>
      <c r="J6" s="528"/>
      <c r="K6" s="528"/>
      <c r="L6" s="528"/>
      <c r="M6" s="528"/>
      <c r="N6" s="528"/>
      <c r="O6" s="528"/>
      <c r="P6" s="528"/>
      <c r="Q6" s="528"/>
      <c r="R6" s="528"/>
      <c r="S6" s="528"/>
      <c r="T6" s="532"/>
    </row>
    <row r="7" spans="1:23" hidden="1">
      <c r="A7" s="528"/>
      <c r="B7" s="528"/>
      <c r="C7" s="528"/>
      <c r="D7" s="528"/>
      <c r="E7" s="528"/>
      <c r="F7" s="528"/>
      <c r="G7" s="528"/>
      <c r="H7" s="528"/>
      <c r="I7" s="528"/>
      <c r="J7" s="528"/>
      <c r="K7" s="528"/>
      <c r="L7" s="528"/>
      <c r="M7" s="528"/>
      <c r="N7" s="528"/>
      <c r="O7" s="528"/>
      <c r="P7" s="528"/>
      <c r="Q7" s="528"/>
      <c r="R7" s="528"/>
      <c r="S7" s="528"/>
      <c r="T7" s="532"/>
    </row>
    <row r="8" spans="1:23" ht="14.25" hidden="1" customHeight="1">
      <c r="A8" s="528"/>
      <c r="B8" s="528"/>
      <c r="C8" s="528"/>
      <c r="D8" s="528"/>
      <c r="E8" s="528"/>
      <c r="F8" s="528"/>
      <c r="G8" s="528"/>
      <c r="H8" s="528"/>
      <c r="I8" s="528"/>
      <c r="J8" s="528"/>
      <c r="K8" s="217"/>
      <c r="L8" s="528"/>
      <c r="M8" s="528"/>
      <c r="N8" s="528"/>
      <c r="O8" s="528"/>
      <c r="P8" s="528"/>
      <c r="Q8" s="528"/>
      <c r="R8" s="528"/>
      <c r="S8" s="528"/>
      <c r="T8" s="532"/>
      <c r="V8" s="533"/>
      <c r="W8" s="534"/>
    </row>
    <row r="9" spans="1:23" ht="14.25" hidden="1" customHeight="1">
      <c r="A9" s="528"/>
      <c r="B9" s="528"/>
      <c r="C9" s="528"/>
      <c r="D9" s="528"/>
      <c r="E9" s="528"/>
      <c r="F9" s="528"/>
      <c r="G9" s="528"/>
      <c r="H9" s="528"/>
      <c r="I9" s="217"/>
      <c r="J9" s="528"/>
      <c r="K9" s="217"/>
      <c r="L9" s="528"/>
      <c r="M9" s="528"/>
      <c r="N9" s="535"/>
      <c r="O9" s="535"/>
      <c r="P9" s="535"/>
      <c r="Q9" s="535"/>
      <c r="R9" s="535"/>
      <c r="S9" s="528"/>
      <c r="T9" s="532"/>
      <c r="V9" s="536"/>
    </row>
    <row r="10" spans="1:23" ht="14.25" hidden="1" customHeight="1">
      <c r="A10" s="528"/>
      <c r="B10" s="528"/>
      <c r="C10" s="528"/>
      <c r="D10" s="528"/>
      <c r="E10" s="528"/>
      <c r="F10" s="528"/>
      <c r="G10" s="528"/>
      <c r="H10" s="528"/>
      <c r="I10" s="217"/>
      <c r="J10" s="528"/>
      <c r="K10" s="537"/>
      <c r="L10" s="528"/>
      <c r="M10" s="528"/>
      <c r="N10" s="535"/>
      <c r="O10" s="535"/>
      <c r="P10" s="535"/>
      <c r="Q10" s="535"/>
      <c r="R10" s="535"/>
      <c r="S10" s="528"/>
      <c r="T10" s="532"/>
      <c r="V10" s="536"/>
      <c r="W10" s="538"/>
    </row>
    <row r="11" spans="1:23" ht="14.25" customHeight="1">
      <c r="A11" s="528"/>
      <c r="B11" s="528"/>
      <c r="C11" s="528"/>
      <c r="D11" s="528"/>
      <c r="E11" s="528"/>
      <c r="F11" s="528"/>
      <c r="G11" s="528"/>
      <c r="H11" s="528"/>
      <c r="J11" s="528"/>
      <c r="K11" s="537"/>
      <c r="L11" s="528"/>
      <c r="M11" s="968"/>
      <c r="N11" s="968"/>
      <c r="O11" s="968"/>
      <c r="P11" s="968"/>
      <c r="Q11" s="539"/>
      <c r="R11" s="540"/>
      <c r="S11" s="528"/>
      <c r="T11" s="532"/>
      <c r="V11" s="536"/>
    </row>
    <row r="12" spans="1:23" ht="14.25" customHeight="1">
      <c r="A12" s="528"/>
      <c r="B12" s="528"/>
      <c r="C12" s="528"/>
      <c r="D12" s="528"/>
      <c r="E12" s="528"/>
      <c r="F12" s="528"/>
      <c r="G12" s="528"/>
      <c r="H12" s="528"/>
      <c r="I12" s="217" t="s">
        <v>919</v>
      </c>
      <c r="J12" s="528"/>
      <c r="K12" s="217" t="s">
        <v>920</v>
      </c>
      <c r="L12" s="528"/>
      <c r="M12" s="528"/>
      <c r="N12" s="969" t="s">
        <v>921</v>
      </c>
      <c r="O12" s="969"/>
      <c r="P12" s="969"/>
      <c r="Q12" s="969"/>
      <c r="R12" s="541" t="s">
        <v>922</v>
      </c>
      <c r="S12" s="528"/>
      <c r="T12" s="532"/>
    </row>
    <row r="13" spans="1:23" ht="14.25" customHeight="1">
      <c r="A13" s="528"/>
      <c r="B13" s="528"/>
      <c r="C13" s="528"/>
      <c r="D13" s="528"/>
      <c r="E13" s="528"/>
      <c r="F13" s="528"/>
      <c r="G13" s="528"/>
      <c r="H13" s="528"/>
      <c r="I13" s="542" t="s">
        <v>923</v>
      </c>
      <c r="J13" s="528"/>
      <c r="K13" s="217" t="s">
        <v>924</v>
      </c>
      <c r="L13" s="528"/>
      <c r="M13" s="528"/>
      <c r="N13" s="541" t="s">
        <v>925</v>
      </c>
      <c r="O13" s="541"/>
      <c r="P13" s="541" t="s">
        <v>926</v>
      </c>
      <c r="Q13" s="541"/>
      <c r="R13" s="541" t="s">
        <v>927</v>
      </c>
      <c r="S13" s="528"/>
      <c r="T13" s="532"/>
    </row>
    <row r="14" spans="1:23" ht="14.25" customHeight="1">
      <c r="A14" s="528"/>
      <c r="B14" s="528"/>
      <c r="C14" s="528"/>
      <c r="D14" s="528"/>
      <c r="E14" s="217" t="s">
        <v>414</v>
      </c>
      <c r="F14" s="217" t="s">
        <v>928</v>
      </c>
      <c r="G14" s="528"/>
      <c r="H14" s="528"/>
      <c r="I14" s="543" t="s">
        <v>929</v>
      </c>
      <c r="J14" s="528"/>
      <c r="K14" s="537" t="s">
        <v>930</v>
      </c>
      <c r="L14" s="528"/>
      <c r="M14" s="528"/>
      <c r="N14" s="541" t="s">
        <v>931</v>
      </c>
      <c r="O14" s="541"/>
      <c r="P14" s="541" t="s">
        <v>931</v>
      </c>
      <c r="Q14" s="541"/>
      <c r="R14" s="541" t="s">
        <v>932</v>
      </c>
      <c r="S14" s="528"/>
      <c r="T14" s="544" t="s">
        <v>933</v>
      </c>
    </row>
    <row r="15" spans="1:23" ht="14.25" customHeight="1">
      <c r="A15" s="539"/>
      <c r="B15" s="539"/>
      <c r="C15" s="539"/>
      <c r="D15" s="539"/>
      <c r="E15" s="537" t="s">
        <v>416</v>
      </c>
      <c r="F15" s="545" t="s">
        <v>934</v>
      </c>
      <c r="G15" s="544"/>
      <c r="H15" s="546"/>
      <c r="I15" s="545" t="s">
        <v>935</v>
      </c>
      <c r="J15" s="542"/>
      <c r="K15" s="547" t="s">
        <v>936</v>
      </c>
      <c r="L15" s="542"/>
      <c r="M15" s="542"/>
      <c r="N15" s="548" t="s">
        <v>511</v>
      </c>
      <c r="O15" s="549"/>
      <c r="P15" s="548" t="s">
        <v>513</v>
      </c>
      <c r="Q15" s="549"/>
      <c r="R15" s="548" t="s">
        <v>937</v>
      </c>
      <c r="S15" s="546"/>
      <c r="T15" s="550" t="s">
        <v>244</v>
      </c>
    </row>
    <row r="16" spans="1:23" ht="6" customHeight="1">
      <c r="A16" s="539"/>
      <c r="B16" s="539"/>
      <c r="C16" s="539"/>
      <c r="D16" s="539"/>
      <c r="E16" s="539"/>
      <c r="F16" s="539"/>
      <c r="G16" s="539"/>
      <c r="H16" s="539"/>
      <c r="I16" s="217"/>
      <c r="J16" s="217"/>
      <c r="K16" s="217"/>
      <c r="L16" s="217"/>
      <c r="M16" s="217"/>
      <c r="N16" s="539"/>
      <c r="O16" s="539"/>
      <c r="P16" s="539"/>
      <c r="Q16" s="539"/>
      <c r="R16" s="539"/>
      <c r="S16" s="539"/>
      <c r="T16" s="217"/>
    </row>
    <row r="17" spans="1:22" ht="6" customHeight="1">
      <c r="A17" s="539"/>
      <c r="B17" s="539"/>
      <c r="C17" s="539"/>
      <c r="D17" s="539"/>
      <c r="E17" s="539"/>
      <c r="F17" s="539"/>
      <c r="G17" s="539"/>
      <c r="H17" s="539"/>
      <c r="I17" s="217"/>
      <c r="J17" s="217"/>
      <c r="K17" s="217"/>
      <c r="L17" s="217"/>
      <c r="M17" s="217"/>
      <c r="N17" s="539"/>
      <c r="O17" s="539"/>
      <c r="P17" s="539"/>
      <c r="Q17" s="539"/>
      <c r="R17" s="539"/>
      <c r="S17" s="539"/>
      <c r="T17" s="217"/>
    </row>
    <row r="18" spans="1:22" ht="12.75" hidden="1" customHeight="1">
      <c r="A18" s="539" t="s">
        <v>938</v>
      </c>
      <c r="B18" s="551"/>
      <c r="C18" s="551"/>
      <c r="D18" s="552"/>
      <c r="E18" s="553"/>
      <c r="F18" s="554">
        <v>40000000000</v>
      </c>
      <c r="G18" s="539"/>
      <c r="H18" s="539"/>
      <c r="I18" s="555">
        <v>25871690669</v>
      </c>
      <c r="J18" s="217"/>
      <c r="K18" s="194">
        <v>-893983003</v>
      </c>
      <c r="L18" s="217"/>
      <c r="M18" s="217"/>
      <c r="N18" s="554">
        <v>0</v>
      </c>
      <c r="O18" s="556"/>
      <c r="P18" s="554">
        <v>7683248561.7468748</v>
      </c>
      <c r="Q18" s="556"/>
      <c r="R18" s="554">
        <f>[2]BS!AL90</f>
        <v>0</v>
      </c>
      <c r="S18" s="539"/>
      <c r="T18" s="557">
        <f>SUM(F18:R18)</f>
        <v>72660956227.746872</v>
      </c>
      <c r="V18" s="558" t="s">
        <v>939</v>
      </c>
    </row>
    <row r="19" spans="1:22" ht="14.25" hidden="1" customHeight="1">
      <c r="A19" s="559" t="s">
        <v>940</v>
      </c>
      <c r="B19" s="220"/>
      <c r="C19" s="220"/>
      <c r="D19" s="552"/>
      <c r="E19" s="553"/>
      <c r="F19" s="560"/>
      <c r="G19" s="560"/>
      <c r="H19" s="561"/>
      <c r="I19" s="562"/>
      <c r="J19" s="562"/>
      <c r="K19" s="562"/>
      <c r="L19" s="562"/>
      <c r="M19" s="562"/>
      <c r="N19" s="563"/>
      <c r="O19" s="563"/>
      <c r="P19" s="563"/>
      <c r="Q19" s="563"/>
      <c r="R19" s="563"/>
      <c r="S19" s="539"/>
      <c r="T19" s="562"/>
      <c r="V19" s="564" t="s">
        <v>941</v>
      </c>
    </row>
    <row r="20" spans="1:22" hidden="1">
      <c r="A20" s="559" t="s">
        <v>942</v>
      </c>
      <c r="B20" s="220"/>
      <c r="C20" s="220"/>
      <c r="D20" s="552"/>
      <c r="E20" s="553"/>
      <c r="F20" s="560"/>
      <c r="G20" s="560"/>
      <c r="H20" s="561"/>
      <c r="I20" s="562"/>
      <c r="J20" s="562"/>
      <c r="K20" s="562">
        <v>271898537.81999999</v>
      </c>
      <c r="L20" s="562"/>
      <c r="M20" s="562"/>
      <c r="N20" s="563">
        <v>0</v>
      </c>
      <c r="O20" s="563"/>
      <c r="P20" s="563">
        <v>0</v>
      </c>
      <c r="Q20" s="563"/>
      <c r="R20" s="563">
        <v>0</v>
      </c>
      <c r="S20" s="539"/>
      <c r="T20" s="562">
        <f>SUM(F20:P20)</f>
        <v>271898537.81999999</v>
      </c>
      <c r="V20" s="564" t="s">
        <v>943</v>
      </c>
    </row>
    <row r="21" spans="1:22" hidden="1">
      <c r="A21" s="559" t="s">
        <v>944</v>
      </c>
      <c r="B21" s="220"/>
      <c r="C21" s="220"/>
      <c r="D21" s="552"/>
      <c r="E21" s="553"/>
      <c r="F21" s="565">
        <v>0</v>
      </c>
      <c r="G21" s="560"/>
      <c r="H21" s="561"/>
      <c r="I21" s="566">
        <v>0</v>
      </c>
      <c r="J21" s="562"/>
      <c r="K21" s="566">
        <v>0</v>
      </c>
      <c r="L21" s="562"/>
      <c r="M21" s="562"/>
      <c r="N21" s="567">
        <v>0</v>
      </c>
      <c r="O21" s="563"/>
      <c r="P21" s="567">
        <f>2407833315.7075+1</f>
        <v>2407833316.7075</v>
      </c>
      <c r="Q21" s="563"/>
      <c r="R21" s="567">
        <v>0</v>
      </c>
      <c r="S21" s="539"/>
      <c r="T21" s="566">
        <f>SUM(F21:P21)</f>
        <v>2407833316.7075</v>
      </c>
      <c r="V21" s="564" t="s">
        <v>945</v>
      </c>
    </row>
    <row r="22" spans="1:22" ht="8.25" hidden="1" customHeight="1">
      <c r="A22" s="551"/>
      <c r="B22" s="551"/>
      <c r="C22" s="551"/>
      <c r="D22" s="552"/>
      <c r="E22" s="553"/>
      <c r="F22" s="561"/>
      <c r="G22" s="561"/>
      <c r="H22" s="561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1"/>
    </row>
    <row r="23" spans="1:22" hidden="1">
      <c r="A23" s="569" t="s">
        <v>946</v>
      </c>
      <c r="B23" s="220"/>
      <c r="C23" s="220"/>
      <c r="D23" s="552"/>
      <c r="E23" s="553"/>
      <c r="F23" s="560">
        <v>0</v>
      </c>
      <c r="G23" s="560"/>
      <c r="H23" s="561"/>
      <c r="I23" s="562">
        <v>0</v>
      </c>
      <c r="J23" s="562"/>
      <c r="K23" s="562">
        <v>0</v>
      </c>
      <c r="L23" s="562"/>
      <c r="M23" s="562"/>
      <c r="N23" s="563"/>
      <c r="O23" s="563"/>
      <c r="P23" s="570">
        <f>'[2]AJE CAJE 2020'!G46*0</f>
        <v>0</v>
      </c>
      <c r="Q23" s="570"/>
      <c r="R23" s="563">
        <v>0</v>
      </c>
      <c r="S23" s="539"/>
      <c r="T23" s="557">
        <f>P23</f>
        <v>0</v>
      </c>
      <c r="V23" s="571" t="s">
        <v>947</v>
      </c>
    </row>
    <row r="24" spans="1:22" hidden="1">
      <c r="A24" s="559"/>
      <c r="B24" s="220"/>
      <c r="C24" s="220"/>
      <c r="D24" s="552"/>
      <c r="E24" s="553"/>
      <c r="F24" s="560"/>
      <c r="G24" s="560"/>
      <c r="H24" s="561"/>
      <c r="I24" s="562"/>
      <c r="J24" s="562"/>
      <c r="K24" s="562"/>
      <c r="L24" s="562"/>
      <c r="M24" s="562"/>
      <c r="N24" s="563"/>
      <c r="O24" s="563"/>
      <c r="P24" s="563"/>
      <c r="Q24" s="563"/>
      <c r="R24" s="563"/>
      <c r="S24" s="539"/>
      <c r="T24" s="562"/>
      <c r="V24" s="564"/>
    </row>
    <row r="25" spans="1:22" ht="12.75" hidden="1" customHeight="1">
      <c r="A25" s="539" t="s">
        <v>948</v>
      </c>
      <c r="B25" s="551"/>
      <c r="C25" s="551"/>
      <c r="D25" s="552"/>
      <c r="E25" s="553"/>
      <c r="F25" s="572">
        <f>[2]WBS!CL346</f>
        <v>40000000000</v>
      </c>
      <c r="G25" s="573"/>
      <c r="H25" s="573"/>
      <c r="I25" s="572">
        <f>[2]WBS!CL347</f>
        <v>25871690669</v>
      </c>
      <c r="J25" s="557"/>
      <c r="K25" s="572">
        <f>SUM(K18:K21)</f>
        <v>-622084465.18000007</v>
      </c>
      <c r="L25" s="557"/>
      <c r="M25" s="557"/>
      <c r="N25" s="572">
        <f>[2]WBS!CK354</f>
        <v>0</v>
      </c>
      <c r="O25" s="557"/>
      <c r="P25" s="572">
        <f>SUM(P18:P21)+P23+1</f>
        <v>10091081879.454374</v>
      </c>
      <c r="Q25" s="557"/>
      <c r="R25" s="572">
        <f>SUM(R18:R21)</f>
        <v>0</v>
      </c>
      <c r="S25" s="574"/>
      <c r="T25" s="572">
        <f>T18+T20+T21+T23+1</f>
        <v>75340688083.274384</v>
      </c>
      <c r="V25" s="558" t="s">
        <v>949</v>
      </c>
    </row>
    <row r="26" spans="1:22" ht="8.25" hidden="1" customHeight="1">
      <c r="A26" s="551"/>
      <c r="B26" s="551"/>
      <c r="C26" s="551"/>
      <c r="D26" s="552"/>
      <c r="E26" s="553"/>
      <c r="F26" s="561"/>
      <c r="G26" s="561"/>
      <c r="H26" s="561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1"/>
    </row>
    <row r="27" spans="1:22" hidden="1">
      <c r="A27" s="559" t="s">
        <v>940</v>
      </c>
      <c r="B27" s="220"/>
      <c r="C27" s="220"/>
      <c r="D27" s="552"/>
      <c r="E27" s="553"/>
      <c r="F27" s="560"/>
      <c r="G27" s="560"/>
      <c r="H27" s="561"/>
      <c r="I27" s="562"/>
      <c r="J27" s="562"/>
      <c r="K27" s="562"/>
      <c r="L27" s="562"/>
      <c r="M27" s="562"/>
      <c r="N27" s="563"/>
      <c r="O27" s="563"/>
      <c r="P27" s="563"/>
      <c r="Q27" s="563"/>
      <c r="R27" s="563"/>
      <c r="S27" s="539"/>
      <c r="T27" s="562"/>
      <c r="V27" s="564" t="s">
        <v>941</v>
      </c>
    </row>
    <row r="28" spans="1:22" hidden="1">
      <c r="A28" s="559" t="s">
        <v>942</v>
      </c>
      <c r="B28" s="220"/>
      <c r="C28" s="220"/>
      <c r="D28" s="552"/>
      <c r="E28" s="553"/>
      <c r="F28" s="560">
        <v>0</v>
      </c>
      <c r="G28" s="560"/>
      <c r="H28" s="561"/>
      <c r="I28" s="562">
        <v>0</v>
      </c>
      <c r="J28" s="562"/>
      <c r="K28" s="562">
        <v>21265985</v>
      </c>
      <c r="L28" s="562"/>
      <c r="M28" s="562"/>
      <c r="N28" s="562">
        <v>0</v>
      </c>
      <c r="O28" s="563"/>
      <c r="P28" s="562">
        <v>0</v>
      </c>
      <c r="Q28" s="563"/>
      <c r="R28" s="562">
        <v>0</v>
      </c>
      <c r="S28" s="539"/>
      <c r="T28" s="562">
        <f>SUM(F28:R28)</f>
        <v>21265985</v>
      </c>
      <c r="V28" s="564" t="s">
        <v>943</v>
      </c>
    </row>
    <row r="29" spans="1:22" hidden="1">
      <c r="A29" s="559" t="s">
        <v>944</v>
      </c>
      <c r="B29" s="220"/>
      <c r="C29" s="220"/>
      <c r="D29" s="552"/>
      <c r="E29" s="553"/>
      <c r="F29" s="565">
        <v>0</v>
      </c>
      <c r="G29" s="560"/>
      <c r="H29" s="561"/>
      <c r="I29" s="566">
        <v>0</v>
      </c>
      <c r="J29" s="562"/>
      <c r="K29" s="566">
        <v>0</v>
      </c>
      <c r="L29" s="562"/>
      <c r="M29" s="562"/>
      <c r="N29" s="575">
        <v>0</v>
      </c>
      <c r="O29" s="568"/>
      <c r="P29" s="575">
        <f>[3]PL!N26-1</f>
        <v>3335251969.8913269</v>
      </c>
      <c r="Q29" s="568"/>
      <c r="R29" s="576">
        <v>0</v>
      </c>
      <c r="S29" s="568"/>
      <c r="T29" s="566">
        <f>SUM(F29:R29)</f>
        <v>3335251969.8913269</v>
      </c>
      <c r="V29" s="564" t="s">
        <v>945</v>
      </c>
    </row>
    <row r="30" spans="1:22">
      <c r="A30" s="551"/>
      <c r="B30" s="551"/>
      <c r="C30" s="551"/>
      <c r="D30" s="552"/>
      <c r="E30" s="553"/>
      <c r="F30" s="561"/>
      <c r="G30" s="561"/>
      <c r="H30" s="561"/>
      <c r="I30" s="568"/>
      <c r="J30" s="568"/>
      <c r="K30" s="568"/>
      <c r="L30" s="568"/>
      <c r="M30" s="568"/>
      <c r="N30" s="568"/>
      <c r="O30" s="568"/>
      <c r="P30" s="568"/>
      <c r="Q30" s="568"/>
      <c r="R30" s="568"/>
      <c r="S30" s="568"/>
      <c r="T30" s="561"/>
    </row>
    <row r="31" spans="1:22" ht="14.5" hidden="1" thickBot="1">
      <c r="A31" s="539" t="s">
        <v>950</v>
      </c>
      <c r="B31" s="539"/>
      <c r="C31" s="539"/>
      <c r="D31" s="552"/>
      <c r="E31" s="553"/>
      <c r="F31" s="577">
        <f>SUM(F25:F29)</f>
        <v>40000000000</v>
      </c>
      <c r="G31" s="557"/>
      <c r="H31" s="561"/>
      <c r="I31" s="577">
        <f>SUM(I25:I29)</f>
        <v>25871690669</v>
      </c>
      <c r="J31" s="557"/>
      <c r="K31" s="577">
        <f>SUM(K25:K29)</f>
        <v>-600818480.18000007</v>
      </c>
      <c r="L31" s="557"/>
      <c r="M31" s="557"/>
      <c r="N31" s="577">
        <f>SUM(N25:N29)</f>
        <v>0</v>
      </c>
      <c r="O31" s="557"/>
      <c r="P31" s="577">
        <f>SUM(P25:P29)</f>
        <v>13426333849.345701</v>
      </c>
      <c r="Q31" s="557"/>
      <c r="R31" s="557">
        <f>R25</f>
        <v>0</v>
      </c>
      <c r="S31" s="568"/>
      <c r="T31" s="577">
        <f>SUM(T25:T29)</f>
        <v>78697206038.16571</v>
      </c>
      <c r="V31" s="558" t="s">
        <v>951</v>
      </c>
    </row>
    <row r="32" spans="1:22" ht="14.5" hidden="1" thickTop="1">
      <c r="A32" s="220"/>
      <c r="B32" s="220"/>
      <c r="C32" s="220"/>
      <c r="D32" s="552"/>
      <c r="E32" s="553"/>
      <c r="F32" s="560"/>
      <c r="G32" s="560"/>
      <c r="H32" s="561"/>
      <c r="I32" s="568"/>
      <c r="J32" s="568"/>
      <c r="K32" s="568"/>
      <c r="L32" s="568"/>
      <c r="M32" s="568"/>
      <c r="N32" s="568"/>
      <c r="O32" s="568"/>
      <c r="P32" s="568"/>
      <c r="Q32" s="568"/>
      <c r="R32" s="568"/>
      <c r="S32" s="568"/>
      <c r="T32" s="562"/>
      <c r="V32" s="536"/>
    </row>
    <row r="33" spans="1:24" hidden="1">
      <c r="A33" s="559" t="s">
        <v>940</v>
      </c>
      <c r="B33" s="220"/>
      <c r="C33" s="220"/>
      <c r="D33" s="552"/>
      <c r="E33" s="553"/>
      <c r="F33" s="560"/>
      <c r="G33" s="560"/>
      <c r="H33" s="561"/>
      <c r="I33" s="562"/>
      <c r="J33" s="562"/>
      <c r="K33" s="562"/>
      <c r="L33" s="562"/>
      <c r="M33" s="562"/>
      <c r="N33" s="563"/>
      <c r="O33" s="563"/>
      <c r="P33" s="563"/>
      <c r="Q33" s="563"/>
      <c r="R33" s="563"/>
      <c r="S33" s="539"/>
      <c r="T33" s="562"/>
      <c r="V33" s="564" t="s">
        <v>941</v>
      </c>
    </row>
    <row r="34" spans="1:24" hidden="1">
      <c r="A34" s="559" t="s">
        <v>942</v>
      </c>
      <c r="B34" s="220"/>
      <c r="C34" s="220"/>
      <c r="D34" s="552"/>
      <c r="E34" s="553"/>
      <c r="F34" s="560">
        <v>0</v>
      </c>
      <c r="G34" s="560"/>
      <c r="H34" s="561"/>
      <c r="I34" s="562">
        <v>0</v>
      </c>
      <c r="J34" s="562"/>
      <c r="K34" s="562">
        <v>122227974.18000001</v>
      </c>
      <c r="L34" s="562"/>
      <c r="M34" s="562"/>
      <c r="N34" s="562">
        <v>0</v>
      </c>
      <c r="O34" s="562"/>
      <c r="P34" s="562">
        <v>0</v>
      </c>
      <c r="Q34" s="557"/>
      <c r="R34" s="563">
        <v>0</v>
      </c>
      <c r="S34" s="539"/>
      <c r="T34" s="562">
        <f>SUM(F34:R34)</f>
        <v>122227974.18000001</v>
      </c>
      <c r="V34" s="564" t="s">
        <v>943</v>
      </c>
    </row>
    <row r="35" spans="1:24" hidden="1">
      <c r="A35" s="559" t="s">
        <v>944</v>
      </c>
      <c r="B35" s="220"/>
      <c r="C35" s="220"/>
      <c r="D35" s="552"/>
      <c r="E35" s="553"/>
      <c r="F35" s="560">
        <v>0</v>
      </c>
      <c r="G35" s="560"/>
      <c r="H35" s="561"/>
      <c r="I35" s="568">
        <v>0</v>
      </c>
      <c r="J35" s="568"/>
      <c r="K35" s="568">
        <v>0</v>
      </c>
      <c r="L35" s="568"/>
      <c r="M35" s="568"/>
      <c r="N35" s="568">
        <v>0</v>
      </c>
      <c r="O35" s="568"/>
      <c r="P35" s="568">
        <v>5211169030.104393</v>
      </c>
      <c r="Q35" s="568"/>
      <c r="R35" s="568">
        <v>0</v>
      </c>
      <c r="S35" s="568"/>
      <c r="T35" s="562">
        <f t="shared" ref="T35:T36" si="0">SUM(F35:R35)</f>
        <v>5211169030.104393</v>
      </c>
      <c r="V35" s="564" t="s">
        <v>945</v>
      </c>
    </row>
    <row r="36" spans="1:24" hidden="1">
      <c r="A36" s="559" t="s">
        <v>952</v>
      </c>
      <c r="E36" s="578"/>
      <c r="F36" s="565">
        <v>0</v>
      </c>
      <c r="G36" s="579"/>
      <c r="H36" s="579"/>
      <c r="I36" s="575">
        <v>0</v>
      </c>
      <c r="J36" s="579"/>
      <c r="K36" s="575">
        <v>0</v>
      </c>
      <c r="N36" s="575">
        <v>400000000</v>
      </c>
      <c r="P36" s="575">
        <v>-400000000</v>
      </c>
      <c r="T36" s="566">
        <f t="shared" si="0"/>
        <v>0</v>
      </c>
      <c r="V36" s="564" t="s">
        <v>953</v>
      </c>
    </row>
    <row r="37" spans="1:24" ht="6" hidden="1" customHeight="1">
      <c r="A37" s="551"/>
      <c r="B37" s="551"/>
      <c r="C37" s="551"/>
      <c r="D37" s="552"/>
      <c r="E37" s="552"/>
      <c r="F37" s="561"/>
      <c r="G37" s="561"/>
      <c r="H37" s="561"/>
      <c r="I37" s="568"/>
      <c r="J37" s="568"/>
      <c r="K37" s="568"/>
      <c r="L37" s="568"/>
      <c r="M37" s="568"/>
      <c r="N37" s="568"/>
      <c r="O37" s="568"/>
      <c r="P37" s="568"/>
      <c r="Q37" s="568"/>
      <c r="R37" s="568"/>
      <c r="S37" s="568"/>
      <c r="T37" s="561"/>
    </row>
    <row r="38" spans="1:24" ht="14.5" thickBot="1">
      <c r="A38" s="539" t="s">
        <v>1052</v>
      </c>
      <c r="B38" s="539"/>
      <c r="C38" s="539"/>
      <c r="D38" s="552"/>
      <c r="E38" s="552"/>
      <c r="F38" s="577">
        <f>SUM(F31:F37)</f>
        <v>40000000000</v>
      </c>
      <c r="G38" s="557"/>
      <c r="H38" s="561"/>
      <c r="I38" s="577">
        <f>SUM(I31:I37)</f>
        <v>25871690669</v>
      </c>
      <c r="J38" s="557"/>
      <c r="K38" s="577">
        <f>SUM(K31:K37)</f>
        <v>-478590506.00000006</v>
      </c>
      <c r="L38" s="557"/>
      <c r="M38" s="557"/>
      <c r="N38" s="577">
        <f>SUM(N31:N37)</f>
        <v>400000000</v>
      </c>
      <c r="O38" s="557"/>
      <c r="P38" s="577">
        <f>SUM(P31:P37)</f>
        <v>18237502879.450096</v>
      </c>
      <c r="Q38" s="557"/>
      <c r="R38" s="577">
        <f>SUM(R31:R37)</f>
        <v>0</v>
      </c>
      <c r="S38" s="568"/>
      <c r="T38" s="577">
        <f>SUM(T31:T37)</f>
        <v>84030603042.450104</v>
      </c>
      <c r="V38" s="558" t="s">
        <v>1053</v>
      </c>
    </row>
    <row r="39" spans="1:24" ht="7.5" customHeight="1" thickTop="1">
      <c r="A39" s="539"/>
      <c r="B39" s="539"/>
      <c r="C39" s="539"/>
      <c r="D39" s="552"/>
      <c r="E39" s="552"/>
      <c r="F39" s="557"/>
      <c r="G39" s="557"/>
      <c r="H39" s="561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68"/>
      <c r="T39" s="557"/>
      <c r="V39" s="558"/>
    </row>
    <row r="40" spans="1:24">
      <c r="A40" s="588" t="s">
        <v>940</v>
      </c>
      <c r="B40" s="589"/>
      <c r="C40" s="589"/>
      <c r="D40" s="581"/>
      <c r="E40" s="590"/>
      <c r="F40" s="591"/>
      <c r="G40" s="591"/>
      <c r="H40" s="584"/>
      <c r="I40" s="592"/>
      <c r="J40" s="592"/>
      <c r="K40" s="592"/>
      <c r="L40" s="592"/>
      <c r="M40" s="592"/>
      <c r="N40" s="593"/>
      <c r="O40" s="593"/>
      <c r="P40" s="593"/>
      <c r="Q40" s="593"/>
      <c r="R40" s="593"/>
      <c r="S40" s="580"/>
      <c r="T40" s="592"/>
      <c r="U40" s="586"/>
      <c r="V40" s="594" t="s">
        <v>941</v>
      </c>
      <c r="W40" s="586"/>
    </row>
    <row r="41" spans="1:24">
      <c r="A41" s="588" t="s">
        <v>942</v>
      </c>
      <c r="B41" s="589"/>
      <c r="C41" s="589"/>
      <c r="D41" s="581"/>
      <c r="E41" s="590"/>
      <c r="F41" s="591">
        <v>0</v>
      </c>
      <c r="G41" s="591"/>
      <c r="H41" s="584"/>
      <c r="I41" s="592">
        <v>0</v>
      </c>
      <c r="J41" s="592"/>
      <c r="K41" s="592">
        <f>WS!W324</f>
        <v>-4195684.74</v>
      </c>
      <c r="L41" s="592"/>
      <c r="M41" s="592"/>
      <c r="N41" s="592">
        <v>0</v>
      </c>
      <c r="O41" s="592"/>
      <c r="P41" s="592">
        <v>0</v>
      </c>
      <c r="Q41" s="583"/>
      <c r="R41" s="593">
        <v>0</v>
      </c>
      <c r="S41" s="580"/>
      <c r="T41" s="592">
        <f>SUM(F41:R41)</f>
        <v>-4195684.74</v>
      </c>
      <c r="U41" s="586"/>
      <c r="V41" s="594" t="s">
        <v>943</v>
      </c>
      <c r="W41" s="586"/>
    </row>
    <row r="42" spans="1:24">
      <c r="A42" s="588" t="s">
        <v>944</v>
      </c>
      <c r="B42" s="589"/>
      <c r="C42" s="589"/>
      <c r="D42" s="581"/>
      <c r="E42" s="590"/>
      <c r="F42" s="591">
        <v>0</v>
      </c>
      <c r="G42" s="591"/>
      <c r="H42" s="584"/>
      <c r="I42" s="585">
        <v>0</v>
      </c>
      <c r="J42" s="585"/>
      <c r="K42" s="585"/>
      <c r="L42" s="585"/>
      <c r="M42" s="585"/>
      <c r="N42" s="585">
        <v>0</v>
      </c>
      <c r="O42" s="585"/>
      <c r="P42" s="585">
        <f>PL!L26</f>
        <v>1399940295.2620339</v>
      </c>
      <c r="Q42" s="585"/>
      <c r="R42" s="585">
        <v>0</v>
      </c>
      <c r="S42" s="585"/>
      <c r="T42" s="592">
        <f>SUM(F42:R42)</f>
        <v>1399940295.2620339</v>
      </c>
      <c r="U42" s="586"/>
      <c r="V42" s="594" t="s">
        <v>945</v>
      </c>
      <c r="W42" s="586"/>
    </row>
    <row r="43" spans="1:24">
      <c r="A43" s="588" t="s">
        <v>952</v>
      </c>
      <c r="B43" s="586"/>
      <c r="C43" s="586"/>
      <c r="D43" s="586"/>
      <c r="E43" s="595"/>
      <c r="F43" s="596">
        <v>0</v>
      </c>
      <c r="G43" s="597"/>
      <c r="H43" s="597"/>
      <c r="I43" s="598">
        <v>0</v>
      </c>
      <c r="J43" s="597"/>
      <c r="K43" s="598">
        <v>0</v>
      </c>
      <c r="L43" s="586"/>
      <c r="M43" s="586"/>
      <c r="N43" s="598">
        <v>0</v>
      </c>
      <c r="O43" s="586"/>
      <c r="P43" s="598">
        <v>0</v>
      </c>
      <c r="Q43" s="586"/>
      <c r="R43" s="586"/>
      <c r="S43" s="586"/>
      <c r="T43" s="599">
        <f>SUM(F43:R43)</f>
        <v>0</v>
      </c>
      <c r="U43" s="586"/>
      <c r="V43" s="594" t="s">
        <v>953</v>
      </c>
      <c r="W43" s="586"/>
    </row>
    <row r="44" spans="1:24" ht="9" hidden="1" customHeight="1">
      <c r="A44" s="588"/>
      <c r="B44" s="586"/>
      <c r="C44" s="586"/>
      <c r="D44" s="586"/>
      <c r="E44" s="595"/>
      <c r="F44" s="591"/>
      <c r="G44" s="597"/>
      <c r="H44" s="597"/>
      <c r="I44" s="585"/>
      <c r="J44" s="597"/>
      <c r="K44" s="585"/>
      <c r="L44" s="586"/>
      <c r="M44" s="586"/>
      <c r="N44" s="585"/>
      <c r="O44" s="586"/>
      <c r="P44" s="585"/>
      <c r="Q44" s="586"/>
      <c r="R44" s="586"/>
      <c r="S44" s="586"/>
      <c r="T44" s="592"/>
      <c r="U44" s="586"/>
      <c r="V44" s="594"/>
      <c r="W44" s="586"/>
    </row>
    <row r="45" spans="1:24" hidden="1">
      <c r="A45" s="617" t="s">
        <v>944</v>
      </c>
      <c r="B45" s="609"/>
      <c r="C45" s="609"/>
      <c r="D45" s="611"/>
      <c r="E45" s="618"/>
      <c r="F45" s="624">
        <v>0</v>
      </c>
      <c r="G45" s="619"/>
      <c r="H45" s="613"/>
      <c r="I45" s="626">
        <v>0</v>
      </c>
      <c r="J45" s="614"/>
      <c r="K45" s="626">
        <v>0</v>
      </c>
      <c r="L45" s="614"/>
      <c r="M45" s="614"/>
      <c r="N45" s="626">
        <v>0</v>
      </c>
      <c r="O45" s="614"/>
      <c r="P45" s="626">
        <f>PL!J26</f>
        <v>523153561</v>
      </c>
      <c r="Q45" s="614"/>
      <c r="R45" s="614">
        <v>0</v>
      </c>
      <c r="S45" s="614"/>
      <c r="T45" s="627">
        <f t="shared" ref="T45" si="1">SUM(F45:R45)</f>
        <v>523153561</v>
      </c>
      <c r="U45" s="615"/>
      <c r="V45" s="621" t="s">
        <v>945</v>
      </c>
      <c r="W45" s="615"/>
    </row>
    <row r="46" spans="1:24" ht="5.15" hidden="1" customHeight="1">
      <c r="A46" s="588"/>
      <c r="B46" s="586"/>
      <c r="C46" s="586"/>
      <c r="D46" s="586"/>
      <c r="E46" s="595"/>
      <c r="F46" s="591"/>
      <c r="G46" s="597"/>
      <c r="H46" s="597"/>
      <c r="I46" s="585"/>
      <c r="J46" s="597"/>
      <c r="K46" s="585"/>
      <c r="L46" s="586"/>
      <c r="M46" s="586"/>
      <c r="N46" s="585"/>
      <c r="O46" s="586"/>
      <c r="P46" s="585"/>
      <c r="Q46" s="586"/>
      <c r="R46" s="586"/>
      <c r="S46" s="586"/>
      <c r="T46" s="592"/>
      <c r="U46" s="586"/>
      <c r="V46" s="594"/>
      <c r="W46" s="586"/>
    </row>
    <row r="47" spans="1:24" ht="14.5" hidden="1" thickBot="1">
      <c r="A47" s="580" t="s">
        <v>959</v>
      </c>
      <c r="B47" s="580"/>
      <c r="C47" s="580"/>
      <c r="D47" s="581"/>
      <c r="E47" s="581"/>
      <c r="F47" s="582">
        <f>F38+F45</f>
        <v>40000000000</v>
      </c>
      <c r="G47" s="583"/>
      <c r="H47" s="584"/>
      <c r="I47" s="582">
        <f>I38+I45</f>
        <v>25871690669</v>
      </c>
      <c r="J47" s="583"/>
      <c r="K47" s="582">
        <f>K38+K45</f>
        <v>-478590506.00000006</v>
      </c>
      <c r="L47" s="583"/>
      <c r="M47" s="583"/>
      <c r="N47" s="582">
        <f>N38+N45</f>
        <v>400000000</v>
      </c>
      <c r="O47" s="583"/>
      <c r="P47" s="582">
        <f>P38+P45</f>
        <v>18760656440.450096</v>
      </c>
      <c r="Q47" s="583"/>
      <c r="R47" s="582">
        <f>SUM(R40:R46)</f>
        <v>0</v>
      </c>
      <c r="S47" s="585"/>
      <c r="T47" s="582">
        <f>T38+T45</f>
        <v>84553756603.450104</v>
      </c>
      <c r="U47" s="586"/>
      <c r="V47" s="587" t="s">
        <v>960</v>
      </c>
      <c r="W47" s="586"/>
    </row>
    <row r="48" spans="1:24">
      <c r="A48" s="580"/>
      <c r="B48" s="580"/>
      <c r="C48" s="580"/>
      <c r="D48" s="581"/>
      <c r="E48" s="581"/>
      <c r="F48" s="581"/>
      <c r="G48" s="581"/>
      <c r="H48" s="581"/>
      <c r="I48" s="581"/>
      <c r="J48" s="581"/>
      <c r="K48" s="581"/>
      <c r="L48" s="581"/>
      <c r="M48" s="581"/>
      <c r="N48" s="581"/>
      <c r="O48" s="581"/>
      <c r="P48" s="581"/>
      <c r="Q48" s="581"/>
      <c r="R48" s="581"/>
      <c r="S48" s="581"/>
      <c r="T48" s="581"/>
      <c r="U48" s="581"/>
      <c r="V48" s="581"/>
      <c r="W48" s="581"/>
      <c r="X48" s="581"/>
    </row>
    <row r="49" spans="1:24" ht="14.5" thickBot="1">
      <c r="A49" s="580" t="s">
        <v>1201</v>
      </c>
      <c r="B49" s="580"/>
      <c r="C49" s="580"/>
      <c r="D49" s="581"/>
      <c r="E49" s="581"/>
      <c r="F49" s="582">
        <f>F38+SUM(F40:F43)</f>
        <v>40000000000</v>
      </c>
      <c r="G49" s="583"/>
      <c r="H49" s="584"/>
      <c r="I49" s="582">
        <f>I38+SUM(I40:I43)</f>
        <v>25871690669</v>
      </c>
      <c r="J49" s="583"/>
      <c r="K49" s="582">
        <f>K38+SUM(K40:K43)</f>
        <v>-482786190.74000007</v>
      </c>
      <c r="L49" s="583"/>
      <c r="M49" s="583"/>
      <c r="N49" s="582">
        <f>N38+SUM(N40:N43)</f>
        <v>400000000</v>
      </c>
      <c r="O49" s="583"/>
      <c r="P49" s="582">
        <f>P38+SUM(P41:P43)-1</f>
        <v>19637443173.712132</v>
      </c>
      <c r="Q49" s="583"/>
      <c r="R49" s="582">
        <f>SUM(R37:R43)</f>
        <v>0</v>
      </c>
      <c r="S49" s="585"/>
      <c r="T49" s="582">
        <f>T38+SUM(T41:T43)-1</f>
        <v>85426347651.972137</v>
      </c>
      <c r="U49" s="586"/>
      <c r="V49" s="587" t="s">
        <v>1202</v>
      </c>
      <c r="W49" s="586"/>
      <c r="X49" s="538"/>
    </row>
    <row r="50" spans="1:24" ht="14.5" thickTop="1">
      <c r="A50" s="580"/>
      <c r="B50" s="580"/>
      <c r="C50" s="580"/>
      <c r="D50" s="581"/>
      <c r="E50" s="581"/>
      <c r="F50" s="583"/>
      <c r="G50" s="583"/>
      <c r="H50" s="584"/>
      <c r="I50" s="583"/>
      <c r="J50" s="583"/>
      <c r="K50" s="583"/>
      <c r="L50" s="583"/>
      <c r="M50" s="583"/>
      <c r="N50" s="583"/>
      <c r="O50" s="583"/>
      <c r="P50" s="583"/>
      <c r="Q50" s="583"/>
      <c r="R50" s="583"/>
      <c r="S50" s="585"/>
      <c r="T50" s="583"/>
      <c r="U50" s="586"/>
      <c r="V50" s="587"/>
      <c r="W50" s="586"/>
    </row>
    <row r="51" spans="1:24" hidden="1">
      <c r="A51" s="609" t="s">
        <v>954</v>
      </c>
      <c r="B51" s="610"/>
      <c r="C51" s="610"/>
      <c r="D51" s="611"/>
      <c r="E51" s="611"/>
      <c r="F51" s="612">
        <f>-WS!O309</f>
        <v>15000000000</v>
      </c>
      <c r="G51" s="612"/>
      <c r="H51" s="613"/>
      <c r="I51" s="612"/>
      <c r="J51" s="612"/>
      <c r="K51" s="612"/>
      <c r="L51" s="612"/>
      <c r="M51" s="612"/>
      <c r="N51" s="612"/>
      <c r="O51" s="612"/>
      <c r="P51" s="612">
        <f>-WS!O316</f>
        <v>-15000000000</v>
      </c>
      <c r="Q51" s="612"/>
      <c r="R51" s="612"/>
      <c r="S51" s="614"/>
      <c r="T51" s="612">
        <f>SUM(F51:R51)</f>
        <v>0</v>
      </c>
      <c r="U51" s="615"/>
      <c r="V51" s="616" t="s">
        <v>955</v>
      </c>
      <c r="W51" s="615"/>
    </row>
    <row r="52" spans="1:24" hidden="1">
      <c r="A52" s="617" t="s">
        <v>940</v>
      </c>
      <c r="B52" s="609"/>
      <c r="C52" s="609"/>
      <c r="D52" s="611"/>
      <c r="E52" s="618"/>
      <c r="F52" s="619"/>
      <c r="G52" s="619"/>
      <c r="H52" s="613"/>
      <c r="I52" s="612"/>
      <c r="J52" s="612"/>
      <c r="K52" s="612"/>
      <c r="L52" s="612"/>
      <c r="M52" s="612"/>
      <c r="N52" s="620"/>
      <c r="O52" s="620"/>
      <c r="P52" s="620"/>
      <c r="Q52" s="620"/>
      <c r="R52" s="620"/>
      <c r="S52" s="610"/>
      <c r="T52" s="612"/>
      <c r="U52" s="615"/>
      <c r="V52" s="621" t="s">
        <v>941</v>
      </c>
      <c r="W52" s="615"/>
    </row>
    <row r="53" spans="1:24" hidden="1">
      <c r="A53" s="617" t="s">
        <v>942</v>
      </c>
      <c r="B53" s="609"/>
      <c r="C53" s="609"/>
      <c r="D53" s="611"/>
      <c r="E53" s="618"/>
      <c r="F53" s="619">
        <v>0</v>
      </c>
      <c r="G53" s="619"/>
      <c r="H53" s="613"/>
      <c r="I53" s="612">
        <v>0</v>
      </c>
      <c r="J53" s="612">
        <v>0</v>
      </c>
      <c r="K53" s="612">
        <v>0</v>
      </c>
      <c r="L53" s="612">
        <v>0</v>
      </c>
      <c r="M53" s="612">
        <v>0</v>
      </c>
      <c r="N53" s="612">
        <v>0</v>
      </c>
      <c r="O53" s="612"/>
      <c r="P53" s="612">
        <v>0</v>
      </c>
      <c r="Q53" s="622"/>
      <c r="R53" s="620">
        <v>0</v>
      </c>
      <c r="S53" s="610"/>
      <c r="T53" s="612">
        <f>SUM(F53:R53)</f>
        <v>0</v>
      </c>
      <c r="U53" s="615"/>
      <c r="V53" s="621" t="s">
        <v>943</v>
      </c>
      <c r="W53" s="615"/>
    </row>
    <row r="54" spans="1:24" hidden="1">
      <c r="A54" s="617" t="s">
        <v>503</v>
      </c>
      <c r="B54" s="609"/>
      <c r="C54" s="609"/>
      <c r="D54" s="611"/>
      <c r="E54" s="618"/>
      <c r="F54" s="619">
        <v>0</v>
      </c>
      <c r="G54" s="619"/>
      <c r="H54" s="613"/>
      <c r="I54" s="660">
        <f>SUM(WS!U312:U313)</f>
        <v>54884055085</v>
      </c>
      <c r="J54" s="612"/>
      <c r="K54" s="612">
        <v>0</v>
      </c>
      <c r="L54" s="612"/>
      <c r="M54" s="612"/>
      <c r="N54" s="612">
        <v>0</v>
      </c>
      <c r="O54" s="612"/>
      <c r="P54" s="612">
        <v>0</v>
      </c>
      <c r="Q54" s="622"/>
      <c r="R54" s="620"/>
      <c r="S54" s="610"/>
      <c r="T54" s="612">
        <f>SUM(F54:R54)</f>
        <v>54884055085</v>
      </c>
      <c r="U54" s="615"/>
      <c r="V54" s="621" t="s">
        <v>999</v>
      </c>
      <c r="W54" s="615"/>
      <c r="X54" s="529" t="s">
        <v>1002</v>
      </c>
    </row>
    <row r="55" spans="1:24" hidden="1">
      <c r="A55" s="617" t="s">
        <v>954</v>
      </c>
      <c r="B55" s="609"/>
      <c r="C55" s="609"/>
      <c r="D55" s="611"/>
      <c r="E55" s="618"/>
      <c r="F55" s="619">
        <f>WS!U310</f>
        <v>14500000000</v>
      </c>
      <c r="G55" s="619"/>
      <c r="H55" s="613"/>
      <c r="I55" s="612">
        <v>0</v>
      </c>
      <c r="J55" s="612"/>
      <c r="K55" s="612">
        <v>0</v>
      </c>
      <c r="L55" s="612"/>
      <c r="M55" s="612"/>
      <c r="N55" s="612">
        <v>0</v>
      </c>
      <c r="O55" s="612"/>
      <c r="P55" s="612">
        <v>0</v>
      </c>
      <c r="Q55" s="622"/>
      <c r="R55" s="620"/>
      <c r="S55" s="610"/>
      <c r="T55" s="612">
        <f>SUM(F55:R55)</f>
        <v>14500000000</v>
      </c>
      <c r="U55" s="615"/>
      <c r="V55" s="621" t="s">
        <v>1000</v>
      </c>
      <c r="W55" s="615"/>
    </row>
    <row r="56" spans="1:24" hidden="1">
      <c r="A56" s="617" t="s">
        <v>944</v>
      </c>
      <c r="B56" s="609"/>
      <c r="C56" s="609"/>
      <c r="D56" s="611"/>
      <c r="E56" s="618"/>
      <c r="F56" s="624">
        <v>0</v>
      </c>
      <c r="G56" s="625"/>
      <c r="H56" s="625"/>
      <c r="I56" s="626">
        <v>0</v>
      </c>
      <c r="J56" s="625"/>
      <c r="K56" s="626">
        <v>0</v>
      </c>
      <c r="L56" s="615"/>
      <c r="M56" s="615"/>
      <c r="N56" s="626">
        <v>0</v>
      </c>
      <c r="O56" s="615"/>
      <c r="P56" s="626">
        <f>PL!H26</f>
        <v>911387442.45317078</v>
      </c>
      <c r="Q56" s="615"/>
      <c r="R56" s="615">
        <v>0</v>
      </c>
      <c r="S56" s="615"/>
      <c r="T56" s="627">
        <f>SUM(F56:R56)</f>
        <v>911387442.45317078</v>
      </c>
      <c r="U56" s="615"/>
      <c r="V56" s="621" t="s">
        <v>945</v>
      </c>
      <c r="W56" s="615"/>
    </row>
    <row r="57" spans="1:24" hidden="1">
      <c r="A57" s="617" t="s">
        <v>952</v>
      </c>
      <c r="B57" s="615"/>
      <c r="C57" s="615"/>
      <c r="D57" s="615"/>
      <c r="E57" s="623"/>
      <c r="F57" s="624">
        <v>0</v>
      </c>
      <c r="G57" s="625"/>
      <c r="H57" s="625"/>
      <c r="I57" s="626">
        <v>0</v>
      </c>
      <c r="J57" s="625"/>
      <c r="K57" s="626">
        <v>0</v>
      </c>
      <c r="L57" s="615"/>
      <c r="M57" s="615"/>
      <c r="N57" s="661"/>
      <c r="O57" s="615"/>
      <c r="P57" s="626">
        <f>-N57</f>
        <v>0</v>
      </c>
      <c r="Q57" s="615"/>
      <c r="R57" s="615"/>
      <c r="S57" s="615"/>
      <c r="T57" s="627">
        <f>SUM(F57:R57)</f>
        <v>0</v>
      </c>
      <c r="U57" s="615"/>
      <c r="V57" s="621" t="s">
        <v>953</v>
      </c>
      <c r="W57" s="615"/>
      <c r="X57" s="529" t="s">
        <v>1001</v>
      </c>
    </row>
    <row r="58" spans="1:24" hidden="1">
      <c r="A58" s="588"/>
      <c r="B58" s="586"/>
      <c r="C58" s="586"/>
      <c r="D58" s="586"/>
      <c r="E58" s="595"/>
      <c r="F58" s="591"/>
      <c r="G58" s="597"/>
      <c r="H58" s="597"/>
      <c r="I58" s="585"/>
      <c r="J58" s="597"/>
      <c r="K58" s="585"/>
      <c r="L58" s="586"/>
      <c r="M58" s="586"/>
      <c r="N58" s="585"/>
      <c r="O58" s="586"/>
      <c r="P58" s="585"/>
      <c r="Q58" s="586"/>
      <c r="R58" s="586"/>
      <c r="S58" s="586"/>
      <c r="T58" s="592"/>
      <c r="U58" s="586"/>
      <c r="V58" s="594"/>
      <c r="W58" s="586"/>
    </row>
    <row r="59" spans="1:24" ht="14.5" hidden="1" thickBot="1">
      <c r="A59" s="580" t="s">
        <v>961</v>
      </c>
      <c r="B59" s="580"/>
      <c r="C59" s="580"/>
      <c r="D59" s="581"/>
      <c r="E59" s="581"/>
      <c r="F59" s="582">
        <f>F49+SUM(F51:F57)</f>
        <v>69500000000</v>
      </c>
      <c r="G59" s="583"/>
      <c r="H59" s="584"/>
      <c r="I59" s="582">
        <f>I49+SUM(I51:I57)</f>
        <v>80755745754</v>
      </c>
      <c r="J59" s="583"/>
      <c r="K59" s="582">
        <f>K49+SUM(K51:K57)</f>
        <v>-482786190.74000007</v>
      </c>
      <c r="L59" s="583"/>
      <c r="M59" s="583"/>
      <c r="N59" s="582">
        <f>N49+SUM(N51:N57)</f>
        <v>400000000</v>
      </c>
      <c r="O59" s="583"/>
      <c r="P59" s="582">
        <f>P49+SUM(P51:P57)</f>
        <v>5548830616.1653023</v>
      </c>
      <c r="Q59" s="583"/>
      <c r="R59" s="582">
        <f>SUM(R51:R57)</f>
        <v>0</v>
      </c>
      <c r="S59" s="582"/>
      <c r="T59" s="582">
        <f>T49+SUM(T51:T57)</f>
        <v>155721790179.42529</v>
      </c>
      <c r="U59" s="586"/>
      <c r="V59" s="587" t="s">
        <v>962</v>
      </c>
      <c r="W59" s="586"/>
    </row>
    <row r="60" spans="1:24">
      <c r="A60" s="539"/>
      <c r="B60" s="539"/>
      <c r="C60" s="539"/>
      <c r="D60" s="552"/>
      <c r="E60" s="552"/>
      <c r="F60" s="557"/>
      <c r="G60" s="557"/>
      <c r="H60" s="561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68"/>
      <c r="T60" s="557"/>
      <c r="V60" s="558"/>
    </row>
    <row r="61" spans="1:24">
      <c r="A61" s="589" t="s">
        <v>954</v>
      </c>
      <c r="B61" s="580"/>
      <c r="C61" s="580"/>
      <c r="D61" s="581"/>
      <c r="E61" s="581"/>
      <c r="F61" s="592">
        <f>-WS!D309</f>
        <v>15000000000</v>
      </c>
      <c r="G61" s="592"/>
      <c r="H61" s="584"/>
      <c r="I61" s="592"/>
      <c r="J61" s="592"/>
      <c r="K61" s="592"/>
      <c r="L61" s="592"/>
      <c r="M61" s="592"/>
      <c r="N61" s="592"/>
      <c r="O61" s="592"/>
      <c r="P61" s="592">
        <f>-WS!D326</f>
        <v>0</v>
      </c>
      <c r="Q61" s="592"/>
      <c r="R61" s="592"/>
      <c r="S61" s="585"/>
      <c r="T61" s="592">
        <f>SUM(F61:R61)</f>
        <v>15000000000</v>
      </c>
      <c r="U61" s="586"/>
      <c r="V61" s="874" t="s">
        <v>955</v>
      </c>
      <c r="W61" s="586"/>
      <c r="X61" s="586"/>
    </row>
    <row r="62" spans="1:24" hidden="1">
      <c r="A62" s="588" t="s">
        <v>940</v>
      </c>
      <c r="B62" s="589"/>
      <c r="C62" s="589"/>
      <c r="D62" s="581"/>
      <c r="E62" s="590"/>
      <c r="F62" s="591"/>
      <c r="G62" s="591"/>
      <c r="H62" s="584"/>
      <c r="I62" s="592"/>
      <c r="J62" s="592"/>
      <c r="K62" s="592"/>
      <c r="L62" s="592"/>
      <c r="M62" s="592"/>
      <c r="N62" s="593"/>
      <c r="O62" s="593"/>
      <c r="P62" s="593"/>
      <c r="Q62" s="593"/>
      <c r="R62" s="593"/>
      <c r="S62" s="580"/>
      <c r="T62" s="592"/>
      <c r="U62" s="586"/>
      <c r="V62" s="594" t="s">
        <v>941</v>
      </c>
      <c r="W62" s="586"/>
      <c r="X62" s="586"/>
    </row>
    <row r="63" spans="1:24">
      <c r="A63" s="588" t="s">
        <v>942</v>
      </c>
      <c r="B63" s="589"/>
      <c r="C63" s="589"/>
      <c r="D63" s="581"/>
      <c r="E63" s="590"/>
      <c r="F63" s="591">
        <v>0</v>
      </c>
      <c r="G63" s="591"/>
      <c r="H63" s="584"/>
      <c r="I63" s="592">
        <v>0</v>
      </c>
      <c r="J63" s="592">
        <v>0</v>
      </c>
      <c r="K63" s="592">
        <v>0</v>
      </c>
      <c r="L63" s="592">
        <v>0</v>
      </c>
      <c r="M63" s="592">
        <v>0</v>
      </c>
      <c r="N63" s="592">
        <v>0</v>
      </c>
      <c r="O63" s="592"/>
      <c r="P63" s="592">
        <v>0</v>
      </c>
      <c r="Q63" s="583"/>
      <c r="R63" s="593">
        <v>0</v>
      </c>
      <c r="S63" s="580"/>
      <c r="T63" s="592">
        <f>SUM(F63:R63)</f>
        <v>0</v>
      </c>
      <c r="U63" s="586"/>
      <c r="V63" s="594" t="s">
        <v>943</v>
      </c>
      <c r="W63" s="586"/>
      <c r="X63" s="586"/>
    </row>
    <row r="64" spans="1:24">
      <c r="A64" s="588" t="s">
        <v>503</v>
      </c>
      <c r="B64" s="589"/>
      <c r="C64" s="589"/>
      <c r="D64" s="581"/>
      <c r="E64" s="590"/>
      <c r="F64" s="591">
        <v>0</v>
      </c>
      <c r="G64" s="591"/>
      <c r="H64" s="584"/>
      <c r="I64" s="660">
        <f>SUM(WS!J312:J313)</f>
        <v>54884055085</v>
      </c>
      <c r="J64" s="592"/>
      <c r="K64" s="592">
        <v>0</v>
      </c>
      <c r="L64" s="592"/>
      <c r="M64" s="592"/>
      <c r="N64" s="592">
        <v>0</v>
      </c>
      <c r="O64" s="592"/>
      <c r="P64" s="592">
        <v>0</v>
      </c>
      <c r="Q64" s="583"/>
      <c r="R64" s="593"/>
      <c r="S64" s="580"/>
      <c r="T64" s="592">
        <f>SUM(F64:R64)</f>
        <v>54884055085</v>
      </c>
      <c r="U64" s="586"/>
      <c r="V64" s="594" t="s">
        <v>999</v>
      </c>
      <c r="W64" s="586"/>
      <c r="X64" s="586"/>
    </row>
    <row r="65" spans="1:24">
      <c r="A65" s="588" t="s">
        <v>954</v>
      </c>
      <c r="B65" s="589"/>
      <c r="C65" s="589"/>
      <c r="D65" s="581"/>
      <c r="E65" s="590"/>
      <c r="F65" s="591">
        <f>WS!J310</f>
        <v>14500000000</v>
      </c>
      <c r="G65" s="591"/>
      <c r="H65" s="584"/>
      <c r="I65" s="592">
        <v>0</v>
      </c>
      <c r="J65" s="592"/>
      <c r="K65" s="592">
        <v>0</v>
      </c>
      <c r="L65" s="592"/>
      <c r="M65" s="592"/>
      <c r="N65" s="592">
        <v>0</v>
      </c>
      <c r="O65" s="592"/>
      <c r="P65" s="592">
        <v>0</v>
      </c>
      <c r="Q65" s="583"/>
      <c r="R65" s="593"/>
      <c r="S65" s="580"/>
      <c r="T65" s="592">
        <f>SUM(F65:R65)</f>
        <v>14500000000</v>
      </c>
      <c r="U65" s="586"/>
      <c r="V65" s="594" t="s">
        <v>1000</v>
      </c>
      <c r="W65" s="586"/>
      <c r="X65" s="586"/>
    </row>
    <row r="66" spans="1:24">
      <c r="A66" s="588" t="s">
        <v>944</v>
      </c>
      <c r="B66" s="589"/>
      <c r="C66" s="589"/>
      <c r="D66" s="581"/>
      <c r="E66" s="590"/>
      <c r="F66" s="596">
        <v>0</v>
      </c>
      <c r="G66" s="597"/>
      <c r="H66" s="597"/>
      <c r="I66" s="598">
        <v>0</v>
      </c>
      <c r="J66" s="597"/>
      <c r="K66" s="598">
        <v>0</v>
      </c>
      <c r="L66" s="586"/>
      <c r="M66" s="586"/>
      <c r="N66" s="598">
        <v>0</v>
      </c>
      <c r="O66" s="586"/>
      <c r="P66" s="598">
        <f>PL!F26</f>
        <v>1940658684.7470093</v>
      </c>
      <c r="Q66" s="586"/>
      <c r="R66" s="586">
        <v>0</v>
      </c>
      <c r="S66" s="586"/>
      <c r="T66" s="599">
        <f>SUM(F66:R66)</f>
        <v>1940658684.7470093</v>
      </c>
      <c r="U66" s="586"/>
      <c r="V66" s="594" t="s">
        <v>945</v>
      </c>
      <c r="W66" s="586"/>
      <c r="X66" s="586"/>
    </row>
    <row r="67" spans="1:24" hidden="1">
      <c r="A67" s="588" t="s">
        <v>952</v>
      </c>
      <c r="B67" s="615"/>
      <c r="C67" s="615"/>
      <c r="D67" s="615"/>
      <c r="E67" s="623"/>
      <c r="F67" s="624">
        <v>0</v>
      </c>
      <c r="G67" s="625"/>
      <c r="H67" s="625"/>
      <c r="I67" s="626">
        <v>0</v>
      </c>
      <c r="J67" s="625"/>
      <c r="K67" s="626">
        <v>0</v>
      </c>
      <c r="L67" s="615"/>
      <c r="M67" s="615"/>
      <c r="N67" s="661"/>
      <c r="O67" s="615"/>
      <c r="P67" s="626">
        <f>-N67</f>
        <v>0</v>
      </c>
      <c r="Q67" s="615"/>
      <c r="R67" s="615"/>
      <c r="S67" s="615"/>
      <c r="T67" s="627">
        <f>SUM(F67:R67)</f>
        <v>0</v>
      </c>
      <c r="U67" s="615"/>
      <c r="V67" s="621" t="s">
        <v>953</v>
      </c>
      <c r="W67" s="615"/>
      <c r="X67" s="529" t="s">
        <v>1001</v>
      </c>
    </row>
    <row r="68" spans="1:24" ht="3.65" customHeight="1">
      <c r="A68" s="588"/>
      <c r="B68" s="586"/>
      <c r="C68" s="586"/>
      <c r="D68" s="586"/>
      <c r="E68" s="595"/>
      <c r="F68" s="591"/>
      <c r="G68" s="597"/>
      <c r="H68" s="597"/>
      <c r="I68" s="585"/>
      <c r="J68" s="597"/>
      <c r="K68" s="585"/>
      <c r="L68" s="586"/>
      <c r="M68" s="586"/>
      <c r="N68" s="585"/>
      <c r="O68" s="586"/>
      <c r="P68" s="585"/>
      <c r="Q68" s="586"/>
      <c r="R68" s="586"/>
      <c r="S68" s="586"/>
      <c r="T68" s="592"/>
      <c r="U68" s="586"/>
      <c r="V68" s="594"/>
      <c r="W68" s="586"/>
    </row>
    <row r="69" spans="1:24" ht="14.5" thickBot="1">
      <c r="A69" s="580" t="s">
        <v>1057</v>
      </c>
      <c r="B69" s="580"/>
      <c r="C69" s="580"/>
      <c r="D69" s="581"/>
      <c r="E69" s="581"/>
      <c r="F69" s="582">
        <f>F49+SUM(F61:F67)</f>
        <v>69500000000</v>
      </c>
      <c r="G69" s="583"/>
      <c r="H69" s="584"/>
      <c r="I69" s="582">
        <f>I49+SUM(I61:I67)</f>
        <v>80755745754</v>
      </c>
      <c r="J69" s="583"/>
      <c r="K69" s="582">
        <f>K49+SUM(K61:K67)</f>
        <v>-482786190.74000007</v>
      </c>
      <c r="L69" s="583"/>
      <c r="M69" s="583"/>
      <c r="N69" s="582">
        <f>N49+SUM(N61:N67)</f>
        <v>400000000</v>
      </c>
      <c r="O69" s="583"/>
      <c r="P69" s="582">
        <f>P49+SUM(P61:P67)</f>
        <v>21578101858.459141</v>
      </c>
      <c r="Q69" s="583"/>
      <c r="R69" s="582">
        <f>SUM(R61:R67)</f>
        <v>0</v>
      </c>
      <c r="S69" s="582"/>
      <c r="T69" s="582">
        <f>T49+SUM(T61:T67)</f>
        <v>171751061421.71915</v>
      </c>
      <c r="U69" s="586"/>
      <c r="V69" s="587" t="s">
        <v>1058</v>
      </c>
      <c r="W69" s="586"/>
    </row>
    <row r="70" spans="1:24" ht="14.5" thickTop="1">
      <c r="A70" s="580"/>
      <c r="B70" s="580"/>
      <c r="C70" s="580"/>
      <c r="D70" s="581"/>
      <c r="E70" s="581"/>
      <c r="F70" s="583"/>
      <c r="G70" s="583"/>
      <c r="H70" s="584"/>
      <c r="I70" s="583"/>
      <c r="J70" s="583"/>
      <c r="K70" s="583"/>
      <c r="L70" s="583"/>
      <c r="M70" s="583"/>
      <c r="N70" s="583"/>
      <c r="O70" s="583"/>
      <c r="P70" s="583"/>
      <c r="Q70" s="583"/>
      <c r="R70" s="583"/>
      <c r="S70" s="583"/>
      <c r="T70" s="583"/>
      <c r="U70" s="586"/>
      <c r="V70" s="587"/>
      <c r="W70" s="586"/>
    </row>
    <row r="71" spans="1:24" ht="18" customHeight="1">
      <c r="A71" s="539"/>
      <c r="B71" s="539"/>
      <c r="C71" s="539"/>
      <c r="D71" s="552"/>
      <c r="E71" s="552"/>
      <c r="F71" s="557"/>
      <c r="G71" s="557"/>
      <c r="H71" s="561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68"/>
      <c r="T71" s="557"/>
      <c r="V71" s="558"/>
    </row>
    <row r="72" spans="1:24">
      <c r="A72" s="539"/>
      <c r="B72" s="539"/>
      <c r="C72" s="539"/>
      <c r="D72" s="628">
        <v>45627</v>
      </c>
      <c r="E72" s="552"/>
      <c r="F72" s="557">
        <f>F69-BS!H86</f>
        <v>0</v>
      </c>
      <c r="G72" s="557"/>
      <c r="H72" s="561"/>
      <c r="I72" s="557">
        <f>I69-BS!H87</f>
        <v>0</v>
      </c>
      <c r="J72" s="557"/>
      <c r="K72" s="557">
        <f>K69-BS!H89</f>
        <v>0</v>
      </c>
      <c r="L72" s="557"/>
      <c r="M72" s="557"/>
      <c r="N72" s="557">
        <f>N69-BS!H91</f>
        <v>-150000000</v>
      </c>
      <c r="O72" s="557"/>
      <c r="P72" s="557">
        <f>P69-BS!H92-BS!H93</f>
        <v>15150000000.110619</v>
      </c>
      <c r="Q72" s="557"/>
      <c r="R72" s="557"/>
      <c r="S72" s="568"/>
      <c r="T72" s="557">
        <f>T69-BS!H96</f>
        <v>15000000000.110626</v>
      </c>
      <c r="V72" s="558"/>
    </row>
    <row r="73" spans="1:24">
      <c r="A73" s="539"/>
      <c r="B73" s="539"/>
      <c r="C73" s="539"/>
      <c r="D73" s="601"/>
      <c r="E73" s="552"/>
      <c r="F73" s="557"/>
      <c r="G73" s="557"/>
      <c r="H73" s="561"/>
      <c r="I73" s="557"/>
      <c r="J73" s="557"/>
      <c r="K73" s="557"/>
      <c r="L73" s="557"/>
      <c r="M73" s="557"/>
      <c r="N73" s="557"/>
      <c r="O73" s="557"/>
      <c r="P73" s="557"/>
      <c r="Q73" s="557"/>
      <c r="R73" s="557"/>
      <c r="S73" s="568"/>
      <c r="T73" s="557"/>
      <c r="V73" s="558"/>
    </row>
    <row r="74" spans="1:24">
      <c r="A74" s="539"/>
      <c r="B74" s="539"/>
      <c r="C74" s="539"/>
      <c r="D74" s="628">
        <v>45261</v>
      </c>
      <c r="E74" s="552"/>
      <c r="F74" s="557">
        <f>F49-WS!W309</f>
        <v>0</v>
      </c>
      <c r="G74" s="557"/>
      <c r="H74" s="561"/>
      <c r="I74" s="557">
        <f>I49-WS!W311</f>
        <v>0</v>
      </c>
      <c r="J74" s="557"/>
      <c r="K74" s="557">
        <f>K49-BS!L89</f>
        <v>0</v>
      </c>
      <c r="L74" s="557"/>
      <c r="M74" s="557"/>
      <c r="N74" s="557">
        <f>(WS!W309*1%)-N49</f>
        <v>0</v>
      </c>
      <c r="O74" s="557"/>
      <c r="P74" s="557">
        <f>(P49-WS!W319)+N49</f>
        <v>-0.19541168212890625</v>
      </c>
      <c r="Q74" s="557"/>
      <c r="R74" s="557"/>
      <c r="S74" s="568"/>
      <c r="T74" s="557">
        <f>T49-WS!W328</f>
        <v>-0.195404052734375</v>
      </c>
      <c r="V74" s="558"/>
    </row>
    <row r="75" spans="1:24">
      <c r="A75" s="539"/>
      <c r="B75" s="539"/>
      <c r="C75" s="539"/>
      <c r="D75" s="552"/>
      <c r="E75" s="552"/>
      <c r="F75" s="557"/>
      <c r="G75" s="557"/>
      <c r="H75" s="561"/>
      <c r="I75" s="557"/>
      <c r="J75" s="557"/>
      <c r="K75" s="557"/>
      <c r="L75" s="557"/>
      <c r="M75" s="557"/>
      <c r="N75" s="557"/>
      <c r="O75" s="557"/>
      <c r="P75" s="557"/>
      <c r="Q75" s="557"/>
      <c r="R75" s="557"/>
      <c r="S75" s="568"/>
      <c r="T75" s="557"/>
      <c r="V75" s="558"/>
    </row>
    <row r="76" spans="1:24" ht="12.75" customHeight="1">
      <c r="A76" s="600"/>
      <c r="B76" s="600"/>
      <c r="C76" s="600"/>
      <c r="D76" s="601"/>
      <c r="E76" s="601"/>
      <c r="F76" s="603"/>
      <c r="G76" s="603"/>
      <c r="H76" s="601"/>
      <c r="I76" s="604"/>
      <c r="J76" s="604"/>
      <c r="K76" s="604"/>
      <c r="L76" s="604"/>
      <c r="M76" s="604"/>
      <c r="N76" s="604"/>
      <c r="O76" s="604"/>
      <c r="P76" s="604"/>
      <c r="Q76" s="604"/>
      <c r="R76" s="604"/>
      <c r="S76" s="604"/>
    </row>
    <row r="77" spans="1:24" ht="12.75" hidden="1" customHeight="1">
      <c r="A77" s="552"/>
      <c r="B77" s="600"/>
      <c r="C77" s="600"/>
      <c r="D77" s="603">
        <v>2023</v>
      </c>
      <c r="E77" s="601"/>
      <c r="F77" s="602">
        <f>F49-[2]WBS!AU346</f>
        <v>0</v>
      </c>
      <c r="G77" s="603"/>
      <c r="H77" s="601"/>
      <c r="I77" s="604">
        <f>I49-[2]WBS!AU347</f>
        <v>0</v>
      </c>
      <c r="J77" s="604"/>
      <c r="K77" s="604">
        <f>K49-[2]WBS!AU361</f>
        <v>0</v>
      </c>
      <c r="L77" s="604"/>
      <c r="M77" s="604"/>
      <c r="N77" s="604">
        <f>N49-[2]BS!T94</f>
        <v>0</v>
      </c>
      <c r="O77" s="604"/>
      <c r="P77" s="604">
        <f>P49-[3]BS!J88</f>
        <v>-0.19541168212890625</v>
      </c>
      <c r="Q77" s="604"/>
      <c r="R77" s="604"/>
      <c r="S77" s="604"/>
      <c r="T77" s="538">
        <f>T49-[3]BS!J90</f>
        <v>-0.195404052734375</v>
      </c>
      <c r="V77" s="605"/>
    </row>
    <row r="78" spans="1:24" ht="12.75" customHeight="1">
      <c r="A78" s="600"/>
      <c r="B78" s="600"/>
      <c r="C78" s="600"/>
      <c r="D78" s="601"/>
      <c r="E78" s="601"/>
      <c r="F78" s="603"/>
      <c r="G78" s="603"/>
      <c r="H78" s="601"/>
      <c r="I78" s="604"/>
      <c r="J78" s="604"/>
      <c r="K78" s="604"/>
      <c r="L78" s="604"/>
      <c r="M78" s="604"/>
      <c r="N78" s="604"/>
      <c r="O78" s="604"/>
      <c r="P78" s="604"/>
      <c r="Q78" s="604"/>
      <c r="R78" s="604"/>
      <c r="S78" s="604"/>
      <c r="T78" s="538"/>
    </row>
    <row r="79" spans="1:24" ht="12.75" customHeight="1">
      <c r="A79" s="600"/>
      <c r="B79" s="600"/>
      <c r="C79" s="600"/>
      <c r="D79" s="601"/>
      <c r="E79" s="601"/>
      <c r="F79" s="603"/>
      <c r="G79" s="603"/>
      <c r="H79" s="601"/>
      <c r="I79" s="604"/>
      <c r="J79" s="604"/>
      <c r="K79" s="604"/>
      <c r="L79" s="604"/>
      <c r="M79" s="604"/>
      <c r="N79" s="604"/>
      <c r="O79" s="604"/>
      <c r="P79" s="604"/>
      <c r="Q79" s="604"/>
      <c r="R79" s="604"/>
      <c r="S79" s="604"/>
    </row>
    <row r="80" spans="1:24" ht="12.75" customHeight="1">
      <c r="A80" s="600"/>
      <c r="B80" s="600"/>
      <c r="C80" s="600"/>
      <c r="D80" s="601"/>
      <c r="E80" s="601"/>
      <c r="F80" s="603"/>
      <c r="G80" s="603"/>
      <c r="H80" s="601"/>
      <c r="I80" s="604"/>
      <c r="J80" s="604"/>
      <c r="K80" s="604"/>
      <c r="L80" s="604"/>
      <c r="M80" s="604"/>
      <c r="N80" s="604"/>
      <c r="O80" s="604"/>
      <c r="P80" s="606"/>
      <c r="Q80" s="604"/>
      <c r="R80" s="604"/>
      <c r="S80" s="604"/>
      <c r="W80" s="538"/>
    </row>
    <row r="81" spans="1:22" ht="12.75" customHeight="1">
      <c r="A81" s="600"/>
      <c r="B81" s="600"/>
      <c r="C81" s="600"/>
      <c r="D81" s="601"/>
      <c r="E81" s="601"/>
      <c r="F81" s="603"/>
      <c r="G81" s="603"/>
      <c r="H81" s="601"/>
      <c r="I81" s="604"/>
      <c r="J81" s="604"/>
      <c r="K81" s="604"/>
      <c r="L81" s="604"/>
      <c r="M81" s="604"/>
      <c r="N81" s="604"/>
      <c r="O81" s="604"/>
      <c r="P81" s="604"/>
      <c r="Q81" s="604"/>
      <c r="R81" s="604"/>
      <c r="S81" s="604"/>
    </row>
    <row r="82" spans="1:22" ht="12.75" hidden="1" customHeight="1">
      <c r="A82" s="600"/>
      <c r="B82" s="600"/>
      <c r="C82" s="600"/>
      <c r="D82" s="601">
        <v>2021</v>
      </c>
      <c r="E82" s="601"/>
      <c r="F82" s="603"/>
      <c r="G82" s="603"/>
      <c r="H82" s="601"/>
      <c r="I82" s="604"/>
      <c r="J82" s="604"/>
      <c r="K82" s="604">
        <f>[2]BS!AF92-K31</f>
        <v>0</v>
      </c>
      <c r="L82" s="604"/>
      <c r="M82" s="604"/>
      <c r="N82" s="604"/>
      <c r="O82" s="604"/>
      <c r="P82" s="604">
        <f>P31-[2]BS!AF95</f>
        <v>0.15871429443359375</v>
      </c>
      <c r="Q82" s="604"/>
      <c r="R82" s="604">
        <f>R31-[2]BS!AF95</f>
        <v>-13426333849.186987</v>
      </c>
      <c r="S82" s="604"/>
      <c r="T82" s="538">
        <f>T25-[2]BS!AL97</f>
        <v>1.28125</v>
      </c>
      <c r="V82" s="536"/>
    </row>
    <row r="83" spans="1:22" ht="12.75" hidden="1" customHeight="1">
      <c r="A83" s="600"/>
      <c r="B83" s="600"/>
      <c r="C83" s="600"/>
      <c r="D83" s="601"/>
      <c r="E83" s="601"/>
      <c r="F83" s="603"/>
      <c r="G83" s="603"/>
      <c r="H83" s="601"/>
      <c r="I83" s="604"/>
      <c r="J83" s="604"/>
      <c r="K83" s="604"/>
      <c r="L83" s="604"/>
      <c r="M83" s="604"/>
      <c r="N83" s="604"/>
      <c r="O83" s="604"/>
      <c r="P83" s="604"/>
      <c r="Q83" s="604"/>
      <c r="R83" s="604"/>
      <c r="S83" s="604"/>
    </row>
    <row r="84" spans="1:22" ht="12.75" hidden="1" customHeight="1">
      <c r="A84" s="600"/>
      <c r="B84" s="600"/>
      <c r="C84" s="600"/>
      <c r="D84" s="601"/>
      <c r="E84" s="601"/>
      <c r="F84" s="603"/>
      <c r="G84" s="603"/>
      <c r="H84" s="601"/>
      <c r="I84" s="604"/>
      <c r="J84" s="604"/>
      <c r="K84" s="604"/>
      <c r="L84" s="604"/>
      <c r="M84" s="604"/>
      <c r="N84" s="604"/>
      <c r="O84" s="604"/>
      <c r="P84" s="604"/>
      <c r="Q84" s="604"/>
      <c r="R84" s="604"/>
      <c r="S84" s="604"/>
    </row>
    <row r="85" spans="1:22" ht="12.75" hidden="1" customHeight="1">
      <c r="A85" s="600"/>
      <c r="B85" s="600"/>
      <c r="C85" s="600"/>
      <c r="D85" s="601">
        <v>2020</v>
      </c>
      <c r="E85" s="601"/>
      <c r="F85" s="603"/>
      <c r="G85" s="603"/>
      <c r="H85" s="601"/>
      <c r="I85" s="604"/>
      <c r="J85" s="604"/>
      <c r="K85" s="604">
        <f>[2]BS!AL92-K25</f>
        <v>0</v>
      </c>
      <c r="L85" s="604"/>
      <c r="M85" s="604"/>
      <c r="N85" s="604"/>
      <c r="O85" s="604"/>
      <c r="P85" s="604">
        <f>P25-[2]BS!AL95</f>
        <v>1.2812442779541016</v>
      </c>
      <c r="Q85" s="604"/>
      <c r="R85" s="604">
        <f>R31-[2]BS!AF95</f>
        <v>-13426333849.186987</v>
      </c>
      <c r="S85" s="604"/>
      <c r="T85" s="538">
        <f>[2]BS!AL97-[2]LPE!T25</f>
        <v>-0.28125</v>
      </c>
    </row>
    <row r="86" spans="1:22" ht="12.75" customHeight="1">
      <c r="A86" s="600"/>
      <c r="B86" s="600"/>
      <c r="C86" s="600"/>
      <c r="D86" s="601"/>
      <c r="E86" s="601"/>
      <c r="F86" s="603"/>
      <c r="G86" s="603"/>
      <c r="H86" s="601"/>
      <c r="I86" s="604"/>
      <c r="J86" s="604"/>
      <c r="K86" s="604"/>
      <c r="L86" s="604"/>
      <c r="M86" s="604"/>
      <c r="N86" s="604"/>
      <c r="O86" s="604"/>
      <c r="P86" s="604"/>
      <c r="Q86" s="604"/>
      <c r="R86" s="604"/>
      <c r="S86" s="604"/>
    </row>
    <row r="87" spans="1:22" ht="12.75" customHeight="1">
      <c r="A87" s="600"/>
      <c r="B87" s="600"/>
      <c r="C87" s="600"/>
      <c r="D87" s="601"/>
      <c r="E87" s="601"/>
      <c r="F87" s="603"/>
      <c r="G87" s="603"/>
      <c r="H87" s="601"/>
      <c r="I87" s="604"/>
      <c r="J87" s="604"/>
      <c r="K87" s="604"/>
      <c r="L87" s="604"/>
      <c r="M87" s="604"/>
      <c r="N87" s="604"/>
      <c r="O87" s="604"/>
      <c r="P87" s="604"/>
      <c r="Q87" s="604"/>
      <c r="R87" s="604"/>
      <c r="S87" s="604"/>
    </row>
    <row r="88" spans="1:22" ht="12.75" customHeight="1">
      <c r="A88" s="600"/>
      <c r="B88" s="600"/>
      <c r="C88" s="600"/>
      <c r="D88" s="601"/>
      <c r="E88" s="601"/>
      <c r="F88" s="603"/>
      <c r="G88" s="603"/>
      <c r="H88" s="601"/>
      <c r="I88" s="604"/>
      <c r="J88" s="604"/>
      <c r="K88" s="604"/>
      <c r="L88" s="604"/>
      <c r="M88" s="604"/>
      <c r="N88" s="604"/>
      <c r="O88" s="604"/>
      <c r="P88" s="604"/>
      <c r="Q88" s="604"/>
      <c r="R88" s="604"/>
      <c r="S88" s="604"/>
    </row>
    <row r="89" spans="1:22" ht="12.75" customHeight="1">
      <c r="A89" s="600"/>
      <c r="B89" s="600"/>
      <c r="C89" s="600"/>
      <c r="D89" s="601"/>
      <c r="E89" s="601"/>
      <c r="F89" s="603"/>
      <c r="G89" s="603"/>
      <c r="H89" s="601"/>
      <c r="I89" s="604"/>
      <c r="J89" s="604"/>
      <c r="K89" s="604"/>
      <c r="L89" s="604"/>
      <c r="M89" s="604"/>
      <c r="N89" s="604"/>
      <c r="O89" s="604"/>
      <c r="P89" s="604"/>
      <c r="Q89" s="604"/>
      <c r="R89" s="604"/>
      <c r="S89" s="604"/>
    </row>
    <row r="90" spans="1:22" ht="12.75" customHeight="1">
      <c r="A90" s="600"/>
      <c r="B90" s="600"/>
      <c r="C90" s="600"/>
      <c r="D90" s="601"/>
      <c r="E90" s="601"/>
      <c r="F90" s="603"/>
      <c r="G90" s="603"/>
      <c r="H90" s="601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</row>
    <row r="91" spans="1:22" ht="12.75" customHeight="1">
      <c r="A91" s="600"/>
      <c r="B91" s="600"/>
      <c r="C91" s="600"/>
      <c r="D91" s="601"/>
      <c r="E91" s="601"/>
      <c r="F91" s="603"/>
      <c r="G91" s="603"/>
      <c r="H91" s="601"/>
      <c r="I91" s="604"/>
      <c r="J91" s="604"/>
      <c r="K91" s="604"/>
      <c r="L91" s="604"/>
      <c r="M91" s="604"/>
      <c r="N91" s="604"/>
      <c r="O91" s="604"/>
      <c r="P91" s="604"/>
      <c r="Q91" s="604"/>
      <c r="R91" s="604"/>
      <c r="S91" s="604"/>
    </row>
    <row r="92" spans="1:22" ht="12.75" customHeight="1">
      <c r="A92" s="600"/>
      <c r="B92" s="600"/>
      <c r="C92" s="600"/>
      <c r="D92" s="601"/>
      <c r="E92" s="601"/>
      <c r="F92" s="603"/>
      <c r="G92" s="603"/>
      <c r="H92" s="601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</row>
    <row r="93" spans="1:22" ht="12.75" customHeight="1">
      <c r="A93" s="600"/>
      <c r="B93" s="600"/>
      <c r="C93" s="600"/>
      <c r="D93" s="601"/>
      <c r="E93" s="601"/>
      <c r="F93" s="603"/>
      <c r="G93" s="603"/>
      <c r="H93" s="601"/>
      <c r="I93" s="604"/>
      <c r="J93" s="604"/>
      <c r="K93" s="604"/>
      <c r="L93" s="604"/>
      <c r="M93" s="604"/>
      <c r="N93" s="604"/>
      <c r="O93" s="604"/>
      <c r="P93" s="604"/>
      <c r="Q93" s="604"/>
      <c r="R93" s="604"/>
      <c r="S93" s="604"/>
    </row>
    <row r="94" spans="1:22" ht="12.75" customHeight="1">
      <c r="A94" s="600"/>
      <c r="B94" s="600"/>
      <c r="C94" s="600"/>
      <c r="D94" s="601"/>
      <c r="E94" s="601"/>
      <c r="F94" s="603"/>
      <c r="G94" s="603"/>
      <c r="H94" s="601"/>
      <c r="I94" s="604"/>
      <c r="J94" s="604"/>
      <c r="K94" s="604"/>
      <c r="L94" s="604"/>
      <c r="M94" s="604"/>
      <c r="N94" s="604"/>
      <c r="O94" s="604"/>
      <c r="P94" s="604"/>
      <c r="Q94" s="604"/>
      <c r="R94" s="604"/>
      <c r="S94" s="604"/>
    </row>
    <row r="95" spans="1:22" ht="12.75" customHeight="1">
      <c r="A95" s="600"/>
      <c r="B95" s="600"/>
      <c r="C95" s="600"/>
      <c r="D95" s="601"/>
      <c r="E95" s="601"/>
      <c r="F95" s="603"/>
      <c r="G95" s="603"/>
      <c r="H95" s="601"/>
      <c r="I95" s="604"/>
      <c r="J95" s="604"/>
      <c r="K95" s="604"/>
      <c r="L95" s="604"/>
      <c r="M95" s="604"/>
      <c r="N95" s="604"/>
      <c r="O95" s="604"/>
      <c r="P95" s="604"/>
      <c r="Q95" s="604"/>
      <c r="R95" s="604"/>
      <c r="S95" s="604"/>
    </row>
    <row r="96" spans="1:22" ht="12.75" customHeight="1">
      <c r="A96" s="600"/>
      <c r="B96" s="600"/>
      <c r="C96" s="600"/>
      <c r="D96" s="601"/>
      <c r="E96" s="601"/>
      <c r="F96" s="603"/>
      <c r="G96" s="603"/>
      <c r="H96" s="601"/>
      <c r="I96" s="604"/>
      <c r="J96" s="604"/>
      <c r="K96" s="604"/>
      <c r="L96" s="604"/>
      <c r="M96" s="604"/>
      <c r="N96" s="604"/>
      <c r="O96" s="604"/>
      <c r="P96" s="604"/>
      <c r="Q96" s="604"/>
      <c r="R96" s="604"/>
      <c r="S96" s="604"/>
    </row>
    <row r="97" spans="1:19" ht="12.75" customHeight="1">
      <c r="A97" s="600"/>
      <c r="B97" s="600"/>
      <c r="C97" s="600"/>
      <c r="D97" s="601"/>
      <c r="E97" s="601"/>
      <c r="F97" s="603"/>
      <c r="G97" s="603"/>
      <c r="H97" s="601"/>
      <c r="I97" s="604"/>
      <c r="J97" s="604"/>
      <c r="K97" s="604"/>
      <c r="L97" s="604"/>
      <c r="M97" s="604"/>
      <c r="N97" s="604"/>
      <c r="O97" s="604"/>
      <c r="P97" s="604"/>
      <c r="Q97" s="604"/>
      <c r="R97" s="604"/>
      <c r="S97" s="604"/>
    </row>
    <row r="98" spans="1:19" ht="12.75" customHeight="1">
      <c r="A98" s="600"/>
      <c r="B98" s="600"/>
      <c r="C98" s="600"/>
      <c r="D98" s="601"/>
      <c r="E98" s="601"/>
      <c r="F98" s="603"/>
      <c r="G98" s="603"/>
      <c r="H98" s="601"/>
      <c r="I98" s="604"/>
      <c r="J98" s="604"/>
      <c r="K98" s="604"/>
      <c r="L98" s="604"/>
      <c r="M98" s="604"/>
      <c r="N98" s="604"/>
      <c r="O98" s="604"/>
      <c r="P98" s="604"/>
      <c r="Q98" s="604"/>
      <c r="R98" s="604"/>
      <c r="S98" s="604"/>
    </row>
    <row r="99" spans="1:19" ht="12.75" customHeight="1">
      <c r="A99" s="600"/>
      <c r="B99" s="600"/>
      <c r="C99" s="600"/>
      <c r="D99" s="601"/>
      <c r="E99" s="601"/>
      <c r="F99" s="603"/>
      <c r="G99" s="603"/>
      <c r="H99" s="601"/>
      <c r="I99" s="604"/>
      <c r="J99" s="604"/>
      <c r="K99" s="604"/>
      <c r="L99" s="604"/>
      <c r="M99" s="604"/>
      <c r="N99" s="604"/>
      <c r="O99" s="604"/>
      <c r="P99" s="604"/>
      <c r="Q99" s="604"/>
      <c r="R99" s="604"/>
      <c r="S99" s="604"/>
    </row>
    <row r="100" spans="1:19" ht="12.75" customHeight="1">
      <c r="A100" s="600"/>
      <c r="B100" s="600"/>
      <c r="C100" s="600"/>
      <c r="D100" s="601"/>
      <c r="E100" s="601"/>
      <c r="F100" s="603"/>
      <c r="G100" s="603"/>
      <c r="H100" s="601"/>
      <c r="I100" s="604"/>
      <c r="J100" s="604"/>
      <c r="K100" s="604"/>
      <c r="L100" s="604"/>
      <c r="M100" s="604"/>
      <c r="N100" s="604"/>
      <c r="O100" s="604"/>
      <c r="P100" s="604"/>
      <c r="Q100" s="604"/>
      <c r="R100" s="604"/>
      <c r="S100" s="604"/>
    </row>
    <row r="101" spans="1:19" ht="12.75" customHeight="1">
      <c r="A101" s="600"/>
      <c r="B101" s="600"/>
      <c r="C101" s="600"/>
      <c r="D101" s="601"/>
      <c r="E101" s="601"/>
      <c r="F101" s="603"/>
      <c r="G101" s="603"/>
      <c r="H101" s="601"/>
      <c r="I101" s="604"/>
      <c r="J101" s="604"/>
      <c r="K101" s="604"/>
      <c r="L101" s="604"/>
      <c r="M101" s="604"/>
      <c r="N101" s="604"/>
      <c r="O101" s="604"/>
      <c r="P101" s="604"/>
      <c r="Q101" s="604"/>
      <c r="R101" s="604"/>
      <c r="S101" s="604"/>
    </row>
    <row r="102" spans="1:19" ht="12.75" customHeight="1">
      <c r="A102" s="600"/>
      <c r="B102" s="600"/>
      <c r="C102" s="600"/>
      <c r="D102" s="601"/>
      <c r="E102" s="601"/>
      <c r="F102" s="603"/>
      <c r="G102" s="603"/>
      <c r="H102" s="601"/>
      <c r="I102" s="604"/>
      <c r="J102" s="604"/>
      <c r="K102" s="604"/>
      <c r="L102" s="604"/>
      <c r="M102" s="604"/>
      <c r="N102" s="604"/>
      <c r="O102" s="604"/>
      <c r="P102" s="604"/>
      <c r="Q102" s="604"/>
      <c r="R102" s="604"/>
      <c r="S102" s="604"/>
    </row>
    <row r="103" spans="1:19" ht="12.75" customHeight="1">
      <c r="A103" s="600"/>
      <c r="B103" s="600"/>
      <c r="C103" s="600"/>
      <c r="D103" s="601"/>
      <c r="E103" s="601"/>
      <c r="F103" s="603"/>
      <c r="G103" s="603"/>
      <c r="H103" s="601"/>
      <c r="I103" s="604"/>
      <c r="J103" s="604"/>
      <c r="K103" s="604"/>
      <c r="L103" s="604"/>
      <c r="M103" s="604"/>
      <c r="N103" s="604"/>
      <c r="O103" s="604"/>
      <c r="P103" s="604"/>
      <c r="Q103" s="604"/>
      <c r="R103" s="604"/>
      <c r="S103" s="604"/>
    </row>
    <row r="104" spans="1:19" ht="12.75" customHeight="1">
      <c r="A104" s="600"/>
      <c r="B104" s="600"/>
      <c r="C104" s="600"/>
      <c r="D104" s="601"/>
      <c r="E104" s="601"/>
      <c r="F104" s="603"/>
      <c r="G104" s="603"/>
      <c r="H104" s="601"/>
      <c r="I104" s="604"/>
      <c r="J104" s="604"/>
      <c r="K104" s="604"/>
      <c r="L104" s="604"/>
      <c r="M104" s="604"/>
      <c r="N104" s="604"/>
      <c r="O104" s="604"/>
      <c r="P104" s="604"/>
      <c r="Q104" s="604"/>
      <c r="R104" s="604"/>
      <c r="S104" s="604"/>
    </row>
    <row r="105" spans="1:19" ht="12.75" customHeight="1">
      <c r="A105" s="600"/>
      <c r="B105" s="600"/>
      <c r="C105" s="600"/>
      <c r="D105" s="601"/>
      <c r="E105" s="601"/>
      <c r="F105" s="603"/>
      <c r="G105" s="603"/>
      <c r="H105" s="601"/>
      <c r="I105" s="604"/>
      <c r="J105" s="604"/>
      <c r="K105" s="604"/>
      <c r="L105" s="604"/>
      <c r="M105" s="604"/>
      <c r="N105" s="604"/>
      <c r="O105" s="604"/>
      <c r="P105" s="604"/>
      <c r="Q105" s="604"/>
      <c r="R105" s="604"/>
      <c r="S105" s="604"/>
    </row>
    <row r="106" spans="1:19" ht="12.75" customHeight="1">
      <c r="A106" s="600"/>
      <c r="B106" s="600"/>
      <c r="C106" s="600"/>
      <c r="D106" s="601"/>
      <c r="E106" s="601"/>
      <c r="F106" s="603"/>
      <c r="G106" s="603"/>
      <c r="H106" s="601"/>
      <c r="I106" s="604"/>
      <c r="J106" s="604"/>
      <c r="K106" s="604"/>
      <c r="L106" s="604"/>
      <c r="M106" s="604"/>
      <c r="N106" s="604"/>
      <c r="O106" s="604"/>
      <c r="P106" s="604"/>
      <c r="Q106" s="604"/>
      <c r="R106" s="604"/>
      <c r="S106" s="604"/>
    </row>
    <row r="107" spans="1:19" ht="12.75" customHeight="1">
      <c r="A107" s="600"/>
      <c r="B107" s="600"/>
      <c r="C107" s="600"/>
      <c r="D107" s="601"/>
      <c r="E107" s="601"/>
      <c r="F107" s="603"/>
      <c r="G107" s="603"/>
      <c r="H107" s="601"/>
      <c r="I107" s="604"/>
      <c r="J107" s="604"/>
      <c r="K107" s="604"/>
      <c r="L107" s="604"/>
      <c r="M107" s="604"/>
      <c r="N107" s="604"/>
      <c r="O107" s="604"/>
      <c r="P107" s="604"/>
      <c r="Q107" s="604"/>
      <c r="R107" s="604"/>
      <c r="S107" s="604"/>
    </row>
    <row r="108" spans="1:19" ht="12.75" customHeight="1">
      <c r="A108" s="600"/>
      <c r="B108" s="600"/>
      <c r="C108" s="600"/>
      <c r="D108" s="601"/>
      <c r="E108" s="601"/>
      <c r="F108" s="603"/>
      <c r="G108" s="603"/>
      <c r="H108" s="601"/>
      <c r="I108" s="604"/>
      <c r="J108" s="604"/>
      <c r="K108" s="604"/>
      <c r="L108" s="604"/>
      <c r="M108" s="604"/>
      <c r="N108" s="604"/>
      <c r="O108" s="604"/>
      <c r="P108" s="604"/>
      <c r="Q108" s="604"/>
      <c r="R108" s="604"/>
      <c r="S108" s="604"/>
    </row>
    <row r="109" spans="1:19" ht="12.75" customHeight="1">
      <c r="A109" s="600"/>
      <c r="B109" s="600"/>
      <c r="C109" s="600"/>
      <c r="D109" s="601"/>
      <c r="E109" s="601"/>
      <c r="F109" s="603"/>
      <c r="G109" s="603"/>
      <c r="H109" s="601"/>
      <c r="I109" s="604"/>
      <c r="J109" s="604"/>
      <c r="K109" s="604"/>
      <c r="L109" s="604"/>
      <c r="M109" s="604"/>
      <c r="N109" s="604"/>
      <c r="O109" s="604"/>
      <c r="P109" s="604"/>
      <c r="Q109" s="604"/>
      <c r="R109" s="604"/>
      <c r="S109" s="604"/>
    </row>
    <row r="110" spans="1:19" ht="12.75" customHeight="1">
      <c r="A110" s="600"/>
      <c r="B110" s="600"/>
      <c r="C110" s="600"/>
      <c r="D110" s="601"/>
      <c r="E110" s="601"/>
      <c r="F110" s="603"/>
      <c r="G110" s="603"/>
      <c r="H110" s="601"/>
      <c r="I110" s="604"/>
      <c r="J110" s="604"/>
      <c r="K110" s="604"/>
      <c r="L110" s="604"/>
      <c r="M110" s="604"/>
      <c r="N110" s="604"/>
      <c r="O110" s="604"/>
      <c r="P110" s="604"/>
      <c r="Q110" s="604"/>
      <c r="R110" s="604"/>
      <c r="S110" s="604"/>
    </row>
    <row r="111" spans="1:19" ht="12.75" customHeight="1">
      <c r="A111" s="600"/>
      <c r="B111" s="600"/>
      <c r="C111" s="600"/>
      <c r="D111" s="601"/>
      <c r="E111" s="601"/>
      <c r="F111" s="603"/>
      <c r="G111" s="603"/>
      <c r="H111" s="601"/>
      <c r="I111" s="604"/>
      <c r="J111" s="604"/>
      <c r="K111" s="604"/>
      <c r="L111" s="604"/>
      <c r="M111" s="604"/>
      <c r="N111" s="604"/>
      <c r="O111" s="604"/>
      <c r="P111" s="604"/>
      <c r="Q111" s="604"/>
      <c r="R111" s="604"/>
      <c r="S111" s="604"/>
    </row>
    <row r="112" spans="1:19" ht="12.75" customHeight="1">
      <c r="A112" s="600"/>
      <c r="B112" s="600"/>
      <c r="C112" s="600"/>
      <c r="D112" s="601"/>
      <c r="E112" s="601"/>
      <c r="F112" s="603"/>
      <c r="G112" s="603"/>
      <c r="H112" s="601"/>
      <c r="I112" s="604"/>
      <c r="J112" s="604"/>
      <c r="K112" s="604"/>
      <c r="L112" s="604"/>
      <c r="M112" s="604"/>
      <c r="N112" s="604"/>
      <c r="O112" s="604"/>
      <c r="P112" s="604"/>
      <c r="Q112" s="604"/>
      <c r="R112" s="604"/>
      <c r="S112" s="604"/>
    </row>
    <row r="113" spans="1:20" ht="12.75" customHeight="1">
      <c r="A113" s="600"/>
      <c r="B113" s="600"/>
      <c r="C113" s="600"/>
      <c r="D113" s="601"/>
      <c r="E113" s="601"/>
      <c r="F113" s="603"/>
      <c r="G113" s="603"/>
      <c r="H113" s="601"/>
      <c r="I113" s="604"/>
      <c r="J113" s="604"/>
      <c r="K113" s="604"/>
      <c r="L113" s="604"/>
      <c r="M113" s="604"/>
      <c r="N113" s="604"/>
      <c r="O113" s="604"/>
      <c r="P113" s="604"/>
      <c r="Q113" s="604"/>
      <c r="R113" s="604"/>
      <c r="S113" s="604"/>
    </row>
    <row r="114" spans="1:20" ht="12.75" customHeight="1">
      <c r="A114" s="600"/>
      <c r="B114" s="600"/>
      <c r="C114" s="600"/>
      <c r="D114" s="601"/>
      <c r="E114" s="601"/>
      <c r="F114" s="603"/>
      <c r="G114" s="603"/>
      <c r="H114" s="601"/>
      <c r="I114" s="604"/>
      <c r="J114" s="604"/>
      <c r="K114" s="604"/>
      <c r="L114" s="604"/>
      <c r="M114" s="604"/>
      <c r="N114" s="604"/>
      <c r="O114" s="604"/>
      <c r="P114" s="604"/>
      <c r="Q114" s="604"/>
      <c r="R114" s="604"/>
      <c r="S114" s="604"/>
    </row>
    <row r="115" spans="1:20" ht="12.75" customHeight="1">
      <c r="A115" s="600"/>
      <c r="B115" s="600"/>
      <c r="C115" s="600"/>
      <c r="D115" s="601"/>
      <c r="E115" s="601"/>
      <c r="F115" s="603"/>
      <c r="G115" s="603"/>
      <c r="H115" s="601"/>
      <c r="I115" s="604"/>
      <c r="J115" s="604"/>
      <c r="K115" s="604"/>
      <c r="L115" s="604"/>
      <c r="M115" s="604"/>
      <c r="N115" s="604"/>
      <c r="O115" s="604"/>
      <c r="P115" s="604"/>
      <c r="Q115" s="604"/>
      <c r="R115" s="604"/>
      <c r="S115" s="604"/>
    </row>
    <row r="116" spans="1:20" ht="12.75" customHeight="1">
      <c r="A116" s="600"/>
      <c r="B116" s="600"/>
      <c r="C116" s="600"/>
      <c r="D116" s="601"/>
      <c r="E116" s="601"/>
      <c r="F116" s="603"/>
      <c r="G116" s="603"/>
      <c r="H116" s="601"/>
      <c r="I116" s="604"/>
      <c r="J116" s="604"/>
      <c r="K116" s="604"/>
      <c r="L116" s="604"/>
      <c r="M116" s="604"/>
      <c r="N116" s="604"/>
      <c r="O116" s="604"/>
      <c r="P116" s="604"/>
      <c r="Q116" s="604"/>
      <c r="R116" s="604"/>
      <c r="S116" s="604"/>
    </row>
    <row r="117" spans="1:20" ht="12.75" customHeight="1">
      <c r="A117" s="600"/>
      <c r="B117" s="600"/>
      <c r="C117" s="600"/>
      <c r="D117" s="601"/>
      <c r="E117" s="601"/>
      <c r="F117" s="603"/>
      <c r="G117" s="603"/>
      <c r="H117" s="601"/>
      <c r="I117" s="604"/>
      <c r="J117" s="604"/>
      <c r="K117" s="604"/>
      <c r="L117" s="604"/>
      <c r="M117" s="604"/>
      <c r="N117" s="604"/>
      <c r="O117" s="604"/>
      <c r="P117" s="604"/>
      <c r="Q117" s="604"/>
      <c r="R117" s="604"/>
      <c r="S117" s="604"/>
    </row>
    <row r="118" spans="1:20" ht="12.75" customHeight="1">
      <c r="A118" s="600"/>
      <c r="B118" s="600"/>
      <c r="C118" s="600"/>
      <c r="D118" s="601"/>
      <c r="E118" s="601"/>
      <c r="F118" s="603"/>
      <c r="G118" s="603"/>
      <c r="H118" s="601"/>
      <c r="I118" s="604"/>
      <c r="J118" s="604"/>
      <c r="K118" s="604"/>
      <c r="L118" s="604"/>
      <c r="M118" s="604"/>
      <c r="N118" s="604"/>
      <c r="O118" s="604"/>
      <c r="P118" s="604"/>
      <c r="Q118" s="604"/>
      <c r="R118" s="604"/>
      <c r="S118" s="604"/>
    </row>
    <row r="119" spans="1:20" ht="12.75" customHeight="1">
      <c r="A119" s="600"/>
      <c r="B119" s="600"/>
      <c r="C119" s="600"/>
      <c r="D119" s="601"/>
      <c r="E119" s="601"/>
      <c r="F119" s="603"/>
      <c r="G119" s="603"/>
      <c r="H119" s="601"/>
      <c r="I119" s="604"/>
      <c r="J119" s="604"/>
      <c r="K119" s="604"/>
      <c r="L119" s="604"/>
      <c r="M119" s="604"/>
      <c r="N119" s="604"/>
      <c r="O119" s="604"/>
      <c r="P119" s="604"/>
      <c r="Q119" s="604"/>
      <c r="R119" s="604"/>
      <c r="S119" s="604"/>
    </row>
    <row r="120" spans="1:20" ht="12.75" customHeight="1">
      <c r="A120" s="600"/>
      <c r="B120" s="600"/>
      <c r="C120" s="600"/>
      <c r="D120" s="601"/>
      <c r="E120" s="601"/>
      <c r="F120" s="603"/>
      <c r="G120" s="603"/>
      <c r="H120" s="601"/>
      <c r="I120" s="604"/>
      <c r="J120" s="604"/>
      <c r="K120" s="604"/>
      <c r="L120" s="604"/>
      <c r="M120" s="604"/>
      <c r="N120" s="604"/>
      <c r="O120" s="604"/>
      <c r="P120" s="604"/>
      <c r="Q120" s="604"/>
      <c r="R120" s="604"/>
      <c r="S120" s="604"/>
    </row>
    <row r="121" spans="1:20" ht="12.75" customHeight="1">
      <c r="A121" s="600"/>
      <c r="B121" s="600"/>
      <c r="C121" s="600"/>
      <c r="D121" s="601"/>
      <c r="E121" s="601"/>
      <c r="F121" s="603"/>
      <c r="G121" s="603"/>
      <c r="H121" s="601"/>
      <c r="I121" s="604"/>
      <c r="J121" s="604"/>
      <c r="K121" s="604"/>
      <c r="L121" s="604"/>
      <c r="M121" s="604"/>
      <c r="N121" s="604"/>
      <c r="O121" s="604"/>
      <c r="P121" s="604"/>
      <c r="Q121" s="604"/>
      <c r="R121" s="604"/>
      <c r="S121" s="604"/>
    </row>
    <row r="122" spans="1:20" ht="1" customHeight="1">
      <c r="A122" s="600"/>
      <c r="B122" s="600"/>
      <c r="C122" s="600"/>
      <c r="D122" s="601"/>
      <c r="E122" s="601"/>
      <c r="F122" s="603"/>
      <c r="G122" s="603"/>
      <c r="H122" s="601"/>
      <c r="I122" s="604"/>
      <c r="J122" s="604"/>
      <c r="K122" s="604"/>
      <c r="L122" s="604"/>
      <c r="M122" s="604"/>
      <c r="N122" s="604"/>
      <c r="O122" s="604"/>
      <c r="P122" s="604"/>
      <c r="Q122" s="604"/>
      <c r="R122" s="604"/>
      <c r="S122" s="604"/>
    </row>
    <row r="123" spans="1:20" ht="12.75" customHeight="1">
      <c r="A123" s="600"/>
      <c r="B123" s="600"/>
      <c r="C123" s="600"/>
      <c r="D123" s="601"/>
      <c r="E123" s="601"/>
      <c r="F123" s="603"/>
      <c r="G123" s="603"/>
      <c r="H123" s="601"/>
      <c r="I123" s="604"/>
      <c r="J123" s="604"/>
      <c r="K123" s="604"/>
      <c r="L123" s="604"/>
      <c r="M123" s="604"/>
      <c r="N123" s="604"/>
      <c r="O123" s="604"/>
      <c r="P123" s="604"/>
      <c r="Q123" s="604"/>
      <c r="R123" s="604"/>
      <c r="S123" s="604"/>
    </row>
    <row r="124" spans="1:20" ht="12.75" customHeight="1">
      <c r="A124" s="600"/>
      <c r="B124" s="600"/>
      <c r="C124" s="600"/>
      <c r="D124" s="601"/>
      <c r="E124" s="601"/>
      <c r="F124" s="603"/>
      <c r="G124" s="603"/>
      <c r="H124" s="601"/>
      <c r="I124" s="604"/>
      <c r="J124" s="604"/>
      <c r="K124" s="604"/>
      <c r="L124" s="604"/>
      <c r="M124" s="604"/>
      <c r="N124" s="604"/>
      <c r="O124" s="604"/>
      <c r="P124" s="604"/>
      <c r="Q124" s="604"/>
      <c r="R124" s="604"/>
      <c r="S124" s="604"/>
    </row>
    <row r="125" spans="1:20" ht="12.75" customHeight="1">
      <c r="A125" s="600"/>
      <c r="B125" s="600"/>
      <c r="C125" s="600"/>
      <c r="D125" s="601"/>
      <c r="E125" s="601"/>
      <c r="F125" s="603"/>
      <c r="G125" s="603"/>
      <c r="H125" s="601"/>
      <c r="I125" s="604"/>
      <c r="J125" s="604"/>
      <c r="K125" s="604"/>
      <c r="L125" s="604"/>
      <c r="M125" s="604"/>
      <c r="N125" s="604"/>
      <c r="O125" s="604"/>
      <c r="P125" s="604"/>
      <c r="Q125" s="604"/>
      <c r="R125" s="604"/>
      <c r="S125" s="604"/>
    </row>
    <row r="126" spans="1:20" ht="12.75" customHeight="1">
      <c r="A126" s="600"/>
      <c r="B126" s="600"/>
      <c r="C126" s="600"/>
      <c r="D126" s="601"/>
      <c r="E126" s="601"/>
      <c r="F126" s="603"/>
      <c r="G126" s="603"/>
      <c r="H126" s="601"/>
      <c r="I126" s="604"/>
      <c r="J126" s="604"/>
      <c r="K126" s="604"/>
      <c r="L126" s="604"/>
      <c r="M126" s="604"/>
      <c r="N126" s="604"/>
      <c r="O126" s="604"/>
      <c r="P126" s="604"/>
      <c r="Q126" s="604"/>
      <c r="R126" s="604"/>
      <c r="S126" s="604"/>
    </row>
    <row r="127" spans="1:20" ht="12.75" customHeight="1">
      <c r="A127" s="607" t="s">
        <v>956</v>
      </c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</row>
    <row r="128" spans="1:20" ht="12.75" customHeight="1">
      <c r="A128" s="608" t="s">
        <v>957</v>
      </c>
      <c r="B128" s="608"/>
      <c r="C128" s="608"/>
      <c r="D128" s="608"/>
      <c r="E128" s="608"/>
      <c r="F128" s="608"/>
      <c r="G128" s="608"/>
      <c r="H128" s="608"/>
      <c r="I128" s="608"/>
      <c r="J128" s="608"/>
      <c r="K128" s="608"/>
      <c r="L128" s="608"/>
      <c r="M128" s="608"/>
      <c r="N128" s="608"/>
      <c r="O128" s="608"/>
      <c r="P128" s="608"/>
      <c r="Q128" s="608"/>
      <c r="R128" s="608"/>
      <c r="S128" s="608"/>
      <c r="T128" s="608"/>
    </row>
  </sheetData>
  <mergeCells count="2">
    <mergeCell ref="M11:P11"/>
    <mergeCell ref="N12:Q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E45A-7885-4B89-A101-87643D46A38E}">
  <sheetPr>
    <tabColor theme="4" tint="-0.249977111117893"/>
  </sheetPr>
  <dimension ref="A1:Y1012"/>
  <sheetViews>
    <sheetView showGridLines="0" topLeftCell="A56" workbookViewId="0">
      <selection activeCell="F81" sqref="F81"/>
    </sheetView>
  </sheetViews>
  <sheetFormatPr defaultColWidth="14.453125" defaultRowHeight="12.5"/>
  <cols>
    <col min="1" max="2" width="1.54296875" style="685" customWidth="1"/>
    <col min="3" max="3" width="28.7265625" style="685" customWidth="1"/>
    <col min="4" max="4" width="14.1796875" style="737" customWidth="1"/>
    <col min="5" max="5" width="0.81640625" style="685" customWidth="1"/>
    <col min="6" max="6" width="15.81640625" style="685" customWidth="1"/>
    <col min="7" max="7" width="0.81640625" style="685" customWidth="1"/>
    <col min="8" max="8" width="23.90625" style="685" customWidth="1"/>
    <col min="9" max="9" width="0.81640625" style="685" customWidth="1"/>
    <col min="10" max="10" width="1.54296875" style="685" customWidth="1"/>
    <col min="11" max="14" width="1.54296875" style="684" customWidth="1"/>
    <col min="15" max="15" width="16.81640625" style="684" customWidth="1"/>
    <col min="16" max="16" width="8.26953125" style="685" customWidth="1"/>
    <col min="17" max="17" width="8.1796875" style="685" customWidth="1"/>
    <col min="18" max="18" width="13.81640625" style="685" customWidth="1"/>
    <col min="19" max="24" width="16.54296875" style="685" customWidth="1"/>
    <col min="25" max="25" width="8.54296875" style="685" customWidth="1"/>
    <col min="26" max="16384" width="14.453125" style="685"/>
  </cols>
  <sheetData>
    <row r="1" spans="1:25" ht="13.5" customHeight="1">
      <c r="A1" s="681" t="s">
        <v>1069</v>
      </c>
      <c r="B1" s="682"/>
      <c r="C1" s="682"/>
      <c r="D1" s="683"/>
      <c r="E1" s="682"/>
      <c r="F1" s="682"/>
      <c r="G1" s="682"/>
      <c r="H1" s="682"/>
      <c r="I1" s="682"/>
      <c r="J1" s="682"/>
      <c r="P1" s="682"/>
      <c r="Q1" s="682"/>
      <c r="R1" s="682"/>
      <c r="S1" s="682"/>
      <c r="T1" s="682"/>
      <c r="U1" s="682"/>
      <c r="V1" s="682"/>
      <c r="W1" s="682"/>
      <c r="X1" s="682"/>
      <c r="Y1" s="682"/>
    </row>
    <row r="2" spans="1:25" ht="13.5" customHeight="1">
      <c r="A2" s="681" t="s">
        <v>1070</v>
      </c>
      <c r="B2" s="682"/>
      <c r="C2" s="682"/>
      <c r="D2" s="683"/>
      <c r="E2" s="682"/>
      <c r="F2" s="682"/>
      <c r="G2" s="682"/>
      <c r="H2" s="682"/>
      <c r="I2" s="682"/>
      <c r="J2" s="682"/>
      <c r="P2" s="682"/>
      <c r="Q2" s="682"/>
      <c r="R2" s="682"/>
      <c r="S2" s="682"/>
      <c r="T2" s="682"/>
      <c r="U2" s="682"/>
      <c r="V2" s="682"/>
      <c r="W2" s="682"/>
      <c r="X2" s="682"/>
      <c r="Y2" s="682"/>
    </row>
    <row r="3" spans="1:25" ht="13.5" customHeight="1">
      <c r="A3" s="681" t="s">
        <v>1144</v>
      </c>
      <c r="B3" s="682"/>
      <c r="C3" s="682"/>
      <c r="D3" s="683"/>
      <c r="E3" s="682"/>
      <c r="F3" s="682"/>
      <c r="G3" s="682"/>
      <c r="H3" s="682"/>
      <c r="I3" s="682"/>
      <c r="J3" s="682"/>
      <c r="P3" s="682"/>
      <c r="Q3" s="682"/>
      <c r="R3" s="682"/>
      <c r="S3" s="682"/>
      <c r="T3" s="682"/>
      <c r="U3" s="682"/>
      <c r="V3" s="682"/>
      <c r="W3" s="682"/>
      <c r="X3" s="682"/>
      <c r="Y3" s="682"/>
    </row>
    <row r="4" spans="1:25" ht="13.5" customHeight="1">
      <c r="A4" s="681" t="s">
        <v>1071</v>
      </c>
      <c r="B4" s="682"/>
      <c r="C4" s="682"/>
      <c r="D4" s="683"/>
      <c r="E4" s="682"/>
      <c r="F4" s="682"/>
      <c r="G4" s="682"/>
      <c r="H4" s="682"/>
      <c r="I4" s="682"/>
      <c r="J4" s="682"/>
      <c r="P4" s="682"/>
      <c r="Q4" s="682"/>
      <c r="R4" s="682"/>
      <c r="S4" s="682"/>
      <c r="T4" s="682"/>
      <c r="U4" s="682"/>
      <c r="V4" s="682"/>
      <c r="W4" s="682"/>
      <c r="X4" s="682"/>
      <c r="Y4" s="682"/>
    </row>
    <row r="5" spans="1:25" ht="13.5" customHeight="1">
      <c r="A5" s="682"/>
      <c r="B5" s="682"/>
      <c r="C5" s="682"/>
      <c r="D5" s="683"/>
      <c r="E5" s="682"/>
      <c r="F5" s="682"/>
      <c r="G5" s="682"/>
      <c r="H5" s="682"/>
      <c r="I5" s="682"/>
      <c r="J5" s="682"/>
      <c r="P5" s="682"/>
      <c r="Q5" s="682"/>
      <c r="R5" s="682"/>
      <c r="S5" s="682"/>
      <c r="T5" s="682"/>
      <c r="U5" s="682"/>
      <c r="V5" s="682"/>
      <c r="W5" s="682"/>
      <c r="X5" s="682"/>
      <c r="Y5" s="682"/>
    </row>
    <row r="6" spans="1:25" ht="13.5" customHeight="1">
      <c r="A6" s="682"/>
      <c r="B6" s="682"/>
      <c r="C6" s="682"/>
      <c r="D6" s="686" t="s">
        <v>414</v>
      </c>
      <c r="E6" s="682"/>
      <c r="F6" s="686"/>
      <c r="G6" s="682"/>
      <c r="H6" s="686"/>
      <c r="I6" s="682"/>
      <c r="J6" s="682"/>
      <c r="P6" s="682"/>
      <c r="Q6" s="682"/>
      <c r="R6" s="682"/>
      <c r="S6" s="682"/>
      <c r="T6" s="682"/>
      <c r="U6" s="682"/>
      <c r="V6" s="682"/>
      <c r="W6" s="682"/>
      <c r="X6" s="682"/>
      <c r="Y6" s="682"/>
    </row>
    <row r="7" spans="1:25" ht="13.5" customHeight="1">
      <c r="A7" s="682"/>
      <c r="B7" s="682"/>
      <c r="C7" s="682"/>
      <c r="D7" s="687" t="s">
        <v>416</v>
      </c>
      <c r="E7" s="682"/>
      <c r="F7" s="687">
        <v>2024</v>
      </c>
      <c r="G7" s="682"/>
      <c r="H7" s="687">
        <v>2023</v>
      </c>
      <c r="I7" s="682"/>
      <c r="J7" s="682"/>
      <c r="P7" s="682"/>
      <c r="Q7" s="682"/>
      <c r="R7" s="682"/>
      <c r="S7" s="682"/>
      <c r="T7" s="682"/>
      <c r="U7" s="682"/>
      <c r="V7" s="682"/>
      <c r="W7" s="682"/>
      <c r="X7" s="682"/>
      <c r="Y7" s="682"/>
    </row>
    <row r="8" spans="1:25" ht="6" customHeight="1">
      <c r="A8" s="682"/>
      <c r="B8" s="682"/>
      <c r="C8" s="682"/>
      <c r="D8" s="683"/>
      <c r="E8" s="682"/>
      <c r="F8" s="682"/>
      <c r="G8" s="682"/>
      <c r="H8" s="682"/>
      <c r="I8" s="682"/>
      <c r="J8" s="682"/>
      <c r="P8" s="682"/>
      <c r="Q8" s="682"/>
      <c r="R8" s="682"/>
      <c r="S8" s="682"/>
      <c r="T8" s="682"/>
      <c r="U8" s="682"/>
      <c r="V8" s="682"/>
      <c r="W8" s="682"/>
      <c r="X8" s="682"/>
      <c r="Y8" s="682"/>
    </row>
    <row r="9" spans="1:25" ht="13.5" customHeight="1">
      <c r="A9" s="688" t="s">
        <v>1072</v>
      </c>
      <c r="B9" s="682"/>
      <c r="C9" s="682"/>
      <c r="D9" s="683"/>
      <c r="E9" s="682"/>
      <c r="F9" s="682"/>
      <c r="G9" s="682"/>
      <c r="H9" s="682"/>
      <c r="I9" s="682"/>
      <c r="J9" s="682"/>
      <c r="K9" s="689" t="s">
        <v>1073</v>
      </c>
      <c r="P9" s="682"/>
      <c r="Q9" s="682"/>
      <c r="R9" s="682"/>
      <c r="S9" s="682"/>
      <c r="T9" s="682"/>
      <c r="U9" s="682"/>
      <c r="V9" s="682"/>
      <c r="W9" s="682"/>
      <c r="X9" s="682"/>
      <c r="Y9" s="682"/>
    </row>
    <row r="10" spans="1:25" ht="13.5" customHeight="1">
      <c r="A10" s="688" t="s">
        <v>1074</v>
      </c>
      <c r="B10" s="682"/>
      <c r="C10" s="682"/>
      <c r="D10" s="683"/>
      <c r="E10" s="682"/>
      <c r="F10" s="682"/>
      <c r="G10" s="682"/>
      <c r="H10" s="682"/>
      <c r="I10" s="682"/>
      <c r="J10" s="682"/>
      <c r="K10" s="689" t="s">
        <v>1075</v>
      </c>
      <c r="P10" s="682"/>
      <c r="Q10" s="682"/>
      <c r="R10" s="682"/>
      <c r="S10" s="682"/>
      <c r="T10" s="682"/>
      <c r="U10" s="682"/>
      <c r="V10" s="682"/>
      <c r="W10" s="682"/>
      <c r="X10" s="682"/>
      <c r="Y10" s="682"/>
    </row>
    <row r="11" spans="1:25" ht="13.5" customHeight="1">
      <c r="A11" s="682" t="s">
        <v>1076</v>
      </c>
      <c r="B11" s="682"/>
      <c r="C11" s="682"/>
      <c r="D11" s="683" t="s">
        <v>1077</v>
      </c>
      <c r="E11" s="682"/>
      <c r="F11" s="690">
        <f>'CF 2024'!B11</f>
        <v>150996874613</v>
      </c>
      <c r="G11" s="682"/>
      <c r="H11" s="690">
        <f>ROUND('CF 2023'!B11,0)</f>
        <v>218713811464</v>
      </c>
      <c r="I11" s="682"/>
      <c r="J11" s="682"/>
      <c r="K11" s="691" t="s">
        <v>1078</v>
      </c>
      <c r="N11" s="692"/>
      <c r="P11" s="693"/>
      <c r="Q11" s="693"/>
      <c r="R11" s="693"/>
      <c r="T11" s="693"/>
      <c r="U11" s="693"/>
      <c r="V11" s="693"/>
      <c r="W11" s="693"/>
      <c r="X11" s="682"/>
      <c r="Y11" s="682"/>
    </row>
    <row r="12" spans="1:25" ht="13.5" hidden="1" customHeight="1">
      <c r="B12" s="682"/>
      <c r="C12" s="682"/>
      <c r="D12" s="683"/>
      <c r="E12" s="682"/>
      <c r="F12" s="690"/>
      <c r="G12" s="682"/>
      <c r="H12" s="690"/>
      <c r="I12" s="682"/>
      <c r="J12" s="682"/>
      <c r="P12" s="693"/>
      <c r="Q12" s="693"/>
      <c r="R12" s="693"/>
      <c r="S12" s="693"/>
      <c r="T12" s="693"/>
      <c r="U12" s="693"/>
      <c r="V12" s="693"/>
      <c r="W12" s="693"/>
      <c r="X12" s="682"/>
      <c r="Y12" s="682"/>
    </row>
    <row r="13" spans="1:25" ht="13.5" customHeight="1">
      <c r="A13" s="682" t="s">
        <v>1079</v>
      </c>
      <c r="B13" s="682"/>
      <c r="C13" s="682"/>
      <c r="D13" s="683" t="s">
        <v>1080</v>
      </c>
      <c r="E13" s="682"/>
      <c r="F13" s="690">
        <f>'CF 2024'!B12</f>
        <v>-181964095253</v>
      </c>
      <c r="G13" s="682"/>
      <c r="H13" s="690">
        <f>ROUND('CF 2023'!B12,0)</f>
        <v>-248400274278</v>
      </c>
      <c r="I13" s="682"/>
      <c r="J13" s="682"/>
      <c r="K13" s="691" t="s">
        <v>1081</v>
      </c>
      <c r="P13" s="693"/>
      <c r="Q13" s="693"/>
      <c r="R13" s="693"/>
      <c r="S13" s="693"/>
      <c r="T13" s="693"/>
      <c r="U13" s="693"/>
      <c r="V13" s="693"/>
      <c r="W13" s="693"/>
      <c r="X13" s="682"/>
      <c r="Y13" s="682"/>
    </row>
    <row r="14" spans="1:25" ht="13.5" customHeight="1">
      <c r="A14" s="682" t="s">
        <v>1082</v>
      </c>
      <c r="B14" s="682"/>
      <c r="C14" s="682"/>
      <c r="D14" s="683">
        <v>21.23</v>
      </c>
      <c r="E14" s="682"/>
      <c r="F14" s="695">
        <f>'CF 2024'!B13</f>
        <v>-5127549818</v>
      </c>
      <c r="G14" s="682"/>
      <c r="H14" s="690">
        <f>'CF 2023'!B13</f>
        <v>-5127549818</v>
      </c>
      <c r="I14" s="682"/>
      <c r="J14" s="682"/>
      <c r="K14" s="691" t="s">
        <v>1083</v>
      </c>
      <c r="P14" s="693"/>
      <c r="Q14" s="693"/>
      <c r="R14" s="693"/>
      <c r="S14" s="693"/>
      <c r="T14" s="693"/>
      <c r="U14" s="693"/>
      <c r="V14" s="693"/>
      <c r="W14" s="693"/>
      <c r="X14" s="682"/>
      <c r="Y14" s="682"/>
    </row>
    <row r="15" spans="1:25" ht="13.5" hidden="1" customHeight="1">
      <c r="B15" s="682"/>
      <c r="C15" s="682"/>
      <c r="D15" s="683"/>
      <c r="E15" s="682"/>
      <c r="F15" s="695"/>
      <c r="G15" s="682"/>
      <c r="H15" s="695"/>
      <c r="I15" s="682"/>
      <c r="J15" s="682"/>
      <c r="K15" s="691"/>
      <c r="P15" s="693"/>
      <c r="Q15" s="693"/>
      <c r="R15" s="693"/>
      <c r="S15" s="693"/>
      <c r="T15" s="693"/>
      <c r="U15" s="693"/>
      <c r="V15" s="693"/>
      <c r="W15" s="693"/>
      <c r="X15" s="682"/>
      <c r="Y15" s="682"/>
    </row>
    <row r="16" spans="1:25" ht="13.5" customHeight="1">
      <c r="A16" s="682" t="s">
        <v>1084</v>
      </c>
      <c r="B16" s="682"/>
      <c r="C16" s="696"/>
      <c r="D16" s="697" t="s">
        <v>1085</v>
      </c>
      <c r="E16" s="682"/>
      <c r="F16" s="698">
        <f>'CF 2024'!B14</f>
        <v>-15194741148</v>
      </c>
      <c r="G16" s="682"/>
      <c r="H16" s="698">
        <f>ROUNDDOWN('CF 2023'!B14,0)+1</f>
        <v>-11291352070</v>
      </c>
      <c r="I16" s="682"/>
      <c r="K16" s="691" t="s">
        <v>1086</v>
      </c>
      <c r="L16" s="699"/>
      <c r="M16" s="699"/>
      <c r="P16" s="693"/>
      <c r="Q16" s="693"/>
      <c r="R16" s="693"/>
      <c r="S16" s="693"/>
      <c r="T16" s="693"/>
      <c r="U16" s="693"/>
      <c r="V16" s="693"/>
      <c r="W16" s="693"/>
      <c r="X16" s="682"/>
      <c r="Y16" s="682"/>
    </row>
    <row r="17" spans="1:25" ht="9.65" hidden="1" customHeight="1">
      <c r="A17" s="682" t="s">
        <v>1082</v>
      </c>
      <c r="B17" s="682"/>
      <c r="C17" s="682"/>
      <c r="D17" s="683"/>
      <c r="E17" s="682"/>
      <c r="F17" s="700">
        <v>0</v>
      </c>
      <c r="G17" s="682"/>
      <c r="H17" s="700">
        <v>0</v>
      </c>
      <c r="I17" s="682"/>
      <c r="J17" s="682"/>
      <c r="K17" s="701" t="s">
        <v>1087</v>
      </c>
      <c r="L17" s="699"/>
      <c r="P17" s="682"/>
      <c r="Q17" s="682"/>
      <c r="R17" s="682"/>
      <c r="S17" s="682"/>
      <c r="T17" s="682"/>
      <c r="U17" s="682"/>
      <c r="V17" s="682"/>
      <c r="W17" s="682"/>
      <c r="X17" s="682"/>
      <c r="Y17" s="682"/>
    </row>
    <row r="18" spans="1:25" ht="13" hidden="1" customHeight="1">
      <c r="A18" s="682" t="s">
        <v>1088</v>
      </c>
      <c r="B18" s="682"/>
      <c r="C18" s="682"/>
      <c r="D18" s="683"/>
      <c r="E18" s="682"/>
      <c r="F18" s="694"/>
      <c r="G18" s="682"/>
      <c r="H18" s="694"/>
      <c r="I18" s="682"/>
      <c r="J18" s="682"/>
      <c r="K18" s="701"/>
      <c r="O18" s="702"/>
      <c r="P18" s="693"/>
      <c r="Q18" s="693"/>
      <c r="R18" s="693"/>
      <c r="S18" s="693"/>
      <c r="T18" s="693"/>
      <c r="U18" s="693"/>
      <c r="V18" s="693"/>
      <c r="W18" s="693"/>
      <c r="X18" s="682"/>
      <c r="Y18" s="682"/>
    </row>
    <row r="19" spans="1:25" ht="22.5" hidden="1" customHeight="1">
      <c r="A19" s="682"/>
      <c r="B19" s="682"/>
      <c r="C19" s="682"/>
      <c r="D19" s="683"/>
      <c r="E19" s="682"/>
      <c r="F19" s="694"/>
      <c r="G19" s="682"/>
      <c r="H19" s="694"/>
      <c r="I19" s="682"/>
      <c r="J19" s="682"/>
      <c r="K19" s="691"/>
      <c r="L19" s="691"/>
      <c r="M19" s="699"/>
      <c r="O19" s="702"/>
      <c r="P19" s="682"/>
      <c r="Q19" s="682"/>
      <c r="R19" s="682"/>
      <c r="S19" s="682"/>
      <c r="T19" s="682"/>
      <c r="U19" s="682"/>
      <c r="V19" s="682"/>
      <c r="W19" s="682"/>
      <c r="X19" s="682"/>
      <c r="Y19" s="682"/>
    </row>
    <row r="20" spans="1:25" ht="13.5" customHeight="1">
      <c r="A20" s="682" t="s">
        <v>1089</v>
      </c>
      <c r="B20" s="682"/>
      <c r="C20" s="682"/>
      <c r="D20" s="683"/>
      <c r="E20" s="682"/>
      <c r="F20" s="694">
        <f>SUM(F11:F18)</f>
        <v>-51289511606</v>
      </c>
      <c r="G20" s="682"/>
      <c r="H20" s="690">
        <f>SUM(H11:H18)</f>
        <v>-46105364702</v>
      </c>
      <c r="I20" s="682"/>
      <c r="J20" s="682"/>
      <c r="K20" s="691" t="s">
        <v>1090</v>
      </c>
      <c r="L20" s="691"/>
      <c r="O20" s="702"/>
      <c r="P20" s="682"/>
      <c r="Q20" s="682"/>
      <c r="R20" s="682"/>
      <c r="S20" s="682"/>
      <c r="T20" s="682"/>
      <c r="U20" s="682"/>
      <c r="V20" s="682"/>
      <c r="W20" s="682"/>
      <c r="X20" s="682"/>
      <c r="Y20" s="682"/>
    </row>
    <row r="21" spans="1:25" ht="13.5" hidden="1" customHeight="1">
      <c r="A21" s="682" t="s">
        <v>1091</v>
      </c>
      <c r="B21" s="682"/>
      <c r="C21" s="682"/>
      <c r="D21" s="683">
        <v>22</v>
      </c>
      <c r="E21" s="682"/>
      <c r="F21" s="694"/>
      <c r="G21" s="682"/>
      <c r="H21" s="690"/>
      <c r="I21" s="682"/>
      <c r="J21" s="682"/>
      <c r="K21" s="691" t="s">
        <v>1092</v>
      </c>
      <c r="L21" s="691"/>
      <c r="O21" s="702"/>
      <c r="P21" s="682"/>
      <c r="Q21" s="682"/>
      <c r="R21" s="682"/>
      <c r="S21" s="682"/>
      <c r="T21" s="682"/>
      <c r="U21" s="682"/>
      <c r="V21" s="682"/>
      <c r="W21" s="682"/>
      <c r="X21" s="682"/>
      <c r="Y21" s="682"/>
    </row>
    <row r="22" spans="1:25" ht="13.5" customHeight="1">
      <c r="A22" s="682" t="s">
        <v>1093</v>
      </c>
      <c r="B22" s="682"/>
      <c r="C22" s="682"/>
      <c r="D22" s="683">
        <v>15</v>
      </c>
      <c r="E22" s="682"/>
      <c r="F22" s="690">
        <f>'CF 2024'!B20</f>
        <v>-1135531100</v>
      </c>
      <c r="G22" s="682"/>
      <c r="H22" s="690">
        <f>ROUND('CF 2023'!B20,0)</f>
        <v>-673327820</v>
      </c>
      <c r="I22" s="682"/>
      <c r="J22" s="682"/>
      <c r="K22" s="699" t="s">
        <v>1094</v>
      </c>
      <c r="P22" s="682"/>
      <c r="Q22" s="682"/>
      <c r="R22" s="682"/>
      <c r="S22" s="682"/>
      <c r="T22" s="682"/>
      <c r="U22" s="682"/>
      <c r="V22" s="682"/>
      <c r="W22" s="682"/>
      <c r="X22" s="682"/>
      <c r="Y22" s="682"/>
    </row>
    <row r="23" spans="1:25" ht="13.5" hidden="1" customHeight="1">
      <c r="B23" s="682"/>
      <c r="C23" s="682"/>
      <c r="D23" s="683"/>
      <c r="E23" s="682"/>
      <c r="F23" s="690"/>
      <c r="G23" s="682"/>
      <c r="H23" s="690"/>
      <c r="I23" s="682"/>
      <c r="J23" s="682"/>
      <c r="K23" s="699"/>
      <c r="P23" s="682"/>
      <c r="Q23" s="682"/>
      <c r="R23" s="682"/>
      <c r="S23" s="682"/>
      <c r="T23" s="682"/>
      <c r="U23" s="682"/>
      <c r="V23" s="682"/>
      <c r="W23" s="682"/>
      <c r="X23" s="682"/>
      <c r="Y23" s="682"/>
    </row>
    <row r="24" spans="1:25" ht="13.5" customHeight="1">
      <c r="A24" s="682" t="s">
        <v>1095</v>
      </c>
      <c r="B24" s="682"/>
      <c r="C24" s="682"/>
      <c r="D24" s="683">
        <v>25</v>
      </c>
      <c r="E24" s="682"/>
      <c r="F24" s="704">
        <f>'CF 2024'!B19</f>
        <v>-9424292095</v>
      </c>
      <c r="G24" s="682"/>
      <c r="H24" s="704">
        <f>ROUND('CF 2023'!B19,0)</f>
        <v>-9352380745</v>
      </c>
      <c r="I24" s="682"/>
      <c r="J24" s="682"/>
      <c r="K24" s="705" t="s">
        <v>1096</v>
      </c>
      <c r="O24" s="706"/>
      <c r="P24" s="682"/>
      <c r="Q24" s="682"/>
      <c r="R24" s="682"/>
      <c r="S24" s="682"/>
      <c r="T24" s="682"/>
      <c r="U24" s="682"/>
      <c r="V24" s="682"/>
      <c r="W24" s="682"/>
      <c r="X24" s="682"/>
      <c r="Y24" s="682"/>
    </row>
    <row r="25" spans="1:25" ht="1" customHeight="1">
      <c r="A25" s="682"/>
      <c r="B25" s="682"/>
      <c r="C25" s="682"/>
      <c r="D25" s="683"/>
      <c r="E25" s="682"/>
      <c r="F25" s="690"/>
      <c r="G25" s="682"/>
      <c r="H25" s="690"/>
      <c r="I25" s="682"/>
      <c r="J25" s="682"/>
      <c r="K25" s="699"/>
      <c r="P25" s="682"/>
      <c r="Q25" s="682"/>
      <c r="R25" s="682"/>
      <c r="S25" s="682"/>
      <c r="T25" s="682"/>
      <c r="U25" s="682"/>
      <c r="V25" s="682"/>
      <c r="W25" s="682"/>
      <c r="X25" s="682"/>
      <c r="Y25" s="682"/>
    </row>
    <row r="26" spans="1:25" ht="1" customHeight="1">
      <c r="A26" s="682"/>
      <c r="B26" s="682"/>
      <c r="C26" s="682"/>
      <c r="D26" s="683"/>
      <c r="E26" s="682"/>
      <c r="F26" s="690"/>
      <c r="G26" s="682"/>
      <c r="H26" s="690"/>
      <c r="I26" s="682"/>
      <c r="J26" s="682"/>
      <c r="K26" s="699"/>
      <c r="P26" s="682"/>
      <c r="Q26" s="682"/>
      <c r="R26" s="682"/>
      <c r="S26" s="682"/>
      <c r="T26" s="682"/>
      <c r="U26" s="682"/>
      <c r="V26" s="682"/>
      <c r="W26" s="682"/>
      <c r="X26" s="682"/>
      <c r="Y26" s="682"/>
    </row>
    <row r="27" spans="1:25" ht="3" customHeight="1">
      <c r="A27" s="682"/>
      <c r="B27" s="682"/>
      <c r="C27" s="682"/>
      <c r="D27" s="683"/>
      <c r="E27" s="682"/>
      <c r="F27" s="690"/>
      <c r="G27" s="682"/>
      <c r="H27" s="690"/>
      <c r="I27" s="682"/>
      <c r="J27" s="682"/>
      <c r="K27" s="699"/>
      <c r="P27" s="682"/>
      <c r="Q27" s="682"/>
      <c r="R27" s="682"/>
      <c r="S27" s="682"/>
      <c r="T27" s="682"/>
      <c r="U27" s="682"/>
      <c r="V27" s="682"/>
      <c r="W27" s="682"/>
      <c r="X27" s="682"/>
      <c r="Y27" s="682"/>
    </row>
    <row r="28" spans="1:25" ht="13.5" customHeight="1">
      <c r="A28" s="688" t="s">
        <v>1097</v>
      </c>
      <c r="B28" s="682"/>
      <c r="C28" s="682"/>
      <c r="D28" s="683"/>
      <c r="E28" s="682"/>
      <c r="F28" s="690"/>
      <c r="G28" s="682"/>
      <c r="H28" s="690"/>
      <c r="I28" s="682"/>
      <c r="J28" s="682"/>
      <c r="K28" s="689" t="s">
        <v>1098</v>
      </c>
      <c r="P28" s="682"/>
      <c r="Q28" s="682"/>
      <c r="R28" s="682"/>
      <c r="S28" s="682"/>
      <c r="T28" s="682"/>
      <c r="U28" s="682"/>
      <c r="V28" s="682"/>
      <c r="W28" s="682"/>
      <c r="X28" s="682"/>
      <c r="Y28" s="682"/>
    </row>
    <row r="29" spans="1:25" ht="13.5" customHeight="1" thickBot="1">
      <c r="A29" s="688" t="s">
        <v>1099</v>
      </c>
      <c r="B29" s="688"/>
      <c r="C29" s="688"/>
      <c r="D29" s="707"/>
      <c r="E29" s="688"/>
      <c r="F29" s="708">
        <f>SUM(F20:F24)</f>
        <v>-61849334801</v>
      </c>
      <c r="G29" s="688"/>
      <c r="H29" s="708">
        <f>SUM(H20:H24)</f>
        <v>-56131073267</v>
      </c>
      <c r="I29" s="688"/>
      <c r="J29" s="688"/>
      <c r="K29" s="709" t="s">
        <v>1100</v>
      </c>
      <c r="L29" s="699"/>
      <c r="M29" s="699"/>
      <c r="P29" s="688"/>
      <c r="Q29" s="688"/>
      <c r="R29" s="688"/>
      <c r="S29" s="710"/>
      <c r="T29" s="688"/>
      <c r="U29" s="688"/>
      <c r="V29" s="688"/>
      <c r="W29" s="688"/>
      <c r="X29" s="688"/>
      <c r="Y29" s="688"/>
    </row>
    <row r="30" spans="1:25" ht="9.75" customHeight="1">
      <c r="A30" s="682"/>
      <c r="B30" s="682"/>
      <c r="C30" s="682"/>
      <c r="D30" s="683"/>
      <c r="E30" s="682"/>
      <c r="F30" s="690"/>
      <c r="G30" s="682"/>
      <c r="H30" s="690"/>
      <c r="I30" s="682"/>
      <c r="J30" s="682"/>
      <c r="K30" s="709"/>
      <c r="P30" s="682"/>
      <c r="Q30" s="682"/>
      <c r="R30" s="682"/>
      <c r="S30" s="682"/>
      <c r="T30" s="682"/>
      <c r="U30" s="682"/>
      <c r="V30" s="682"/>
      <c r="W30" s="682"/>
      <c r="X30" s="682"/>
      <c r="Y30" s="682"/>
    </row>
    <row r="31" spans="1:25" ht="11.25" hidden="1" customHeight="1">
      <c r="A31" s="682"/>
      <c r="B31" s="682"/>
      <c r="C31" s="682"/>
      <c r="D31" s="683"/>
      <c r="E31" s="682"/>
      <c r="F31" s="690"/>
      <c r="G31" s="682"/>
      <c r="H31" s="690"/>
      <c r="I31" s="682"/>
      <c r="J31" s="682"/>
      <c r="K31" s="689"/>
      <c r="L31" s="699"/>
      <c r="M31" s="699"/>
      <c r="P31" s="682"/>
      <c r="Q31" s="682"/>
      <c r="R31" s="682"/>
      <c r="S31" s="682"/>
      <c r="T31" s="682"/>
      <c r="U31" s="682"/>
      <c r="V31" s="682"/>
      <c r="W31" s="682"/>
      <c r="X31" s="682"/>
      <c r="Y31" s="682"/>
    </row>
    <row r="32" spans="1:25" ht="13.5" customHeight="1">
      <c r="A32" s="681" t="s">
        <v>1072</v>
      </c>
      <c r="B32" s="682"/>
      <c r="C32" s="682"/>
      <c r="D32" s="683"/>
      <c r="E32" s="682"/>
      <c r="F32" s="690"/>
      <c r="G32" s="682"/>
      <c r="H32" s="690"/>
      <c r="I32" s="682"/>
      <c r="J32" s="682"/>
      <c r="K32" s="689"/>
      <c r="L32" s="699"/>
      <c r="M32" s="699"/>
      <c r="P32" s="682"/>
      <c r="Q32" s="682"/>
      <c r="R32" s="682"/>
      <c r="S32" s="682"/>
      <c r="T32" s="682"/>
      <c r="U32" s="682"/>
      <c r="V32" s="682"/>
      <c r="W32" s="682"/>
      <c r="X32" s="682"/>
      <c r="Y32" s="682"/>
    </row>
    <row r="33" spans="1:25" ht="13.5" customHeight="1">
      <c r="A33" s="681" t="s">
        <v>1101</v>
      </c>
      <c r="B33" s="688"/>
      <c r="C33" s="688"/>
      <c r="D33" s="707"/>
      <c r="E33" s="688"/>
      <c r="F33" s="711"/>
      <c r="G33" s="688"/>
      <c r="H33" s="711"/>
      <c r="I33" s="688"/>
      <c r="J33" s="688"/>
      <c r="K33" s="689" t="s">
        <v>1102</v>
      </c>
      <c r="L33" s="699"/>
      <c r="M33" s="712"/>
      <c r="N33" s="712"/>
      <c r="O33" s="712"/>
      <c r="P33" s="688"/>
      <c r="Q33" s="688"/>
      <c r="R33" s="688"/>
      <c r="S33" s="688"/>
      <c r="T33" s="688"/>
      <c r="U33" s="688"/>
      <c r="V33" s="688"/>
      <c r="W33" s="688"/>
      <c r="X33" s="688"/>
      <c r="Y33" s="688"/>
    </row>
    <row r="34" spans="1:25" ht="11.25" hidden="1" customHeight="1">
      <c r="A34" s="682" t="s">
        <v>1103</v>
      </c>
      <c r="B34" s="682"/>
      <c r="C34" s="682"/>
      <c r="D34" s="683"/>
      <c r="E34" s="682"/>
      <c r="F34" s="690"/>
      <c r="G34" s="682"/>
      <c r="H34" s="690"/>
      <c r="I34" s="682"/>
      <c r="J34" s="682"/>
      <c r="K34" s="689"/>
      <c r="P34" s="682"/>
      <c r="Q34" s="682"/>
      <c r="R34" s="682"/>
      <c r="S34" s="682"/>
      <c r="T34" s="682"/>
      <c r="U34" s="682"/>
      <c r="V34" s="682"/>
      <c r="W34" s="682"/>
      <c r="X34" s="682"/>
      <c r="Y34" s="682"/>
    </row>
    <row r="35" spans="1:25" ht="13.5" customHeight="1">
      <c r="A35" s="713" t="s">
        <v>1104</v>
      </c>
      <c r="B35" s="682"/>
      <c r="C35" s="682"/>
      <c r="D35" s="683">
        <v>9</v>
      </c>
      <c r="E35" s="682"/>
      <c r="F35" s="690">
        <f>'CF 2024'!B28</f>
        <v>0</v>
      </c>
      <c r="G35" s="682"/>
      <c r="H35" s="690">
        <f>'CF 2023'!B28</f>
        <v>-1050000000</v>
      </c>
      <c r="I35" s="682"/>
      <c r="J35" s="682"/>
      <c r="K35" s="714" t="s">
        <v>1105</v>
      </c>
      <c r="L35" s="715"/>
      <c r="P35" s="682"/>
      <c r="Q35" s="682"/>
      <c r="R35" s="716"/>
      <c r="S35" s="682"/>
      <c r="T35" s="682"/>
      <c r="U35" s="682"/>
      <c r="V35" s="682"/>
      <c r="W35" s="682"/>
      <c r="X35" s="682"/>
      <c r="Y35" s="682"/>
    </row>
    <row r="36" spans="1:25" ht="13.5" hidden="1" customHeight="1">
      <c r="A36" s="713" t="s">
        <v>442</v>
      </c>
      <c r="B36" s="682"/>
      <c r="C36" s="682"/>
      <c r="D36" s="683">
        <v>8</v>
      </c>
      <c r="E36" s="682"/>
      <c r="F36" s="690">
        <v>0</v>
      </c>
      <c r="G36" s="682"/>
      <c r="H36" s="690">
        <v>0</v>
      </c>
      <c r="I36" s="682"/>
      <c r="J36" s="682"/>
      <c r="K36" s="714" t="s">
        <v>443</v>
      </c>
      <c r="L36" s="715"/>
      <c r="P36" s="682"/>
      <c r="Q36" s="682"/>
      <c r="R36" s="682"/>
      <c r="S36" s="682"/>
      <c r="T36" s="682"/>
      <c r="U36" s="682"/>
      <c r="V36" s="682"/>
      <c r="W36" s="682"/>
      <c r="X36" s="682"/>
      <c r="Y36" s="682"/>
    </row>
    <row r="37" spans="1:25" ht="13.5" hidden="1" customHeight="1">
      <c r="A37" s="713"/>
      <c r="B37" s="682"/>
      <c r="C37" s="682"/>
      <c r="D37" s="683"/>
      <c r="E37" s="682"/>
      <c r="F37" s="690"/>
      <c r="G37" s="682"/>
      <c r="H37" s="690"/>
      <c r="I37" s="682"/>
      <c r="J37" s="682"/>
      <c r="K37" s="714" t="s">
        <v>1106</v>
      </c>
      <c r="L37" s="715"/>
      <c r="P37" s="682"/>
      <c r="Q37" s="682"/>
      <c r="R37" s="682"/>
      <c r="S37" s="682"/>
      <c r="T37" s="682"/>
      <c r="U37" s="682"/>
      <c r="V37" s="682"/>
      <c r="W37" s="682"/>
      <c r="X37" s="682"/>
      <c r="Y37" s="682"/>
    </row>
    <row r="38" spans="1:25" ht="13.5" customHeight="1">
      <c r="A38" s="713" t="s">
        <v>1107</v>
      </c>
      <c r="B38" s="682"/>
      <c r="C38" s="682"/>
      <c r="D38" s="683">
        <v>10</v>
      </c>
      <c r="E38" s="682"/>
      <c r="F38" s="704">
        <f>'CF 2024'!B27</f>
        <v>0</v>
      </c>
      <c r="G38" s="682"/>
      <c r="H38" s="704">
        <f>'CF 2023'!B27</f>
        <v>0</v>
      </c>
      <c r="I38" s="682"/>
      <c r="J38" s="682"/>
      <c r="K38" s="699" t="s">
        <v>1108</v>
      </c>
      <c r="P38" s="682"/>
      <c r="Q38" s="682"/>
      <c r="R38" s="703"/>
      <c r="S38" s="703"/>
      <c r="T38" s="682"/>
      <c r="U38" s="682"/>
      <c r="V38" s="682"/>
      <c r="W38" s="682"/>
      <c r="X38" s="682"/>
      <c r="Y38" s="682"/>
    </row>
    <row r="39" spans="1:25" ht="11.25" hidden="1" customHeight="1">
      <c r="A39" s="682" t="s">
        <v>1109</v>
      </c>
      <c r="B39" s="682"/>
      <c r="C39" s="682"/>
      <c r="D39" s="683"/>
      <c r="E39" s="682"/>
      <c r="F39" s="690"/>
      <c r="G39" s="682"/>
      <c r="H39" s="690"/>
      <c r="I39" s="682"/>
      <c r="J39" s="682"/>
      <c r="K39" s="689"/>
      <c r="L39" s="717"/>
      <c r="M39" s="699"/>
      <c r="P39" s="682"/>
      <c r="Q39" s="682"/>
      <c r="R39" s="682"/>
      <c r="S39" s="682"/>
      <c r="T39" s="682"/>
      <c r="U39" s="682"/>
      <c r="V39" s="682"/>
      <c r="W39" s="682"/>
      <c r="X39" s="682"/>
      <c r="Y39" s="682"/>
    </row>
    <row r="40" spans="1:25" ht="4.5" hidden="1" customHeight="1">
      <c r="A40" s="682"/>
      <c r="B40" s="682"/>
      <c r="C40" s="682"/>
      <c r="D40" s="683"/>
      <c r="E40" s="682"/>
      <c r="F40" s="690"/>
      <c r="G40" s="682"/>
      <c r="H40" s="690"/>
      <c r="I40" s="682"/>
      <c r="J40" s="682"/>
      <c r="K40" s="699"/>
      <c r="L40" s="699"/>
      <c r="M40" s="712"/>
      <c r="N40" s="712"/>
      <c r="O40" s="712"/>
      <c r="P40" s="682"/>
      <c r="Q40" s="682"/>
      <c r="R40" s="682"/>
      <c r="S40" s="682"/>
      <c r="T40" s="682"/>
      <c r="U40" s="682"/>
      <c r="V40" s="682"/>
      <c r="W40" s="682"/>
      <c r="X40" s="682"/>
      <c r="Y40" s="682"/>
    </row>
    <row r="41" spans="1:25" ht="4.5" customHeight="1">
      <c r="A41" s="682"/>
      <c r="B41" s="682"/>
      <c r="C41" s="682"/>
      <c r="D41" s="683"/>
      <c r="E41" s="682"/>
      <c r="F41" s="690"/>
      <c r="G41" s="682"/>
      <c r="H41" s="690"/>
      <c r="I41" s="682"/>
      <c r="J41" s="682"/>
      <c r="K41" s="699"/>
      <c r="L41" s="699"/>
      <c r="M41" s="712"/>
      <c r="N41" s="712"/>
      <c r="O41" s="712"/>
      <c r="P41" s="682"/>
      <c r="Q41" s="682"/>
      <c r="R41" s="682"/>
      <c r="S41" s="682"/>
      <c r="T41" s="682"/>
      <c r="U41" s="682"/>
      <c r="V41" s="682"/>
      <c r="W41" s="682"/>
      <c r="X41" s="682"/>
      <c r="Y41" s="682"/>
    </row>
    <row r="42" spans="1:25" ht="13.5" customHeight="1">
      <c r="A42" s="688" t="s">
        <v>1097</v>
      </c>
      <c r="B42" s="682"/>
      <c r="C42" s="682"/>
      <c r="D42" s="683"/>
      <c r="E42" s="682"/>
      <c r="F42" s="690"/>
      <c r="G42" s="682"/>
      <c r="H42" s="690"/>
      <c r="I42" s="682"/>
      <c r="J42" s="682"/>
      <c r="K42" s="689" t="s">
        <v>1110</v>
      </c>
      <c r="L42" s="699"/>
      <c r="M42" s="689"/>
      <c r="N42" s="712"/>
      <c r="O42" s="712"/>
      <c r="P42" s="682"/>
      <c r="Q42" s="682"/>
      <c r="R42" s="682"/>
      <c r="S42" s="682"/>
      <c r="T42" s="682"/>
      <c r="U42" s="682"/>
      <c r="V42" s="682"/>
      <c r="W42" s="682"/>
      <c r="X42" s="682"/>
      <c r="Y42" s="682"/>
    </row>
    <row r="43" spans="1:25" ht="13.5" customHeight="1" thickBot="1">
      <c r="A43" s="688" t="s">
        <v>1111</v>
      </c>
      <c r="B43" s="688"/>
      <c r="C43" s="688"/>
      <c r="D43" s="707"/>
      <c r="E43" s="688"/>
      <c r="F43" s="708">
        <f>SUM(F34:F39)</f>
        <v>0</v>
      </c>
      <c r="G43" s="688"/>
      <c r="H43" s="708">
        <f>SUM(H34:H39)</f>
        <v>-1050000000</v>
      </c>
      <c r="I43" s="688"/>
      <c r="J43" s="688"/>
      <c r="K43" s="718" t="s">
        <v>1112</v>
      </c>
      <c r="M43" s="699"/>
      <c r="P43" s="688"/>
      <c r="Q43" s="688"/>
      <c r="R43" s="710"/>
      <c r="S43" s="719"/>
      <c r="T43" s="688"/>
      <c r="U43" s="688"/>
      <c r="V43" s="688"/>
      <c r="W43" s="688"/>
      <c r="X43" s="688"/>
      <c r="Y43" s="688"/>
    </row>
    <row r="44" spans="1:25" ht="11.15" customHeight="1">
      <c r="A44" s="682"/>
      <c r="B44" s="682"/>
      <c r="C44" s="682"/>
      <c r="D44" s="683"/>
      <c r="E44" s="682"/>
      <c r="F44" s="690"/>
      <c r="G44" s="682"/>
      <c r="H44" s="690"/>
      <c r="I44" s="682"/>
      <c r="J44" s="682"/>
      <c r="K44" s="689"/>
      <c r="L44" s="705"/>
      <c r="M44" s="699"/>
      <c r="P44" s="682"/>
      <c r="Q44" s="682"/>
      <c r="R44" s="682"/>
      <c r="S44" s="682"/>
      <c r="T44" s="682"/>
      <c r="U44" s="682"/>
      <c r="V44" s="682"/>
      <c r="W44" s="682"/>
      <c r="X44" s="682"/>
      <c r="Y44" s="682"/>
    </row>
    <row r="45" spans="1:25" ht="10.5" hidden="1" customHeight="1">
      <c r="A45" s="682"/>
      <c r="B45" s="682"/>
      <c r="C45" s="682"/>
      <c r="D45" s="683"/>
      <c r="E45" s="682"/>
      <c r="F45" s="690"/>
      <c r="G45" s="682"/>
      <c r="H45" s="690"/>
      <c r="I45" s="682"/>
      <c r="J45" s="682"/>
      <c r="K45" s="718"/>
      <c r="P45" s="682"/>
      <c r="Q45" s="682"/>
      <c r="R45" s="682"/>
      <c r="S45" s="682"/>
      <c r="T45" s="682"/>
      <c r="U45" s="682"/>
      <c r="V45" s="682"/>
      <c r="W45" s="682"/>
      <c r="X45" s="682"/>
      <c r="Y45" s="682"/>
    </row>
    <row r="46" spans="1:25" ht="13.5" customHeight="1">
      <c r="A46" s="681" t="s">
        <v>1072</v>
      </c>
      <c r="B46" s="682"/>
      <c r="C46" s="682"/>
      <c r="D46" s="683"/>
      <c r="E46" s="682"/>
      <c r="F46" s="690"/>
      <c r="G46" s="682"/>
      <c r="H46" s="690"/>
      <c r="I46" s="682"/>
      <c r="J46" s="682"/>
      <c r="K46" s="718"/>
      <c r="P46" s="682"/>
      <c r="Q46" s="682"/>
      <c r="R46" s="682"/>
      <c r="S46" s="682"/>
      <c r="T46" s="682"/>
      <c r="U46" s="682"/>
      <c r="V46" s="682"/>
      <c r="W46" s="682"/>
      <c r="X46" s="682"/>
      <c r="Y46" s="682"/>
    </row>
    <row r="47" spans="1:25" ht="13.5" customHeight="1">
      <c r="A47" s="681" t="s">
        <v>1113</v>
      </c>
      <c r="B47" s="682"/>
      <c r="C47" s="682"/>
      <c r="D47" s="683"/>
      <c r="E47" s="682"/>
      <c r="F47" s="690"/>
      <c r="G47" s="682"/>
      <c r="H47" s="690"/>
      <c r="I47" s="682"/>
      <c r="J47" s="682"/>
      <c r="K47" s="689" t="s">
        <v>1114</v>
      </c>
      <c r="L47" s="705"/>
      <c r="M47" s="705"/>
      <c r="P47" s="682"/>
      <c r="Q47" s="682"/>
      <c r="R47" s="716"/>
      <c r="S47" s="720"/>
      <c r="T47" s="682"/>
      <c r="U47" s="682"/>
      <c r="V47" s="682"/>
      <c r="W47" s="682"/>
      <c r="X47" s="682"/>
      <c r="Y47" s="682"/>
    </row>
    <row r="48" spans="1:25" ht="13.5" customHeight="1">
      <c r="A48" s="682" t="s">
        <v>216</v>
      </c>
      <c r="B48" s="682"/>
      <c r="C48" s="682"/>
      <c r="D48" s="683"/>
      <c r="E48" s="682"/>
      <c r="G48" s="682"/>
      <c r="I48" s="682"/>
      <c r="J48" s="682"/>
      <c r="K48" s="699" t="s">
        <v>1115</v>
      </c>
      <c r="L48" s="699"/>
      <c r="M48" s="699"/>
      <c r="P48" s="682"/>
      <c r="Q48" s="690"/>
      <c r="R48" s="690"/>
      <c r="S48" s="690"/>
      <c r="T48" s="690"/>
      <c r="U48" s="682"/>
      <c r="V48" s="682"/>
      <c r="W48" s="682"/>
      <c r="X48" s="690"/>
      <c r="Y48" s="682"/>
    </row>
    <row r="49" spans="1:25" ht="13.5" customHeight="1">
      <c r="A49" s="682" t="s">
        <v>1116</v>
      </c>
      <c r="B49" s="682"/>
      <c r="C49" s="682"/>
      <c r="D49" s="683">
        <v>16</v>
      </c>
      <c r="E49" s="682"/>
      <c r="F49" s="690">
        <f>'CF 2024'!B36</f>
        <v>-9156032995</v>
      </c>
      <c r="G49" s="682"/>
      <c r="H49" s="690">
        <v>366674261027</v>
      </c>
      <c r="I49" s="682"/>
      <c r="J49" s="682"/>
      <c r="K49" s="699" t="s">
        <v>1117</v>
      </c>
      <c r="L49" s="699"/>
      <c r="M49" s="699"/>
      <c r="P49" s="682"/>
      <c r="Q49" s="690"/>
      <c r="R49" s="690"/>
      <c r="S49" s="690"/>
      <c r="T49" s="690"/>
      <c r="U49" s="682"/>
      <c r="V49" s="682"/>
      <c r="W49" s="682"/>
      <c r="X49" s="690"/>
      <c r="Y49" s="682"/>
    </row>
    <row r="50" spans="1:25" ht="13.5" customHeight="1">
      <c r="A50" s="682" t="s">
        <v>1118</v>
      </c>
      <c r="B50" s="682"/>
      <c r="C50" s="682"/>
      <c r="D50" s="683">
        <v>16</v>
      </c>
      <c r="E50" s="682"/>
      <c r="F50" s="690">
        <f>'CF 2024'!B37</f>
        <v>0</v>
      </c>
      <c r="G50" s="682"/>
      <c r="H50" s="690">
        <v>-310030333899</v>
      </c>
      <c r="I50" s="682"/>
      <c r="J50" s="682"/>
      <c r="K50" s="699" t="s">
        <v>1119</v>
      </c>
      <c r="L50" s="699"/>
      <c r="P50" s="682"/>
      <c r="Q50" s="690"/>
      <c r="R50" s="690"/>
      <c r="S50" s="690"/>
      <c r="T50" s="690"/>
      <c r="U50" s="682"/>
      <c r="V50" s="682"/>
      <c r="W50" s="682"/>
      <c r="X50" s="690"/>
      <c r="Y50" s="682"/>
    </row>
    <row r="51" spans="1:25" ht="11.25" customHeight="1">
      <c r="A51" s="682" t="s">
        <v>224</v>
      </c>
      <c r="B51" s="682"/>
      <c r="C51" s="682"/>
      <c r="D51" s="683"/>
      <c r="E51" s="682"/>
      <c r="F51" s="690"/>
      <c r="G51" s="682"/>
      <c r="H51" s="690"/>
      <c r="I51" s="682"/>
      <c r="J51" s="682"/>
      <c r="K51" s="705" t="s">
        <v>1120</v>
      </c>
      <c r="L51" s="699"/>
      <c r="M51" s="712"/>
      <c r="N51" s="712"/>
      <c r="O51" s="712"/>
      <c r="P51" s="682"/>
      <c r="Q51" s="690"/>
      <c r="R51" s="690"/>
      <c r="S51" s="690"/>
      <c r="T51" s="690"/>
      <c r="U51" s="682"/>
      <c r="V51" s="682"/>
      <c r="W51" s="682"/>
      <c r="X51" s="690"/>
      <c r="Y51" s="682"/>
    </row>
    <row r="52" spans="1:25" ht="11.25" customHeight="1">
      <c r="A52" s="682"/>
      <c r="B52" s="682" t="s">
        <v>1121</v>
      </c>
      <c r="C52" s="682"/>
      <c r="D52" s="683">
        <v>14</v>
      </c>
      <c r="E52" s="682"/>
      <c r="F52" s="690">
        <f>'CF 2024'!B39</f>
        <v>-76360023</v>
      </c>
      <c r="G52" s="682"/>
      <c r="H52" s="690">
        <f>'CF 2023'!B39</f>
        <v>-67475296</v>
      </c>
      <c r="I52" s="682"/>
      <c r="J52" s="682"/>
      <c r="K52" s="699" t="s">
        <v>1119</v>
      </c>
      <c r="P52" s="682"/>
      <c r="Q52" s="690"/>
      <c r="R52" s="690"/>
      <c r="S52" s="690"/>
      <c r="T52" s="690"/>
      <c r="U52" s="682"/>
      <c r="V52" s="682"/>
      <c r="W52" s="682"/>
      <c r="X52" s="690"/>
      <c r="Y52" s="682"/>
    </row>
    <row r="53" spans="1:25" ht="13" customHeight="1">
      <c r="A53" s="682" t="s">
        <v>1287</v>
      </c>
      <c r="B53" s="682"/>
      <c r="C53" s="682"/>
      <c r="D53" s="683"/>
      <c r="E53" s="682"/>
      <c r="F53" s="690"/>
      <c r="G53" s="682"/>
      <c r="H53" s="690"/>
      <c r="I53" s="682"/>
      <c r="J53" s="682"/>
      <c r="K53" s="699" t="s">
        <v>1292</v>
      </c>
      <c r="P53" s="682"/>
      <c r="Q53" s="690"/>
      <c r="R53" s="690"/>
      <c r="S53" s="690"/>
      <c r="T53" s="690"/>
      <c r="U53" s="682"/>
      <c r="V53" s="682"/>
      <c r="W53" s="682"/>
      <c r="X53" s="690"/>
      <c r="Y53" s="682"/>
    </row>
    <row r="54" spans="1:25" ht="13" customHeight="1">
      <c r="A54" s="682" t="s">
        <v>1288</v>
      </c>
      <c r="B54" s="682"/>
      <c r="C54" s="682"/>
      <c r="D54" s="683"/>
      <c r="E54" s="682"/>
      <c r="F54" s="690">
        <f>'CF 2024'!B43</f>
        <v>14500000000</v>
      </c>
      <c r="G54" s="682"/>
      <c r="H54" s="690">
        <v>0</v>
      </c>
      <c r="I54" s="682"/>
      <c r="J54" s="682"/>
      <c r="K54" s="699" t="s">
        <v>1293</v>
      </c>
      <c r="P54" s="682"/>
      <c r="Q54" s="690"/>
      <c r="R54" s="690"/>
      <c r="S54" s="690"/>
      <c r="T54" s="690"/>
      <c r="U54" s="682"/>
      <c r="V54" s="682"/>
      <c r="W54" s="682"/>
      <c r="X54" s="690"/>
      <c r="Y54" s="682"/>
    </row>
    <row r="55" spans="1:25" ht="13" customHeight="1">
      <c r="A55" s="682" t="s">
        <v>1289</v>
      </c>
      <c r="B55" s="682"/>
      <c r="C55" s="682"/>
      <c r="D55" s="683"/>
      <c r="E55" s="682"/>
      <c r="F55" s="690"/>
      <c r="G55" s="682"/>
      <c r="H55" s="690"/>
      <c r="I55" s="682"/>
      <c r="J55" s="682"/>
      <c r="K55" s="699" t="s">
        <v>1294</v>
      </c>
      <c r="P55" s="682"/>
      <c r="Q55" s="690"/>
      <c r="R55" s="690"/>
      <c r="S55" s="690"/>
      <c r="T55" s="690"/>
      <c r="U55" s="682"/>
      <c r="V55" s="682"/>
      <c r="W55" s="682"/>
      <c r="X55" s="690"/>
      <c r="Y55" s="682"/>
    </row>
    <row r="56" spans="1:25" ht="13" customHeight="1">
      <c r="A56" s="682" t="s">
        <v>1290</v>
      </c>
      <c r="B56" s="682"/>
      <c r="C56" s="682"/>
      <c r="D56" s="683"/>
      <c r="E56" s="682"/>
      <c r="F56" s="690">
        <f>'CF 2024'!B44</f>
        <v>58000000000</v>
      </c>
      <c r="G56" s="682"/>
      <c r="H56" s="690">
        <v>0</v>
      </c>
      <c r="I56" s="682"/>
      <c r="J56" s="682"/>
      <c r="K56" s="699" t="s">
        <v>1295</v>
      </c>
      <c r="P56" s="682"/>
      <c r="Q56" s="690"/>
      <c r="R56" s="690"/>
      <c r="S56" s="690"/>
      <c r="T56" s="690"/>
      <c r="U56" s="682"/>
      <c r="V56" s="682"/>
      <c r="W56" s="682"/>
      <c r="X56" s="690"/>
      <c r="Y56" s="682"/>
    </row>
    <row r="57" spans="1:25" ht="13" customHeight="1">
      <c r="A57" s="682" t="s">
        <v>1291</v>
      </c>
      <c r="B57" s="682"/>
      <c r="C57" s="682"/>
      <c r="D57" s="683"/>
      <c r="E57" s="682"/>
      <c r="F57" s="690"/>
      <c r="G57" s="682"/>
      <c r="H57" s="690"/>
      <c r="I57" s="682"/>
      <c r="J57" s="682"/>
      <c r="K57" s="699" t="s">
        <v>1296</v>
      </c>
      <c r="P57" s="682"/>
      <c r="Q57" s="690"/>
      <c r="R57" s="690"/>
      <c r="S57" s="690"/>
      <c r="T57" s="690"/>
      <c r="U57" s="682"/>
      <c r="V57" s="682"/>
      <c r="W57" s="682"/>
      <c r="X57" s="690"/>
      <c r="Y57" s="682"/>
    </row>
    <row r="58" spans="1:25" ht="13" customHeight="1">
      <c r="A58" s="682" t="s">
        <v>1290</v>
      </c>
      <c r="B58" s="682"/>
      <c r="C58" s="682"/>
      <c r="D58" s="683"/>
      <c r="E58" s="682"/>
      <c r="F58" s="690">
        <f>'CF 2024'!B45</f>
        <v>-3115944915</v>
      </c>
      <c r="G58" s="682"/>
      <c r="H58" s="690">
        <v>0</v>
      </c>
      <c r="I58" s="682"/>
      <c r="J58" s="682"/>
      <c r="K58" s="699" t="s">
        <v>1297</v>
      </c>
      <c r="P58" s="682"/>
      <c r="Q58" s="690"/>
      <c r="R58" s="690"/>
      <c r="S58" s="690"/>
      <c r="T58" s="690"/>
      <c r="U58" s="682"/>
      <c r="V58" s="682"/>
      <c r="W58" s="682"/>
      <c r="X58" s="690"/>
      <c r="Y58" s="682"/>
    </row>
    <row r="59" spans="1:25" ht="13" customHeight="1">
      <c r="A59" s="721" t="s">
        <v>1122</v>
      </c>
      <c r="C59" s="682"/>
      <c r="D59" s="683"/>
      <c r="E59" s="682"/>
      <c r="F59" s="690"/>
      <c r="G59" s="682"/>
      <c r="H59" s="690"/>
      <c r="I59" s="682"/>
      <c r="J59" s="682"/>
      <c r="K59" s="722" t="s">
        <v>1123</v>
      </c>
      <c r="L59" s="699"/>
      <c r="M59" s="699"/>
      <c r="P59" s="682"/>
      <c r="Q59" s="690"/>
      <c r="R59" s="690"/>
      <c r="S59" s="690"/>
      <c r="T59" s="690"/>
      <c r="U59" s="682"/>
      <c r="V59" s="682"/>
      <c r="W59" s="682"/>
      <c r="X59" s="690"/>
      <c r="Y59" s="682"/>
    </row>
    <row r="60" spans="1:25" ht="11.25" customHeight="1">
      <c r="B60" s="721" t="s">
        <v>1124</v>
      </c>
      <c r="C60" s="682"/>
      <c r="D60" s="683"/>
      <c r="E60" s="682"/>
      <c r="F60" s="690">
        <v>0</v>
      </c>
      <c r="G60" s="682"/>
      <c r="H60" s="690">
        <v>0</v>
      </c>
      <c r="I60" s="682"/>
      <c r="J60" s="682"/>
      <c r="K60" s="723"/>
      <c r="L60" s="699" t="s">
        <v>1125</v>
      </c>
      <c r="M60" s="699"/>
      <c r="P60" s="682"/>
      <c r="Q60" s="690"/>
      <c r="R60" s="690"/>
      <c r="S60" s="690"/>
      <c r="T60" s="690"/>
      <c r="U60" s="682"/>
      <c r="V60" s="682"/>
      <c r="W60" s="682"/>
      <c r="X60" s="690"/>
      <c r="Y60" s="682"/>
    </row>
    <row r="61" spans="1:25" ht="13.5" customHeight="1">
      <c r="A61" s="721"/>
      <c r="B61" s="682" t="s">
        <v>1121</v>
      </c>
      <c r="C61" s="688"/>
      <c r="D61" s="724">
        <v>12</v>
      </c>
      <c r="E61" s="688"/>
      <c r="F61" s="725">
        <f>'CF 2024'!B47</f>
        <v>-41000000</v>
      </c>
      <c r="G61" s="688"/>
      <c r="H61" s="725">
        <f>'CF 2023'!B42</f>
        <v>-317595000</v>
      </c>
      <c r="I61" s="688"/>
      <c r="J61" s="681"/>
      <c r="K61" s="723"/>
      <c r="L61" s="705" t="s">
        <v>1126</v>
      </c>
      <c r="P61" s="688"/>
      <c r="Q61" s="688"/>
      <c r="R61" s="688"/>
      <c r="S61" s="688"/>
      <c r="T61" s="688"/>
      <c r="U61" s="688"/>
      <c r="V61" s="688"/>
      <c r="W61" s="688"/>
      <c r="X61" s="688"/>
      <c r="Y61" s="688"/>
    </row>
    <row r="62" spans="1:25" ht="11.25" hidden="1" customHeight="1">
      <c r="A62" s="726"/>
      <c r="B62" s="726"/>
      <c r="C62" s="688"/>
      <c r="D62" s="707"/>
      <c r="E62" s="688"/>
      <c r="F62" s="711"/>
      <c r="G62" s="688"/>
      <c r="H62" s="711"/>
      <c r="I62" s="688"/>
      <c r="J62" s="681"/>
      <c r="M62" s="699"/>
      <c r="P62" s="688"/>
      <c r="Q62" s="688"/>
      <c r="R62" s="688"/>
      <c r="S62" s="688"/>
      <c r="T62" s="688"/>
      <c r="U62" s="688"/>
      <c r="V62" s="688"/>
      <c r="W62" s="688"/>
      <c r="X62" s="688"/>
      <c r="Y62" s="688"/>
    </row>
    <row r="63" spans="1:25" ht="11.25" hidden="1" customHeight="1">
      <c r="A63" s="682"/>
      <c r="B63" s="682"/>
      <c r="C63" s="682"/>
      <c r="D63" s="683"/>
      <c r="E63" s="682"/>
      <c r="F63" s="704"/>
      <c r="G63" s="682"/>
      <c r="H63" s="704"/>
      <c r="I63" s="682"/>
      <c r="J63" s="682"/>
      <c r="M63" s="699"/>
      <c r="P63" s="682"/>
      <c r="Q63" s="682"/>
      <c r="R63" s="682"/>
      <c r="S63" s="682"/>
      <c r="T63" s="690"/>
      <c r="U63" s="682"/>
      <c r="V63" s="682"/>
      <c r="W63" s="682"/>
      <c r="X63" s="682"/>
      <c r="Y63" s="682"/>
    </row>
    <row r="64" spans="1:25" ht="4.5" customHeight="1">
      <c r="A64" s="682"/>
      <c r="B64" s="682"/>
      <c r="C64" s="682"/>
      <c r="D64" s="683"/>
      <c r="E64" s="682"/>
      <c r="F64" s="690"/>
      <c r="G64" s="682"/>
      <c r="H64" s="690"/>
      <c r="I64" s="682"/>
      <c r="J64" s="682"/>
      <c r="K64" s="705"/>
      <c r="M64" s="699"/>
      <c r="P64" s="682"/>
      <c r="Q64" s="682"/>
      <c r="R64" s="682"/>
      <c r="S64" s="682"/>
      <c r="T64" s="682"/>
      <c r="U64" s="682"/>
      <c r="V64" s="682"/>
      <c r="W64" s="682"/>
      <c r="X64" s="682"/>
      <c r="Y64" s="682"/>
    </row>
    <row r="65" spans="1:25" ht="13.5" customHeight="1">
      <c r="A65" s="688" t="s">
        <v>1127</v>
      </c>
      <c r="B65" s="682"/>
      <c r="C65" s="682"/>
      <c r="D65" s="683"/>
      <c r="E65" s="682"/>
      <c r="F65" s="690"/>
      <c r="G65" s="682"/>
      <c r="H65" s="690"/>
      <c r="I65" s="682"/>
      <c r="J65" s="682"/>
      <c r="K65" s="718" t="s">
        <v>1128</v>
      </c>
      <c r="M65" s="699"/>
      <c r="P65" s="682"/>
      <c r="Q65" s="682"/>
      <c r="R65" s="682"/>
      <c r="S65" s="682"/>
      <c r="T65" s="690"/>
      <c r="U65" s="682"/>
      <c r="V65" s="682"/>
      <c r="W65" s="682"/>
      <c r="X65" s="682"/>
      <c r="Y65" s="682"/>
    </row>
    <row r="66" spans="1:25" ht="13.5" customHeight="1" thickBot="1">
      <c r="A66" s="688" t="s">
        <v>1129</v>
      </c>
      <c r="B66" s="688"/>
      <c r="C66" s="688"/>
      <c r="D66" s="707"/>
      <c r="E66" s="688"/>
      <c r="F66" s="708">
        <f>SUM(F49:F63)</f>
        <v>60110662067</v>
      </c>
      <c r="G66" s="688"/>
      <c r="H66" s="708">
        <f>SUM(H49:H63)</f>
        <v>56258856832</v>
      </c>
      <c r="I66" s="688"/>
      <c r="J66" s="688"/>
      <c r="K66" s="689" t="s">
        <v>1130</v>
      </c>
      <c r="L66" s="699"/>
      <c r="M66" s="699"/>
      <c r="N66" s="712"/>
      <c r="O66" s="712"/>
      <c r="P66" s="688"/>
      <c r="Q66" s="688"/>
      <c r="R66" s="688"/>
      <c r="S66" s="688"/>
      <c r="T66" s="690"/>
      <c r="U66" s="688"/>
      <c r="V66" s="688"/>
      <c r="W66" s="688"/>
      <c r="X66" s="688"/>
      <c r="Y66" s="688"/>
    </row>
    <row r="67" spans="1:25" ht="6" customHeight="1">
      <c r="A67" s="682"/>
      <c r="B67" s="682"/>
      <c r="C67" s="682"/>
      <c r="D67" s="683"/>
      <c r="E67" s="682"/>
      <c r="F67" s="690"/>
      <c r="G67" s="682"/>
      <c r="H67" s="690"/>
      <c r="I67" s="682"/>
      <c r="J67" s="682"/>
      <c r="K67" s="712"/>
      <c r="L67" s="699"/>
      <c r="M67" s="699"/>
      <c r="N67" s="712"/>
      <c r="O67" s="712"/>
      <c r="P67" s="682"/>
      <c r="Q67" s="682"/>
      <c r="R67" s="682"/>
      <c r="S67" s="682"/>
      <c r="T67" s="682"/>
      <c r="U67" s="682"/>
      <c r="V67" s="682"/>
      <c r="W67" s="682"/>
      <c r="X67" s="682"/>
      <c r="Y67" s="682"/>
    </row>
    <row r="68" spans="1:25" ht="11.25" hidden="1" customHeight="1">
      <c r="A68" s="727"/>
      <c r="B68" s="688"/>
      <c r="C68" s="682"/>
      <c r="D68" s="683"/>
      <c r="E68" s="682"/>
      <c r="F68" s="690"/>
      <c r="G68" s="682"/>
      <c r="H68" s="690"/>
      <c r="I68" s="682"/>
      <c r="J68" s="682"/>
      <c r="K68" s="718"/>
      <c r="P68" s="682"/>
      <c r="Q68" s="682"/>
      <c r="R68" s="682"/>
      <c r="S68" s="682"/>
      <c r="T68" s="690"/>
      <c r="U68" s="682"/>
      <c r="V68" s="682"/>
      <c r="W68" s="682"/>
      <c r="X68" s="682"/>
      <c r="Y68" s="682"/>
    </row>
    <row r="69" spans="1:25" ht="13.5" customHeight="1">
      <c r="A69" s="728" t="s">
        <v>1131</v>
      </c>
      <c r="B69" s="688"/>
      <c r="C69" s="682"/>
      <c r="D69" s="683"/>
      <c r="E69" s="682"/>
      <c r="F69" s="690"/>
      <c r="G69" s="682"/>
      <c r="H69" s="690"/>
      <c r="I69" s="682"/>
      <c r="J69" s="682"/>
      <c r="K69" s="729" t="s">
        <v>1132</v>
      </c>
      <c r="P69" s="682"/>
      <c r="Q69" s="682"/>
      <c r="R69" s="682"/>
      <c r="S69" s="682"/>
      <c r="T69" s="690"/>
      <c r="U69" s="682"/>
      <c r="V69" s="682"/>
      <c r="W69" s="682"/>
      <c r="X69" s="682"/>
      <c r="Y69" s="682"/>
    </row>
    <row r="70" spans="1:25" ht="13.5" customHeight="1">
      <c r="A70" s="681" t="s">
        <v>1133</v>
      </c>
      <c r="B70" s="688"/>
      <c r="C70" s="688"/>
      <c r="D70" s="707"/>
      <c r="E70" s="688"/>
      <c r="F70" s="730">
        <f>F66+F43+F29</f>
        <v>-1738672734</v>
      </c>
      <c r="G70" s="688"/>
      <c r="H70" s="730">
        <f>H66+H43+H29</f>
        <v>-922216435</v>
      </c>
      <c r="I70" s="688"/>
      <c r="J70" s="688"/>
      <c r="K70" s="718" t="s">
        <v>1134</v>
      </c>
      <c r="P70" s="688"/>
      <c r="Q70" s="688"/>
      <c r="R70" s="688"/>
      <c r="S70" s="688"/>
      <c r="T70" s="688"/>
      <c r="U70" s="688"/>
      <c r="V70" s="688"/>
      <c r="W70" s="688"/>
      <c r="X70" s="688"/>
      <c r="Y70" s="688"/>
    </row>
    <row r="71" spans="1:25" ht="6" customHeight="1">
      <c r="A71" s="727"/>
      <c r="B71" s="688"/>
      <c r="C71" s="688"/>
      <c r="D71" s="707"/>
      <c r="E71" s="688"/>
      <c r="F71" s="711"/>
      <c r="G71" s="688"/>
      <c r="H71" s="711"/>
      <c r="I71" s="688"/>
      <c r="J71" s="688"/>
      <c r="K71" s="705"/>
      <c r="P71" s="688"/>
      <c r="Q71" s="688"/>
      <c r="R71" s="688"/>
      <c r="S71" s="688"/>
      <c r="T71" s="688"/>
      <c r="U71" s="688"/>
      <c r="V71" s="688"/>
      <c r="W71" s="688"/>
      <c r="X71" s="688"/>
      <c r="Y71" s="688"/>
    </row>
    <row r="72" spans="1:25" ht="13.5" customHeight="1">
      <c r="A72" s="688" t="s">
        <v>1135</v>
      </c>
      <c r="B72" s="682"/>
      <c r="C72" s="682"/>
      <c r="D72" s="683"/>
      <c r="E72" s="682"/>
      <c r="F72" s="690"/>
      <c r="G72" s="682"/>
      <c r="H72" s="690"/>
      <c r="I72" s="682"/>
      <c r="J72" s="682"/>
      <c r="K72" s="689" t="s">
        <v>1136</v>
      </c>
      <c r="M72" s="699"/>
      <c r="P72" s="682"/>
      <c r="Q72" s="682"/>
      <c r="R72" s="682"/>
      <c r="S72" s="682"/>
      <c r="T72" s="682"/>
      <c r="U72" s="682"/>
      <c r="V72" s="682"/>
      <c r="W72" s="682"/>
      <c r="X72" s="682"/>
      <c r="Y72" s="682"/>
    </row>
    <row r="73" spans="1:25" ht="11.25" hidden="1" customHeight="1">
      <c r="A73" s="681"/>
      <c r="B73" s="682"/>
      <c r="C73" s="682"/>
      <c r="D73" s="683"/>
      <c r="E73" s="682"/>
      <c r="F73" s="690"/>
      <c r="G73" s="682"/>
      <c r="H73" s="690"/>
      <c r="I73" s="682"/>
      <c r="J73" s="682"/>
      <c r="K73" s="689"/>
      <c r="L73" s="712"/>
      <c r="M73" s="712"/>
      <c r="N73" s="712"/>
      <c r="O73" s="712"/>
      <c r="P73" s="682"/>
      <c r="Q73" s="682"/>
      <c r="R73" s="682"/>
      <c r="S73" s="682"/>
      <c r="T73" s="682"/>
      <c r="U73" s="682"/>
      <c r="V73" s="682"/>
      <c r="W73" s="682"/>
      <c r="X73" s="682"/>
      <c r="Y73" s="682"/>
    </row>
    <row r="74" spans="1:25" ht="13.5" customHeight="1">
      <c r="A74" s="688" t="s">
        <v>1137</v>
      </c>
      <c r="B74" s="688"/>
      <c r="C74" s="688"/>
      <c r="D74" s="707"/>
      <c r="E74" s="688"/>
      <c r="F74" s="731">
        <f>H78</f>
        <v>2159354955.6999998</v>
      </c>
      <c r="G74" s="688"/>
      <c r="H74" s="731">
        <f>WS!AJ43</f>
        <v>3081571390.6999998</v>
      </c>
      <c r="I74" s="688"/>
      <c r="J74" s="688"/>
      <c r="K74" s="718" t="s">
        <v>1138</v>
      </c>
      <c r="P74" s="688"/>
      <c r="Q74" s="688"/>
      <c r="R74" s="688"/>
      <c r="S74" s="688"/>
      <c r="T74" s="688"/>
      <c r="U74" s="688"/>
      <c r="V74" s="688"/>
      <c r="W74" s="688"/>
      <c r="X74" s="688"/>
      <c r="Y74" s="688"/>
    </row>
    <row r="75" spans="1:25" ht="6" customHeight="1">
      <c r="A75" s="688"/>
      <c r="B75" s="688"/>
      <c r="C75" s="688"/>
      <c r="D75" s="707"/>
      <c r="E75" s="688"/>
      <c r="F75" s="711"/>
      <c r="G75" s="688"/>
      <c r="H75" s="711"/>
      <c r="I75" s="688"/>
      <c r="J75" s="688"/>
      <c r="K75" s="718"/>
      <c r="P75" s="688"/>
      <c r="Q75" s="688"/>
      <c r="R75" s="688"/>
      <c r="S75" s="688"/>
      <c r="T75" s="688"/>
      <c r="U75" s="688"/>
      <c r="V75" s="688"/>
      <c r="W75" s="688"/>
      <c r="X75" s="688"/>
      <c r="Y75" s="688"/>
    </row>
    <row r="76" spans="1:25" ht="13.5" customHeight="1">
      <c r="A76" s="688" t="s">
        <v>1135</v>
      </c>
      <c r="B76" s="682"/>
      <c r="C76" s="682"/>
      <c r="D76" s="683"/>
      <c r="E76" s="682"/>
      <c r="F76" s="690"/>
      <c r="G76" s="682"/>
      <c r="H76" s="690"/>
      <c r="I76" s="682"/>
      <c r="J76" s="682"/>
      <c r="K76" s="718" t="s">
        <v>1139</v>
      </c>
      <c r="L76" s="717"/>
      <c r="M76" s="689"/>
      <c r="P76" s="682"/>
      <c r="Q76" s="682"/>
      <c r="R76" s="682"/>
      <c r="S76" s="682"/>
      <c r="T76" s="682"/>
      <c r="U76" s="682"/>
      <c r="V76" s="682"/>
      <c r="W76" s="682"/>
      <c r="X76" s="682"/>
      <c r="Y76" s="682"/>
    </row>
    <row r="77" spans="1:25" ht="11.25" hidden="1" customHeight="1">
      <c r="A77" s="681"/>
      <c r="B77" s="682"/>
      <c r="C77" s="682"/>
      <c r="D77" s="683"/>
      <c r="E77" s="682"/>
      <c r="F77" s="690"/>
      <c r="G77" s="682"/>
      <c r="H77" s="690"/>
      <c r="I77" s="682"/>
      <c r="J77" s="682"/>
      <c r="K77" s="717"/>
      <c r="L77" s="689"/>
      <c r="M77" s="712"/>
      <c r="N77" s="712"/>
      <c r="O77" s="712"/>
      <c r="P77" s="682"/>
      <c r="Q77" s="682"/>
      <c r="R77" s="682"/>
      <c r="S77" s="682"/>
      <c r="T77" s="682"/>
      <c r="U77" s="682"/>
      <c r="V77" s="682"/>
      <c r="W77" s="682"/>
      <c r="X77" s="682"/>
      <c r="Y77" s="682"/>
    </row>
    <row r="78" spans="1:25" ht="13.5" customHeight="1" thickBot="1">
      <c r="A78" s="688" t="s">
        <v>1140</v>
      </c>
      <c r="B78" s="688"/>
      <c r="C78" s="688"/>
      <c r="D78" s="707"/>
      <c r="E78" s="688"/>
      <c r="F78" s="732">
        <f>F70+F74</f>
        <v>420682221.69999981</v>
      </c>
      <c r="G78" s="688"/>
      <c r="H78" s="732">
        <f>H70+H74</f>
        <v>2159354955.6999998</v>
      </c>
      <c r="I78" s="688"/>
      <c r="J78" s="688"/>
      <c r="K78" s="709" t="s">
        <v>1141</v>
      </c>
      <c r="P78" s="688"/>
      <c r="Q78" s="688"/>
      <c r="R78" s="688"/>
      <c r="S78" s="688"/>
      <c r="T78" s="688"/>
      <c r="U78" s="688"/>
      <c r="V78" s="688"/>
      <c r="W78" s="688"/>
      <c r="X78" s="688"/>
      <c r="Y78" s="688"/>
    </row>
    <row r="79" spans="1:25" ht="9.75" customHeight="1" thickTop="1">
      <c r="A79" s="681"/>
      <c r="B79" s="682"/>
      <c r="C79" s="682"/>
      <c r="D79" s="683"/>
      <c r="E79" s="682"/>
      <c r="F79" s="682"/>
      <c r="G79" s="682"/>
      <c r="H79" s="682"/>
      <c r="I79" s="682"/>
      <c r="J79" s="682"/>
      <c r="K79" s="718"/>
      <c r="L79" s="712"/>
      <c r="M79" s="712"/>
      <c r="P79" s="682"/>
      <c r="Q79" s="688"/>
      <c r="R79" s="682"/>
      <c r="S79" s="682"/>
      <c r="T79" s="682"/>
      <c r="U79" s="682"/>
      <c r="V79" s="682"/>
      <c r="W79" s="682"/>
      <c r="X79" s="682"/>
      <c r="Y79" s="682"/>
    </row>
    <row r="80" spans="1:25" ht="13.5" customHeight="1">
      <c r="A80" s="733"/>
      <c r="B80" s="682"/>
      <c r="C80" s="682"/>
      <c r="D80" s="683"/>
      <c r="E80" s="682"/>
      <c r="F80" s="682"/>
      <c r="G80" s="682"/>
      <c r="H80" s="682"/>
      <c r="I80" s="682"/>
      <c r="J80" s="682"/>
      <c r="K80" s="734"/>
      <c r="P80" s="682"/>
      <c r="Q80" s="682"/>
      <c r="R80" s="682"/>
      <c r="S80" s="682"/>
      <c r="T80" s="682"/>
      <c r="U80" s="682"/>
      <c r="V80" s="682"/>
      <c r="W80" s="682"/>
      <c r="X80" s="682"/>
      <c r="Y80" s="682"/>
    </row>
    <row r="81" spans="1:25" ht="13.5" customHeight="1">
      <c r="A81" s="682"/>
      <c r="B81" s="682"/>
      <c r="C81" s="735" t="s">
        <v>1142</v>
      </c>
      <c r="D81" s="683"/>
      <c r="E81" s="682"/>
      <c r="F81" s="736">
        <f>BS!H14</f>
        <v>420682221.70998776</v>
      </c>
      <c r="G81" s="682"/>
      <c r="H81" s="736">
        <f>BS!L14</f>
        <v>2159354956</v>
      </c>
      <c r="I81" s="682"/>
      <c r="J81" s="682"/>
      <c r="P81" s="682"/>
      <c r="Q81" s="682"/>
      <c r="R81" s="682"/>
      <c r="S81" s="682"/>
      <c r="T81" s="682"/>
      <c r="U81" s="682"/>
      <c r="V81" s="682"/>
      <c r="W81" s="682"/>
      <c r="X81" s="682"/>
      <c r="Y81" s="682"/>
    </row>
    <row r="82" spans="1:25" ht="13.5" customHeight="1">
      <c r="A82" s="682"/>
      <c r="B82" s="682"/>
      <c r="C82" s="735" t="s">
        <v>1143</v>
      </c>
      <c r="D82" s="683"/>
      <c r="E82" s="682"/>
      <c r="F82" s="736">
        <f>F78-F81</f>
        <v>-9.987950325012207E-3</v>
      </c>
      <c r="G82" s="682"/>
      <c r="H82" s="736">
        <f>H78-H81</f>
        <v>-0.30000019073486328</v>
      </c>
      <c r="I82" s="682"/>
      <c r="J82" s="682"/>
      <c r="P82" s="682"/>
      <c r="Q82" s="682"/>
      <c r="R82" s="682"/>
      <c r="S82" s="682"/>
      <c r="T82" s="682"/>
      <c r="U82" s="682"/>
      <c r="V82" s="682"/>
      <c r="W82" s="682"/>
      <c r="X82" s="682"/>
      <c r="Y82" s="682"/>
    </row>
    <row r="83" spans="1:25" ht="13.5" customHeight="1">
      <c r="A83" s="682"/>
      <c r="B83" s="682"/>
      <c r="C83" s="682"/>
      <c r="D83" s="683"/>
      <c r="E83" s="682"/>
      <c r="F83" s="682"/>
      <c r="G83" s="682"/>
      <c r="H83" s="682"/>
      <c r="I83" s="682"/>
      <c r="J83" s="682"/>
      <c r="P83" s="682"/>
      <c r="Q83" s="682"/>
      <c r="R83" s="682"/>
      <c r="S83" s="682"/>
      <c r="T83" s="682"/>
      <c r="U83" s="682"/>
      <c r="V83" s="682"/>
      <c r="W83" s="682"/>
      <c r="X83" s="682"/>
      <c r="Y83" s="682"/>
    </row>
    <row r="84" spans="1:25" ht="13.5" customHeight="1">
      <c r="A84" s="682"/>
      <c r="B84" s="682"/>
      <c r="C84" s="682"/>
      <c r="D84" s="683"/>
      <c r="E84" s="682"/>
      <c r="F84" s="682"/>
      <c r="G84" s="682"/>
      <c r="H84" s="682"/>
      <c r="I84" s="682"/>
      <c r="J84" s="682"/>
      <c r="P84" s="682"/>
      <c r="Q84" s="682"/>
      <c r="R84" s="682"/>
      <c r="S84" s="682"/>
      <c r="T84" s="682"/>
      <c r="U84" s="682"/>
      <c r="V84" s="682"/>
      <c r="W84" s="682"/>
      <c r="X84" s="682"/>
      <c r="Y84" s="682"/>
    </row>
    <row r="85" spans="1:25" ht="13.5" customHeight="1">
      <c r="A85" s="682"/>
      <c r="B85" s="682"/>
      <c r="C85" s="682"/>
      <c r="D85" s="683"/>
      <c r="E85" s="682"/>
      <c r="F85" s="682"/>
      <c r="G85" s="682"/>
      <c r="H85" s="682"/>
      <c r="I85" s="682"/>
      <c r="J85" s="682"/>
      <c r="P85" s="682"/>
      <c r="Q85" s="682"/>
      <c r="R85" s="682"/>
      <c r="S85" s="682"/>
      <c r="T85" s="682"/>
      <c r="U85" s="682"/>
      <c r="V85" s="682"/>
      <c r="W85" s="682"/>
      <c r="X85" s="682"/>
      <c r="Y85" s="682"/>
    </row>
    <row r="86" spans="1:25" ht="13.5" customHeight="1">
      <c r="A86" s="682"/>
      <c r="B86" s="682"/>
      <c r="C86" s="682"/>
      <c r="D86" s="683"/>
      <c r="E86" s="682"/>
      <c r="F86" s="682"/>
      <c r="G86" s="682"/>
      <c r="H86" s="682"/>
      <c r="I86" s="682"/>
      <c r="J86" s="682"/>
      <c r="P86" s="682"/>
      <c r="Q86" s="682"/>
      <c r="R86" s="682"/>
      <c r="S86" s="682"/>
      <c r="T86" s="682"/>
      <c r="U86" s="682"/>
      <c r="V86" s="682"/>
      <c r="W86" s="682"/>
      <c r="X86" s="682"/>
      <c r="Y86" s="682"/>
    </row>
    <row r="87" spans="1:25" ht="13.5" customHeight="1">
      <c r="A87" s="682"/>
      <c r="B87" s="682"/>
      <c r="C87" s="682"/>
      <c r="D87" s="683"/>
      <c r="E87" s="682"/>
      <c r="F87" s="682"/>
      <c r="G87" s="682"/>
      <c r="H87" s="682"/>
      <c r="I87" s="682"/>
      <c r="J87" s="682"/>
      <c r="P87" s="682"/>
      <c r="Q87" s="682"/>
      <c r="R87" s="682"/>
      <c r="S87" s="682"/>
      <c r="T87" s="682"/>
      <c r="U87" s="682"/>
      <c r="V87" s="682"/>
      <c r="W87" s="682"/>
      <c r="X87" s="682"/>
      <c r="Y87" s="682"/>
    </row>
    <row r="88" spans="1:25" ht="13.5" customHeight="1">
      <c r="A88" s="682"/>
      <c r="B88" s="682"/>
      <c r="C88" s="682"/>
      <c r="D88" s="683"/>
      <c r="E88" s="682"/>
      <c r="F88" s="682"/>
      <c r="G88" s="682"/>
      <c r="H88" s="682"/>
      <c r="I88" s="682"/>
      <c r="J88" s="682"/>
      <c r="P88" s="682"/>
      <c r="Q88" s="682"/>
      <c r="R88" s="682"/>
      <c r="S88" s="682"/>
      <c r="T88" s="682"/>
      <c r="U88" s="682"/>
      <c r="V88" s="682"/>
      <c r="W88" s="682"/>
      <c r="X88" s="682"/>
      <c r="Y88" s="682"/>
    </row>
    <row r="89" spans="1:25" ht="13.5" customHeight="1">
      <c r="A89" s="682"/>
      <c r="B89" s="682"/>
      <c r="C89" s="682"/>
      <c r="D89" s="683"/>
      <c r="E89" s="682"/>
      <c r="F89" s="682"/>
      <c r="G89" s="682"/>
      <c r="H89" s="682"/>
      <c r="I89" s="682"/>
      <c r="J89" s="682"/>
      <c r="P89" s="682"/>
      <c r="Q89" s="682"/>
      <c r="R89" s="682"/>
      <c r="S89" s="682"/>
      <c r="T89" s="682"/>
      <c r="U89" s="682"/>
      <c r="V89" s="682"/>
      <c r="W89" s="682"/>
      <c r="X89" s="682"/>
      <c r="Y89" s="682"/>
    </row>
    <row r="90" spans="1:25" ht="11.25" customHeight="1">
      <c r="A90" s="682"/>
      <c r="B90" s="682"/>
      <c r="C90" s="682"/>
      <c r="D90" s="683"/>
      <c r="E90" s="682"/>
      <c r="F90" s="682"/>
      <c r="G90" s="682"/>
      <c r="H90" s="682"/>
      <c r="I90" s="682"/>
      <c r="J90" s="682"/>
      <c r="P90" s="682"/>
      <c r="Q90" s="682"/>
      <c r="R90" s="682"/>
      <c r="S90" s="682"/>
      <c r="T90" s="682"/>
      <c r="U90" s="682"/>
      <c r="V90" s="682"/>
      <c r="W90" s="682"/>
      <c r="X90" s="682"/>
      <c r="Y90" s="682"/>
    </row>
    <row r="91" spans="1:25" ht="11.25" customHeight="1">
      <c r="A91" s="682"/>
      <c r="B91" s="682"/>
      <c r="C91" s="682"/>
      <c r="D91" s="683"/>
      <c r="E91" s="682"/>
      <c r="F91" s="682"/>
      <c r="G91" s="682"/>
      <c r="H91" s="682"/>
      <c r="I91" s="682"/>
      <c r="J91" s="682"/>
      <c r="P91" s="682"/>
      <c r="Q91" s="682"/>
      <c r="R91" s="682"/>
      <c r="S91" s="682"/>
      <c r="T91" s="682"/>
      <c r="U91" s="682"/>
      <c r="V91" s="682"/>
      <c r="W91" s="682"/>
      <c r="X91" s="682"/>
      <c r="Y91" s="682"/>
    </row>
    <row r="92" spans="1:25" ht="11.25" customHeight="1">
      <c r="A92" s="682"/>
      <c r="B92" s="682"/>
      <c r="C92" s="682"/>
      <c r="D92" s="683"/>
      <c r="E92" s="682"/>
      <c r="F92" s="682"/>
      <c r="G92" s="682"/>
      <c r="H92" s="682"/>
      <c r="I92" s="682"/>
      <c r="J92" s="682"/>
      <c r="P92" s="682"/>
      <c r="Q92" s="682"/>
      <c r="R92" s="682"/>
      <c r="S92" s="682"/>
      <c r="T92" s="682"/>
      <c r="U92" s="682"/>
      <c r="V92" s="682"/>
      <c r="W92" s="682"/>
      <c r="X92" s="682"/>
      <c r="Y92" s="682"/>
    </row>
    <row r="93" spans="1:25" ht="11.25" customHeight="1">
      <c r="A93" s="682"/>
      <c r="B93" s="682"/>
      <c r="C93" s="682"/>
      <c r="D93" s="683"/>
      <c r="E93" s="682"/>
      <c r="F93" s="682"/>
      <c r="G93" s="682"/>
      <c r="H93" s="682"/>
      <c r="I93" s="682"/>
      <c r="J93" s="682"/>
      <c r="P93" s="682"/>
      <c r="Q93" s="682"/>
      <c r="R93" s="682"/>
      <c r="S93" s="682"/>
      <c r="T93" s="682"/>
      <c r="U93" s="682"/>
      <c r="V93" s="682"/>
      <c r="W93" s="682"/>
      <c r="X93" s="682"/>
      <c r="Y93" s="682"/>
    </row>
    <row r="94" spans="1:25" ht="11.25" customHeight="1">
      <c r="A94" s="682"/>
      <c r="B94" s="682"/>
      <c r="C94" s="682"/>
      <c r="D94" s="683"/>
      <c r="E94" s="682"/>
      <c r="F94" s="682"/>
      <c r="G94" s="682"/>
      <c r="H94" s="682"/>
      <c r="I94" s="682"/>
      <c r="J94" s="682"/>
      <c r="P94" s="682"/>
      <c r="Q94" s="682"/>
      <c r="R94" s="682"/>
      <c r="S94" s="682"/>
      <c r="T94" s="682"/>
      <c r="U94" s="682"/>
      <c r="V94" s="682"/>
      <c r="W94" s="682"/>
      <c r="X94" s="682"/>
      <c r="Y94" s="682"/>
    </row>
    <row r="95" spans="1:25" ht="11.25" customHeight="1">
      <c r="A95" s="682"/>
      <c r="B95" s="682"/>
      <c r="C95" s="682"/>
      <c r="D95" s="683"/>
      <c r="E95" s="682"/>
      <c r="F95" s="682"/>
      <c r="G95" s="682"/>
      <c r="H95" s="682"/>
      <c r="I95" s="682"/>
      <c r="J95" s="682"/>
      <c r="P95" s="682"/>
      <c r="Q95" s="682"/>
      <c r="R95" s="682"/>
      <c r="S95" s="682"/>
      <c r="T95" s="682"/>
      <c r="U95" s="682"/>
      <c r="V95" s="682"/>
      <c r="W95" s="682"/>
      <c r="X95" s="682"/>
      <c r="Y95" s="682"/>
    </row>
    <row r="96" spans="1:25" ht="11.25" customHeight="1">
      <c r="A96" s="682"/>
      <c r="B96" s="682"/>
      <c r="C96" s="682"/>
      <c r="D96" s="683"/>
      <c r="E96" s="682"/>
      <c r="F96" s="682"/>
      <c r="G96" s="682"/>
      <c r="H96" s="682"/>
      <c r="I96" s="682"/>
      <c r="J96" s="682"/>
      <c r="P96" s="682"/>
      <c r="Q96" s="682"/>
      <c r="R96" s="682"/>
      <c r="S96" s="682"/>
      <c r="T96" s="682"/>
      <c r="U96" s="682"/>
      <c r="V96" s="682"/>
      <c r="W96" s="682"/>
      <c r="X96" s="682"/>
      <c r="Y96" s="682"/>
    </row>
    <row r="97" spans="1:25" ht="11.25" customHeight="1">
      <c r="A97" s="682"/>
      <c r="B97" s="682"/>
      <c r="C97" s="682"/>
      <c r="D97" s="683"/>
      <c r="E97" s="682"/>
      <c r="F97" s="682"/>
      <c r="G97" s="682"/>
      <c r="H97" s="682"/>
      <c r="I97" s="682"/>
      <c r="J97" s="682"/>
      <c r="P97" s="682"/>
      <c r="Q97" s="682"/>
      <c r="R97" s="682"/>
      <c r="S97" s="682"/>
      <c r="T97" s="682"/>
      <c r="U97" s="682"/>
      <c r="V97" s="682"/>
      <c r="W97" s="682"/>
      <c r="X97" s="682"/>
      <c r="Y97" s="682"/>
    </row>
    <row r="98" spans="1:25" ht="11.25" customHeight="1">
      <c r="A98" s="682"/>
      <c r="B98" s="682"/>
      <c r="C98" s="682"/>
      <c r="D98" s="683"/>
      <c r="E98" s="682"/>
      <c r="F98" s="682"/>
      <c r="G98" s="682"/>
      <c r="H98" s="682"/>
      <c r="I98" s="682"/>
      <c r="J98" s="682"/>
      <c r="P98" s="682"/>
      <c r="Q98" s="682"/>
      <c r="R98" s="682"/>
      <c r="S98" s="682"/>
      <c r="T98" s="682"/>
      <c r="U98" s="682"/>
      <c r="V98" s="682"/>
      <c r="W98" s="682"/>
      <c r="X98" s="682"/>
      <c r="Y98" s="682"/>
    </row>
    <row r="99" spans="1:25" ht="11.25" customHeight="1">
      <c r="A99" s="682"/>
      <c r="B99" s="682"/>
      <c r="C99" s="682"/>
      <c r="D99" s="683"/>
      <c r="E99" s="682"/>
      <c r="F99" s="682"/>
      <c r="G99" s="682"/>
      <c r="H99" s="682"/>
      <c r="I99" s="682"/>
      <c r="J99" s="682"/>
      <c r="P99" s="682"/>
      <c r="Q99" s="682"/>
      <c r="R99" s="682"/>
      <c r="S99" s="682"/>
      <c r="T99" s="682"/>
      <c r="U99" s="682"/>
      <c r="V99" s="682"/>
      <c r="W99" s="682"/>
      <c r="X99" s="682"/>
      <c r="Y99" s="682"/>
    </row>
    <row r="100" spans="1:25" ht="11.25" customHeight="1">
      <c r="A100" s="682"/>
      <c r="B100" s="682"/>
      <c r="C100" s="682"/>
      <c r="D100" s="683"/>
      <c r="E100" s="682"/>
      <c r="F100" s="682"/>
      <c r="G100" s="682"/>
      <c r="H100" s="682"/>
      <c r="I100" s="682"/>
      <c r="J100" s="682"/>
      <c r="P100" s="682"/>
      <c r="Q100" s="682"/>
      <c r="R100" s="682"/>
      <c r="S100" s="682"/>
      <c r="T100" s="682"/>
      <c r="U100" s="682"/>
      <c r="V100" s="682"/>
      <c r="W100" s="682"/>
      <c r="X100" s="682"/>
      <c r="Y100" s="682"/>
    </row>
    <row r="101" spans="1:25" ht="11.25" customHeight="1">
      <c r="A101" s="682"/>
      <c r="B101" s="682"/>
      <c r="C101" s="682"/>
      <c r="D101" s="683"/>
      <c r="E101" s="682"/>
      <c r="F101" s="682"/>
      <c r="G101" s="682"/>
      <c r="H101" s="682"/>
      <c r="I101" s="682"/>
      <c r="J101" s="682"/>
      <c r="P101" s="682"/>
      <c r="Q101" s="682"/>
      <c r="R101" s="682"/>
      <c r="S101" s="682"/>
      <c r="T101" s="682"/>
      <c r="U101" s="682"/>
      <c r="V101" s="682"/>
      <c r="W101" s="682"/>
      <c r="X101" s="682"/>
      <c r="Y101" s="682"/>
    </row>
    <row r="102" spans="1:25" ht="11.25" customHeight="1">
      <c r="A102" s="682"/>
      <c r="B102" s="682"/>
      <c r="C102" s="682"/>
      <c r="D102" s="683"/>
      <c r="E102" s="682"/>
      <c r="F102" s="682"/>
      <c r="G102" s="682"/>
      <c r="H102" s="682"/>
      <c r="I102" s="682"/>
      <c r="J102" s="682"/>
      <c r="P102" s="682"/>
      <c r="Q102" s="682"/>
      <c r="R102" s="682"/>
      <c r="S102" s="682"/>
      <c r="T102" s="682"/>
      <c r="U102" s="682"/>
      <c r="V102" s="682"/>
      <c r="W102" s="682"/>
      <c r="X102" s="682"/>
      <c r="Y102" s="682"/>
    </row>
    <row r="103" spans="1:25" ht="11.25" customHeight="1">
      <c r="A103" s="682"/>
      <c r="B103" s="682"/>
      <c r="C103" s="682"/>
      <c r="D103" s="683"/>
      <c r="E103" s="682"/>
      <c r="F103" s="682"/>
      <c r="G103" s="682"/>
      <c r="H103" s="682"/>
      <c r="I103" s="682"/>
      <c r="J103" s="682"/>
      <c r="P103" s="682"/>
      <c r="Q103" s="682"/>
      <c r="R103" s="682"/>
      <c r="S103" s="682"/>
      <c r="T103" s="682"/>
      <c r="U103" s="682"/>
      <c r="V103" s="682"/>
      <c r="W103" s="682"/>
      <c r="X103" s="682"/>
      <c r="Y103" s="682"/>
    </row>
    <row r="104" spans="1:25" ht="11.25" customHeight="1">
      <c r="A104" s="682"/>
      <c r="B104" s="682"/>
      <c r="C104" s="682"/>
      <c r="D104" s="683"/>
      <c r="E104" s="682"/>
      <c r="F104" s="682"/>
      <c r="G104" s="682"/>
      <c r="H104" s="682"/>
      <c r="I104" s="682"/>
      <c r="J104" s="682"/>
      <c r="P104" s="682"/>
      <c r="Q104" s="682"/>
      <c r="R104" s="682"/>
      <c r="S104" s="682"/>
      <c r="T104" s="682"/>
      <c r="U104" s="682"/>
      <c r="V104" s="682"/>
      <c r="W104" s="682"/>
      <c r="X104" s="682"/>
      <c r="Y104" s="682"/>
    </row>
    <row r="105" spans="1:25" ht="11.25" customHeight="1">
      <c r="A105" s="682"/>
      <c r="B105" s="682"/>
      <c r="C105" s="682"/>
      <c r="D105" s="683"/>
      <c r="E105" s="682"/>
      <c r="F105" s="682"/>
      <c r="G105" s="682"/>
      <c r="H105" s="682"/>
      <c r="I105" s="682"/>
      <c r="J105" s="682"/>
      <c r="P105" s="682"/>
      <c r="Q105" s="682"/>
      <c r="R105" s="682"/>
      <c r="S105" s="682"/>
      <c r="T105" s="682"/>
      <c r="U105" s="682"/>
      <c r="V105" s="682"/>
      <c r="W105" s="682"/>
      <c r="X105" s="682"/>
      <c r="Y105" s="682"/>
    </row>
    <row r="106" spans="1:25" ht="11.25" customHeight="1">
      <c r="A106" s="682"/>
      <c r="B106" s="682"/>
      <c r="C106" s="682"/>
      <c r="D106" s="683"/>
      <c r="E106" s="682"/>
      <c r="F106" s="682"/>
      <c r="G106" s="682"/>
      <c r="H106" s="682"/>
      <c r="I106" s="682"/>
      <c r="J106" s="682"/>
      <c r="P106" s="682"/>
      <c r="Q106" s="682"/>
      <c r="R106" s="682"/>
      <c r="S106" s="682"/>
      <c r="T106" s="682"/>
      <c r="U106" s="682"/>
      <c r="V106" s="682"/>
      <c r="W106" s="682"/>
      <c r="X106" s="682"/>
      <c r="Y106" s="682"/>
    </row>
    <row r="107" spans="1:25" ht="11.25" customHeight="1">
      <c r="A107" s="682"/>
      <c r="B107" s="682"/>
      <c r="C107" s="682"/>
      <c r="D107" s="683"/>
      <c r="E107" s="682"/>
      <c r="F107" s="682"/>
      <c r="G107" s="682"/>
      <c r="H107" s="682"/>
      <c r="I107" s="682"/>
      <c r="J107" s="682"/>
      <c r="P107" s="682"/>
      <c r="Q107" s="682"/>
      <c r="R107" s="682"/>
      <c r="S107" s="682"/>
      <c r="T107" s="682"/>
      <c r="U107" s="682"/>
      <c r="V107" s="682"/>
      <c r="W107" s="682"/>
      <c r="X107" s="682"/>
      <c r="Y107" s="682"/>
    </row>
    <row r="108" spans="1:25" ht="11.25" customHeight="1">
      <c r="A108" s="682"/>
      <c r="B108" s="682"/>
      <c r="C108" s="682"/>
      <c r="D108" s="683"/>
      <c r="E108" s="682"/>
      <c r="F108" s="682"/>
      <c r="G108" s="682"/>
      <c r="H108" s="682"/>
      <c r="I108" s="682"/>
      <c r="J108" s="682"/>
      <c r="P108" s="682"/>
      <c r="Q108" s="682"/>
      <c r="R108" s="682"/>
      <c r="S108" s="682"/>
      <c r="T108" s="682"/>
      <c r="U108" s="682"/>
      <c r="V108" s="682"/>
      <c r="W108" s="682"/>
      <c r="X108" s="682"/>
      <c r="Y108" s="682"/>
    </row>
    <row r="109" spans="1:25" ht="11.25" customHeight="1">
      <c r="A109" s="682"/>
      <c r="B109" s="682"/>
      <c r="C109" s="682"/>
      <c r="D109" s="683"/>
      <c r="E109" s="682"/>
      <c r="F109" s="682"/>
      <c r="G109" s="682"/>
      <c r="H109" s="682"/>
      <c r="I109" s="682"/>
      <c r="J109" s="682"/>
      <c r="P109" s="682"/>
      <c r="Q109" s="682"/>
      <c r="R109" s="682"/>
      <c r="S109" s="682"/>
      <c r="T109" s="682"/>
      <c r="U109" s="682"/>
      <c r="V109" s="682"/>
      <c r="W109" s="682"/>
      <c r="X109" s="682"/>
      <c r="Y109" s="682"/>
    </row>
    <row r="110" spans="1:25" ht="11.25" customHeight="1">
      <c r="A110" s="682"/>
      <c r="B110" s="682"/>
      <c r="C110" s="682"/>
      <c r="D110" s="683"/>
      <c r="E110" s="682"/>
      <c r="F110" s="682"/>
      <c r="G110" s="682"/>
      <c r="H110" s="682"/>
      <c r="I110" s="682"/>
      <c r="J110" s="682"/>
      <c r="P110" s="682"/>
      <c r="Q110" s="682"/>
      <c r="R110" s="682"/>
      <c r="S110" s="682"/>
      <c r="T110" s="682"/>
      <c r="U110" s="682"/>
      <c r="V110" s="682"/>
      <c r="W110" s="682"/>
      <c r="X110" s="682"/>
      <c r="Y110" s="682"/>
    </row>
    <row r="111" spans="1:25" ht="11.25" customHeight="1">
      <c r="A111" s="682"/>
      <c r="B111" s="682"/>
      <c r="C111" s="682"/>
      <c r="D111" s="683"/>
      <c r="E111" s="682"/>
      <c r="F111" s="682"/>
      <c r="G111" s="682"/>
      <c r="H111" s="682"/>
      <c r="I111" s="682"/>
      <c r="J111" s="682"/>
      <c r="P111" s="682"/>
      <c r="Q111" s="682"/>
      <c r="R111" s="682"/>
      <c r="S111" s="682"/>
      <c r="T111" s="682"/>
      <c r="U111" s="682"/>
      <c r="V111" s="682"/>
      <c r="W111" s="682"/>
      <c r="X111" s="682"/>
      <c r="Y111" s="682"/>
    </row>
    <row r="112" spans="1:25" ht="11.25" customHeight="1">
      <c r="A112" s="682"/>
      <c r="B112" s="682"/>
      <c r="C112" s="682"/>
      <c r="D112" s="683"/>
      <c r="E112" s="682"/>
      <c r="F112" s="682"/>
      <c r="G112" s="682"/>
      <c r="H112" s="682"/>
      <c r="I112" s="682"/>
      <c r="J112" s="682"/>
      <c r="P112" s="682"/>
      <c r="Q112" s="682"/>
      <c r="R112" s="682"/>
      <c r="S112" s="682"/>
      <c r="T112" s="682"/>
      <c r="U112" s="682"/>
      <c r="V112" s="682"/>
      <c r="W112" s="682"/>
      <c r="X112" s="682"/>
      <c r="Y112" s="682"/>
    </row>
    <row r="113" spans="1:25" ht="11.25" customHeight="1">
      <c r="A113" s="682"/>
      <c r="B113" s="682"/>
      <c r="C113" s="682"/>
      <c r="D113" s="683"/>
      <c r="E113" s="682"/>
      <c r="F113" s="682"/>
      <c r="G113" s="682"/>
      <c r="H113" s="682"/>
      <c r="I113" s="682"/>
      <c r="J113" s="682"/>
      <c r="P113" s="682"/>
      <c r="Q113" s="682"/>
      <c r="R113" s="682"/>
      <c r="S113" s="682"/>
      <c r="T113" s="682"/>
      <c r="U113" s="682"/>
      <c r="V113" s="682"/>
      <c r="W113" s="682"/>
      <c r="X113" s="682"/>
      <c r="Y113" s="682"/>
    </row>
    <row r="114" spans="1:25" ht="11.25" customHeight="1">
      <c r="A114" s="682"/>
      <c r="B114" s="682"/>
      <c r="C114" s="682"/>
      <c r="D114" s="683"/>
      <c r="E114" s="682"/>
      <c r="F114" s="682"/>
      <c r="G114" s="682"/>
      <c r="H114" s="682"/>
      <c r="I114" s="682"/>
      <c r="J114" s="682"/>
      <c r="P114" s="682"/>
      <c r="Q114" s="682"/>
      <c r="R114" s="682"/>
      <c r="S114" s="682"/>
      <c r="T114" s="682"/>
      <c r="U114" s="682"/>
      <c r="V114" s="682"/>
      <c r="W114" s="682"/>
      <c r="X114" s="682"/>
      <c r="Y114" s="682"/>
    </row>
    <row r="115" spans="1:25" ht="11.25" customHeight="1">
      <c r="A115" s="682"/>
      <c r="B115" s="682"/>
      <c r="C115" s="682"/>
      <c r="D115" s="683"/>
      <c r="E115" s="682"/>
      <c r="F115" s="682"/>
      <c r="G115" s="682"/>
      <c r="H115" s="682"/>
      <c r="I115" s="682"/>
      <c r="J115" s="682"/>
      <c r="P115" s="682"/>
      <c r="Q115" s="682"/>
      <c r="R115" s="682"/>
      <c r="S115" s="682"/>
      <c r="T115" s="682"/>
      <c r="U115" s="682"/>
      <c r="V115" s="682"/>
      <c r="W115" s="682"/>
      <c r="X115" s="682"/>
      <c r="Y115" s="682"/>
    </row>
    <row r="116" spans="1:25" ht="11.25" customHeight="1">
      <c r="A116" s="682"/>
      <c r="B116" s="682"/>
      <c r="C116" s="682"/>
      <c r="D116" s="683"/>
      <c r="E116" s="682"/>
      <c r="F116" s="682"/>
      <c r="G116" s="682"/>
      <c r="H116" s="682"/>
      <c r="I116" s="682"/>
      <c r="J116" s="682"/>
      <c r="P116" s="682"/>
      <c r="Q116" s="682"/>
      <c r="R116" s="682"/>
      <c r="S116" s="682"/>
      <c r="T116" s="682"/>
      <c r="U116" s="682"/>
      <c r="V116" s="682"/>
      <c r="W116" s="682"/>
      <c r="X116" s="682"/>
      <c r="Y116" s="682"/>
    </row>
    <row r="117" spans="1:25" ht="11.25" customHeight="1">
      <c r="A117" s="682"/>
      <c r="B117" s="682"/>
      <c r="C117" s="682"/>
      <c r="D117" s="683"/>
      <c r="E117" s="682"/>
      <c r="F117" s="682"/>
      <c r="G117" s="682"/>
      <c r="H117" s="682"/>
      <c r="I117" s="682"/>
      <c r="J117" s="682"/>
      <c r="P117" s="682"/>
      <c r="Q117" s="682"/>
      <c r="R117" s="682"/>
      <c r="S117" s="682"/>
      <c r="T117" s="682"/>
      <c r="U117" s="682"/>
      <c r="V117" s="682"/>
      <c r="W117" s="682"/>
      <c r="X117" s="682"/>
      <c r="Y117" s="682"/>
    </row>
    <row r="118" spans="1:25" ht="11.25" customHeight="1">
      <c r="A118" s="682"/>
      <c r="B118" s="682"/>
      <c r="C118" s="682"/>
      <c r="D118" s="683"/>
      <c r="E118" s="682"/>
      <c r="F118" s="682"/>
      <c r="G118" s="682"/>
      <c r="H118" s="682"/>
      <c r="I118" s="682"/>
      <c r="J118" s="682"/>
      <c r="P118" s="682"/>
      <c r="Q118" s="682"/>
      <c r="R118" s="682"/>
      <c r="S118" s="682"/>
      <c r="T118" s="682"/>
      <c r="U118" s="682"/>
      <c r="V118" s="682"/>
      <c r="W118" s="682"/>
      <c r="X118" s="682"/>
      <c r="Y118" s="682"/>
    </row>
    <row r="119" spans="1:25" ht="11.25" customHeight="1">
      <c r="A119" s="682"/>
      <c r="B119" s="682"/>
      <c r="C119" s="682"/>
      <c r="D119" s="683"/>
      <c r="E119" s="682"/>
      <c r="F119" s="682"/>
      <c r="G119" s="682"/>
      <c r="H119" s="682"/>
      <c r="I119" s="682"/>
      <c r="J119" s="682"/>
      <c r="P119" s="682"/>
      <c r="Q119" s="682"/>
      <c r="R119" s="682"/>
      <c r="S119" s="682"/>
      <c r="T119" s="682"/>
      <c r="U119" s="682"/>
      <c r="V119" s="682"/>
      <c r="W119" s="682"/>
      <c r="X119" s="682"/>
      <c r="Y119" s="682"/>
    </row>
    <row r="120" spans="1:25" ht="11.25" customHeight="1">
      <c r="A120" s="682"/>
      <c r="B120" s="682"/>
      <c r="C120" s="682"/>
      <c r="D120" s="683"/>
      <c r="E120" s="682"/>
      <c r="F120" s="682"/>
      <c r="G120" s="682"/>
      <c r="H120" s="682"/>
      <c r="I120" s="682"/>
      <c r="J120" s="682"/>
      <c r="P120" s="682"/>
      <c r="Q120" s="682"/>
      <c r="R120" s="682"/>
      <c r="S120" s="682"/>
      <c r="T120" s="682"/>
      <c r="U120" s="682"/>
      <c r="V120" s="682"/>
      <c r="W120" s="682"/>
      <c r="X120" s="682"/>
      <c r="Y120" s="682"/>
    </row>
    <row r="121" spans="1:25" ht="11.25" customHeight="1">
      <c r="A121" s="682"/>
      <c r="B121" s="682"/>
      <c r="C121" s="682"/>
      <c r="D121" s="683"/>
      <c r="E121" s="682"/>
      <c r="F121" s="682"/>
      <c r="G121" s="682"/>
      <c r="H121" s="682"/>
      <c r="I121" s="682"/>
      <c r="J121" s="682"/>
      <c r="P121" s="682"/>
      <c r="Q121" s="682"/>
      <c r="R121" s="682"/>
      <c r="S121" s="682"/>
      <c r="T121" s="682"/>
      <c r="U121" s="682"/>
      <c r="V121" s="682"/>
      <c r="W121" s="682"/>
      <c r="X121" s="682"/>
      <c r="Y121" s="682"/>
    </row>
    <row r="122" spans="1:25" ht="11.25" customHeight="1">
      <c r="A122" s="682"/>
      <c r="B122" s="682"/>
      <c r="C122" s="682"/>
      <c r="D122" s="683"/>
      <c r="E122" s="682"/>
      <c r="F122" s="682"/>
      <c r="G122" s="682"/>
      <c r="H122" s="682"/>
      <c r="I122" s="682"/>
      <c r="J122" s="682"/>
      <c r="P122" s="682"/>
      <c r="Q122" s="682"/>
      <c r="R122" s="682"/>
      <c r="S122" s="682"/>
      <c r="T122" s="682"/>
      <c r="U122" s="682"/>
      <c r="V122" s="682"/>
      <c r="W122" s="682"/>
      <c r="X122" s="682"/>
      <c r="Y122" s="682"/>
    </row>
    <row r="123" spans="1:25" ht="11.25" customHeight="1">
      <c r="A123" s="682"/>
      <c r="B123" s="682"/>
      <c r="C123" s="682"/>
      <c r="D123" s="683"/>
      <c r="E123" s="682"/>
      <c r="F123" s="682"/>
      <c r="G123" s="682"/>
      <c r="H123" s="682"/>
      <c r="I123" s="682"/>
      <c r="J123" s="682"/>
      <c r="P123" s="682"/>
      <c r="Q123" s="682"/>
      <c r="R123" s="682"/>
      <c r="S123" s="682"/>
      <c r="T123" s="682"/>
      <c r="U123" s="682"/>
      <c r="V123" s="682"/>
      <c r="W123" s="682"/>
      <c r="X123" s="682"/>
      <c r="Y123" s="682"/>
    </row>
    <row r="124" spans="1:25" ht="11.25" customHeight="1">
      <c r="A124" s="682"/>
      <c r="B124" s="682"/>
      <c r="C124" s="682"/>
      <c r="D124" s="683"/>
      <c r="E124" s="682"/>
      <c r="F124" s="682"/>
      <c r="G124" s="682"/>
      <c r="H124" s="682"/>
      <c r="I124" s="682"/>
      <c r="J124" s="682"/>
      <c r="P124" s="682"/>
      <c r="Q124" s="682"/>
      <c r="R124" s="682"/>
      <c r="S124" s="682"/>
      <c r="T124" s="682"/>
      <c r="U124" s="682"/>
      <c r="V124" s="682"/>
      <c r="W124" s="682"/>
      <c r="X124" s="682"/>
      <c r="Y124" s="682"/>
    </row>
    <row r="125" spans="1:25" ht="11.25" customHeight="1">
      <c r="A125" s="682"/>
      <c r="B125" s="682"/>
      <c r="C125" s="682"/>
      <c r="D125" s="683"/>
      <c r="E125" s="682"/>
      <c r="F125" s="682"/>
      <c r="G125" s="682"/>
      <c r="H125" s="682"/>
      <c r="I125" s="682"/>
      <c r="J125" s="682"/>
      <c r="P125" s="682"/>
      <c r="Q125" s="682"/>
      <c r="R125" s="682"/>
      <c r="S125" s="682"/>
      <c r="T125" s="682"/>
      <c r="U125" s="682"/>
      <c r="V125" s="682"/>
      <c r="W125" s="682"/>
      <c r="X125" s="682"/>
      <c r="Y125" s="682"/>
    </row>
    <row r="126" spans="1:25" ht="11.25" customHeight="1">
      <c r="A126" s="682"/>
      <c r="B126" s="682"/>
      <c r="C126" s="682"/>
      <c r="D126" s="683"/>
      <c r="E126" s="682"/>
      <c r="F126" s="682"/>
      <c r="G126" s="682"/>
      <c r="H126" s="682"/>
      <c r="I126" s="682"/>
      <c r="J126" s="682"/>
      <c r="P126" s="682"/>
      <c r="Q126" s="682"/>
      <c r="R126" s="682"/>
      <c r="S126" s="682"/>
      <c r="T126" s="682"/>
      <c r="U126" s="682"/>
      <c r="V126" s="682"/>
      <c r="W126" s="682"/>
      <c r="X126" s="682"/>
      <c r="Y126" s="682"/>
    </row>
    <row r="127" spans="1:25" ht="11.25" customHeight="1">
      <c r="A127" s="682"/>
      <c r="B127" s="682"/>
      <c r="C127" s="682"/>
      <c r="D127" s="683"/>
      <c r="E127" s="682"/>
      <c r="F127" s="682"/>
      <c r="G127" s="682"/>
      <c r="H127" s="682"/>
      <c r="I127" s="682"/>
      <c r="J127" s="682"/>
      <c r="P127" s="682"/>
      <c r="Q127" s="682"/>
      <c r="R127" s="682"/>
      <c r="S127" s="682"/>
      <c r="T127" s="682"/>
      <c r="U127" s="682"/>
      <c r="V127" s="682"/>
      <c r="W127" s="682"/>
      <c r="X127" s="682"/>
      <c r="Y127" s="682"/>
    </row>
    <row r="128" spans="1:25" ht="11.25" customHeight="1">
      <c r="A128" s="682"/>
      <c r="B128" s="682"/>
      <c r="C128" s="682"/>
      <c r="D128" s="683"/>
      <c r="E128" s="682"/>
      <c r="F128" s="682"/>
      <c r="G128" s="682"/>
      <c r="H128" s="682"/>
      <c r="I128" s="682"/>
      <c r="J128" s="682"/>
      <c r="P128" s="682"/>
      <c r="Q128" s="682"/>
      <c r="R128" s="682"/>
      <c r="S128" s="682"/>
      <c r="T128" s="682"/>
      <c r="U128" s="682"/>
      <c r="V128" s="682"/>
      <c r="W128" s="682"/>
      <c r="X128" s="682"/>
      <c r="Y128" s="682"/>
    </row>
    <row r="129" spans="1:25" ht="11.25" customHeight="1">
      <c r="A129" s="682"/>
      <c r="B129" s="682"/>
      <c r="C129" s="682"/>
      <c r="D129" s="683"/>
      <c r="E129" s="682"/>
      <c r="F129" s="682"/>
      <c r="G129" s="682"/>
      <c r="H129" s="682"/>
      <c r="I129" s="682"/>
      <c r="J129" s="682"/>
      <c r="P129" s="682"/>
      <c r="Q129" s="682"/>
      <c r="R129" s="682"/>
      <c r="S129" s="682"/>
      <c r="T129" s="682"/>
      <c r="U129" s="682"/>
      <c r="V129" s="682"/>
      <c r="W129" s="682"/>
      <c r="X129" s="682"/>
      <c r="Y129" s="682"/>
    </row>
    <row r="130" spans="1:25" ht="11.25" customHeight="1">
      <c r="A130" s="682"/>
      <c r="B130" s="682"/>
      <c r="C130" s="682"/>
      <c r="D130" s="683"/>
      <c r="E130" s="682"/>
      <c r="F130" s="682"/>
      <c r="G130" s="682"/>
      <c r="H130" s="682"/>
      <c r="I130" s="682"/>
      <c r="J130" s="682"/>
      <c r="P130" s="682"/>
      <c r="Q130" s="682"/>
      <c r="R130" s="682"/>
      <c r="S130" s="682"/>
      <c r="T130" s="682"/>
      <c r="U130" s="682"/>
      <c r="V130" s="682"/>
      <c r="W130" s="682"/>
      <c r="X130" s="682"/>
      <c r="Y130" s="682"/>
    </row>
    <row r="131" spans="1:25" ht="11.25" customHeight="1">
      <c r="A131" s="682"/>
      <c r="B131" s="682"/>
      <c r="C131" s="682"/>
      <c r="D131" s="683"/>
      <c r="E131" s="682"/>
      <c r="F131" s="682"/>
      <c r="G131" s="682"/>
      <c r="H131" s="682"/>
      <c r="I131" s="682"/>
      <c r="J131" s="682"/>
      <c r="P131" s="682"/>
      <c r="Q131" s="682"/>
      <c r="R131" s="682"/>
      <c r="S131" s="682"/>
      <c r="T131" s="682"/>
      <c r="U131" s="682"/>
      <c r="V131" s="682"/>
      <c r="W131" s="682"/>
      <c r="X131" s="682"/>
      <c r="Y131" s="682"/>
    </row>
    <row r="132" spans="1:25" ht="11.25" customHeight="1">
      <c r="A132" s="682"/>
      <c r="B132" s="682"/>
      <c r="C132" s="682"/>
      <c r="D132" s="683"/>
      <c r="E132" s="682"/>
      <c r="F132" s="682"/>
      <c r="G132" s="682"/>
      <c r="H132" s="682"/>
      <c r="I132" s="682"/>
      <c r="J132" s="682"/>
      <c r="P132" s="682"/>
      <c r="Q132" s="682"/>
      <c r="R132" s="682"/>
      <c r="S132" s="682"/>
      <c r="T132" s="682"/>
      <c r="U132" s="682"/>
      <c r="V132" s="682"/>
      <c r="W132" s="682"/>
      <c r="X132" s="682"/>
      <c r="Y132" s="682"/>
    </row>
    <row r="133" spans="1:25" ht="11.25" customHeight="1">
      <c r="A133" s="682"/>
      <c r="B133" s="682"/>
      <c r="C133" s="682"/>
      <c r="D133" s="683"/>
      <c r="E133" s="682"/>
      <c r="F133" s="682"/>
      <c r="G133" s="682"/>
      <c r="H133" s="682"/>
      <c r="I133" s="682"/>
      <c r="J133" s="682"/>
      <c r="P133" s="682"/>
      <c r="Q133" s="682"/>
      <c r="R133" s="682"/>
      <c r="S133" s="682"/>
      <c r="T133" s="682"/>
      <c r="U133" s="682"/>
      <c r="V133" s="682"/>
      <c r="W133" s="682"/>
      <c r="X133" s="682"/>
      <c r="Y133" s="682"/>
    </row>
    <row r="134" spans="1:25" ht="11.25" customHeight="1">
      <c r="A134" s="682"/>
      <c r="B134" s="682"/>
      <c r="C134" s="682"/>
      <c r="D134" s="683"/>
      <c r="E134" s="682"/>
      <c r="F134" s="682"/>
      <c r="G134" s="682"/>
      <c r="H134" s="682"/>
      <c r="I134" s="682"/>
      <c r="J134" s="682"/>
      <c r="P134" s="682"/>
      <c r="Q134" s="682"/>
      <c r="R134" s="682"/>
      <c r="S134" s="682"/>
      <c r="T134" s="682"/>
      <c r="U134" s="682"/>
      <c r="V134" s="682"/>
      <c r="W134" s="682"/>
      <c r="X134" s="682"/>
      <c r="Y134" s="682"/>
    </row>
    <row r="135" spans="1:25" ht="11.25" customHeight="1">
      <c r="A135" s="682"/>
      <c r="B135" s="682"/>
      <c r="C135" s="682"/>
      <c r="D135" s="683"/>
      <c r="E135" s="682"/>
      <c r="F135" s="682"/>
      <c r="G135" s="682"/>
      <c r="H135" s="682"/>
      <c r="I135" s="682"/>
      <c r="J135" s="682"/>
      <c r="P135" s="682"/>
      <c r="Q135" s="682"/>
      <c r="R135" s="682"/>
      <c r="S135" s="682"/>
      <c r="T135" s="682"/>
      <c r="U135" s="682"/>
      <c r="V135" s="682"/>
      <c r="W135" s="682"/>
      <c r="X135" s="682"/>
      <c r="Y135" s="682"/>
    </row>
    <row r="136" spans="1:25" ht="11.25" customHeight="1">
      <c r="A136" s="682"/>
      <c r="B136" s="682"/>
      <c r="C136" s="682"/>
      <c r="D136" s="683"/>
      <c r="E136" s="682"/>
      <c r="F136" s="682"/>
      <c r="G136" s="682"/>
      <c r="H136" s="682"/>
      <c r="I136" s="682"/>
      <c r="J136" s="682"/>
      <c r="P136" s="682"/>
      <c r="Q136" s="682"/>
      <c r="R136" s="682"/>
      <c r="S136" s="682"/>
      <c r="T136" s="682"/>
      <c r="U136" s="682"/>
      <c r="V136" s="682"/>
      <c r="W136" s="682"/>
      <c r="X136" s="682"/>
      <c r="Y136" s="682"/>
    </row>
    <row r="137" spans="1:25" ht="11.25" customHeight="1">
      <c r="A137" s="682"/>
      <c r="B137" s="682"/>
      <c r="C137" s="682"/>
      <c r="D137" s="683"/>
      <c r="E137" s="682"/>
      <c r="F137" s="682"/>
      <c r="G137" s="682"/>
      <c r="H137" s="682"/>
      <c r="I137" s="682"/>
      <c r="J137" s="682"/>
      <c r="P137" s="682"/>
      <c r="Q137" s="682"/>
      <c r="R137" s="682"/>
      <c r="S137" s="682"/>
      <c r="T137" s="682"/>
      <c r="U137" s="682"/>
      <c r="V137" s="682"/>
      <c r="W137" s="682"/>
      <c r="X137" s="682"/>
      <c r="Y137" s="682"/>
    </row>
    <row r="138" spans="1:25" ht="11.25" customHeight="1">
      <c r="A138" s="682"/>
      <c r="B138" s="682"/>
      <c r="C138" s="682"/>
      <c r="D138" s="683"/>
      <c r="E138" s="682"/>
      <c r="F138" s="682"/>
      <c r="G138" s="682"/>
      <c r="H138" s="682"/>
      <c r="I138" s="682"/>
      <c r="J138" s="682"/>
      <c r="P138" s="682"/>
      <c r="Q138" s="682"/>
      <c r="R138" s="682"/>
      <c r="S138" s="682"/>
      <c r="T138" s="682"/>
      <c r="U138" s="682"/>
      <c r="V138" s="682"/>
      <c r="W138" s="682"/>
      <c r="X138" s="682"/>
      <c r="Y138" s="682"/>
    </row>
    <row r="139" spans="1:25" ht="11.25" customHeight="1">
      <c r="A139" s="682"/>
      <c r="B139" s="682"/>
      <c r="C139" s="682"/>
      <c r="D139" s="683"/>
      <c r="E139" s="682"/>
      <c r="F139" s="682"/>
      <c r="G139" s="682"/>
      <c r="H139" s="682"/>
      <c r="I139" s="682"/>
      <c r="J139" s="682"/>
      <c r="P139" s="682"/>
      <c r="Q139" s="682"/>
      <c r="R139" s="682"/>
      <c r="S139" s="682"/>
      <c r="T139" s="682"/>
      <c r="U139" s="682"/>
      <c r="V139" s="682"/>
      <c r="W139" s="682"/>
      <c r="X139" s="682"/>
      <c r="Y139" s="682"/>
    </row>
    <row r="140" spans="1:25" ht="11.25" customHeight="1">
      <c r="A140" s="682"/>
      <c r="B140" s="682"/>
      <c r="C140" s="682"/>
      <c r="D140" s="683"/>
      <c r="E140" s="682"/>
      <c r="F140" s="682"/>
      <c r="G140" s="682"/>
      <c r="H140" s="682"/>
      <c r="I140" s="682"/>
      <c r="J140" s="682"/>
      <c r="P140" s="682"/>
      <c r="Q140" s="682"/>
      <c r="R140" s="682"/>
      <c r="S140" s="682"/>
      <c r="T140" s="682"/>
      <c r="U140" s="682"/>
      <c r="V140" s="682"/>
      <c r="W140" s="682"/>
      <c r="X140" s="682"/>
      <c r="Y140" s="682"/>
    </row>
    <row r="141" spans="1:25" ht="11.25" customHeight="1">
      <c r="A141" s="682"/>
      <c r="B141" s="682"/>
      <c r="C141" s="682"/>
      <c r="D141" s="683"/>
      <c r="E141" s="682"/>
      <c r="F141" s="682"/>
      <c r="G141" s="682"/>
      <c r="H141" s="682"/>
      <c r="I141" s="682"/>
      <c r="J141" s="682"/>
      <c r="P141" s="682"/>
      <c r="Q141" s="682"/>
      <c r="R141" s="682"/>
      <c r="S141" s="682"/>
      <c r="T141" s="682"/>
      <c r="U141" s="682"/>
      <c r="V141" s="682"/>
      <c r="W141" s="682"/>
      <c r="X141" s="682"/>
      <c r="Y141" s="682"/>
    </row>
    <row r="142" spans="1:25" ht="11.25" customHeight="1">
      <c r="A142" s="682"/>
      <c r="B142" s="682"/>
      <c r="C142" s="682"/>
      <c r="D142" s="683"/>
      <c r="E142" s="682"/>
      <c r="F142" s="682"/>
      <c r="G142" s="682"/>
      <c r="H142" s="682"/>
      <c r="I142" s="682"/>
      <c r="J142" s="682"/>
      <c r="P142" s="682"/>
      <c r="Q142" s="682"/>
      <c r="R142" s="682"/>
      <c r="S142" s="682"/>
      <c r="T142" s="682"/>
      <c r="U142" s="682"/>
      <c r="V142" s="682"/>
      <c r="W142" s="682"/>
      <c r="X142" s="682"/>
      <c r="Y142" s="682"/>
    </row>
    <row r="143" spans="1:25" ht="11.25" customHeight="1">
      <c r="A143" s="682"/>
      <c r="B143" s="682"/>
      <c r="C143" s="682"/>
      <c r="D143" s="683"/>
      <c r="E143" s="682"/>
      <c r="F143" s="682"/>
      <c r="G143" s="682"/>
      <c r="H143" s="682"/>
      <c r="I143" s="682"/>
      <c r="J143" s="682"/>
      <c r="P143" s="682"/>
      <c r="Q143" s="682"/>
      <c r="R143" s="682"/>
      <c r="S143" s="682"/>
      <c r="T143" s="682"/>
      <c r="U143" s="682"/>
      <c r="V143" s="682"/>
      <c r="W143" s="682"/>
      <c r="X143" s="682"/>
      <c r="Y143" s="682"/>
    </row>
    <row r="144" spans="1:25" ht="11.25" customHeight="1">
      <c r="A144" s="682"/>
      <c r="B144" s="682"/>
      <c r="C144" s="682"/>
      <c r="D144" s="683"/>
      <c r="E144" s="682"/>
      <c r="F144" s="682"/>
      <c r="G144" s="682"/>
      <c r="H144" s="682"/>
      <c r="I144" s="682"/>
      <c r="J144" s="682"/>
      <c r="P144" s="682"/>
      <c r="Q144" s="682"/>
      <c r="R144" s="682"/>
      <c r="S144" s="682"/>
      <c r="T144" s="682"/>
      <c r="U144" s="682"/>
      <c r="V144" s="682"/>
      <c r="W144" s="682"/>
      <c r="X144" s="682"/>
      <c r="Y144" s="682"/>
    </row>
    <row r="145" spans="1:25" ht="11.25" customHeight="1">
      <c r="A145" s="682"/>
      <c r="B145" s="682"/>
      <c r="C145" s="682"/>
      <c r="D145" s="683"/>
      <c r="E145" s="682"/>
      <c r="F145" s="682"/>
      <c r="G145" s="682"/>
      <c r="H145" s="682"/>
      <c r="I145" s="682"/>
      <c r="J145" s="682"/>
      <c r="P145" s="682"/>
      <c r="Q145" s="682"/>
      <c r="R145" s="682"/>
      <c r="S145" s="682"/>
      <c r="T145" s="682"/>
      <c r="U145" s="682"/>
      <c r="V145" s="682"/>
      <c r="W145" s="682"/>
      <c r="X145" s="682"/>
      <c r="Y145" s="682"/>
    </row>
    <row r="146" spans="1:25" ht="11.25" customHeight="1">
      <c r="A146" s="682"/>
      <c r="B146" s="682"/>
      <c r="C146" s="682"/>
      <c r="D146" s="683"/>
      <c r="E146" s="682"/>
      <c r="F146" s="682"/>
      <c r="G146" s="682"/>
      <c r="H146" s="682"/>
      <c r="I146" s="682"/>
      <c r="J146" s="682"/>
      <c r="P146" s="682"/>
      <c r="Q146" s="682"/>
      <c r="R146" s="682"/>
      <c r="S146" s="682"/>
      <c r="T146" s="682"/>
      <c r="U146" s="682"/>
      <c r="V146" s="682"/>
      <c r="W146" s="682"/>
      <c r="X146" s="682"/>
      <c r="Y146" s="682"/>
    </row>
    <row r="147" spans="1:25" ht="11.25" customHeight="1">
      <c r="A147" s="682"/>
      <c r="B147" s="682"/>
      <c r="C147" s="682"/>
      <c r="D147" s="683"/>
      <c r="E147" s="682"/>
      <c r="F147" s="682"/>
      <c r="G147" s="682"/>
      <c r="H147" s="682"/>
      <c r="I147" s="682"/>
      <c r="J147" s="682"/>
      <c r="P147" s="682"/>
      <c r="Q147" s="682"/>
      <c r="R147" s="682"/>
      <c r="S147" s="682"/>
      <c r="T147" s="682"/>
      <c r="U147" s="682"/>
      <c r="V147" s="682"/>
      <c r="W147" s="682"/>
      <c r="X147" s="682"/>
      <c r="Y147" s="682"/>
    </row>
    <row r="148" spans="1:25" ht="11.25" customHeight="1">
      <c r="A148" s="682"/>
      <c r="B148" s="682"/>
      <c r="C148" s="682"/>
      <c r="D148" s="683"/>
      <c r="E148" s="682"/>
      <c r="F148" s="682"/>
      <c r="G148" s="682"/>
      <c r="H148" s="682"/>
      <c r="I148" s="682"/>
      <c r="J148" s="682"/>
      <c r="P148" s="682"/>
      <c r="Q148" s="682"/>
      <c r="R148" s="682"/>
      <c r="S148" s="682"/>
      <c r="T148" s="682"/>
      <c r="U148" s="682"/>
      <c r="V148" s="682"/>
      <c r="W148" s="682"/>
      <c r="X148" s="682"/>
      <c r="Y148" s="682"/>
    </row>
    <row r="149" spans="1:25" ht="11.25" customHeight="1">
      <c r="A149" s="682"/>
      <c r="B149" s="682"/>
      <c r="C149" s="682"/>
      <c r="D149" s="683"/>
      <c r="E149" s="682"/>
      <c r="F149" s="682"/>
      <c r="G149" s="682"/>
      <c r="H149" s="682"/>
      <c r="I149" s="682"/>
      <c r="J149" s="682"/>
      <c r="P149" s="682"/>
      <c r="Q149" s="682"/>
      <c r="R149" s="682"/>
      <c r="S149" s="682"/>
      <c r="T149" s="682"/>
      <c r="U149" s="682"/>
      <c r="V149" s="682"/>
      <c r="W149" s="682"/>
      <c r="X149" s="682"/>
      <c r="Y149" s="682"/>
    </row>
    <row r="150" spans="1:25" ht="11.25" customHeight="1">
      <c r="A150" s="682"/>
      <c r="B150" s="682"/>
      <c r="C150" s="682"/>
      <c r="D150" s="683"/>
      <c r="E150" s="682"/>
      <c r="F150" s="682"/>
      <c r="G150" s="682"/>
      <c r="H150" s="682"/>
      <c r="I150" s="682"/>
      <c r="J150" s="682"/>
      <c r="P150" s="682"/>
      <c r="Q150" s="682"/>
      <c r="R150" s="682"/>
      <c r="S150" s="682"/>
      <c r="T150" s="682"/>
      <c r="U150" s="682"/>
      <c r="V150" s="682"/>
      <c r="W150" s="682"/>
      <c r="X150" s="682"/>
      <c r="Y150" s="682"/>
    </row>
    <row r="151" spans="1:25" ht="11.25" customHeight="1">
      <c r="A151" s="682"/>
      <c r="B151" s="682"/>
      <c r="C151" s="682"/>
      <c r="D151" s="683"/>
      <c r="E151" s="682"/>
      <c r="F151" s="682"/>
      <c r="G151" s="682"/>
      <c r="H151" s="682"/>
      <c r="I151" s="682"/>
      <c r="J151" s="682"/>
      <c r="P151" s="682"/>
      <c r="Q151" s="682"/>
      <c r="R151" s="682"/>
      <c r="S151" s="682"/>
      <c r="T151" s="682"/>
      <c r="U151" s="682"/>
      <c r="V151" s="682"/>
      <c r="W151" s="682"/>
      <c r="X151" s="682"/>
      <c r="Y151" s="682"/>
    </row>
    <row r="152" spans="1:25" ht="11.25" customHeight="1">
      <c r="A152" s="682"/>
      <c r="B152" s="682"/>
      <c r="C152" s="682"/>
      <c r="D152" s="683"/>
      <c r="E152" s="682"/>
      <c r="F152" s="682"/>
      <c r="G152" s="682"/>
      <c r="H152" s="682"/>
      <c r="I152" s="682"/>
      <c r="J152" s="682"/>
      <c r="P152" s="682"/>
      <c r="Q152" s="682"/>
      <c r="R152" s="682"/>
      <c r="S152" s="682"/>
      <c r="T152" s="682"/>
      <c r="U152" s="682"/>
      <c r="V152" s="682"/>
      <c r="W152" s="682"/>
      <c r="X152" s="682"/>
      <c r="Y152" s="682"/>
    </row>
    <row r="153" spans="1:25" ht="11.25" customHeight="1">
      <c r="A153" s="682"/>
      <c r="B153" s="682"/>
      <c r="C153" s="682"/>
      <c r="D153" s="683"/>
      <c r="E153" s="682"/>
      <c r="F153" s="682"/>
      <c r="G153" s="682"/>
      <c r="H153" s="682"/>
      <c r="I153" s="682"/>
      <c r="J153" s="682"/>
      <c r="P153" s="682"/>
      <c r="Q153" s="682"/>
      <c r="R153" s="682"/>
      <c r="S153" s="682"/>
      <c r="T153" s="682"/>
      <c r="U153" s="682"/>
      <c r="V153" s="682"/>
      <c r="W153" s="682"/>
      <c r="X153" s="682"/>
      <c r="Y153" s="682"/>
    </row>
    <row r="154" spans="1:25" ht="11.25" customHeight="1">
      <c r="A154" s="682"/>
      <c r="B154" s="682"/>
      <c r="C154" s="682"/>
      <c r="D154" s="683"/>
      <c r="E154" s="682"/>
      <c r="F154" s="682"/>
      <c r="G154" s="682"/>
      <c r="H154" s="682"/>
      <c r="I154" s="682"/>
      <c r="J154" s="682"/>
      <c r="P154" s="682"/>
      <c r="Q154" s="682"/>
      <c r="R154" s="682"/>
      <c r="S154" s="682"/>
      <c r="T154" s="682"/>
      <c r="U154" s="682"/>
      <c r="V154" s="682"/>
      <c r="W154" s="682"/>
      <c r="X154" s="682"/>
      <c r="Y154" s="682"/>
    </row>
    <row r="155" spans="1:25" ht="11.25" customHeight="1">
      <c r="A155" s="682"/>
      <c r="B155" s="682"/>
      <c r="C155" s="682"/>
      <c r="D155" s="683"/>
      <c r="E155" s="682"/>
      <c r="F155" s="682"/>
      <c r="G155" s="682"/>
      <c r="H155" s="682"/>
      <c r="I155" s="682"/>
      <c r="J155" s="682"/>
      <c r="P155" s="682"/>
      <c r="Q155" s="682"/>
      <c r="R155" s="682"/>
      <c r="S155" s="682"/>
      <c r="T155" s="682"/>
      <c r="U155" s="682"/>
      <c r="V155" s="682"/>
      <c r="W155" s="682"/>
      <c r="X155" s="682"/>
      <c r="Y155" s="682"/>
    </row>
    <row r="156" spans="1:25" ht="11.25" customHeight="1">
      <c r="A156" s="682"/>
      <c r="B156" s="682"/>
      <c r="C156" s="682"/>
      <c r="D156" s="683"/>
      <c r="E156" s="682"/>
      <c r="F156" s="682"/>
      <c r="G156" s="682"/>
      <c r="H156" s="682"/>
      <c r="I156" s="682"/>
      <c r="J156" s="682"/>
      <c r="P156" s="682"/>
      <c r="Q156" s="682"/>
      <c r="R156" s="682"/>
      <c r="S156" s="682"/>
      <c r="T156" s="682"/>
      <c r="U156" s="682"/>
      <c r="V156" s="682"/>
      <c r="W156" s="682"/>
      <c r="X156" s="682"/>
      <c r="Y156" s="682"/>
    </row>
    <row r="157" spans="1:25" ht="11.25" customHeight="1">
      <c r="A157" s="682"/>
      <c r="B157" s="682"/>
      <c r="C157" s="682"/>
      <c r="D157" s="683"/>
      <c r="E157" s="682"/>
      <c r="F157" s="682"/>
      <c r="G157" s="682"/>
      <c r="H157" s="682"/>
      <c r="I157" s="682"/>
      <c r="J157" s="682"/>
      <c r="P157" s="682"/>
      <c r="Q157" s="682"/>
      <c r="R157" s="682"/>
      <c r="S157" s="682"/>
      <c r="T157" s="682"/>
      <c r="U157" s="682"/>
      <c r="V157" s="682"/>
      <c r="W157" s="682"/>
      <c r="X157" s="682"/>
      <c r="Y157" s="682"/>
    </row>
    <row r="158" spans="1:25" ht="11.25" customHeight="1">
      <c r="A158" s="682"/>
      <c r="B158" s="682"/>
      <c r="C158" s="682"/>
      <c r="D158" s="683"/>
      <c r="E158" s="682"/>
      <c r="F158" s="682"/>
      <c r="G158" s="682"/>
      <c r="H158" s="682"/>
      <c r="I158" s="682"/>
      <c r="J158" s="682"/>
      <c r="P158" s="682"/>
      <c r="Q158" s="682"/>
      <c r="R158" s="682"/>
      <c r="S158" s="682"/>
      <c r="T158" s="682"/>
      <c r="U158" s="682"/>
      <c r="V158" s="682"/>
      <c r="W158" s="682"/>
      <c r="X158" s="682"/>
      <c r="Y158" s="682"/>
    </row>
    <row r="159" spans="1:25" ht="11.25" customHeight="1">
      <c r="A159" s="682"/>
      <c r="B159" s="682"/>
      <c r="C159" s="682"/>
      <c r="D159" s="683"/>
      <c r="E159" s="682"/>
      <c r="F159" s="682"/>
      <c r="G159" s="682"/>
      <c r="H159" s="682"/>
      <c r="I159" s="682"/>
      <c r="J159" s="682"/>
      <c r="P159" s="682"/>
      <c r="Q159" s="682"/>
      <c r="R159" s="682"/>
      <c r="S159" s="682"/>
      <c r="T159" s="682"/>
      <c r="U159" s="682"/>
      <c r="V159" s="682"/>
      <c r="W159" s="682"/>
      <c r="X159" s="682"/>
      <c r="Y159" s="682"/>
    </row>
    <row r="160" spans="1:25" ht="11.25" customHeight="1">
      <c r="A160" s="682"/>
      <c r="B160" s="682"/>
      <c r="C160" s="682"/>
      <c r="D160" s="683"/>
      <c r="E160" s="682"/>
      <c r="F160" s="682"/>
      <c r="G160" s="682"/>
      <c r="H160" s="682"/>
      <c r="I160" s="682"/>
      <c r="J160" s="682"/>
      <c r="P160" s="682"/>
      <c r="Q160" s="682"/>
      <c r="R160" s="682"/>
      <c r="S160" s="682"/>
      <c r="T160" s="682"/>
      <c r="U160" s="682"/>
      <c r="V160" s="682"/>
      <c r="W160" s="682"/>
      <c r="X160" s="682"/>
      <c r="Y160" s="682"/>
    </row>
    <row r="161" spans="1:25" ht="11.25" customHeight="1">
      <c r="A161" s="682"/>
      <c r="B161" s="682"/>
      <c r="C161" s="682"/>
      <c r="D161" s="683"/>
      <c r="E161" s="682"/>
      <c r="F161" s="682"/>
      <c r="G161" s="682"/>
      <c r="H161" s="682"/>
      <c r="I161" s="682"/>
      <c r="J161" s="682"/>
      <c r="P161" s="682"/>
      <c r="Q161" s="682"/>
      <c r="R161" s="682"/>
      <c r="S161" s="682"/>
      <c r="T161" s="682"/>
      <c r="U161" s="682"/>
      <c r="V161" s="682"/>
      <c r="W161" s="682"/>
      <c r="X161" s="682"/>
      <c r="Y161" s="682"/>
    </row>
    <row r="162" spans="1:25" ht="11.25" customHeight="1">
      <c r="A162" s="682"/>
      <c r="B162" s="682"/>
      <c r="C162" s="682"/>
      <c r="D162" s="683"/>
      <c r="E162" s="682"/>
      <c r="F162" s="682"/>
      <c r="G162" s="682"/>
      <c r="H162" s="682"/>
      <c r="I162" s="682"/>
      <c r="J162" s="682"/>
      <c r="P162" s="682"/>
      <c r="Q162" s="682"/>
      <c r="R162" s="682"/>
      <c r="S162" s="682"/>
      <c r="T162" s="682"/>
      <c r="U162" s="682"/>
      <c r="V162" s="682"/>
      <c r="W162" s="682"/>
      <c r="X162" s="682"/>
      <c r="Y162" s="682"/>
    </row>
    <row r="163" spans="1:25" ht="11.25" customHeight="1">
      <c r="A163" s="682"/>
      <c r="B163" s="682"/>
      <c r="C163" s="682"/>
      <c r="D163" s="683"/>
      <c r="E163" s="682"/>
      <c r="F163" s="682"/>
      <c r="G163" s="682"/>
      <c r="H163" s="682"/>
      <c r="I163" s="682"/>
      <c r="J163" s="682"/>
      <c r="P163" s="682"/>
      <c r="Q163" s="682"/>
      <c r="R163" s="682"/>
      <c r="S163" s="682"/>
      <c r="T163" s="682"/>
      <c r="U163" s="682"/>
      <c r="V163" s="682"/>
      <c r="W163" s="682"/>
      <c r="X163" s="682"/>
      <c r="Y163" s="682"/>
    </row>
    <row r="164" spans="1:25" ht="11.25" customHeight="1">
      <c r="A164" s="682"/>
      <c r="B164" s="682"/>
      <c r="C164" s="682"/>
      <c r="D164" s="683"/>
      <c r="E164" s="682"/>
      <c r="F164" s="682"/>
      <c r="G164" s="682"/>
      <c r="H164" s="682"/>
      <c r="I164" s="682"/>
      <c r="J164" s="682"/>
      <c r="P164" s="682"/>
      <c r="Q164" s="682"/>
      <c r="R164" s="682"/>
      <c r="S164" s="682"/>
      <c r="T164" s="682"/>
      <c r="U164" s="682"/>
      <c r="V164" s="682"/>
      <c r="W164" s="682"/>
      <c r="X164" s="682"/>
      <c r="Y164" s="682"/>
    </row>
    <row r="165" spans="1:25" ht="11.25" customHeight="1">
      <c r="A165" s="682"/>
      <c r="B165" s="682"/>
      <c r="C165" s="682"/>
      <c r="D165" s="683"/>
      <c r="E165" s="682"/>
      <c r="F165" s="682"/>
      <c r="G165" s="682"/>
      <c r="H165" s="682"/>
      <c r="I165" s="682"/>
      <c r="J165" s="682"/>
      <c r="P165" s="682"/>
      <c r="Q165" s="682"/>
      <c r="R165" s="682"/>
      <c r="S165" s="682"/>
      <c r="T165" s="682"/>
      <c r="U165" s="682"/>
      <c r="V165" s="682"/>
      <c r="W165" s="682"/>
      <c r="X165" s="682"/>
      <c r="Y165" s="682"/>
    </row>
    <row r="166" spans="1:25" ht="11.25" customHeight="1">
      <c r="A166" s="682"/>
      <c r="B166" s="682"/>
      <c r="C166" s="682"/>
      <c r="D166" s="683"/>
      <c r="E166" s="682"/>
      <c r="F166" s="682"/>
      <c r="G166" s="682"/>
      <c r="H166" s="682"/>
      <c r="I166" s="682"/>
      <c r="J166" s="682"/>
      <c r="P166" s="682"/>
      <c r="Q166" s="682"/>
      <c r="R166" s="682"/>
      <c r="S166" s="682"/>
      <c r="T166" s="682"/>
      <c r="U166" s="682"/>
      <c r="V166" s="682"/>
      <c r="W166" s="682"/>
      <c r="X166" s="682"/>
      <c r="Y166" s="682"/>
    </row>
    <row r="167" spans="1:25" ht="11.25" customHeight="1">
      <c r="A167" s="682"/>
      <c r="B167" s="682"/>
      <c r="C167" s="682"/>
      <c r="D167" s="683"/>
      <c r="E167" s="682"/>
      <c r="F167" s="682"/>
      <c r="G167" s="682"/>
      <c r="H167" s="682"/>
      <c r="I167" s="682"/>
      <c r="J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</row>
    <row r="168" spans="1:25" ht="11.25" customHeight="1">
      <c r="A168" s="682"/>
      <c r="B168" s="682"/>
      <c r="C168" s="682"/>
      <c r="D168" s="683"/>
      <c r="E168" s="682"/>
      <c r="F168" s="682"/>
      <c r="G168" s="682"/>
      <c r="H168" s="682"/>
      <c r="I168" s="682"/>
      <c r="J168" s="682"/>
      <c r="P168" s="682"/>
      <c r="Q168" s="682"/>
      <c r="R168" s="682"/>
      <c r="S168" s="682"/>
      <c r="T168" s="682"/>
      <c r="U168" s="682"/>
      <c r="V168" s="682"/>
      <c r="W168" s="682"/>
      <c r="X168" s="682"/>
      <c r="Y168" s="682"/>
    </row>
    <row r="169" spans="1:25" ht="11.25" customHeight="1">
      <c r="A169" s="682"/>
      <c r="B169" s="682"/>
      <c r="C169" s="682"/>
      <c r="D169" s="683"/>
      <c r="E169" s="682"/>
      <c r="F169" s="682"/>
      <c r="G169" s="682"/>
      <c r="H169" s="682"/>
      <c r="I169" s="682"/>
      <c r="J169" s="682"/>
      <c r="P169" s="682"/>
      <c r="Q169" s="682"/>
      <c r="R169" s="682"/>
      <c r="S169" s="682"/>
      <c r="T169" s="682"/>
      <c r="U169" s="682"/>
      <c r="V169" s="682"/>
      <c r="W169" s="682"/>
      <c r="X169" s="682"/>
      <c r="Y169" s="682"/>
    </row>
    <row r="170" spans="1:25" ht="11.25" customHeight="1">
      <c r="A170" s="682"/>
      <c r="B170" s="682"/>
      <c r="C170" s="682"/>
      <c r="D170" s="683"/>
      <c r="E170" s="682"/>
      <c r="F170" s="682"/>
      <c r="G170" s="682"/>
      <c r="H170" s="682"/>
      <c r="I170" s="682"/>
      <c r="J170" s="682"/>
      <c r="P170" s="682"/>
      <c r="Q170" s="682"/>
      <c r="R170" s="682"/>
      <c r="S170" s="682"/>
      <c r="T170" s="682"/>
      <c r="U170" s="682"/>
      <c r="V170" s="682"/>
      <c r="W170" s="682"/>
      <c r="X170" s="682"/>
      <c r="Y170" s="682"/>
    </row>
    <row r="171" spans="1:25" ht="11.25" customHeight="1">
      <c r="A171" s="682"/>
      <c r="B171" s="682"/>
      <c r="C171" s="682"/>
      <c r="D171" s="683"/>
      <c r="E171" s="682"/>
      <c r="F171" s="682"/>
      <c r="G171" s="682"/>
      <c r="H171" s="682"/>
      <c r="I171" s="682"/>
      <c r="J171" s="682"/>
      <c r="P171" s="682"/>
      <c r="Q171" s="682"/>
      <c r="R171" s="682"/>
      <c r="S171" s="682"/>
      <c r="T171" s="682"/>
      <c r="U171" s="682"/>
      <c r="V171" s="682"/>
      <c r="W171" s="682"/>
      <c r="X171" s="682"/>
      <c r="Y171" s="682"/>
    </row>
    <row r="172" spans="1:25" ht="11.25" customHeight="1">
      <c r="A172" s="682"/>
      <c r="B172" s="682"/>
      <c r="C172" s="682"/>
      <c r="D172" s="683"/>
      <c r="E172" s="682"/>
      <c r="F172" s="682"/>
      <c r="G172" s="682"/>
      <c r="H172" s="682"/>
      <c r="I172" s="682"/>
      <c r="J172" s="682"/>
      <c r="P172" s="682"/>
      <c r="Q172" s="682"/>
      <c r="R172" s="682"/>
      <c r="S172" s="682"/>
      <c r="T172" s="682"/>
      <c r="U172" s="682"/>
      <c r="V172" s="682"/>
      <c r="W172" s="682"/>
      <c r="X172" s="682"/>
      <c r="Y172" s="682"/>
    </row>
    <row r="173" spans="1:25" ht="11.25" customHeight="1">
      <c r="A173" s="682"/>
      <c r="B173" s="682"/>
      <c r="C173" s="682"/>
      <c r="D173" s="683"/>
      <c r="E173" s="682"/>
      <c r="F173" s="682"/>
      <c r="G173" s="682"/>
      <c r="H173" s="682"/>
      <c r="I173" s="682"/>
      <c r="J173" s="682"/>
      <c r="P173" s="682"/>
      <c r="Q173" s="682"/>
      <c r="R173" s="682"/>
      <c r="S173" s="682"/>
      <c r="T173" s="682"/>
      <c r="U173" s="682"/>
      <c r="V173" s="682"/>
      <c r="W173" s="682"/>
      <c r="X173" s="682"/>
      <c r="Y173" s="682"/>
    </row>
    <row r="174" spans="1:25" ht="11.25" customHeight="1">
      <c r="A174" s="682"/>
      <c r="B174" s="682"/>
      <c r="C174" s="682"/>
      <c r="D174" s="683"/>
      <c r="E174" s="682"/>
      <c r="F174" s="682"/>
      <c r="G174" s="682"/>
      <c r="H174" s="682"/>
      <c r="I174" s="682"/>
      <c r="J174" s="682"/>
      <c r="P174" s="682"/>
      <c r="Q174" s="682"/>
      <c r="R174" s="682"/>
      <c r="S174" s="682"/>
      <c r="T174" s="682"/>
      <c r="U174" s="682"/>
      <c r="V174" s="682"/>
      <c r="W174" s="682"/>
      <c r="X174" s="682"/>
      <c r="Y174" s="682"/>
    </row>
    <row r="175" spans="1:25" ht="11.25" customHeight="1">
      <c r="A175" s="682"/>
      <c r="B175" s="682"/>
      <c r="C175" s="682"/>
      <c r="D175" s="683"/>
      <c r="E175" s="682"/>
      <c r="F175" s="682"/>
      <c r="G175" s="682"/>
      <c r="H175" s="682"/>
      <c r="I175" s="682"/>
      <c r="J175" s="682"/>
      <c r="P175" s="682"/>
      <c r="Q175" s="682"/>
      <c r="R175" s="682"/>
      <c r="S175" s="682"/>
      <c r="T175" s="682"/>
      <c r="U175" s="682"/>
      <c r="V175" s="682"/>
      <c r="W175" s="682"/>
      <c r="X175" s="682"/>
      <c r="Y175" s="682"/>
    </row>
    <row r="176" spans="1:25" ht="11.25" customHeight="1">
      <c r="A176" s="682"/>
      <c r="B176" s="682"/>
      <c r="C176" s="682"/>
      <c r="D176" s="683"/>
      <c r="E176" s="682"/>
      <c r="F176" s="682"/>
      <c r="G176" s="682"/>
      <c r="H176" s="682"/>
      <c r="I176" s="682"/>
      <c r="J176" s="682"/>
      <c r="P176" s="682"/>
      <c r="Q176" s="682"/>
      <c r="R176" s="682"/>
      <c r="S176" s="682"/>
      <c r="T176" s="682"/>
      <c r="U176" s="682"/>
      <c r="V176" s="682"/>
      <c r="W176" s="682"/>
      <c r="X176" s="682"/>
      <c r="Y176" s="682"/>
    </row>
    <row r="177" spans="1:25" ht="11.25" customHeight="1">
      <c r="A177" s="682"/>
      <c r="B177" s="682"/>
      <c r="C177" s="682"/>
      <c r="D177" s="683"/>
      <c r="E177" s="682"/>
      <c r="F177" s="682"/>
      <c r="G177" s="682"/>
      <c r="H177" s="682"/>
      <c r="I177" s="682"/>
      <c r="J177" s="682"/>
      <c r="P177" s="682"/>
      <c r="Q177" s="682"/>
      <c r="R177" s="682"/>
      <c r="S177" s="682"/>
      <c r="T177" s="682"/>
      <c r="U177" s="682"/>
      <c r="V177" s="682"/>
      <c r="W177" s="682"/>
      <c r="X177" s="682"/>
      <c r="Y177" s="682"/>
    </row>
    <row r="178" spans="1:25" ht="11.25" customHeight="1">
      <c r="A178" s="682"/>
      <c r="B178" s="682"/>
      <c r="C178" s="682"/>
      <c r="D178" s="683"/>
      <c r="E178" s="682"/>
      <c r="F178" s="682"/>
      <c r="G178" s="682"/>
      <c r="H178" s="682"/>
      <c r="I178" s="682"/>
      <c r="J178" s="682"/>
      <c r="P178" s="682"/>
      <c r="Q178" s="682"/>
      <c r="R178" s="682"/>
      <c r="S178" s="682"/>
      <c r="T178" s="682"/>
      <c r="U178" s="682"/>
      <c r="V178" s="682"/>
      <c r="W178" s="682"/>
      <c r="X178" s="682"/>
      <c r="Y178" s="682"/>
    </row>
    <row r="179" spans="1:25" ht="11.25" customHeight="1">
      <c r="A179" s="682"/>
      <c r="B179" s="682"/>
      <c r="C179" s="682"/>
      <c r="D179" s="683"/>
      <c r="E179" s="682"/>
      <c r="F179" s="682"/>
      <c r="G179" s="682"/>
      <c r="H179" s="682"/>
      <c r="I179" s="682"/>
      <c r="J179" s="682"/>
      <c r="P179" s="682"/>
      <c r="Q179" s="682"/>
      <c r="R179" s="682"/>
      <c r="S179" s="682"/>
      <c r="T179" s="682"/>
      <c r="U179" s="682"/>
      <c r="V179" s="682"/>
      <c r="W179" s="682"/>
      <c r="X179" s="682"/>
      <c r="Y179" s="682"/>
    </row>
    <row r="180" spans="1:25" ht="11.25" customHeight="1">
      <c r="A180" s="682"/>
      <c r="B180" s="682"/>
      <c r="C180" s="682"/>
      <c r="D180" s="683"/>
      <c r="E180" s="682"/>
      <c r="F180" s="682"/>
      <c r="G180" s="682"/>
      <c r="H180" s="682"/>
      <c r="I180" s="682"/>
      <c r="J180" s="682"/>
      <c r="P180" s="682"/>
      <c r="Q180" s="682"/>
      <c r="R180" s="682"/>
      <c r="S180" s="682"/>
      <c r="T180" s="682"/>
      <c r="U180" s="682"/>
      <c r="V180" s="682"/>
      <c r="W180" s="682"/>
      <c r="X180" s="682"/>
      <c r="Y180" s="682"/>
    </row>
    <row r="181" spans="1:25" ht="11.25" customHeight="1">
      <c r="A181" s="682"/>
      <c r="B181" s="682"/>
      <c r="C181" s="682"/>
      <c r="D181" s="683"/>
      <c r="E181" s="682"/>
      <c r="F181" s="682"/>
      <c r="G181" s="682"/>
      <c r="H181" s="682"/>
      <c r="I181" s="682"/>
      <c r="J181" s="682"/>
      <c r="P181" s="682"/>
      <c r="Q181" s="682"/>
      <c r="R181" s="682"/>
      <c r="S181" s="682"/>
      <c r="T181" s="682"/>
      <c r="U181" s="682"/>
      <c r="V181" s="682"/>
      <c r="W181" s="682"/>
      <c r="X181" s="682"/>
      <c r="Y181" s="682"/>
    </row>
    <row r="182" spans="1:25" ht="11.25" customHeight="1">
      <c r="A182" s="682"/>
      <c r="B182" s="682"/>
      <c r="C182" s="682"/>
      <c r="D182" s="683"/>
      <c r="E182" s="682"/>
      <c r="F182" s="682"/>
      <c r="G182" s="682"/>
      <c r="H182" s="682"/>
      <c r="I182" s="682"/>
      <c r="J182" s="682"/>
      <c r="P182" s="682"/>
      <c r="Q182" s="682"/>
      <c r="R182" s="682"/>
      <c r="S182" s="682"/>
      <c r="T182" s="682"/>
      <c r="U182" s="682"/>
      <c r="V182" s="682"/>
      <c r="W182" s="682"/>
      <c r="X182" s="682"/>
      <c r="Y182" s="682"/>
    </row>
    <row r="183" spans="1:25" ht="11.25" customHeight="1">
      <c r="A183" s="682"/>
      <c r="B183" s="682"/>
      <c r="C183" s="682"/>
      <c r="D183" s="683"/>
      <c r="E183" s="682"/>
      <c r="F183" s="682"/>
      <c r="G183" s="682"/>
      <c r="H183" s="682"/>
      <c r="I183" s="682"/>
      <c r="J183" s="682"/>
      <c r="P183" s="682"/>
      <c r="Q183" s="682"/>
      <c r="R183" s="682"/>
      <c r="S183" s="682"/>
      <c r="T183" s="682"/>
      <c r="U183" s="682"/>
      <c r="V183" s="682"/>
      <c r="W183" s="682"/>
      <c r="X183" s="682"/>
      <c r="Y183" s="682"/>
    </row>
    <row r="184" spans="1:25" ht="11.25" customHeight="1">
      <c r="A184" s="682"/>
      <c r="B184" s="682"/>
      <c r="C184" s="682"/>
      <c r="D184" s="683"/>
      <c r="E184" s="682"/>
      <c r="F184" s="682"/>
      <c r="G184" s="682"/>
      <c r="H184" s="682"/>
      <c r="I184" s="682"/>
      <c r="J184" s="682"/>
      <c r="P184" s="682"/>
      <c r="Q184" s="682"/>
      <c r="R184" s="682"/>
      <c r="S184" s="682"/>
      <c r="T184" s="682"/>
      <c r="U184" s="682"/>
      <c r="V184" s="682"/>
      <c r="W184" s="682"/>
      <c r="X184" s="682"/>
      <c r="Y184" s="682"/>
    </row>
    <row r="185" spans="1:25" ht="11.25" customHeight="1">
      <c r="A185" s="682"/>
      <c r="B185" s="682"/>
      <c r="C185" s="682"/>
      <c r="D185" s="683"/>
      <c r="E185" s="682"/>
      <c r="F185" s="682"/>
      <c r="G185" s="682"/>
      <c r="H185" s="682"/>
      <c r="I185" s="682"/>
      <c r="J185" s="682"/>
      <c r="P185" s="682"/>
      <c r="Q185" s="682"/>
      <c r="R185" s="682"/>
      <c r="S185" s="682"/>
      <c r="T185" s="682"/>
      <c r="U185" s="682"/>
      <c r="V185" s="682"/>
      <c r="W185" s="682"/>
      <c r="X185" s="682"/>
      <c r="Y185" s="682"/>
    </row>
    <row r="186" spans="1:25" ht="11.25" customHeight="1">
      <c r="A186" s="682"/>
      <c r="B186" s="682"/>
      <c r="C186" s="682"/>
      <c r="D186" s="683"/>
      <c r="E186" s="682"/>
      <c r="F186" s="682"/>
      <c r="G186" s="682"/>
      <c r="H186" s="682"/>
      <c r="I186" s="682"/>
      <c r="J186" s="682"/>
      <c r="P186" s="682"/>
      <c r="Q186" s="682"/>
      <c r="R186" s="682"/>
      <c r="S186" s="682"/>
      <c r="T186" s="682"/>
      <c r="U186" s="682"/>
      <c r="V186" s="682"/>
      <c r="W186" s="682"/>
      <c r="X186" s="682"/>
      <c r="Y186" s="682"/>
    </row>
    <row r="187" spans="1:25" ht="11.25" customHeight="1">
      <c r="A187" s="682"/>
      <c r="B187" s="682"/>
      <c r="C187" s="682"/>
      <c r="D187" s="683"/>
      <c r="E187" s="682"/>
      <c r="F187" s="682"/>
      <c r="G187" s="682"/>
      <c r="H187" s="682"/>
      <c r="I187" s="682"/>
      <c r="J187" s="682"/>
      <c r="P187" s="682"/>
      <c r="Q187" s="682"/>
      <c r="R187" s="682"/>
      <c r="S187" s="682"/>
      <c r="T187" s="682"/>
      <c r="U187" s="682"/>
      <c r="V187" s="682"/>
      <c r="W187" s="682"/>
      <c r="X187" s="682"/>
      <c r="Y187" s="682"/>
    </row>
    <row r="188" spans="1:25" ht="11.25" customHeight="1">
      <c r="A188" s="682"/>
      <c r="B188" s="682"/>
      <c r="C188" s="682"/>
      <c r="D188" s="683"/>
      <c r="E188" s="682"/>
      <c r="F188" s="682"/>
      <c r="G188" s="682"/>
      <c r="H188" s="682"/>
      <c r="I188" s="682"/>
      <c r="J188" s="682"/>
      <c r="P188" s="682"/>
      <c r="Q188" s="682"/>
      <c r="R188" s="682"/>
      <c r="S188" s="682"/>
      <c r="T188" s="682"/>
      <c r="U188" s="682"/>
      <c r="V188" s="682"/>
      <c r="W188" s="682"/>
      <c r="X188" s="682"/>
      <c r="Y188" s="682"/>
    </row>
    <row r="189" spans="1:25" ht="11.25" customHeight="1">
      <c r="A189" s="682"/>
      <c r="B189" s="682"/>
      <c r="C189" s="682"/>
      <c r="D189" s="683"/>
      <c r="E189" s="682"/>
      <c r="F189" s="682"/>
      <c r="G189" s="682"/>
      <c r="H189" s="682"/>
      <c r="I189" s="682"/>
      <c r="J189" s="682"/>
      <c r="P189" s="682"/>
      <c r="Q189" s="682"/>
      <c r="R189" s="682"/>
      <c r="S189" s="682"/>
      <c r="T189" s="682"/>
      <c r="U189" s="682"/>
      <c r="V189" s="682"/>
      <c r="W189" s="682"/>
      <c r="X189" s="682"/>
      <c r="Y189" s="682"/>
    </row>
    <row r="190" spans="1:25" ht="11.25" customHeight="1">
      <c r="A190" s="682"/>
      <c r="B190" s="682"/>
      <c r="C190" s="682"/>
      <c r="D190" s="683"/>
      <c r="E190" s="682"/>
      <c r="F190" s="682"/>
      <c r="G190" s="682"/>
      <c r="H190" s="682"/>
      <c r="I190" s="682"/>
      <c r="J190" s="682"/>
      <c r="P190" s="682"/>
      <c r="Q190" s="682"/>
      <c r="R190" s="682"/>
      <c r="S190" s="682"/>
      <c r="T190" s="682"/>
      <c r="U190" s="682"/>
      <c r="V190" s="682"/>
      <c r="W190" s="682"/>
      <c r="X190" s="682"/>
      <c r="Y190" s="682"/>
    </row>
    <row r="191" spans="1:25" ht="11.25" customHeight="1">
      <c r="A191" s="682"/>
      <c r="B191" s="682"/>
      <c r="C191" s="682"/>
      <c r="D191" s="683"/>
      <c r="E191" s="682"/>
      <c r="F191" s="682"/>
      <c r="G191" s="682"/>
      <c r="H191" s="682"/>
      <c r="I191" s="682"/>
      <c r="J191" s="682"/>
      <c r="P191" s="682"/>
      <c r="Q191" s="682"/>
      <c r="R191" s="682"/>
      <c r="S191" s="682"/>
      <c r="T191" s="682"/>
      <c r="U191" s="682"/>
      <c r="V191" s="682"/>
      <c r="W191" s="682"/>
      <c r="X191" s="682"/>
      <c r="Y191" s="682"/>
    </row>
    <row r="192" spans="1:25" ht="11.25" customHeight="1">
      <c r="A192" s="682"/>
      <c r="B192" s="682"/>
      <c r="C192" s="682"/>
      <c r="D192" s="683"/>
      <c r="E192" s="682"/>
      <c r="F192" s="682"/>
      <c r="G192" s="682"/>
      <c r="H192" s="682"/>
      <c r="I192" s="682"/>
      <c r="J192" s="682"/>
      <c r="P192" s="682"/>
      <c r="Q192" s="682"/>
      <c r="R192" s="682"/>
      <c r="S192" s="682"/>
      <c r="T192" s="682"/>
      <c r="U192" s="682"/>
      <c r="V192" s="682"/>
      <c r="W192" s="682"/>
      <c r="X192" s="682"/>
      <c r="Y192" s="682"/>
    </row>
    <row r="193" spans="1:25" ht="11.25" customHeight="1">
      <c r="A193" s="682"/>
      <c r="B193" s="682"/>
      <c r="C193" s="682"/>
      <c r="D193" s="683"/>
      <c r="E193" s="682"/>
      <c r="F193" s="682"/>
      <c r="G193" s="682"/>
      <c r="H193" s="682"/>
      <c r="I193" s="682"/>
      <c r="J193" s="682"/>
      <c r="P193" s="682"/>
      <c r="Q193" s="682"/>
      <c r="R193" s="682"/>
      <c r="S193" s="682"/>
      <c r="T193" s="682"/>
      <c r="U193" s="682"/>
      <c r="V193" s="682"/>
      <c r="W193" s="682"/>
      <c r="X193" s="682"/>
      <c r="Y193" s="682"/>
    </row>
    <row r="194" spans="1:25" ht="11.25" customHeight="1">
      <c r="A194" s="682"/>
      <c r="B194" s="682"/>
      <c r="C194" s="682"/>
      <c r="D194" s="683"/>
      <c r="E194" s="682"/>
      <c r="F194" s="682"/>
      <c r="G194" s="682"/>
      <c r="H194" s="682"/>
      <c r="I194" s="682"/>
      <c r="J194" s="682"/>
      <c r="P194" s="682"/>
      <c r="Q194" s="682"/>
      <c r="R194" s="682"/>
      <c r="S194" s="682"/>
      <c r="T194" s="682"/>
      <c r="U194" s="682"/>
      <c r="V194" s="682"/>
      <c r="W194" s="682"/>
      <c r="X194" s="682"/>
      <c r="Y194" s="682"/>
    </row>
    <row r="195" spans="1:25" ht="11.25" customHeight="1">
      <c r="A195" s="682"/>
      <c r="B195" s="682"/>
      <c r="C195" s="682"/>
      <c r="D195" s="683"/>
      <c r="E195" s="682"/>
      <c r="F195" s="682"/>
      <c r="G195" s="682"/>
      <c r="H195" s="682"/>
      <c r="I195" s="682"/>
      <c r="J195" s="682"/>
      <c r="P195" s="682"/>
      <c r="Q195" s="682"/>
      <c r="R195" s="682"/>
      <c r="S195" s="682"/>
      <c r="T195" s="682"/>
      <c r="U195" s="682"/>
      <c r="V195" s="682"/>
      <c r="W195" s="682"/>
      <c r="X195" s="682"/>
      <c r="Y195" s="682"/>
    </row>
    <row r="196" spans="1:25" ht="11.25" customHeight="1">
      <c r="A196" s="682"/>
      <c r="B196" s="682"/>
      <c r="C196" s="682"/>
      <c r="D196" s="683"/>
      <c r="E196" s="682"/>
      <c r="F196" s="682"/>
      <c r="G196" s="682"/>
      <c r="H196" s="682"/>
      <c r="I196" s="682"/>
      <c r="J196" s="682"/>
      <c r="P196" s="682"/>
      <c r="Q196" s="682"/>
      <c r="R196" s="682"/>
      <c r="S196" s="682"/>
      <c r="T196" s="682"/>
      <c r="U196" s="682"/>
      <c r="V196" s="682"/>
      <c r="W196" s="682"/>
      <c r="X196" s="682"/>
      <c r="Y196" s="682"/>
    </row>
    <row r="197" spans="1:25" ht="11.25" customHeight="1">
      <c r="A197" s="682"/>
      <c r="B197" s="682"/>
      <c r="C197" s="682"/>
      <c r="D197" s="683"/>
      <c r="E197" s="682"/>
      <c r="F197" s="682"/>
      <c r="G197" s="682"/>
      <c r="H197" s="682"/>
      <c r="I197" s="682"/>
      <c r="J197" s="682"/>
      <c r="P197" s="682"/>
      <c r="Q197" s="682"/>
      <c r="R197" s="682"/>
      <c r="S197" s="682"/>
      <c r="T197" s="682"/>
      <c r="U197" s="682"/>
      <c r="V197" s="682"/>
      <c r="W197" s="682"/>
      <c r="X197" s="682"/>
      <c r="Y197" s="682"/>
    </row>
    <row r="198" spans="1:25" ht="11.25" customHeight="1">
      <c r="A198" s="682"/>
      <c r="B198" s="682"/>
      <c r="C198" s="682"/>
      <c r="D198" s="683"/>
      <c r="E198" s="682"/>
      <c r="F198" s="682"/>
      <c r="G198" s="682"/>
      <c r="H198" s="682"/>
      <c r="I198" s="682"/>
      <c r="J198" s="682"/>
      <c r="P198" s="682"/>
      <c r="Q198" s="682"/>
      <c r="R198" s="682"/>
      <c r="S198" s="682"/>
      <c r="T198" s="682"/>
      <c r="U198" s="682"/>
      <c r="V198" s="682"/>
      <c r="W198" s="682"/>
      <c r="X198" s="682"/>
      <c r="Y198" s="682"/>
    </row>
    <row r="199" spans="1:25" ht="11.25" customHeight="1">
      <c r="A199" s="682"/>
      <c r="B199" s="682"/>
      <c r="C199" s="682"/>
      <c r="D199" s="683"/>
      <c r="E199" s="682"/>
      <c r="F199" s="682"/>
      <c r="G199" s="682"/>
      <c r="H199" s="682"/>
      <c r="I199" s="682"/>
      <c r="J199" s="682"/>
      <c r="P199" s="682"/>
      <c r="Q199" s="682"/>
      <c r="R199" s="682"/>
      <c r="S199" s="682"/>
      <c r="T199" s="682"/>
      <c r="U199" s="682"/>
      <c r="V199" s="682"/>
      <c r="W199" s="682"/>
      <c r="X199" s="682"/>
      <c r="Y199" s="682"/>
    </row>
    <row r="200" spans="1:25" ht="11.25" customHeight="1">
      <c r="A200" s="682"/>
      <c r="B200" s="682"/>
      <c r="C200" s="682"/>
      <c r="D200" s="683"/>
      <c r="E200" s="682"/>
      <c r="F200" s="682"/>
      <c r="G200" s="682"/>
      <c r="H200" s="682"/>
      <c r="I200" s="682"/>
      <c r="J200" s="682"/>
      <c r="P200" s="682"/>
      <c r="Q200" s="682"/>
      <c r="R200" s="682"/>
      <c r="S200" s="682"/>
      <c r="T200" s="682"/>
      <c r="U200" s="682"/>
      <c r="V200" s="682"/>
      <c r="W200" s="682"/>
      <c r="X200" s="682"/>
      <c r="Y200" s="682"/>
    </row>
    <row r="201" spans="1:25" ht="11.25" customHeight="1">
      <c r="A201" s="682"/>
      <c r="B201" s="682"/>
      <c r="C201" s="682"/>
      <c r="D201" s="683"/>
      <c r="E201" s="682"/>
      <c r="F201" s="682"/>
      <c r="G201" s="682"/>
      <c r="H201" s="682"/>
      <c r="I201" s="682"/>
      <c r="J201" s="682"/>
      <c r="P201" s="682"/>
      <c r="Q201" s="682"/>
      <c r="R201" s="682"/>
      <c r="S201" s="682"/>
      <c r="T201" s="682"/>
      <c r="U201" s="682"/>
      <c r="V201" s="682"/>
      <c r="W201" s="682"/>
      <c r="X201" s="682"/>
      <c r="Y201" s="682"/>
    </row>
    <row r="202" spans="1:25" ht="11.25" customHeight="1">
      <c r="A202" s="682"/>
      <c r="B202" s="682"/>
      <c r="C202" s="682"/>
      <c r="D202" s="683"/>
      <c r="E202" s="682"/>
      <c r="F202" s="682"/>
      <c r="G202" s="682"/>
      <c r="H202" s="682"/>
      <c r="I202" s="682"/>
      <c r="J202" s="682"/>
      <c r="P202" s="682"/>
      <c r="Q202" s="682"/>
      <c r="R202" s="682"/>
      <c r="S202" s="682"/>
      <c r="T202" s="682"/>
      <c r="U202" s="682"/>
      <c r="V202" s="682"/>
      <c r="W202" s="682"/>
      <c r="X202" s="682"/>
      <c r="Y202" s="682"/>
    </row>
    <row r="203" spans="1:25" ht="11.25" customHeight="1">
      <c r="A203" s="682"/>
      <c r="B203" s="682"/>
      <c r="C203" s="682"/>
      <c r="D203" s="683"/>
      <c r="E203" s="682"/>
      <c r="F203" s="682"/>
      <c r="G203" s="682"/>
      <c r="H203" s="682"/>
      <c r="I203" s="682"/>
      <c r="J203" s="682"/>
      <c r="P203" s="682"/>
      <c r="Q203" s="682"/>
      <c r="R203" s="682"/>
      <c r="S203" s="682"/>
      <c r="T203" s="682"/>
      <c r="U203" s="682"/>
      <c r="V203" s="682"/>
      <c r="W203" s="682"/>
      <c r="X203" s="682"/>
      <c r="Y203" s="682"/>
    </row>
    <row r="204" spans="1:25" ht="11.25" customHeight="1">
      <c r="A204" s="682"/>
      <c r="B204" s="682"/>
      <c r="C204" s="682"/>
      <c r="D204" s="683"/>
      <c r="E204" s="682"/>
      <c r="F204" s="682"/>
      <c r="G204" s="682"/>
      <c r="H204" s="682"/>
      <c r="I204" s="682"/>
      <c r="J204" s="682"/>
      <c r="P204" s="682"/>
      <c r="Q204" s="682"/>
      <c r="R204" s="682"/>
      <c r="S204" s="682"/>
      <c r="T204" s="682"/>
      <c r="U204" s="682"/>
      <c r="V204" s="682"/>
      <c r="W204" s="682"/>
      <c r="X204" s="682"/>
      <c r="Y204" s="682"/>
    </row>
    <row r="205" spans="1:25" ht="11.25" customHeight="1">
      <c r="A205" s="682"/>
      <c r="B205" s="682"/>
      <c r="C205" s="682"/>
      <c r="D205" s="683"/>
      <c r="E205" s="682"/>
      <c r="F205" s="682"/>
      <c r="G205" s="682"/>
      <c r="H205" s="682"/>
      <c r="I205" s="682"/>
      <c r="J205" s="682"/>
      <c r="P205" s="682"/>
      <c r="Q205" s="682"/>
      <c r="R205" s="682"/>
      <c r="S205" s="682"/>
      <c r="T205" s="682"/>
      <c r="U205" s="682"/>
      <c r="V205" s="682"/>
      <c r="W205" s="682"/>
      <c r="X205" s="682"/>
      <c r="Y205" s="682"/>
    </row>
    <row r="206" spans="1:25" ht="11.25" customHeight="1">
      <c r="A206" s="682"/>
      <c r="B206" s="682"/>
      <c r="C206" s="682"/>
      <c r="D206" s="683"/>
      <c r="E206" s="682"/>
      <c r="F206" s="682"/>
      <c r="G206" s="682"/>
      <c r="H206" s="682"/>
      <c r="I206" s="682"/>
      <c r="J206" s="682"/>
      <c r="P206" s="682"/>
      <c r="Q206" s="682"/>
      <c r="R206" s="682"/>
      <c r="S206" s="682"/>
      <c r="T206" s="682"/>
      <c r="U206" s="682"/>
      <c r="V206" s="682"/>
      <c r="W206" s="682"/>
      <c r="X206" s="682"/>
      <c r="Y206" s="682"/>
    </row>
    <row r="207" spans="1:25" ht="11.25" customHeight="1">
      <c r="A207" s="682"/>
      <c r="B207" s="682"/>
      <c r="C207" s="682"/>
      <c r="D207" s="683"/>
      <c r="E207" s="682"/>
      <c r="F207" s="682"/>
      <c r="G207" s="682"/>
      <c r="H207" s="682"/>
      <c r="I207" s="682"/>
      <c r="J207" s="682"/>
      <c r="P207" s="682"/>
      <c r="Q207" s="682"/>
      <c r="R207" s="682"/>
      <c r="S207" s="682"/>
      <c r="T207" s="682"/>
      <c r="U207" s="682"/>
      <c r="V207" s="682"/>
      <c r="W207" s="682"/>
      <c r="X207" s="682"/>
      <c r="Y207" s="682"/>
    </row>
    <row r="208" spans="1:25" ht="11.25" customHeight="1">
      <c r="A208" s="682"/>
      <c r="B208" s="682"/>
      <c r="C208" s="682"/>
      <c r="D208" s="683"/>
      <c r="E208" s="682"/>
      <c r="F208" s="682"/>
      <c r="G208" s="682"/>
      <c r="H208" s="682"/>
      <c r="I208" s="682"/>
      <c r="J208" s="682"/>
      <c r="P208" s="682"/>
      <c r="Q208" s="682"/>
      <c r="R208" s="682"/>
      <c r="S208" s="682"/>
      <c r="T208" s="682"/>
      <c r="U208" s="682"/>
      <c r="V208" s="682"/>
      <c r="W208" s="682"/>
      <c r="X208" s="682"/>
      <c r="Y208" s="682"/>
    </row>
    <row r="209" spans="1:25" ht="11.25" customHeight="1">
      <c r="A209" s="682"/>
      <c r="B209" s="682"/>
      <c r="C209" s="682"/>
      <c r="D209" s="683"/>
      <c r="E209" s="682"/>
      <c r="F209" s="682"/>
      <c r="G209" s="682"/>
      <c r="H209" s="682"/>
      <c r="I209" s="682"/>
      <c r="J209" s="682"/>
      <c r="P209" s="682"/>
      <c r="Q209" s="682"/>
      <c r="R209" s="682"/>
      <c r="S209" s="682"/>
      <c r="T209" s="682"/>
      <c r="U209" s="682"/>
      <c r="V209" s="682"/>
      <c r="W209" s="682"/>
      <c r="X209" s="682"/>
      <c r="Y209" s="682"/>
    </row>
    <row r="210" spans="1:25" ht="11.25" customHeight="1">
      <c r="A210" s="682"/>
      <c r="B210" s="682"/>
      <c r="C210" s="682"/>
      <c r="D210" s="683"/>
      <c r="E210" s="682"/>
      <c r="F210" s="682"/>
      <c r="G210" s="682"/>
      <c r="H210" s="682"/>
      <c r="I210" s="682"/>
      <c r="J210" s="682"/>
      <c r="P210" s="682"/>
      <c r="Q210" s="682"/>
      <c r="R210" s="682"/>
      <c r="S210" s="682"/>
      <c r="T210" s="682"/>
      <c r="U210" s="682"/>
      <c r="V210" s="682"/>
      <c r="W210" s="682"/>
      <c r="X210" s="682"/>
      <c r="Y210" s="682"/>
    </row>
    <row r="211" spans="1:25" ht="11.25" customHeight="1">
      <c r="A211" s="682"/>
      <c r="B211" s="682"/>
      <c r="C211" s="682"/>
      <c r="D211" s="683"/>
      <c r="E211" s="682"/>
      <c r="F211" s="682"/>
      <c r="G211" s="682"/>
      <c r="H211" s="682"/>
      <c r="I211" s="682"/>
      <c r="J211" s="682"/>
      <c r="P211" s="682"/>
      <c r="Q211" s="682"/>
      <c r="R211" s="682"/>
      <c r="S211" s="682"/>
      <c r="T211" s="682"/>
      <c r="U211" s="682"/>
      <c r="V211" s="682"/>
      <c r="W211" s="682"/>
      <c r="X211" s="682"/>
      <c r="Y211" s="682"/>
    </row>
    <row r="212" spans="1:25" ht="11.25" customHeight="1">
      <c r="A212" s="682"/>
      <c r="B212" s="682"/>
      <c r="C212" s="682"/>
      <c r="D212" s="683"/>
      <c r="E212" s="682"/>
      <c r="F212" s="682"/>
      <c r="G212" s="682"/>
      <c r="H212" s="682"/>
      <c r="I212" s="682"/>
      <c r="J212" s="682"/>
      <c r="P212" s="682"/>
      <c r="Q212" s="682"/>
      <c r="R212" s="682"/>
      <c r="S212" s="682"/>
      <c r="T212" s="682"/>
      <c r="U212" s="682"/>
      <c r="V212" s="682"/>
      <c r="W212" s="682"/>
      <c r="X212" s="682"/>
      <c r="Y212" s="682"/>
    </row>
    <row r="213" spans="1:25" ht="11.25" customHeight="1">
      <c r="A213" s="682"/>
      <c r="B213" s="682"/>
      <c r="C213" s="682"/>
      <c r="D213" s="683"/>
      <c r="E213" s="682"/>
      <c r="F213" s="682"/>
      <c r="G213" s="682"/>
      <c r="H213" s="682"/>
      <c r="I213" s="682"/>
      <c r="J213" s="682"/>
      <c r="P213" s="682"/>
      <c r="Q213" s="682"/>
      <c r="R213" s="682"/>
      <c r="S213" s="682"/>
      <c r="T213" s="682"/>
      <c r="U213" s="682"/>
      <c r="V213" s="682"/>
      <c r="W213" s="682"/>
      <c r="X213" s="682"/>
      <c r="Y213" s="682"/>
    </row>
    <row r="214" spans="1:25" ht="11.25" customHeight="1">
      <c r="A214" s="682"/>
      <c r="B214" s="682"/>
      <c r="C214" s="682"/>
      <c r="D214" s="683"/>
      <c r="E214" s="682"/>
      <c r="F214" s="682"/>
      <c r="G214" s="682"/>
      <c r="H214" s="682"/>
      <c r="I214" s="682"/>
      <c r="J214" s="682"/>
      <c r="P214" s="682"/>
      <c r="Q214" s="682"/>
      <c r="R214" s="682"/>
      <c r="S214" s="682"/>
      <c r="T214" s="682"/>
      <c r="U214" s="682"/>
      <c r="V214" s="682"/>
      <c r="W214" s="682"/>
      <c r="X214" s="682"/>
      <c r="Y214" s="682"/>
    </row>
    <row r="215" spans="1:25" ht="11.25" customHeight="1">
      <c r="A215" s="682"/>
      <c r="B215" s="682"/>
      <c r="C215" s="682"/>
      <c r="D215" s="683"/>
      <c r="E215" s="682"/>
      <c r="F215" s="682"/>
      <c r="G215" s="682"/>
      <c r="H215" s="682"/>
      <c r="I215" s="682"/>
      <c r="J215" s="682"/>
      <c r="P215" s="682"/>
      <c r="Q215" s="682"/>
      <c r="R215" s="682"/>
      <c r="S215" s="682"/>
      <c r="T215" s="682"/>
      <c r="U215" s="682"/>
      <c r="V215" s="682"/>
      <c r="W215" s="682"/>
      <c r="X215" s="682"/>
      <c r="Y215" s="682"/>
    </row>
    <row r="216" spans="1:25" ht="11.25" customHeight="1">
      <c r="A216" s="682"/>
      <c r="B216" s="682"/>
      <c r="C216" s="682"/>
      <c r="D216" s="683"/>
      <c r="E216" s="682"/>
      <c r="F216" s="682"/>
      <c r="G216" s="682"/>
      <c r="H216" s="682"/>
      <c r="I216" s="682"/>
      <c r="J216" s="682"/>
      <c r="P216" s="682"/>
      <c r="Q216" s="682"/>
      <c r="R216" s="682"/>
      <c r="S216" s="682"/>
      <c r="T216" s="682"/>
      <c r="U216" s="682"/>
      <c r="V216" s="682"/>
      <c r="W216" s="682"/>
      <c r="X216" s="682"/>
      <c r="Y216" s="682"/>
    </row>
    <row r="217" spans="1:25" ht="11.25" customHeight="1">
      <c r="A217" s="682"/>
      <c r="B217" s="682"/>
      <c r="C217" s="682"/>
      <c r="D217" s="683"/>
      <c r="E217" s="682"/>
      <c r="F217" s="682"/>
      <c r="G217" s="682"/>
      <c r="H217" s="682"/>
      <c r="I217" s="682"/>
      <c r="J217" s="682"/>
      <c r="P217" s="682"/>
      <c r="Q217" s="682"/>
      <c r="R217" s="682"/>
      <c r="S217" s="682"/>
      <c r="T217" s="682"/>
      <c r="U217" s="682"/>
      <c r="V217" s="682"/>
      <c r="W217" s="682"/>
      <c r="X217" s="682"/>
      <c r="Y217" s="682"/>
    </row>
    <row r="218" spans="1:25" ht="11.25" customHeight="1">
      <c r="A218" s="682"/>
      <c r="B218" s="682"/>
      <c r="C218" s="682"/>
      <c r="D218" s="683"/>
      <c r="E218" s="682"/>
      <c r="F218" s="682"/>
      <c r="G218" s="682"/>
      <c r="H218" s="682"/>
      <c r="I218" s="682"/>
      <c r="J218" s="682"/>
      <c r="P218" s="682"/>
      <c r="Q218" s="682"/>
      <c r="R218" s="682"/>
      <c r="S218" s="682"/>
      <c r="T218" s="682"/>
      <c r="U218" s="682"/>
      <c r="V218" s="682"/>
      <c r="W218" s="682"/>
      <c r="X218" s="682"/>
      <c r="Y218" s="682"/>
    </row>
    <row r="219" spans="1:25" ht="11.25" customHeight="1">
      <c r="A219" s="682"/>
      <c r="B219" s="682"/>
      <c r="C219" s="682"/>
      <c r="D219" s="683"/>
      <c r="E219" s="682"/>
      <c r="F219" s="682"/>
      <c r="G219" s="682"/>
      <c r="H219" s="682"/>
      <c r="I219" s="682"/>
      <c r="J219" s="682"/>
      <c r="P219" s="682"/>
      <c r="Q219" s="682"/>
      <c r="R219" s="682"/>
      <c r="S219" s="682"/>
      <c r="T219" s="682"/>
      <c r="U219" s="682"/>
      <c r="V219" s="682"/>
      <c r="W219" s="682"/>
      <c r="X219" s="682"/>
      <c r="Y219" s="682"/>
    </row>
    <row r="220" spans="1:25" ht="11.25" customHeight="1">
      <c r="A220" s="682"/>
      <c r="B220" s="682"/>
      <c r="C220" s="682"/>
      <c r="D220" s="683"/>
      <c r="E220" s="682"/>
      <c r="F220" s="682"/>
      <c r="G220" s="682"/>
      <c r="H220" s="682"/>
      <c r="I220" s="682"/>
      <c r="J220" s="682"/>
      <c r="P220" s="682"/>
      <c r="Q220" s="682"/>
      <c r="R220" s="682"/>
      <c r="S220" s="682"/>
      <c r="T220" s="682"/>
      <c r="U220" s="682"/>
      <c r="V220" s="682"/>
      <c r="W220" s="682"/>
      <c r="X220" s="682"/>
      <c r="Y220" s="682"/>
    </row>
    <row r="221" spans="1:25" ht="11.25" customHeight="1">
      <c r="A221" s="682"/>
      <c r="B221" s="682"/>
      <c r="C221" s="682"/>
      <c r="D221" s="683"/>
      <c r="E221" s="682"/>
      <c r="F221" s="682"/>
      <c r="G221" s="682"/>
      <c r="H221" s="682"/>
      <c r="I221" s="682"/>
      <c r="J221" s="682"/>
      <c r="P221" s="682"/>
      <c r="Q221" s="682"/>
      <c r="R221" s="682"/>
      <c r="S221" s="682"/>
      <c r="T221" s="682"/>
      <c r="U221" s="682"/>
      <c r="V221" s="682"/>
      <c r="W221" s="682"/>
      <c r="X221" s="682"/>
      <c r="Y221" s="682"/>
    </row>
    <row r="222" spans="1:25" ht="11.25" customHeight="1">
      <c r="A222" s="682"/>
      <c r="B222" s="682"/>
      <c r="C222" s="682"/>
      <c r="D222" s="683"/>
      <c r="E222" s="682"/>
      <c r="F222" s="682"/>
      <c r="G222" s="682"/>
      <c r="H222" s="682"/>
      <c r="I222" s="682"/>
      <c r="J222" s="682"/>
      <c r="P222" s="682"/>
      <c r="Q222" s="682"/>
      <c r="R222" s="682"/>
      <c r="S222" s="682"/>
      <c r="T222" s="682"/>
      <c r="U222" s="682"/>
      <c r="V222" s="682"/>
      <c r="W222" s="682"/>
      <c r="X222" s="682"/>
      <c r="Y222" s="682"/>
    </row>
    <row r="223" spans="1:25" ht="11.25" customHeight="1">
      <c r="A223" s="682"/>
      <c r="B223" s="682"/>
      <c r="C223" s="682"/>
      <c r="D223" s="683"/>
      <c r="E223" s="682"/>
      <c r="F223" s="682"/>
      <c r="G223" s="682"/>
      <c r="H223" s="682"/>
      <c r="I223" s="682"/>
      <c r="J223" s="682"/>
      <c r="P223" s="682"/>
      <c r="Q223" s="682"/>
      <c r="R223" s="682"/>
      <c r="S223" s="682"/>
      <c r="T223" s="682"/>
      <c r="U223" s="682"/>
      <c r="V223" s="682"/>
      <c r="W223" s="682"/>
      <c r="X223" s="682"/>
      <c r="Y223" s="682"/>
    </row>
    <row r="224" spans="1:25" ht="11.25" customHeight="1">
      <c r="A224" s="682"/>
      <c r="B224" s="682"/>
      <c r="C224" s="682"/>
      <c r="D224" s="683"/>
      <c r="E224" s="682"/>
      <c r="F224" s="682"/>
      <c r="G224" s="682"/>
      <c r="H224" s="682"/>
      <c r="I224" s="682"/>
      <c r="J224" s="682"/>
      <c r="P224" s="682"/>
      <c r="Q224" s="682"/>
      <c r="R224" s="682"/>
      <c r="S224" s="682"/>
      <c r="T224" s="682"/>
      <c r="U224" s="682"/>
      <c r="V224" s="682"/>
      <c r="W224" s="682"/>
      <c r="X224" s="682"/>
      <c r="Y224" s="682"/>
    </row>
    <row r="225" spans="1:25" ht="11.25" customHeight="1">
      <c r="A225" s="682"/>
      <c r="B225" s="682"/>
      <c r="C225" s="682"/>
      <c r="D225" s="683"/>
      <c r="E225" s="682"/>
      <c r="F225" s="682"/>
      <c r="G225" s="682"/>
      <c r="H225" s="682"/>
      <c r="I225" s="682"/>
      <c r="J225" s="682"/>
      <c r="P225" s="682"/>
      <c r="Q225" s="682"/>
      <c r="R225" s="682"/>
      <c r="S225" s="682"/>
      <c r="T225" s="682"/>
      <c r="U225" s="682"/>
      <c r="V225" s="682"/>
      <c r="W225" s="682"/>
      <c r="X225" s="682"/>
      <c r="Y225" s="682"/>
    </row>
    <row r="226" spans="1:25" ht="11.25" customHeight="1">
      <c r="A226" s="682"/>
      <c r="B226" s="682"/>
      <c r="C226" s="682"/>
      <c r="D226" s="683"/>
      <c r="E226" s="682"/>
      <c r="F226" s="682"/>
      <c r="G226" s="682"/>
      <c r="H226" s="682"/>
      <c r="I226" s="682"/>
      <c r="J226" s="682"/>
      <c r="P226" s="682"/>
      <c r="Q226" s="682"/>
      <c r="R226" s="682"/>
      <c r="S226" s="682"/>
      <c r="T226" s="682"/>
      <c r="U226" s="682"/>
      <c r="V226" s="682"/>
      <c r="W226" s="682"/>
      <c r="X226" s="682"/>
      <c r="Y226" s="682"/>
    </row>
    <row r="227" spans="1:25" ht="11.25" customHeight="1">
      <c r="A227" s="682"/>
      <c r="B227" s="682"/>
      <c r="C227" s="682"/>
      <c r="D227" s="683"/>
      <c r="E227" s="682"/>
      <c r="F227" s="682"/>
      <c r="G227" s="682"/>
      <c r="H227" s="682"/>
      <c r="I227" s="682"/>
      <c r="J227" s="682"/>
      <c r="P227" s="682"/>
      <c r="Q227" s="682"/>
      <c r="R227" s="682"/>
      <c r="S227" s="682"/>
      <c r="T227" s="682"/>
      <c r="U227" s="682"/>
      <c r="V227" s="682"/>
      <c r="W227" s="682"/>
      <c r="X227" s="682"/>
      <c r="Y227" s="682"/>
    </row>
    <row r="228" spans="1:25" ht="11.25" customHeight="1">
      <c r="A228" s="682"/>
      <c r="B228" s="682"/>
      <c r="C228" s="682"/>
      <c r="D228" s="683"/>
      <c r="E228" s="682"/>
      <c r="F228" s="682"/>
      <c r="G228" s="682"/>
      <c r="H228" s="682"/>
      <c r="I228" s="682"/>
      <c r="J228" s="682"/>
      <c r="P228" s="682"/>
      <c r="Q228" s="682"/>
      <c r="R228" s="682"/>
      <c r="S228" s="682"/>
      <c r="T228" s="682"/>
      <c r="U228" s="682"/>
      <c r="V228" s="682"/>
      <c r="W228" s="682"/>
      <c r="X228" s="682"/>
      <c r="Y228" s="682"/>
    </row>
    <row r="229" spans="1:25" ht="11.25" customHeight="1">
      <c r="A229" s="682"/>
      <c r="B229" s="682"/>
      <c r="C229" s="682"/>
      <c r="D229" s="683"/>
      <c r="E229" s="682"/>
      <c r="F229" s="682"/>
      <c r="G229" s="682"/>
      <c r="H229" s="682"/>
      <c r="I229" s="682"/>
      <c r="J229" s="682"/>
      <c r="P229" s="682"/>
      <c r="Q229" s="682"/>
      <c r="R229" s="682"/>
      <c r="S229" s="682"/>
      <c r="T229" s="682"/>
      <c r="U229" s="682"/>
      <c r="V229" s="682"/>
      <c r="W229" s="682"/>
      <c r="X229" s="682"/>
      <c r="Y229" s="682"/>
    </row>
    <row r="230" spans="1:25" ht="11.25" customHeight="1">
      <c r="A230" s="682"/>
      <c r="B230" s="682"/>
      <c r="C230" s="682"/>
      <c r="D230" s="683"/>
      <c r="E230" s="682"/>
      <c r="F230" s="682"/>
      <c r="G230" s="682"/>
      <c r="H230" s="682"/>
      <c r="I230" s="682"/>
      <c r="J230" s="682"/>
      <c r="P230" s="682"/>
      <c r="Q230" s="682"/>
      <c r="R230" s="682"/>
      <c r="S230" s="682"/>
      <c r="T230" s="682"/>
      <c r="U230" s="682"/>
      <c r="V230" s="682"/>
      <c r="W230" s="682"/>
      <c r="X230" s="682"/>
      <c r="Y230" s="682"/>
    </row>
    <row r="231" spans="1:25" ht="11.25" customHeight="1">
      <c r="A231" s="682"/>
      <c r="B231" s="682"/>
      <c r="C231" s="682"/>
      <c r="D231" s="683"/>
      <c r="E231" s="682"/>
      <c r="F231" s="682"/>
      <c r="G231" s="682"/>
      <c r="H231" s="682"/>
      <c r="I231" s="682"/>
      <c r="J231" s="682"/>
      <c r="P231" s="682"/>
      <c r="Q231" s="682"/>
      <c r="R231" s="682"/>
      <c r="S231" s="682"/>
      <c r="T231" s="682"/>
      <c r="U231" s="682"/>
      <c r="V231" s="682"/>
      <c r="W231" s="682"/>
      <c r="X231" s="682"/>
      <c r="Y231" s="682"/>
    </row>
    <row r="232" spans="1:25" ht="11.25" customHeight="1">
      <c r="A232" s="682"/>
      <c r="B232" s="682"/>
      <c r="C232" s="682"/>
      <c r="D232" s="683"/>
      <c r="E232" s="682"/>
      <c r="F232" s="682"/>
      <c r="G232" s="682"/>
      <c r="H232" s="682"/>
      <c r="I232" s="682"/>
      <c r="J232" s="682"/>
      <c r="P232" s="682"/>
      <c r="Q232" s="682"/>
      <c r="R232" s="682"/>
      <c r="S232" s="682"/>
      <c r="T232" s="682"/>
      <c r="U232" s="682"/>
      <c r="V232" s="682"/>
      <c r="W232" s="682"/>
      <c r="X232" s="682"/>
      <c r="Y232" s="682"/>
    </row>
    <row r="233" spans="1:25" ht="11.25" customHeight="1">
      <c r="A233" s="682"/>
      <c r="B233" s="682"/>
      <c r="C233" s="682"/>
      <c r="D233" s="683"/>
      <c r="E233" s="682"/>
      <c r="F233" s="682"/>
      <c r="G233" s="682"/>
      <c r="H233" s="682"/>
      <c r="I233" s="682"/>
      <c r="J233" s="682"/>
      <c r="P233" s="682"/>
      <c r="Q233" s="682"/>
      <c r="R233" s="682"/>
      <c r="S233" s="682"/>
      <c r="T233" s="682"/>
      <c r="U233" s="682"/>
      <c r="V233" s="682"/>
      <c r="W233" s="682"/>
      <c r="X233" s="682"/>
      <c r="Y233" s="682"/>
    </row>
    <row r="234" spans="1:25" ht="11.25" customHeight="1">
      <c r="A234" s="682"/>
      <c r="B234" s="682"/>
      <c r="C234" s="682"/>
      <c r="D234" s="683"/>
      <c r="E234" s="682"/>
      <c r="F234" s="682"/>
      <c r="G234" s="682"/>
      <c r="H234" s="682"/>
      <c r="I234" s="682"/>
      <c r="J234" s="682"/>
      <c r="P234" s="682"/>
      <c r="Q234" s="682"/>
      <c r="R234" s="682"/>
      <c r="S234" s="682"/>
      <c r="T234" s="682"/>
      <c r="U234" s="682"/>
      <c r="V234" s="682"/>
      <c r="W234" s="682"/>
      <c r="X234" s="682"/>
      <c r="Y234" s="682"/>
    </row>
    <row r="235" spans="1:25" ht="11.25" customHeight="1">
      <c r="A235" s="682"/>
      <c r="B235" s="682"/>
      <c r="C235" s="682"/>
      <c r="D235" s="683"/>
      <c r="E235" s="682"/>
      <c r="F235" s="682"/>
      <c r="G235" s="682"/>
      <c r="H235" s="682"/>
      <c r="I235" s="682"/>
      <c r="J235" s="682"/>
      <c r="P235" s="682"/>
      <c r="Q235" s="682"/>
      <c r="R235" s="682"/>
      <c r="S235" s="682"/>
      <c r="T235" s="682"/>
      <c r="U235" s="682"/>
      <c r="V235" s="682"/>
      <c r="W235" s="682"/>
      <c r="X235" s="682"/>
      <c r="Y235" s="682"/>
    </row>
    <row r="236" spans="1:25" ht="11.25" customHeight="1">
      <c r="A236" s="682"/>
      <c r="B236" s="682"/>
      <c r="C236" s="682"/>
      <c r="D236" s="683"/>
      <c r="E236" s="682"/>
      <c r="F236" s="682"/>
      <c r="G236" s="682"/>
      <c r="H236" s="682"/>
      <c r="I236" s="682"/>
      <c r="J236" s="682"/>
      <c r="P236" s="682"/>
      <c r="Q236" s="682"/>
      <c r="R236" s="682"/>
      <c r="S236" s="682"/>
      <c r="T236" s="682"/>
      <c r="U236" s="682"/>
      <c r="V236" s="682"/>
      <c r="W236" s="682"/>
      <c r="X236" s="682"/>
      <c r="Y236" s="682"/>
    </row>
    <row r="237" spans="1:25" ht="11.25" customHeight="1">
      <c r="A237" s="682"/>
      <c r="B237" s="682"/>
      <c r="C237" s="682"/>
      <c r="D237" s="683"/>
      <c r="E237" s="682"/>
      <c r="F237" s="682"/>
      <c r="G237" s="682"/>
      <c r="H237" s="682"/>
      <c r="I237" s="682"/>
      <c r="J237" s="682"/>
      <c r="P237" s="682"/>
      <c r="Q237" s="682"/>
      <c r="R237" s="682"/>
      <c r="S237" s="682"/>
      <c r="T237" s="682"/>
      <c r="U237" s="682"/>
      <c r="V237" s="682"/>
      <c r="W237" s="682"/>
      <c r="X237" s="682"/>
      <c r="Y237" s="682"/>
    </row>
    <row r="238" spans="1:25" ht="11.25" customHeight="1">
      <c r="A238" s="682"/>
      <c r="B238" s="682"/>
      <c r="C238" s="682"/>
      <c r="D238" s="683"/>
      <c r="E238" s="682"/>
      <c r="F238" s="682"/>
      <c r="G238" s="682"/>
      <c r="H238" s="682"/>
      <c r="I238" s="682"/>
      <c r="J238" s="682"/>
      <c r="P238" s="682"/>
      <c r="Q238" s="682"/>
      <c r="R238" s="682"/>
      <c r="S238" s="682"/>
      <c r="T238" s="682"/>
      <c r="U238" s="682"/>
      <c r="V238" s="682"/>
      <c r="W238" s="682"/>
      <c r="X238" s="682"/>
      <c r="Y238" s="682"/>
    </row>
    <row r="239" spans="1:25" ht="11.25" customHeight="1">
      <c r="A239" s="682"/>
      <c r="B239" s="682"/>
      <c r="C239" s="682"/>
      <c r="D239" s="683"/>
      <c r="E239" s="682"/>
      <c r="F239" s="682"/>
      <c r="G239" s="682"/>
      <c r="H239" s="682"/>
      <c r="I239" s="682"/>
      <c r="J239" s="682"/>
      <c r="P239" s="682"/>
      <c r="Q239" s="682"/>
      <c r="R239" s="682"/>
      <c r="S239" s="682"/>
      <c r="T239" s="682"/>
      <c r="U239" s="682"/>
      <c r="V239" s="682"/>
      <c r="W239" s="682"/>
      <c r="X239" s="682"/>
      <c r="Y239" s="682"/>
    </row>
    <row r="240" spans="1:25" ht="11.25" customHeight="1">
      <c r="A240" s="682"/>
      <c r="B240" s="682"/>
      <c r="C240" s="682"/>
      <c r="D240" s="683"/>
      <c r="E240" s="682"/>
      <c r="F240" s="682"/>
      <c r="G240" s="682"/>
      <c r="H240" s="682"/>
      <c r="I240" s="682"/>
      <c r="J240" s="682"/>
      <c r="P240" s="682"/>
      <c r="Q240" s="682"/>
      <c r="R240" s="682"/>
      <c r="S240" s="682"/>
      <c r="T240" s="682"/>
      <c r="U240" s="682"/>
      <c r="V240" s="682"/>
      <c r="W240" s="682"/>
      <c r="X240" s="682"/>
      <c r="Y240" s="682"/>
    </row>
    <row r="241" spans="1:25" ht="11.25" customHeight="1">
      <c r="A241" s="682"/>
      <c r="B241" s="682"/>
      <c r="C241" s="682"/>
      <c r="D241" s="683"/>
      <c r="E241" s="682"/>
      <c r="F241" s="682"/>
      <c r="G241" s="682"/>
      <c r="H241" s="682"/>
      <c r="I241" s="682"/>
      <c r="J241" s="682"/>
      <c r="P241" s="682"/>
      <c r="Q241" s="682"/>
      <c r="R241" s="682"/>
      <c r="S241" s="682"/>
      <c r="T241" s="682"/>
      <c r="U241" s="682"/>
      <c r="V241" s="682"/>
      <c r="W241" s="682"/>
      <c r="X241" s="682"/>
      <c r="Y241" s="682"/>
    </row>
    <row r="242" spans="1:25" ht="11.25" customHeight="1">
      <c r="A242" s="682"/>
      <c r="B242" s="682"/>
      <c r="C242" s="682"/>
      <c r="D242" s="683"/>
      <c r="E242" s="682"/>
      <c r="F242" s="682"/>
      <c r="G242" s="682"/>
      <c r="H242" s="682"/>
      <c r="I242" s="682"/>
      <c r="J242" s="682"/>
      <c r="P242" s="682"/>
      <c r="Q242" s="682"/>
      <c r="R242" s="682"/>
      <c r="S242" s="682"/>
      <c r="T242" s="682"/>
      <c r="U242" s="682"/>
      <c r="V242" s="682"/>
      <c r="W242" s="682"/>
      <c r="X242" s="682"/>
      <c r="Y242" s="682"/>
    </row>
    <row r="243" spans="1:25" ht="11.25" customHeight="1">
      <c r="A243" s="682"/>
      <c r="B243" s="682"/>
      <c r="C243" s="682"/>
      <c r="D243" s="683"/>
      <c r="E243" s="682"/>
      <c r="F243" s="682"/>
      <c r="G243" s="682"/>
      <c r="H243" s="682"/>
      <c r="I243" s="682"/>
      <c r="J243" s="682"/>
      <c r="P243" s="682"/>
      <c r="Q243" s="682"/>
      <c r="R243" s="682"/>
      <c r="S243" s="682"/>
      <c r="T243" s="682"/>
      <c r="U243" s="682"/>
      <c r="V243" s="682"/>
      <c r="W243" s="682"/>
      <c r="X243" s="682"/>
      <c r="Y243" s="682"/>
    </row>
    <row r="244" spans="1:25" ht="11.25" customHeight="1">
      <c r="A244" s="682"/>
      <c r="B244" s="682"/>
      <c r="C244" s="682"/>
      <c r="D244" s="683"/>
      <c r="E244" s="682"/>
      <c r="F244" s="682"/>
      <c r="G244" s="682"/>
      <c r="H244" s="682"/>
      <c r="I244" s="682"/>
      <c r="J244" s="682"/>
      <c r="P244" s="682"/>
      <c r="Q244" s="682"/>
      <c r="R244" s="682"/>
      <c r="S244" s="682"/>
      <c r="T244" s="682"/>
      <c r="U244" s="682"/>
      <c r="V244" s="682"/>
      <c r="W244" s="682"/>
      <c r="X244" s="682"/>
      <c r="Y244" s="682"/>
    </row>
    <row r="245" spans="1:25" ht="11.25" customHeight="1">
      <c r="A245" s="682"/>
      <c r="B245" s="682"/>
      <c r="C245" s="682"/>
      <c r="D245" s="683"/>
      <c r="E245" s="682"/>
      <c r="F245" s="682"/>
      <c r="G245" s="682"/>
      <c r="H245" s="682"/>
      <c r="I245" s="682"/>
      <c r="J245" s="682"/>
      <c r="P245" s="682"/>
      <c r="Q245" s="682"/>
      <c r="R245" s="682"/>
      <c r="S245" s="682"/>
      <c r="T245" s="682"/>
      <c r="U245" s="682"/>
      <c r="V245" s="682"/>
      <c r="W245" s="682"/>
      <c r="X245" s="682"/>
      <c r="Y245" s="682"/>
    </row>
    <row r="246" spans="1:25" ht="11.25" customHeight="1">
      <c r="A246" s="682"/>
      <c r="B246" s="682"/>
      <c r="C246" s="682"/>
      <c r="D246" s="683"/>
      <c r="E246" s="682"/>
      <c r="F246" s="682"/>
      <c r="G246" s="682"/>
      <c r="H246" s="682"/>
      <c r="I246" s="682"/>
      <c r="J246" s="682"/>
      <c r="P246" s="682"/>
      <c r="Q246" s="682"/>
      <c r="R246" s="682"/>
      <c r="S246" s="682"/>
      <c r="T246" s="682"/>
      <c r="U246" s="682"/>
      <c r="V246" s="682"/>
      <c r="W246" s="682"/>
      <c r="X246" s="682"/>
      <c r="Y246" s="682"/>
    </row>
    <row r="247" spans="1:25" ht="11.25" customHeight="1">
      <c r="A247" s="682"/>
      <c r="B247" s="682"/>
      <c r="C247" s="682"/>
      <c r="D247" s="683"/>
      <c r="E247" s="682"/>
      <c r="F247" s="682"/>
      <c r="G247" s="682"/>
      <c r="H247" s="682"/>
      <c r="I247" s="682"/>
      <c r="J247" s="682"/>
      <c r="P247" s="682"/>
      <c r="Q247" s="682"/>
      <c r="R247" s="682"/>
      <c r="S247" s="682"/>
      <c r="T247" s="682"/>
      <c r="U247" s="682"/>
      <c r="V247" s="682"/>
      <c r="W247" s="682"/>
      <c r="X247" s="682"/>
      <c r="Y247" s="682"/>
    </row>
    <row r="248" spans="1:25" ht="11.25" customHeight="1">
      <c r="A248" s="682"/>
      <c r="B248" s="682"/>
      <c r="C248" s="682"/>
      <c r="D248" s="683"/>
      <c r="E248" s="682"/>
      <c r="F248" s="682"/>
      <c r="G248" s="682"/>
      <c r="H248" s="682"/>
      <c r="I248" s="682"/>
      <c r="J248" s="682"/>
      <c r="P248" s="682"/>
      <c r="Q248" s="682"/>
      <c r="R248" s="682"/>
      <c r="S248" s="682"/>
      <c r="T248" s="682"/>
      <c r="U248" s="682"/>
      <c r="V248" s="682"/>
      <c r="W248" s="682"/>
      <c r="X248" s="682"/>
      <c r="Y248" s="682"/>
    </row>
    <row r="249" spans="1:25" ht="11.25" customHeight="1">
      <c r="A249" s="682"/>
      <c r="B249" s="682"/>
      <c r="C249" s="682"/>
      <c r="D249" s="683"/>
      <c r="E249" s="682"/>
      <c r="F249" s="682"/>
      <c r="G249" s="682"/>
      <c r="H249" s="682"/>
      <c r="I249" s="682"/>
      <c r="J249" s="682"/>
      <c r="P249" s="682"/>
      <c r="Q249" s="682"/>
      <c r="R249" s="682"/>
      <c r="S249" s="682"/>
      <c r="T249" s="682"/>
      <c r="U249" s="682"/>
      <c r="V249" s="682"/>
      <c r="W249" s="682"/>
      <c r="X249" s="682"/>
      <c r="Y249" s="682"/>
    </row>
    <row r="250" spans="1:25" ht="11.25" customHeight="1">
      <c r="A250" s="682"/>
      <c r="B250" s="682"/>
      <c r="C250" s="682"/>
      <c r="D250" s="683"/>
      <c r="E250" s="682"/>
      <c r="F250" s="682"/>
      <c r="G250" s="682"/>
      <c r="H250" s="682"/>
      <c r="I250" s="682"/>
      <c r="J250" s="682"/>
      <c r="P250" s="682"/>
      <c r="Q250" s="682"/>
      <c r="R250" s="682"/>
      <c r="S250" s="682"/>
      <c r="T250" s="682"/>
      <c r="U250" s="682"/>
      <c r="V250" s="682"/>
      <c r="W250" s="682"/>
      <c r="X250" s="682"/>
      <c r="Y250" s="682"/>
    </row>
    <row r="251" spans="1:25" ht="11.25" customHeight="1">
      <c r="A251" s="682"/>
      <c r="B251" s="682"/>
      <c r="C251" s="682"/>
      <c r="D251" s="683"/>
      <c r="E251" s="682"/>
      <c r="F251" s="682"/>
      <c r="G251" s="682"/>
      <c r="H251" s="682"/>
      <c r="I251" s="682"/>
      <c r="J251" s="682"/>
      <c r="P251" s="682"/>
      <c r="Q251" s="682"/>
      <c r="R251" s="682"/>
      <c r="S251" s="682"/>
      <c r="T251" s="682"/>
      <c r="U251" s="682"/>
      <c r="V251" s="682"/>
      <c r="W251" s="682"/>
      <c r="X251" s="682"/>
      <c r="Y251" s="682"/>
    </row>
    <row r="252" spans="1:25" ht="11.25" customHeight="1">
      <c r="A252" s="682"/>
      <c r="B252" s="682"/>
      <c r="C252" s="682"/>
      <c r="D252" s="683"/>
      <c r="E252" s="682"/>
      <c r="F252" s="682"/>
      <c r="G252" s="682"/>
      <c r="H252" s="682"/>
      <c r="I252" s="682"/>
      <c r="J252" s="682"/>
      <c r="P252" s="682"/>
      <c r="Q252" s="682"/>
      <c r="R252" s="682"/>
      <c r="S252" s="682"/>
      <c r="T252" s="682"/>
      <c r="U252" s="682"/>
      <c r="V252" s="682"/>
      <c r="W252" s="682"/>
      <c r="X252" s="682"/>
      <c r="Y252" s="682"/>
    </row>
    <row r="253" spans="1:25" ht="11.25" customHeight="1">
      <c r="A253" s="682"/>
      <c r="B253" s="682"/>
      <c r="C253" s="682"/>
      <c r="D253" s="683"/>
      <c r="E253" s="682"/>
      <c r="F253" s="682"/>
      <c r="G253" s="682"/>
      <c r="H253" s="682"/>
      <c r="I253" s="682"/>
      <c r="J253" s="682"/>
      <c r="P253" s="682"/>
      <c r="Q253" s="682"/>
      <c r="R253" s="682"/>
      <c r="S253" s="682"/>
      <c r="T253" s="682"/>
      <c r="U253" s="682"/>
      <c r="V253" s="682"/>
      <c r="W253" s="682"/>
      <c r="X253" s="682"/>
      <c r="Y253" s="682"/>
    </row>
    <row r="254" spans="1:25" ht="11.25" customHeight="1">
      <c r="A254" s="682"/>
      <c r="B254" s="682"/>
      <c r="C254" s="682"/>
      <c r="D254" s="683"/>
      <c r="E254" s="682"/>
      <c r="F254" s="682"/>
      <c r="G254" s="682"/>
      <c r="H254" s="682"/>
      <c r="I254" s="682"/>
      <c r="J254" s="682"/>
      <c r="P254" s="682"/>
      <c r="Q254" s="682"/>
      <c r="R254" s="682"/>
      <c r="S254" s="682"/>
      <c r="T254" s="682"/>
      <c r="U254" s="682"/>
      <c r="V254" s="682"/>
      <c r="W254" s="682"/>
      <c r="X254" s="682"/>
      <c r="Y254" s="682"/>
    </row>
    <row r="255" spans="1:25" ht="11.25" customHeight="1">
      <c r="A255" s="682"/>
      <c r="B255" s="682"/>
      <c r="C255" s="682"/>
      <c r="D255" s="683"/>
      <c r="E255" s="682"/>
      <c r="F255" s="682"/>
      <c r="G255" s="682"/>
      <c r="H255" s="682"/>
      <c r="I255" s="682"/>
      <c r="J255" s="682"/>
      <c r="P255" s="682"/>
      <c r="Q255" s="682"/>
      <c r="R255" s="682"/>
      <c r="S255" s="682"/>
      <c r="T255" s="682"/>
      <c r="U255" s="682"/>
      <c r="V255" s="682"/>
      <c r="W255" s="682"/>
      <c r="X255" s="682"/>
      <c r="Y255" s="682"/>
    </row>
    <row r="256" spans="1:25" ht="11.25" customHeight="1">
      <c r="A256" s="682"/>
      <c r="B256" s="682"/>
      <c r="C256" s="682"/>
      <c r="D256" s="683"/>
      <c r="E256" s="682"/>
      <c r="F256" s="682"/>
      <c r="G256" s="682"/>
      <c r="H256" s="682"/>
      <c r="I256" s="682"/>
      <c r="J256" s="682"/>
      <c r="P256" s="682"/>
      <c r="Q256" s="682"/>
      <c r="R256" s="682"/>
      <c r="S256" s="682"/>
      <c r="T256" s="682"/>
      <c r="U256" s="682"/>
      <c r="V256" s="682"/>
      <c r="W256" s="682"/>
      <c r="X256" s="682"/>
      <c r="Y256" s="682"/>
    </row>
    <row r="257" spans="1:25" ht="11.25" customHeight="1">
      <c r="A257" s="682"/>
      <c r="B257" s="682"/>
      <c r="C257" s="682"/>
      <c r="D257" s="683"/>
      <c r="E257" s="682"/>
      <c r="F257" s="682"/>
      <c r="G257" s="682"/>
      <c r="H257" s="682"/>
      <c r="I257" s="682"/>
      <c r="J257" s="682"/>
      <c r="P257" s="682"/>
      <c r="Q257" s="682"/>
      <c r="R257" s="682"/>
      <c r="S257" s="682"/>
      <c r="T257" s="682"/>
      <c r="U257" s="682"/>
      <c r="V257" s="682"/>
      <c r="W257" s="682"/>
      <c r="X257" s="682"/>
      <c r="Y257" s="682"/>
    </row>
    <row r="258" spans="1:25" ht="11.25" customHeight="1">
      <c r="A258" s="682"/>
      <c r="B258" s="682"/>
      <c r="C258" s="682"/>
      <c r="D258" s="683"/>
      <c r="E258" s="682"/>
      <c r="F258" s="682"/>
      <c r="G258" s="682"/>
      <c r="H258" s="682"/>
      <c r="I258" s="682"/>
      <c r="J258" s="682"/>
      <c r="P258" s="682"/>
      <c r="Q258" s="682"/>
      <c r="R258" s="682"/>
      <c r="S258" s="682"/>
      <c r="T258" s="682"/>
      <c r="U258" s="682"/>
      <c r="V258" s="682"/>
      <c r="W258" s="682"/>
      <c r="X258" s="682"/>
      <c r="Y258" s="682"/>
    </row>
    <row r="259" spans="1:25" ht="11.25" customHeight="1">
      <c r="A259" s="682"/>
      <c r="B259" s="682"/>
      <c r="C259" s="682"/>
      <c r="D259" s="683"/>
      <c r="E259" s="682"/>
      <c r="F259" s="682"/>
      <c r="G259" s="682"/>
      <c r="H259" s="682"/>
      <c r="I259" s="682"/>
      <c r="J259" s="682"/>
      <c r="P259" s="682"/>
      <c r="Q259" s="682"/>
      <c r="R259" s="682"/>
      <c r="S259" s="682"/>
      <c r="T259" s="682"/>
      <c r="U259" s="682"/>
      <c r="V259" s="682"/>
      <c r="W259" s="682"/>
      <c r="X259" s="682"/>
      <c r="Y259" s="682"/>
    </row>
    <row r="260" spans="1:25" ht="11.25" customHeight="1">
      <c r="A260" s="682"/>
      <c r="B260" s="682"/>
      <c r="C260" s="682"/>
      <c r="D260" s="683"/>
      <c r="E260" s="682"/>
      <c r="F260" s="682"/>
      <c r="G260" s="682"/>
      <c r="H260" s="682"/>
      <c r="I260" s="682"/>
      <c r="J260" s="682"/>
      <c r="P260" s="682"/>
      <c r="Q260" s="682"/>
      <c r="R260" s="682"/>
      <c r="S260" s="682"/>
      <c r="T260" s="682"/>
      <c r="U260" s="682"/>
      <c r="V260" s="682"/>
      <c r="W260" s="682"/>
      <c r="X260" s="682"/>
      <c r="Y260" s="682"/>
    </row>
    <row r="261" spans="1:25" ht="11.25" customHeight="1">
      <c r="A261" s="682"/>
      <c r="B261" s="682"/>
      <c r="C261" s="682"/>
      <c r="D261" s="683"/>
      <c r="E261" s="682"/>
      <c r="F261" s="682"/>
      <c r="G261" s="682"/>
      <c r="H261" s="682"/>
      <c r="I261" s="682"/>
      <c r="J261" s="682"/>
      <c r="P261" s="682"/>
      <c r="Q261" s="682"/>
      <c r="R261" s="682"/>
      <c r="S261" s="682"/>
      <c r="T261" s="682"/>
      <c r="U261" s="682"/>
      <c r="V261" s="682"/>
      <c r="W261" s="682"/>
      <c r="X261" s="682"/>
      <c r="Y261" s="682"/>
    </row>
    <row r="262" spans="1:25" ht="11.25" customHeight="1">
      <c r="A262" s="682"/>
      <c r="B262" s="682"/>
      <c r="C262" s="682"/>
      <c r="D262" s="683"/>
      <c r="E262" s="682"/>
      <c r="F262" s="682"/>
      <c r="G262" s="682"/>
      <c r="H262" s="682"/>
      <c r="I262" s="682"/>
      <c r="J262" s="682"/>
      <c r="P262" s="682"/>
      <c r="Q262" s="682"/>
      <c r="R262" s="682"/>
      <c r="S262" s="682"/>
      <c r="T262" s="682"/>
      <c r="U262" s="682"/>
      <c r="V262" s="682"/>
      <c r="W262" s="682"/>
      <c r="X262" s="682"/>
      <c r="Y262" s="682"/>
    </row>
    <row r="263" spans="1:25" ht="11.25" customHeight="1">
      <c r="A263" s="682"/>
      <c r="B263" s="682"/>
      <c r="C263" s="682"/>
      <c r="D263" s="683"/>
      <c r="E263" s="682"/>
      <c r="F263" s="682"/>
      <c r="G263" s="682"/>
      <c r="H263" s="682"/>
      <c r="I263" s="682"/>
      <c r="J263" s="682"/>
      <c r="P263" s="682"/>
      <c r="Q263" s="682"/>
      <c r="R263" s="682"/>
      <c r="S263" s="682"/>
      <c r="T263" s="682"/>
      <c r="U263" s="682"/>
      <c r="V263" s="682"/>
      <c r="W263" s="682"/>
      <c r="X263" s="682"/>
      <c r="Y263" s="682"/>
    </row>
    <row r="264" spans="1:25" ht="11.25" customHeight="1">
      <c r="A264" s="682"/>
      <c r="B264" s="682"/>
      <c r="C264" s="682"/>
      <c r="D264" s="683"/>
      <c r="E264" s="682"/>
      <c r="F264" s="682"/>
      <c r="G264" s="682"/>
      <c r="H264" s="682"/>
      <c r="I264" s="682"/>
      <c r="J264" s="682"/>
      <c r="P264" s="682"/>
      <c r="Q264" s="682"/>
      <c r="R264" s="682"/>
      <c r="S264" s="682"/>
      <c r="T264" s="682"/>
      <c r="U264" s="682"/>
      <c r="V264" s="682"/>
      <c r="W264" s="682"/>
      <c r="X264" s="682"/>
      <c r="Y264" s="682"/>
    </row>
    <row r="265" spans="1:25" ht="11.25" customHeight="1">
      <c r="A265" s="682"/>
      <c r="B265" s="682"/>
      <c r="C265" s="682"/>
      <c r="D265" s="683"/>
      <c r="E265" s="682"/>
      <c r="F265" s="682"/>
      <c r="G265" s="682"/>
      <c r="H265" s="682"/>
      <c r="I265" s="682"/>
      <c r="J265" s="682"/>
      <c r="P265" s="682"/>
      <c r="Q265" s="682"/>
      <c r="R265" s="682"/>
      <c r="S265" s="682"/>
      <c r="T265" s="682"/>
      <c r="U265" s="682"/>
      <c r="V265" s="682"/>
      <c r="W265" s="682"/>
      <c r="X265" s="682"/>
      <c r="Y265" s="682"/>
    </row>
    <row r="266" spans="1:25" ht="11.25" customHeight="1">
      <c r="A266" s="682"/>
      <c r="B266" s="682"/>
      <c r="C266" s="682"/>
      <c r="D266" s="683"/>
      <c r="E266" s="682"/>
      <c r="F266" s="682"/>
      <c r="G266" s="682"/>
      <c r="H266" s="682"/>
      <c r="I266" s="682"/>
      <c r="J266" s="682"/>
      <c r="P266" s="682"/>
      <c r="Q266" s="682"/>
      <c r="R266" s="682"/>
      <c r="S266" s="682"/>
      <c r="T266" s="682"/>
      <c r="U266" s="682"/>
      <c r="V266" s="682"/>
      <c r="W266" s="682"/>
      <c r="X266" s="682"/>
      <c r="Y266" s="682"/>
    </row>
    <row r="267" spans="1:25" ht="11.25" customHeight="1">
      <c r="A267" s="682"/>
      <c r="B267" s="682"/>
      <c r="C267" s="682"/>
      <c r="D267" s="683"/>
      <c r="E267" s="682"/>
      <c r="F267" s="682"/>
      <c r="G267" s="682"/>
      <c r="H267" s="682"/>
      <c r="I267" s="682"/>
      <c r="J267" s="682"/>
      <c r="P267" s="682"/>
      <c r="Q267" s="682"/>
      <c r="R267" s="682"/>
      <c r="S267" s="682"/>
      <c r="T267" s="682"/>
      <c r="U267" s="682"/>
      <c r="V267" s="682"/>
      <c r="W267" s="682"/>
      <c r="X267" s="682"/>
      <c r="Y267" s="682"/>
    </row>
    <row r="268" spans="1:25" ht="11.25" customHeight="1">
      <c r="A268" s="682"/>
      <c r="B268" s="682"/>
      <c r="C268" s="682"/>
      <c r="D268" s="683"/>
      <c r="E268" s="682"/>
      <c r="F268" s="682"/>
      <c r="G268" s="682"/>
      <c r="H268" s="682"/>
      <c r="I268" s="682"/>
      <c r="J268" s="682"/>
      <c r="P268" s="682"/>
      <c r="Q268" s="682"/>
      <c r="R268" s="682"/>
      <c r="S268" s="682"/>
      <c r="T268" s="682"/>
      <c r="U268" s="682"/>
      <c r="V268" s="682"/>
      <c r="W268" s="682"/>
      <c r="X268" s="682"/>
      <c r="Y268" s="682"/>
    </row>
    <row r="269" spans="1:25" ht="11.25" customHeight="1">
      <c r="A269" s="682"/>
      <c r="B269" s="682"/>
      <c r="C269" s="682"/>
      <c r="D269" s="683"/>
      <c r="E269" s="682"/>
      <c r="F269" s="682"/>
      <c r="G269" s="682"/>
      <c r="H269" s="682"/>
      <c r="I269" s="682"/>
      <c r="J269" s="682"/>
      <c r="P269" s="682"/>
      <c r="Q269" s="682"/>
      <c r="R269" s="682"/>
      <c r="S269" s="682"/>
      <c r="T269" s="682"/>
      <c r="U269" s="682"/>
      <c r="V269" s="682"/>
      <c r="W269" s="682"/>
      <c r="X269" s="682"/>
      <c r="Y269" s="682"/>
    </row>
    <row r="270" spans="1:25" ht="11.25" customHeight="1">
      <c r="A270" s="682"/>
      <c r="B270" s="682"/>
      <c r="C270" s="682"/>
      <c r="D270" s="683"/>
      <c r="E270" s="682"/>
      <c r="F270" s="682"/>
      <c r="G270" s="682"/>
      <c r="H270" s="682"/>
      <c r="I270" s="682"/>
      <c r="J270" s="682"/>
      <c r="P270" s="682"/>
      <c r="Q270" s="682"/>
      <c r="R270" s="682"/>
      <c r="S270" s="682"/>
      <c r="T270" s="682"/>
      <c r="U270" s="682"/>
      <c r="V270" s="682"/>
      <c r="W270" s="682"/>
      <c r="X270" s="682"/>
      <c r="Y270" s="682"/>
    </row>
    <row r="271" spans="1:25" ht="11.25" customHeight="1">
      <c r="A271" s="682"/>
      <c r="B271" s="682"/>
      <c r="C271" s="682"/>
      <c r="D271" s="683"/>
      <c r="E271" s="682"/>
      <c r="F271" s="682"/>
      <c r="G271" s="682"/>
      <c r="H271" s="682"/>
      <c r="I271" s="682"/>
      <c r="J271" s="682"/>
      <c r="P271" s="682"/>
      <c r="Q271" s="682"/>
      <c r="R271" s="682"/>
      <c r="S271" s="682"/>
      <c r="T271" s="682"/>
      <c r="U271" s="682"/>
      <c r="V271" s="682"/>
      <c r="W271" s="682"/>
      <c r="X271" s="682"/>
      <c r="Y271" s="682"/>
    </row>
    <row r="272" spans="1:25" ht="11.25" customHeight="1">
      <c r="A272" s="682"/>
      <c r="B272" s="682"/>
      <c r="C272" s="682"/>
      <c r="D272" s="683"/>
      <c r="E272" s="682"/>
      <c r="F272" s="682"/>
      <c r="G272" s="682"/>
      <c r="H272" s="682"/>
      <c r="I272" s="682"/>
      <c r="J272" s="682"/>
      <c r="P272" s="682"/>
      <c r="Q272" s="682"/>
      <c r="R272" s="682"/>
      <c r="S272" s="682"/>
      <c r="T272" s="682"/>
      <c r="U272" s="682"/>
      <c r="V272" s="682"/>
      <c r="W272" s="682"/>
      <c r="X272" s="682"/>
      <c r="Y272" s="682"/>
    </row>
    <row r="273" spans="1:25" ht="11.25" customHeight="1">
      <c r="A273" s="682"/>
      <c r="B273" s="682"/>
      <c r="C273" s="682"/>
      <c r="D273" s="683"/>
      <c r="E273" s="682"/>
      <c r="F273" s="682"/>
      <c r="G273" s="682"/>
      <c r="H273" s="682"/>
      <c r="I273" s="682"/>
      <c r="J273" s="682"/>
      <c r="P273" s="682"/>
      <c r="Q273" s="682"/>
      <c r="R273" s="682"/>
      <c r="S273" s="682"/>
      <c r="T273" s="682"/>
      <c r="U273" s="682"/>
      <c r="V273" s="682"/>
      <c r="W273" s="682"/>
      <c r="X273" s="682"/>
      <c r="Y273" s="682"/>
    </row>
    <row r="274" spans="1:25" ht="11.25" customHeight="1">
      <c r="A274" s="682"/>
      <c r="B274" s="682"/>
      <c r="C274" s="682"/>
      <c r="D274" s="683"/>
      <c r="E274" s="682"/>
      <c r="F274" s="682"/>
      <c r="G274" s="682"/>
      <c r="H274" s="682"/>
      <c r="I274" s="682"/>
      <c r="J274" s="682"/>
      <c r="P274" s="682"/>
      <c r="Q274" s="682"/>
      <c r="R274" s="682"/>
      <c r="S274" s="682"/>
      <c r="T274" s="682"/>
      <c r="U274" s="682"/>
      <c r="V274" s="682"/>
      <c r="W274" s="682"/>
      <c r="X274" s="682"/>
      <c r="Y274" s="682"/>
    </row>
    <row r="275" spans="1:25" ht="11.25" customHeight="1">
      <c r="A275" s="682"/>
      <c r="B275" s="682"/>
      <c r="C275" s="682"/>
      <c r="D275" s="683"/>
      <c r="E275" s="682"/>
      <c r="F275" s="682"/>
      <c r="G275" s="682"/>
      <c r="H275" s="682"/>
      <c r="I275" s="682"/>
      <c r="J275" s="682"/>
      <c r="P275" s="682"/>
      <c r="Q275" s="682"/>
      <c r="R275" s="682"/>
      <c r="S275" s="682"/>
      <c r="T275" s="682"/>
      <c r="U275" s="682"/>
      <c r="V275" s="682"/>
      <c r="W275" s="682"/>
      <c r="X275" s="682"/>
      <c r="Y275" s="682"/>
    </row>
    <row r="276" spans="1:25" ht="11.25" customHeight="1">
      <c r="A276" s="682"/>
      <c r="B276" s="682"/>
      <c r="C276" s="682"/>
      <c r="D276" s="683"/>
      <c r="E276" s="682"/>
      <c r="F276" s="682"/>
      <c r="G276" s="682"/>
      <c r="H276" s="682"/>
      <c r="I276" s="682"/>
      <c r="J276" s="682"/>
      <c r="P276" s="682"/>
      <c r="Q276" s="682"/>
      <c r="R276" s="682"/>
      <c r="S276" s="682"/>
      <c r="T276" s="682"/>
      <c r="U276" s="682"/>
      <c r="V276" s="682"/>
      <c r="W276" s="682"/>
      <c r="X276" s="682"/>
      <c r="Y276" s="682"/>
    </row>
    <row r="277" spans="1:25" ht="11.25" customHeight="1">
      <c r="A277" s="682"/>
      <c r="B277" s="682"/>
      <c r="C277" s="682"/>
      <c r="D277" s="683"/>
      <c r="E277" s="682"/>
      <c r="F277" s="682"/>
      <c r="G277" s="682"/>
      <c r="H277" s="682"/>
      <c r="I277" s="682"/>
      <c r="J277" s="682"/>
      <c r="P277" s="682"/>
      <c r="Q277" s="682"/>
      <c r="R277" s="682"/>
      <c r="S277" s="682"/>
      <c r="T277" s="682"/>
      <c r="U277" s="682"/>
      <c r="V277" s="682"/>
      <c r="W277" s="682"/>
      <c r="X277" s="682"/>
      <c r="Y277" s="682"/>
    </row>
    <row r="278" spans="1:25" ht="11.25" customHeight="1">
      <c r="A278" s="682"/>
      <c r="B278" s="682"/>
      <c r="C278" s="682"/>
      <c r="D278" s="683"/>
      <c r="E278" s="682"/>
      <c r="F278" s="682"/>
      <c r="G278" s="682"/>
      <c r="H278" s="682"/>
      <c r="I278" s="682"/>
      <c r="J278" s="682"/>
      <c r="P278" s="682"/>
      <c r="Q278" s="682"/>
      <c r="R278" s="682"/>
      <c r="S278" s="682"/>
      <c r="T278" s="682"/>
      <c r="U278" s="682"/>
      <c r="V278" s="682"/>
      <c r="W278" s="682"/>
      <c r="X278" s="682"/>
      <c r="Y278" s="682"/>
    </row>
    <row r="279" spans="1:25" ht="11.25" customHeight="1">
      <c r="A279" s="682"/>
      <c r="B279" s="682"/>
      <c r="C279" s="682"/>
      <c r="D279" s="683"/>
      <c r="E279" s="682"/>
      <c r="F279" s="682"/>
      <c r="G279" s="682"/>
      <c r="H279" s="682"/>
      <c r="I279" s="682"/>
      <c r="J279" s="682"/>
      <c r="P279" s="682"/>
      <c r="Q279" s="682"/>
      <c r="R279" s="682"/>
      <c r="S279" s="682"/>
      <c r="T279" s="682"/>
      <c r="U279" s="682"/>
      <c r="V279" s="682"/>
      <c r="W279" s="682"/>
      <c r="X279" s="682"/>
      <c r="Y279" s="682"/>
    </row>
    <row r="280" spans="1:25" ht="11.25" customHeight="1">
      <c r="A280" s="682"/>
      <c r="B280" s="682"/>
      <c r="C280" s="682"/>
      <c r="D280" s="683"/>
      <c r="E280" s="682"/>
      <c r="F280" s="682"/>
      <c r="G280" s="682"/>
      <c r="H280" s="682"/>
      <c r="I280" s="682"/>
      <c r="J280" s="682"/>
      <c r="P280" s="682"/>
      <c r="Q280" s="682"/>
      <c r="R280" s="682"/>
      <c r="S280" s="682"/>
      <c r="T280" s="682"/>
      <c r="U280" s="682"/>
      <c r="V280" s="682"/>
      <c r="W280" s="682"/>
      <c r="X280" s="682"/>
      <c r="Y280" s="682"/>
    </row>
    <row r="281" spans="1:25" ht="11.25" customHeight="1">
      <c r="A281" s="682"/>
      <c r="B281" s="682"/>
      <c r="C281" s="682"/>
      <c r="D281" s="683"/>
      <c r="E281" s="682"/>
      <c r="F281" s="682"/>
      <c r="G281" s="682"/>
      <c r="H281" s="682"/>
      <c r="I281" s="682"/>
      <c r="J281" s="682"/>
      <c r="P281" s="682"/>
      <c r="Q281" s="682"/>
      <c r="R281" s="682"/>
      <c r="S281" s="682"/>
      <c r="T281" s="682"/>
      <c r="U281" s="682"/>
      <c r="V281" s="682"/>
      <c r="W281" s="682"/>
      <c r="X281" s="682"/>
      <c r="Y281" s="682"/>
    </row>
    <row r="282" spans="1:25" ht="11.25" customHeight="1">
      <c r="A282" s="682"/>
      <c r="B282" s="682"/>
      <c r="C282" s="682"/>
      <c r="D282" s="683"/>
      <c r="E282" s="682"/>
      <c r="F282" s="682"/>
      <c r="G282" s="682"/>
      <c r="H282" s="682"/>
      <c r="I282" s="682"/>
      <c r="J282" s="682"/>
      <c r="P282" s="682"/>
      <c r="Q282" s="682"/>
      <c r="R282" s="682"/>
      <c r="S282" s="682"/>
      <c r="T282" s="682"/>
      <c r="U282" s="682"/>
      <c r="V282" s="682"/>
      <c r="W282" s="682"/>
      <c r="X282" s="682"/>
      <c r="Y282" s="682"/>
    </row>
    <row r="283" spans="1:25" ht="11.25" customHeight="1">
      <c r="A283" s="682"/>
      <c r="B283" s="682"/>
      <c r="C283" s="682"/>
      <c r="D283" s="683"/>
      <c r="E283" s="682"/>
      <c r="F283" s="682"/>
      <c r="G283" s="682"/>
      <c r="H283" s="682"/>
      <c r="I283" s="682"/>
      <c r="J283" s="682"/>
      <c r="P283" s="682"/>
      <c r="Q283" s="682"/>
      <c r="R283" s="682"/>
      <c r="S283" s="682"/>
      <c r="T283" s="682"/>
      <c r="U283" s="682"/>
      <c r="V283" s="682"/>
      <c r="W283" s="682"/>
      <c r="X283" s="682"/>
      <c r="Y283" s="682"/>
    </row>
    <row r="284" spans="1:25" ht="11.25" customHeight="1">
      <c r="A284" s="682"/>
      <c r="B284" s="682"/>
      <c r="C284" s="682"/>
      <c r="D284" s="683"/>
      <c r="E284" s="682"/>
      <c r="F284" s="682"/>
      <c r="G284" s="682"/>
      <c r="H284" s="682"/>
      <c r="I284" s="682"/>
      <c r="J284" s="682"/>
      <c r="P284" s="682"/>
      <c r="Q284" s="682"/>
      <c r="R284" s="682"/>
      <c r="S284" s="682"/>
      <c r="T284" s="682"/>
      <c r="U284" s="682"/>
      <c r="V284" s="682"/>
      <c r="W284" s="682"/>
      <c r="X284" s="682"/>
      <c r="Y284" s="682"/>
    </row>
    <row r="285" spans="1:25" ht="11.25" customHeight="1">
      <c r="A285" s="682"/>
      <c r="B285" s="682"/>
      <c r="C285" s="682"/>
      <c r="D285" s="683"/>
      <c r="E285" s="682"/>
      <c r="F285" s="682"/>
      <c r="G285" s="682"/>
      <c r="H285" s="682"/>
      <c r="I285" s="682"/>
      <c r="J285" s="682"/>
      <c r="P285" s="682"/>
      <c r="Q285" s="682"/>
      <c r="R285" s="682"/>
      <c r="S285" s="682"/>
      <c r="T285" s="682"/>
      <c r="U285" s="682"/>
      <c r="V285" s="682"/>
      <c r="W285" s="682"/>
      <c r="X285" s="682"/>
      <c r="Y285" s="682"/>
    </row>
    <row r="286" spans="1:25" ht="11.25" customHeight="1">
      <c r="A286" s="682"/>
      <c r="B286" s="682"/>
      <c r="C286" s="682"/>
      <c r="D286" s="683"/>
      <c r="E286" s="682"/>
      <c r="F286" s="682"/>
      <c r="G286" s="682"/>
      <c r="H286" s="682"/>
      <c r="I286" s="682"/>
      <c r="J286" s="682"/>
      <c r="P286" s="682"/>
      <c r="Q286" s="682"/>
      <c r="R286" s="682"/>
      <c r="S286" s="682"/>
      <c r="T286" s="682"/>
      <c r="U286" s="682"/>
      <c r="V286" s="682"/>
      <c r="W286" s="682"/>
      <c r="X286" s="682"/>
      <c r="Y286" s="682"/>
    </row>
    <row r="287" spans="1:25" ht="11.25" customHeight="1">
      <c r="A287" s="682"/>
      <c r="B287" s="682"/>
      <c r="C287" s="682"/>
      <c r="D287" s="683"/>
      <c r="E287" s="682"/>
      <c r="F287" s="682"/>
      <c r="G287" s="682"/>
      <c r="H287" s="682"/>
      <c r="I287" s="682"/>
      <c r="J287" s="682"/>
      <c r="P287" s="682"/>
      <c r="Q287" s="682"/>
      <c r="R287" s="682"/>
      <c r="S287" s="682"/>
      <c r="T287" s="682"/>
      <c r="U287" s="682"/>
      <c r="V287" s="682"/>
      <c r="W287" s="682"/>
      <c r="X287" s="682"/>
      <c r="Y287" s="682"/>
    </row>
    <row r="288" spans="1:25" ht="11.25" customHeight="1">
      <c r="A288" s="682"/>
      <c r="B288" s="682"/>
      <c r="C288" s="682"/>
      <c r="D288" s="683"/>
      <c r="E288" s="682"/>
      <c r="F288" s="682"/>
      <c r="G288" s="682"/>
      <c r="H288" s="682"/>
      <c r="I288" s="682"/>
      <c r="J288" s="682"/>
      <c r="P288" s="682"/>
      <c r="Q288" s="682"/>
      <c r="R288" s="682"/>
      <c r="S288" s="682"/>
      <c r="T288" s="682"/>
      <c r="U288" s="682"/>
      <c r="V288" s="682"/>
      <c r="W288" s="682"/>
      <c r="X288" s="682"/>
      <c r="Y288" s="682"/>
    </row>
    <row r="289" spans="1:25" ht="11.25" customHeight="1">
      <c r="A289" s="682"/>
      <c r="B289" s="682"/>
      <c r="C289" s="682"/>
      <c r="D289" s="683"/>
      <c r="E289" s="682"/>
      <c r="F289" s="682"/>
      <c r="G289" s="682"/>
      <c r="H289" s="682"/>
      <c r="I289" s="682"/>
      <c r="J289" s="682"/>
      <c r="P289" s="682"/>
      <c r="Q289" s="682"/>
      <c r="R289" s="682"/>
      <c r="S289" s="682"/>
      <c r="T289" s="682"/>
      <c r="U289" s="682"/>
      <c r="V289" s="682"/>
      <c r="W289" s="682"/>
      <c r="X289" s="682"/>
      <c r="Y289" s="682"/>
    </row>
    <row r="290" spans="1:25" ht="11.25" customHeight="1">
      <c r="A290" s="682"/>
      <c r="B290" s="682"/>
      <c r="C290" s="682"/>
      <c r="D290" s="683"/>
      <c r="E290" s="682"/>
      <c r="F290" s="682"/>
      <c r="G290" s="682"/>
      <c r="H290" s="682"/>
      <c r="I290" s="682"/>
      <c r="J290" s="682"/>
      <c r="P290" s="682"/>
      <c r="Q290" s="682"/>
      <c r="R290" s="682"/>
      <c r="S290" s="682"/>
      <c r="T290" s="682"/>
      <c r="U290" s="682"/>
      <c r="V290" s="682"/>
      <c r="W290" s="682"/>
      <c r="X290" s="682"/>
      <c r="Y290" s="682"/>
    </row>
    <row r="291" spans="1:25" ht="11.25" customHeight="1">
      <c r="A291" s="682"/>
      <c r="B291" s="682"/>
      <c r="C291" s="682"/>
      <c r="D291" s="683"/>
      <c r="E291" s="682"/>
      <c r="F291" s="682"/>
      <c r="G291" s="682"/>
      <c r="H291" s="682"/>
      <c r="I291" s="682"/>
      <c r="J291" s="682"/>
      <c r="P291" s="682"/>
      <c r="Q291" s="682"/>
      <c r="R291" s="682"/>
      <c r="S291" s="682"/>
      <c r="T291" s="682"/>
      <c r="U291" s="682"/>
      <c r="V291" s="682"/>
      <c r="W291" s="682"/>
      <c r="X291" s="682"/>
      <c r="Y291" s="682"/>
    </row>
    <row r="292" spans="1:25" ht="11.25" customHeight="1">
      <c r="A292" s="682"/>
      <c r="B292" s="682"/>
      <c r="C292" s="682"/>
      <c r="D292" s="683"/>
      <c r="E292" s="682"/>
      <c r="F292" s="682"/>
      <c r="G292" s="682"/>
      <c r="H292" s="682"/>
      <c r="I292" s="682"/>
      <c r="J292" s="682"/>
      <c r="P292" s="682"/>
      <c r="Q292" s="682"/>
      <c r="R292" s="682"/>
      <c r="S292" s="682"/>
      <c r="T292" s="682"/>
      <c r="U292" s="682"/>
      <c r="V292" s="682"/>
      <c r="W292" s="682"/>
      <c r="X292" s="682"/>
      <c r="Y292" s="682"/>
    </row>
    <row r="293" spans="1:25" ht="11.25" customHeight="1">
      <c r="A293" s="682"/>
      <c r="B293" s="682"/>
      <c r="C293" s="682"/>
      <c r="D293" s="683"/>
      <c r="E293" s="682"/>
      <c r="F293" s="682"/>
      <c r="G293" s="682"/>
      <c r="H293" s="682"/>
      <c r="I293" s="682"/>
      <c r="J293" s="682"/>
      <c r="P293" s="682"/>
      <c r="Q293" s="682"/>
      <c r="R293" s="682"/>
      <c r="S293" s="682"/>
      <c r="T293" s="682"/>
      <c r="U293" s="682"/>
      <c r="V293" s="682"/>
      <c r="W293" s="682"/>
      <c r="X293" s="682"/>
      <c r="Y293" s="682"/>
    </row>
    <row r="294" spans="1:25" ht="11.25" customHeight="1">
      <c r="A294" s="682"/>
      <c r="B294" s="682"/>
      <c r="C294" s="682"/>
      <c r="D294" s="683"/>
      <c r="E294" s="682"/>
      <c r="F294" s="682"/>
      <c r="G294" s="682"/>
      <c r="H294" s="682"/>
      <c r="I294" s="682"/>
      <c r="J294" s="682"/>
      <c r="P294" s="682"/>
      <c r="Q294" s="682"/>
      <c r="R294" s="682"/>
      <c r="S294" s="682"/>
      <c r="T294" s="682"/>
      <c r="U294" s="682"/>
      <c r="V294" s="682"/>
      <c r="W294" s="682"/>
      <c r="X294" s="682"/>
      <c r="Y294" s="682"/>
    </row>
    <row r="295" spans="1:25" ht="11.25" customHeight="1">
      <c r="A295" s="682"/>
      <c r="B295" s="682"/>
      <c r="C295" s="682"/>
      <c r="D295" s="683"/>
      <c r="E295" s="682"/>
      <c r="F295" s="682"/>
      <c r="G295" s="682"/>
      <c r="H295" s="682"/>
      <c r="I295" s="682"/>
      <c r="J295" s="682"/>
      <c r="P295" s="682"/>
      <c r="Q295" s="682"/>
      <c r="R295" s="682"/>
      <c r="S295" s="682"/>
      <c r="T295" s="682"/>
      <c r="U295" s="682"/>
      <c r="V295" s="682"/>
      <c r="W295" s="682"/>
      <c r="X295" s="682"/>
      <c r="Y295" s="682"/>
    </row>
    <row r="296" spans="1:25" ht="11.25" customHeight="1">
      <c r="A296" s="682"/>
      <c r="B296" s="682"/>
      <c r="C296" s="682"/>
      <c r="D296" s="683"/>
      <c r="E296" s="682"/>
      <c r="F296" s="682"/>
      <c r="G296" s="682"/>
      <c r="H296" s="682"/>
      <c r="I296" s="682"/>
      <c r="J296" s="682"/>
      <c r="P296" s="682"/>
      <c r="Q296" s="682"/>
      <c r="R296" s="682"/>
      <c r="S296" s="682"/>
      <c r="T296" s="682"/>
      <c r="U296" s="682"/>
      <c r="V296" s="682"/>
      <c r="W296" s="682"/>
      <c r="X296" s="682"/>
      <c r="Y296" s="682"/>
    </row>
    <row r="297" spans="1:25" ht="11.25" customHeight="1">
      <c r="A297" s="682"/>
      <c r="B297" s="682"/>
      <c r="C297" s="682"/>
      <c r="D297" s="683"/>
      <c r="E297" s="682"/>
      <c r="F297" s="682"/>
      <c r="G297" s="682"/>
      <c r="H297" s="682"/>
      <c r="I297" s="682"/>
      <c r="J297" s="682"/>
      <c r="P297" s="682"/>
      <c r="Q297" s="682"/>
      <c r="R297" s="682"/>
      <c r="S297" s="682"/>
      <c r="T297" s="682"/>
      <c r="U297" s="682"/>
      <c r="V297" s="682"/>
      <c r="W297" s="682"/>
      <c r="X297" s="682"/>
      <c r="Y297" s="682"/>
    </row>
    <row r="298" spans="1:25" ht="11.25" customHeight="1">
      <c r="A298" s="682"/>
      <c r="B298" s="682"/>
      <c r="C298" s="682"/>
      <c r="D298" s="683"/>
      <c r="E298" s="682"/>
      <c r="F298" s="682"/>
      <c r="G298" s="682"/>
      <c r="H298" s="682"/>
      <c r="I298" s="682"/>
      <c r="J298" s="682"/>
      <c r="P298" s="682"/>
      <c r="Q298" s="682"/>
      <c r="R298" s="682"/>
      <c r="S298" s="682"/>
      <c r="T298" s="682"/>
      <c r="U298" s="682"/>
      <c r="V298" s="682"/>
      <c r="W298" s="682"/>
      <c r="X298" s="682"/>
      <c r="Y298" s="682"/>
    </row>
    <row r="299" spans="1:25" ht="11.25" customHeight="1">
      <c r="A299" s="682"/>
      <c r="B299" s="682"/>
      <c r="C299" s="682"/>
      <c r="D299" s="683"/>
      <c r="E299" s="682"/>
      <c r="F299" s="682"/>
      <c r="G299" s="682"/>
      <c r="H299" s="682"/>
      <c r="I299" s="682"/>
      <c r="J299" s="682"/>
      <c r="P299" s="682"/>
      <c r="Q299" s="682"/>
      <c r="R299" s="682"/>
      <c r="S299" s="682"/>
      <c r="T299" s="682"/>
      <c r="U299" s="682"/>
      <c r="V299" s="682"/>
      <c r="W299" s="682"/>
      <c r="X299" s="682"/>
      <c r="Y299" s="682"/>
    </row>
    <row r="300" spans="1:25" ht="11.25" customHeight="1">
      <c r="A300" s="682"/>
      <c r="B300" s="682"/>
      <c r="C300" s="682"/>
      <c r="D300" s="683"/>
      <c r="E300" s="682"/>
      <c r="F300" s="682"/>
      <c r="G300" s="682"/>
      <c r="H300" s="682"/>
      <c r="I300" s="682"/>
      <c r="J300" s="682"/>
      <c r="P300" s="682"/>
      <c r="Q300" s="682"/>
      <c r="R300" s="682"/>
      <c r="S300" s="682"/>
      <c r="T300" s="682"/>
      <c r="U300" s="682"/>
      <c r="V300" s="682"/>
      <c r="W300" s="682"/>
      <c r="X300" s="682"/>
      <c r="Y300" s="682"/>
    </row>
    <row r="301" spans="1:25" ht="11.25" customHeight="1">
      <c r="A301" s="682"/>
      <c r="B301" s="682"/>
      <c r="C301" s="682"/>
      <c r="D301" s="683"/>
      <c r="E301" s="682"/>
      <c r="F301" s="682"/>
      <c r="G301" s="682"/>
      <c r="H301" s="682"/>
      <c r="I301" s="682"/>
      <c r="J301" s="682"/>
      <c r="P301" s="682"/>
      <c r="Q301" s="682"/>
      <c r="R301" s="682"/>
      <c r="S301" s="682"/>
      <c r="T301" s="682"/>
      <c r="U301" s="682"/>
      <c r="V301" s="682"/>
      <c r="W301" s="682"/>
      <c r="X301" s="682"/>
      <c r="Y301" s="682"/>
    </row>
    <row r="302" spans="1:25" ht="11.25" customHeight="1">
      <c r="A302" s="682"/>
      <c r="B302" s="682"/>
      <c r="C302" s="682"/>
      <c r="D302" s="683"/>
      <c r="E302" s="682"/>
      <c r="F302" s="682"/>
      <c r="G302" s="682"/>
      <c r="H302" s="682"/>
      <c r="I302" s="682"/>
      <c r="J302" s="682"/>
      <c r="P302" s="682"/>
      <c r="Q302" s="682"/>
      <c r="R302" s="682"/>
      <c r="S302" s="682"/>
      <c r="T302" s="682"/>
      <c r="U302" s="682"/>
      <c r="V302" s="682"/>
      <c r="W302" s="682"/>
      <c r="X302" s="682"/>
      <c r="Y302" s="682"/>
    </row>
    <row r="303" spans="1:25" ht="11.25" customHeight="1">
      <c r="A303" s="682"/>
      <c r="B303" s="682"/>
      <c r="C303" s="682"/>
      <c r="D303" s="683"/>
      <c r="E303" s="682"/>
      <c r="F303" s="682"/>
      <c r="G303" s="682"/>
      <c r="H303" s="682"/>
      <c r="I303" s="682"/>
      <c r="J303" s="682"/>
      <c r="P303" s="682"/>
      <c r="Q303" s="682"/>
      <c r="R303" s="682"/>
      <c r="S303" s="682"/>
      <c r="T303" s="682"/>
      <c r="U303" s="682"/>
      <c r="V303" s="682"/>
      <c r="W303" s="682"/>
      <c r="X303" s="682"/>
      <c r="Y303" s="682"/>
    </row>
    <row r="304" spans="1:25" ht="11.25" customHeight="1">
      <c r="A304" s="682"/>
      <c r="B304" s="682"/>
      <c r="C304" s="682"/>
      <c r="D304" s="683"/>
      <c r="E304" s="682"/>
      <c r="F304" s="682"/>
      <c r="G304" s="682"/>
      <c r="H304" s="682"/>
      <c r="I304" s="682"/>
      <c r="J304" s="682"/>
      <c r="P304" s="682"/>
      <c r="Q304" s="682"/>
      <c r="R304" s="682"/>
      <c r="S304" s="682"/>
      <c r="T304" s="682"/>
      <c r="U304" s="682"/>
      <c r="V304" s="682"/>
      <c r="W304" s="682"/>
      <c r="X304" s="682"/>
      <c r="Y304" s="682"/>
    </row>
    <row r="305" spans="1:25" ht="11.25" customHeight="1">
      <c r="A305" s="682"/>
      <c r="B305" s="682"/>
      <c r="C305" s="682"/>
      <c r="D305" s="683"/>
      <c r="E305" s="682"/>
      <c r="F305" s="682"/>
      <c r="G305" s="682"/>
      <c r="H305" s="682"/>
      <c r="I305" s="682"/>
      <c r="J305" s="682"/>
      <c r="P305" s="682"/>
      <c r="Q305" s="682"/>
      <c r="R305" s="682"/>
      <c r="S305" s="682"/>
      <c r="T305" s="682"/>
      <c r="U305" s="682"/>
      <c r="V305" s="682"/>
      <c r="W305" s="682"/>
      <c r="X305" s="682"/>
      <c r="Y305" s="682"/>
    </row>
    <row r="306" spans="1:25" ht="11.25" customHeight="1">
      <c r="A306" s="682"/>
      <c r="B306" s="682"/>
      <c r="C306" s="682"/>
      <c r="D306" s="683"/>
      <c r="E306" s="682"/>
      <c r="F306" s="682"/>
      <c r="G306" s="682"/>
      <c r="H306" s="682"/>
      <c r="I306" s="682"/>
      <c r="J306" s="682"/>
      <c r="P306" s="682"/>
      <c r="Q306" s="682"/>
      <c r="R306" s="682"/>
      <c r="S306" s="682"/>
      <c r="T306" s="682"/>
      <c r="U306" s="682"/>
      <c r="V306" s="682"/>
      <c r="W306" s="682"/>
      <c r="X306" s="682"/>
      <c r="Y306" s="682"/>
    </row>
    <row r="307" spans="1:25" ht="11.25" customHeight="1">
      <c r="A307" s="682"/>
      <c r="B307" s="682"/>
      <c r="C307" s="682"/>
      <c r="D307" s="683"/>
      <c r="E307" s="682"/>
      <c r="F307" s="682"/>
      <c r="G307" s="682"/>
      <c r="H307" s="682"/>
      <c r="I307" s="682"/>
      <c r="J307" s="682"/>
      <c r="P307" s="682"/>
      <c r="Q307" s="682"/>
      <c r="R307" s="682"/>
      <c r="S307" s="682"/>
      <c r="T307" s="682"/>
      <c r="U307" s="682"/>
      <c r="V307" s="682"/>
      <c r="W307" s="682"/>
      <c r="X307" s="682"/>
      <c r="Y307" s="682"/>
    </row>
    <row r="308" spans="1:25" ht="11.25" customHeight="1">
      <c r="A308" s="682"/>
      <c r="B308" s="682"/>
      <c r="C308" s="682"/>
      <c r="D308" s="683"/>
      <c r="E308" s="682"/>
      <c r="F308" s="682"/>
      <c r="G308" s="682"/>
      <c r="H308" s="682"/>
      <c r="I308" s="682"/>
      <c r="J308" s="682"/>
      <c r="P308" s="682"/>
      <c r="Q308" s="682"/>
      <c r="R308" s="682"/>
      <c r="S308" s="682"/>
      <c r="T308" s="682"/>
      <c r="U308" s="682"/>
      <c r="V308" s="682"/>
      <c r="W308" s="682"/>
      <c r="X308" s="682"/>
      <c r="Y308" s="682"/>
    </row>
    <row r="309" spans="1:25" ht="11.25" customHeight="1">
      <c r="A309" s="682"/>
      <c r="B309" s="682"/>
      <c r="C309" s="682"/>
      <c r="D309" s="683"/>
      <c r="E309" s="682"/>
      <c r="F309" s="682"/>
      <c r="G309" s="682"/>
      <c r="H309" s="682"/>
      <c r="I309" s="682"/>
      <c r="J309" s="682"/>
      <c r="P309" s="682"/>
      <c r="Q309" s="682"/>
      <c r="R309" s="682"/>
      <c r="S309" s="682"/>
      <c r="T309" s="682"/>
      <c r="U309" s="682"/>
      <c r="V309" s="682"/>
      <c r="W309" s="682"/>
      <c r="X309" s="682"/>
      <c r="Y309" s="682"/>
    </row>
    <row r="310" spans="1:25" ht="11.25" customHeight="1">
      <c r="A310" s="682"/>
      <c r="B310" s="682"/>
      <c r="C310" s="682"/>
      <c r="D310" s="683"/>
      <c r="E310" s="682"/>
      <c r="F310" s="682"/>
      <c r="G310" s="682"/>
      <c r="H310" s="682"/>
      <c r="I310" s="682"/>
      <c r="J310" s="682"/>
      <c r="P310" s="682"/>
      <c r="Q310" s="682"/>
      <c r="R310" s="682"/>
      <c r="S310" s="682"/>
      <c r="T310" s="682"/>
      <c r="U310" s="682"/>
      <c r="V310" s="682"/>
      <c r="W310" s="682"/>
      <c r="X310" s="682"/>
      <c r="Y310" s="682"/>
    </row>
    <row r="311" spans="1:25" ht="11.25" customHeight="1">
      <c r="A311" s="682"/>
      <c r="B311" s="682"/>
      <c r="C311" s="682"/>
      <c r="D311" s="683"/>
      <c r="E311" s="682"/>
      <c r="F311" s="682"/>
      <c r="G311" s="682"/>
      <c r="H311" s="682"/>
      <c r="I311" s="682"/>
      <c r="J311" s="682"/>
      <c r="P311" s="682"/>
      <c r="Q311" s="682"/>
      <c r="R311" s="682"/>
      <c r="S311" s="682"/>
      <c r="T311" s="682"/>
      <c r="U311" s="682"/>
      <c r="V311" s="682"/>
      <c r="W311" s="682"/>
      <c r="X311" s="682"/>
      <c r="Y311" s="682"/>
    </row>
    <row r="312" spans="1:25" ht="11.25" customHeight="1">
      <c r="A312" s="682"/>
      <c r="B312" s="682"/>
      <c r="C312" s="682"/>
      <c r="D312" s="683"/>
      <c r="E312" s="682"/>
      <c r="F312" s="682"/>
      <c r="G312" s="682"/>
      <c r="H312" s="682"/>
      <c r="I312" s="682"/>
      <c r="J312" s="682"/>
      <c r="P312" s="682"/>
      <c r="Q312" s="682"/>
      <c r="R312" s="682"/>
      <c r="S312" s="682"/>
      <c r="T312" s="682"/>
      <c r="U312" s="682"/>
      <c r="V312" s="682"/>
      <c r="W312" s="682"/>
      <c r="X312" s="682"/>
      <c r="Y312" s="682"/>
    </row>
    <row r="313" spans="1:25" ht="11.25" customHeight="1">
      <c r="A313" s="682"/>
      <c r="B313" s="682"/>
      <c r="C313" s="682"/>
      <c r="D313" s="683"/>
      <c r="E313" s="682"/>
      <c r="F313" s="682"/>
      <c r="G313" s="682"/>
      <c r="H313" s="682"/>
      <c r="I313" s="682"/>
      <c r="J313" s="682"/>
      <c r="P313" s="682"/>
      <c r="Q313" s="682"/>
      <c r="R313" s="682"/>
      <c r="S313" s="682"/>
      <c r="T313" s="682"/>
      <c r="U313" s="682"/>
      <c r="V313" s="682"/>
      <c r="W313" s="682"/>
      <c r="X313" s="682"/>
      <c r="Y313" s="682"/>
    </row>
    <row r="314" spans="1:25" ht="11.25" customHeight="1">
      <c r="A314" s="682"/>
      <c r="B314" s="682"/>
      <c r="C314" s="682"/>
      <c r="D314" s="683"/>
      <c r="E314" s="682"/>
      <c r="F314" s="682"/>
      <c r="G314" s="682"/>
      <c r="H314" s="682"/>
      <c r="I314" s="682"/>
      <c r="J314" s="682"/>
      <c r="P314" s="682"/>
      <c r="Q314" s="682"/>
      <c r="R314" s="682"/>
      <c r="S314" s="682"/>
      <c r="T314" s="682"/>
      <c r="U314" s="682"/>
      <c r="V314" s="682"/>
      <c r="W314" s="682"/>
      <c r="X314" s="682"/>
      <c r="Y314" s="682"/>
    </row>
    <row r="315" spans="1:25" ht="11.25" customHeight="1">
      <c r="A315" s="682"/>
      <c r="B315" s="682"/>
      <c r="C315" s="682"/>
      <c r="D315" s="683"/>
      <c r="E315" s="682"/>
      <c r="F315" s="682"/>
      <c r="G315" s="682"/>
      <c r="H315" s="682"/>
      <c r="I315" s="682"/>
      <c r="J315" s="682"/>
      <c r="P315" s="682"/>
      <c r="Q315" s="682"/>
      <c r="R315" s="682"/>
      <c r="S315" s="682"/>
      <c r="T315" s="682"/>
      <c r="U315" s="682"/>
      <c r="V315" s="682"/>
      <c r="W315" s="682"/>
      <c r="X315" s="682"/>
      <c r="Y315" s="682"/>
    </row>
    <row r="316" spans="1:25" ht="11.25" customHeight="1">
      <c r="A316" s="682"/>
      <c r="B316" s="682"/>
      <c r="C316" s="682"/>
      <c r="D316" s="683"/>
      <c r="E316" s="682"/>
      <c r="F316" s="682"/>
      <c r="G316" s="682"/>
      <c r="H316" s="682"/>
      <c r="I316" s="682"/>
      <c r="J316" s="682"/>
      <c r="P316" s="682"/>
      <c r="Q316" s="682"/>
      <c r="R316" s="682"/>
      <c r="S316" s="682"/>
      <c r="T316" s="682"/>
      <c r="U316" s="682"/>
      <c r="V316" s="682"/>
      <c r="W316" s="682"/>
      <c r="X316" s="682"/>
      <c r="Y316" s="682"/>
    </row>
    <row r="317" spans="1:25" ht="11.25" customHeight="1">
      <c r="A317" s="682"/>
      <c r="B317" s="682"/>
      <c r="C317" s="682"/>
      <c r="D317" s="683"/>
      <c r="E317" s="682"/>
      <c r="F317" s="682"/>
      <c r="G317" s="682"/>
      <c r="H317" s="682"/>
      <c r="I317" s="682"/>
      <c r="J317" s="682"/>
      <c r="P317" s="682"/>
      <c r="Q317" s="682"/>
      <c r="R317" s="682"/>
      <c r="S317" s="682"/>
      <c r="T317" s="682"/>
      <c r="U317" s="682"/>
      <c r="V317" s="682"/>
      <c r="W317" s="682"/>
      <c r="X317" s="682"/>
      <c r="Y317" s="682"/>
    </row>
    <row r="318" spans="1:25" ht="11.25" customHeight="1">
      <c r="A318" s="682"/>
      <c r="B318" s="682"/>
      <c r="C318" s="682"/>
      <c r="D318" s="683"/>
      <c r="E318" s="682"/>
      <c r="F318" s="682"/>
      <c r="G318" s="682"/>
      <c r="H318" s="682"/>
      <c r="I318" s="682"/>
      <c r="J318" s="682"/>
      <c r="P318" s="682"/>
      <c r="Q318" s="682"/>
      <c r="R318" s="682"/>
      <c r="S318" s="682"/>
      <c r="T318" s="682"/>
      <c r="U318" s="682"/>
      <c r="V318" s="682"/>
      <c r="W318" s="682"/>
      <c r="X318" s="682"/>
      <c r="Y318" s="682"/>
    </row>
    <row r="319" spans="1:25" ht="11.25" customHeight="1">
      <c r="A319" s="682"/>
      <c r="B319" s="682"/>
      <c r="C319" s="682"/>
      <c r="D319" s="683"/>
      <c r="E319" s="682"/>
      <c r="F319" s="682"/>
      <c r="G319" s="682"/>
      <c r="H319" s="682"/>
      <c r="I319" s="682"/>
      <c r="J319" s="682"/>
      <c r="P319" s="682"/>
      <c r="Q319" s="682"/>
      <c r="R319" s="682"/>
      <c r="S319" s="682"/>
      <c r="T319" s="682"/>
      <c r="U319" s="682"/>
      <c r="V319" s="682"/>
      <c r="W319" s="682"/>
      <c r="X319" s="682"/>
      <c r="Y319" s="682"/>
    </row>
    <row r="320" spans="1:25" ht="11.25" customHeight="1">
      <c r="A320" s="682"/>
      <c r="B320" s="682"/>
      <c r="C320" s="682"/>
      <c r="D320" s="683"/>
      <c r="E320" s="682"/>
      <c r="F320" s="682"/>
      <c r="G320" s="682"/>
      <c r="H320" s="682"/>
      <c r="I320" s="682"/>
      <c r="J320" s="682"/>
      <c r="P320" s="682"/>
      <c r="Q320" s="682"/>
      <c r="R320" s="682"/>
      <c r="S320" s="682"/>
      <c r="T320" s="682"/>
      <c r="U320" s="682"/>
      <c r="V320" s="682"/>
      <c r="W320" s="682"/>
      <c r="X320" s="682"/>
      <c r="Y320" s="682"/>
    </row>
    <row r="321" spans="1:25" ht="11.25" customHeight="1">
      <c r="A321" s="682"/>
      <c r="B321" s="682"/>
      <c r="C321" s="682"/>
      <c r="D321" s="683"/>
      <c r="E321" s="682"/>
      <c r="F321" s="682"/>
      <c r="G321" s="682"/>
      <c r="H321" s="682"/>
      <c r="I321" s="682"/>
      <c r="J321" s="682"/>
      <c r="P321" s="682"/>
      <c r="Q321" s="682"/>
      <c r="R321" s="682"/>
      <c r="S321" s="682"/>
      <c r="T321" s="682"/>
      <c r="U321" s="682"/>
      <c r="V321" s="682"/>
      <c r="W321" s="682"/>
      <c r="X321" s="682"/>
      <c r="Y321" s="682"/>
    </row>
    <row r="322" spans="1:25" ht="11.25" customHeight="1">
      <c r="A322" s="682"/>
      <c r="B322" s="682"/>
      <c r="C322" s="682"/>
      <c r="D322" s="683"/>
      <c r="E322" s="682"/>
      <c r="F322" s="682"/>
      <c r="G322" s="682"/>
      <c r="H322" s="682"/>
      <c r="I322" s="682"/>
      <c r="J322" s="682"/>
      <c r="P322" s="682"/>
      <c r="Q322" s="682"/>
      <c r="R322" s="682"/>
      <c r="S322" s="682"/>
      <c r="T322" s="682"/>
      <c r="U322" s="682"/>
      <c r="V322" s="682"/>
      <c r="W322" s="682"/>
      <c r="X322" s="682"/>
      <c r="Y322" s="682"/>
    </row>
    <row r="323" spans="1:25" ht="11.25" customHeight="1">
      <c r="A323" s="682"/>
      <c r="B323" s="682"/>
      <c r="C323" s="682"/>
      <c r="D323" s="683"/>
      <c r="E323" s="682"/>
      <c r="F323" s="682"/>
      <c r="G323" s="682"/>
      <c r="H323" s="682"/>
      <c r="I323" s="682"/>
      <c r="J323" s="682"/>
      <c r="P323" s="682"/>
      <c r="Q323" s="682"/>
      <c r="R323" s="682"/>
      <c r="S323" s="682"/>
      <c r="T323" s="682"/>
      <c r="U323" s="682"/>
      <c r="V323" s="682"/>
      <c r="W323" s="682"/>
      <c r="X323" s="682"/>
      <c r="Y323" s="682"/>
    </row>
    <row r="324" spans="1:25" ht="11.25" customHeight="1">
      <c r="A324" s="682"/>
      <c r="B324" s="682"/>
      <c r="C324" s="682"/>
      <c r="D324" s="683"/>
      <c r="E324" s="682"/>
      <c r="F324" s="682"/>
      <c r="G324" s="682"/>
      <c r="H324" s="682"/>
      <c r="I324" s="682"/>
      <c r="J324" s="682"/>
      <c r="P324" s="682"/>
      <c r="Q324" s="682"/>
      <c r="R324" s="682"/>
      <c r="S324" s="682"/>
      <c r="T324" s="682"/>
      <c r="U324" s="682"/>
      <c r="V324" s="682"/>
      <c r="W324" s="682"/>
      <c r="X324" s="682"/>
      <c r="Y324" s="682"/>
    </row>
    <row r="325" spans="1:25" ht="11.25" customHeight="1">
      <c r="A325" s="682"/>
      <c r="B325" s="682"/>
      <c r="C325" s="682"/>
      <c r="D325" s="683"/>
      <c r="E325" s="682"/>
      <c r="F325" s="682"/>
      <c r="G325" s="682"/>
      <c r="H325" s="682"/>
      <c r="I325" s="682"/>
      <c r="J325" s="682"/>
      <c r="P325" s="682"/>
      <c r="Q325" s="682"/>
      <c r="R325" s="682"/>
      <c r="S325" s="682"/>
      <c r="T325" s="682"/>
      <c r="U325" s="682"/>
      <c r="V325" s="682"/>
      <c r="W325" s="682"/>
      <c r="X325" s="682"/>
      <c r="Y325" s="682"/>
    </row>
    <row r="326" spans="1:25" ht="11.25" customHeight="1">
      <c r="A326" s="682"/>
      <c r="B326" s="682"/>
      <c r="C326" s="682"/>
      <c r="D326" s="683"/>
      <c r="E326" s="682"/>
      <c r="F326" s="682"/>
      <c r="G326" s="682"/>
      <c r="H326" s="682"/>
      <c r="I326" s="682"/>
      <c r="J326" s="682"/>
      <c r="P326" s="682"/>
      <c r="Q326" s="682"/>
      <c r="R326" s="682"/>
      <c r="S326" s="682"/>
      <c r="T326" s="682"/>
      <c r="U326" s="682"/>
      <c r="V326" s="682"/>
      <c r="W326" s="682"/>
      <c r="X326" s="682"/>
      <c r="Y326" s="682"/>
    </row>
    <row r="327" spans="1:25" ht="11.25" customHeight="1">
      <c r="A327" s="682"/>
      <c r="B327" s="682"/>
      <c r="C327" s="682"/>
      <c r="D327" s="683"/>
      <c r="E327" s="682"/>
      <c r="F327" s="682"/>
      <c r="G327" s="682"/>
      <c r="H327" s="682"/>
      <c r="I327" s="682"/>
      <c r="J327" s="682"/>
      <c r="P327" s="682"/>
      <c r="Q327" s="682"/>
      <c r="R327" s="682"/>
      <c r="S327" s="682"/>
      <c r="T327" s="682"/>
      <c r="U327" s="682"/>
      <c r="V327" s="682"/>
      <c r="W327" s="682"/>
      <c r="X327" s="682"/>
      <c r="Y327" s="682"/>
    </row>
    <row r="328" spans="1:25" ht="11.25" customHeight="1">
      <c r="A328" s="682"/>
      <c r="B328" s="682"/>
      <c r="C328" s="682"/>
      <c r="D328" s="683"/>
      <c r="E328" s="682"/>
      <c r="F328" s="682"/>
      <c r="G328" s="682"/>
      <c r="H328" s="682"/>
      <c r="I328" s="682"/>
      <c r="J328" s="682"/>
      <c r="P328" s="682"/>
      <c r="Q328" s="682"/>
      <c r="R328" s="682"/>
      <c r="S328" s="682"/>
      <c r="T328" s="682"/>
      <c r="U328" s="682"/>
      <c r="V328" s="682"/>
      <c r="W328" s="682"/>
      <c r="X328" s="682"/>
      <c r="Y328" s="682"/>
    </row>
    <row r="329" spans="1:25" ht="11.25" customHeight="1">
      <c r="A329" s="682"/>
      <c r="B329" s="682"/>
      <c r="C329" s="682"/>
      <c r="D329" s="683"/>
      <c r="E329" s="682"/>
      <c r="F329" s="682"/>
      <c r="G329" s="682"/>
      <c r="H329" s="682"/>
      <c r="I329" s="682"/>
      <c r="J329" s="682"/>
      <c r="P329" s="682"/>
      <c r="Q329" s="682"/>
      <c r="R329" s="682"/>
      <c r="S329" s="682"/>
      <c r="T329" s="682"/>
      <c r="U329" s="682"/>
      <c r="V329" s="682"/>
      <c r="W329" s="682"/>
      <c r="X329" s="682"/>
      <c r="Y329" s="682"/>
    </row>
    <row r="330" spans="1:25" ht="11.25" customHeight="1">
      <c r="A330" s="682"/>
      <c r="B330" s="682"/>
      <c r="C330" s="682"/>
      <c r="D330" s="683"/>
      <c r="E330" s="682"/>
      <c r="F330" s="682"/>
      <c r="G330" s="682"/>
      <c r="H330" s="682"/>
      <c r="I330" s="682"/>
      <c r="J330" s="682"/>
      <c r="P330" s="682"/>
      <c r="Q330" s="682"/>
      <c r="R330" s="682"/>
      <c r="S330" s="682"/>
      <c r="T330" s="682"/>
      <c r="U330" s="682"/>
      <c r="V330" s="682"/>
      <c r="W330" s="682"/>
      <c r="X330" s="682"/>
      <c r="Y330" s="682"/>
    </row>
    <row r="331" spans="1:25" ht="11.25" customHeight="1">
      <c r="A331" s="682"/>
      <c r="B331" s="682"/>
      <c r="C331" s="682"/>
      <c r="D331" s="683"/>
      <c r="E331" s="682"/>
      <c r="F331" s="682"/>
      <c r="G331" s="682"/>
      <c r="H331" s="682"/>
      <c r="I331" s="682"/>
      <c r="J331" s="682"/>
      <c r="P331" s="682"/>
      <c r="Q331" s="682"/>
      <c r="R331" s="682"/>
      <c r="S331" s="682"/>
      <c r="T331" s="682"/>
      <c r="U331" s="682"/>
      <c r="V331" s="682"/>
      <c r="W331" s="682"/>
      <c r="X331" s="682"/>
      <c r="Y331" s="682"/>
    </row>
    <row r="332" spans="1:25" ht="11.25" customHeight="1">
      <c r="A332" s="682"/>
      <c r="B332" s="682"/>
      <c r="C332" s="682"/>
      <c r="D332" s="683"/>
      <c r="E332" s="682"/>
      <c r="F332" s="682"/>
      <c r="G332" s="682"/>
      <c r="H332" s="682"/>
      <c r="I332" s="682"/>
      <c r="J332" s="682"/>
      <c r="P332" s="682"/>
      <c r="Q332" s="682"/>
      <c r="R332" s="682"/>
      <c r="S332" s="682"/>
      <c r="T332" s="682"/>
      <c r="U332" s="682"/>
      <c r="V332" s="682"/>
      <c r="W332" s="682"/>
      <c r="X332" s="682"/>
      <c r="Y332" s="682"/>
    </row>
    <row r="333" spans="1:25" ht="11.25" customHeight="1">
      <c r="A333" s="682"/>
      <c r="B333" s="682"/>
      <c r="C333" s="682"/>
      <c r="D333" s="683"/>
      <c r="E333" s="682"/>
      <c r="F333" s="682"/>
      <c r="G333" s="682"/>
      <c r="H333" s="682"/>
      <c r="I333" s="682"/>
      <c r="J333" s="682"/>
      <c r="P333" s="682"/>
      <c r="Q333" s="682"/>
      <c r="R333" s="682"/>
      <c r="S333" s="682"/>
      <c r="T333" s="682"/>
      <c r="U333" s="682"/>
      <c r="V333" s="682"/>
      <c r="W333" s="682"/>
      <c r="X333" s="682"/>
      <c r="Y333" s="682"/>
    </row>
    <row r="334" spans="1:25" ht="11.25" customHeight="1">
      <c r="A334" s="682"/>
      <c r="B334" s="682"/>
      <c r="C334" s="682"/>
      <c r="D334" s="683"/>
      <c r="E334" s="682"/>
      <c r="F334" s="682"/>
      <c r="G334" s="682"/>
      <c r="H334" s="682"/>
      <c r="I334" s="682"/>
      <c r="J334" s="682"/>
      <c r="P334" s="682"/>
      <c r="Q334" s="682"/>
      <c r="R334" s="682"/>
      <c r="S334" s="682"/>
      <c r="T334" s="682"/>
      <c r="U334" s="682"/>
      <c r="V334" s="682"/>
      <c r="W334" s="682"/>
      <c r="X334" s="682"/>
      <c r="Y334" s="682"/>
    </row>
    <row r="335" spans="1:25" ht="11.25" customHeight="1">
      <c r="A335" s="682"/>
      <c r="B335" s="682"/>
      <c r="C335" s="682"/>
      <c r="D335" s="683"/>
      <c r="E335" s="682"/>
      <c r="F335" s="682"/>
      <c r="G335" s="682"/>
      <c r="H335" s="682"/>
      <c r="I335" s="682"/>
      <c r="J335" s="682"/>
      <c r="P335" s="682"/>
      <c r="Q335" s="682"/>
      <c r="R335" s="682"/>
      <c r="S335" s="682"/>
      <c r="T335" s="682"/>
      <c r="U335" s="682"/>
      <c r="V335" s="682"/>
      <c r="W335" s="682"/>
      <c r="X335" s="682"/>
      <c r="Y335" s="682"/>
    </row>
    <row r="336" spans="1:25" ht="11.25" customHeight="1">
      <c r="A336" s="682"/>
      <c r="B336" s="682"/>
      <c r="C336" s="682"/>
      <c r="D336" s="683"/>
      <c r="E336" s="682"/>
      <c r="F336" s="682"/>
      <c r="G336" s="682"/>
      <c r="H336" s="682"/>
      <c r="I336" s="682"/>
      <c r="J336" s="682"/>
      <c r="P336" s="682"/>
      <c r="Q336" s="682"/>
      <c r="R336" s="682"/>
      <c r="S336" s="682"/>
      <c r="T336" s="682"/>
      <c r="U336" s="682"/>
      <c r="V336" s="682"/>
      <c r="W336" s="682"/>
      <c r="X336" s="682"/>
      <c r="Y336" s="682"/>
    </row>
    <row r="337" spans="1:25" ht="11.25" customHeight="1">
      <c r="A337" s="682"/>
      <c r="B337" s="682"/>
      <c r="C337" s="682"/>
      <c r="D337" s="683"/>
      <c r="E337" s="682"/>
      <c r="F337" s="682"/>
      <c r="G337" s="682"/>
      <c r="H337" s="682"/>
      <c r="I337" s="682"/>
      <c r="J337" s="682"/>
      <c r="P337" s="682"/>
      <c r="Q337" s="682"/>
      <c r="R337" s="682"/>
      <c r="S337" s="682"/>
      <c r="T337" s="682"/>
      <c r="U337" s="682"/>
      <c r="V337" s="682"/>
      <c r="W337" s="682"/>
      <c r="X337" s="682"/>
      <c r="Y337" s="682"/>
    </row>
    <row r="338" spans="1:25" ht="11.25" customHeight="1">
      <c r="A338" s="682"/>
      <c r="B338" s="682"/>
      <c r="C338" s="682"/>
      <c r="D338" s="683"/>
      <c r="E338" s="682"/>
      <c r="F338" s="682"/>
      <c r="G338" s="682"/>
      <c r="H338" s="682"/>
      <c r="I338" s="682"/>
      <c r="J338" s="682"/>
      <c r="P338" s="682"/>
      <c r="Q338" s="682"/>
      <c r="R338" s="682"/>
      <c r="S338" s="682"/>
      <c r="T338" s="682"/>
      <c r="U338" s="682"/>
      <c r="V338" s="682"/>
      <c r="W338" s="682"/>
      <c r="X338" s="682"/>
      <c r="Y338" s="682"/>
    </row>
    <row r="339" spans="1:25" ht="11.25" customHeight="1">
      <c r="A339" s="682"/>
      <c r="B339" s="682"/>
      <c r="C339" s="682"/>
      <c r="D339" s="683"/>
      <c r="E339" s="682"/>
      <c r="F339" s="682"/>
      <c r="G339" s="682"/>
      <c r="H339" s="682"/>
      <c r="I339" s="682"/>
      <c r="J339" s="682"/>
      <c r="P339" s="682"/>
      <c r="Q339" s="682"/>
      <c r="R339" s="682"/>
      <c r="S339" s="682"/>
      <c r="T339" s="682"/>
      <c r="U339" s="682"/>
      <c r="V339" s="682"/>
      <c r="W339" s="682"/>
      <c r="X339" s="682"/>
      <c r="Y339" s="682"/>
    </row>
    <row r="340" spans="1:25" ht="11.25" customHeight="1">
      <c r="A340" s="682"/>
      <c r="B340" s="682"/>
      <c r="C340" s="682"/>
      <c r="D340" s="683"/>
      <c r="E340" s="682"/>
      <c r="F340" s="682"/>
      <c r="G340" s="682"/>
      <c r="H340" s="682"/>
      <c r="I340" s="682"/>
      <c r="J340" s="682"/>
      <c r="P340" s="682"/>
      <c r="Q340" s="682"/>
      <c r="R340" s="682"/>
      <c r="S340" s="682"/>
      <c r="T340" s="682"/>
      <c r="U340" s="682"/>
      <c r="V340" s="682"/>
      <c r="W340" s="682"/>
      <c r="X340" s="682"/>
      <c r="Y340" s="682"/>
    </row>
    <row r="341" spans="1:25" ht="11.25" customHeight="1">
      <c r="A341" s="682"/>
      <c r="B341" s="682"/>
      <c r="C341" s="682"/>
      <c r="D341" s="683"/>
      <c r="E341" s="682"/>
      <c r="F341" s="682"/>
      <c r="G341" s="682"/>
      <c r="H341" s="682"/>
      <c r="I341" s="682"/>
      <c r="J341" s="682"/>
      <c r="P341" s="682"/>
      <c r="Q341" s="682"/>
      <c r="R341" s="682"/>
      <c r="S341" s="682"/>
      <c r="T341" s="682"/>
      <c r="U341" s="682"/>
      <c r="V341" s="682"/>
      <c r="W341" s="682"/>
      <c r="X341" s="682"/>
      <c r="Y341" s="682"/>
    </row>
    <row r="342" spans="1:25" ht="11.25" customHeight="1">
      <c r="A342" s="682"/>
      <c r="B342" s="682"/>
      <c r="C342" s="682"/>
      <c r="D342" s="683"/>
      <c r="E342" s="682"/>
      <c r="F342" s="682"/>
      <c r="G342" s="682"/>
      <c r="H342" s="682"/>
      <c r="I342" s="682"/>
      <c r="J342" s="682"/>
      <c r="P342" s="682"/>
      <c r="Q342" s="682"/>
      <c r="R342" s="682"/>
      <c r="S342" s="682"/>
      <c r="T342" s="682"/>
      <c r="U342" s="682"/>
      <c r="V342" s="682"/>
      <c r="W342" s="682"/>
      <c r="X342" s="682"/>
      <c r="Y342" s="682"/>
    </row>
    <row r="343" spans="1:25" ht="11.25" customHeight="1">
      <c r="A343" s="682"/>
      <c r="B343" s="682"/>
      <c r="C343" s="682"/>
      <c r="D343" s="683"/>
      <c r="E343" s="682"/>
      <c r="F343" s="682"/>
      <c r="G343" s="682"/>
      <c r="H343" s="682"/>
      <c r="I343" s="682"/>
      <c r="J343" s="682"/>
      <c r="P343" s="682"/>
      <c r="Q343" s="682"/>
      <c r="R343" s="682"/>
      <c r="S343" s="682"/>
      <c r="T343" s="682"/>
      <c r="U343" s="682"/>
      <c r="V343" s="682"/>
      <c r="W343" s="682"/>
      <c r="X343" s="682"/>
      <c r="Y343" s="682"/>
    </row>
    <row r="344" spans="1:25" ht="11.25" customHeight="1">
      <c r="A344" s="682"/>
      <c r="B344" s="682"/>
      <c r="C344" s="682"/>
      <c r="D344" s="683"/>
      <c r="E344" s="682"/>
      <c r="F344" s="682"/>
      <c r="G344" s="682"/>
      <c r="H344" s="682"/>
      <c r="I344" s="682"/>
      <c r="J344" s="682"/>
      <c r="P344" s="682"/>
      <c r="Q344" s="682"/>
      <c r="R344" s="682"/>
      <c r="S344" s="682"/>
      <c r="T344" s="682"/>
      <c r="U344" s="682"/>
      <c r="V344" s="682"/>
      <c r="W344" s="682"/>
      <c r="X344" s="682"/>
      <c r="Y344" s="682"/>
    </row>
    <row r="345" spans="1:25" ht="11.25" customHeight="1">
      <c r="A345" s="682"/>
      <c r="B345" s="682"/>
      <c r="C345" s="682"/>
      <c r="D345" s="683"/>
      <c r="E345" s="682"/>
      <c r="F345" s="682"/>
      <c r="G345" s="682"/>
      <c r="H345" s="682"/>
      <c r="I345" s="682"/>
      <c r="J345" s="682"/>
      <c r="P345" s="682"/>
      <c r="Q345" s="682"/>
      <c r="R345" s="682"/>
      <c r="S345" s="682"/>
      <c r="T345" s="682"/>
      <c r="U345" s="682"/>
      <c r="V345" s="682"/>
      <c r="W345" s="682"/>
      <c r="X345" s="682"/>
      <c r="Y345" s="682"/>
    </row>
    <row r="346" spans="1:25" ht="11.25" customHeight="1">
      <c r="A346" s="682"/>
      <c r="B346" s="682"/>
      <c r="C346" s="682"/>
      <c r="D346" s="683"/>
      <c r="E346" s="682"/>
      <c r="F346" s="682"/>
      <c r="G346" s="682"/>
      <c r="H346" s="682"/>
      <c r="I346" s="682"/>
      <c r="J346" s="682"/>
      <c r="P346" s="682"/>
      <c r="Q346" s="682"/>
      <c r="R346" s="682"/>
      <c r="S346" s="682"/>
      <c r="T346" s="682"/>
      <c r="U346" s="682"/>
      <c r="V346" s="682"/>
      <c r="W346" s="682"/>
      <c r="X346" s="682"/>
      <c r="Y346" s="682"/>
    </row>
    <row r="347" spans="1:25" ht="11.25" customHeight="1">
      <c r="A347" s="682"/>
      <c r="B347" s="682"/>
      <c r="C347" s="682"/>
      <c r="D347" s="683"/>
      <c r="E347" s="682"/>
      <c r="F347" s="682"/>
      <c r="G347" s="682"/>
      <c r="H347" s="682"/>
      <c r="I347" s="682"/>
      <c r="J347" s="682"/>
      <c r="P347" s="682"/>
      <c r="Q347" s="682"/>
      <c r="R347" s="682"/>
      <c r="S347" s="682"/>
      <c r="T347" s="682"/>
      <c r="U347" s="682"/>
      <c r="V347" s="682"/>
      <c r="W347" s="682"/>
      <c r="X347" s="682"/>
      <c r="Y347" s="682"/>
    </row>
    <row r="348" spans="1:25" ht="11.25" customHeight="1">
      <c r="A348" s="682"/>
      <c r="B348" s="682"/>
      <c r="C348" s="682"/>
      <c r="D348" s="683"/>
      <c r="E348" s="682"/>
      <c r="F348" s="682"/>
      <c r="G348" s="682"/>
      <c r="H348" s="682"/>
      <c r="I348" s="682"/>
      <c r="J348" s="682"/>
      <c r="P348" s="682"/>
      <c r="Q348" s="682"/>
      <c r="R348" s="682"/>
      <c r="S348" s="682"/>
      <c r="T348" s="682"/>
      <c r="U348" s="682"/>
      <c r="V348" s="682"/>
      <c r="W348" s="682"/>
      <c r="X348" s="682"/>
      <c r="Y348" s="682"/>
    </row>
    <row r="349" spans="1:25" ht="11.25" customHeight="1">
      <c r="A349" s="682"/>
      <c r="B349" s="682"/>
      <c r="C349" s="682"/>
      <c r="D349" s="683"/>
      <c r="E349" s="682"/>
      <c r="F349" s="682"/>
      <c r="G349" s="682"/>
      <c r="H349" s="682"/>
      <c r="I349" s="682"/>
      <c r="J349" s="682"/>
      <c r="P349" s="682"/>
      <c r="Q349" s="682"/>
      <c r="R349" s="682"/>
      <c r="S349" s="682"/>
      <c r="T349" s="682"/>
      <c r="U349" s="682"/>
      <c r="V349" s="682"/>
      <c r="W349" s="682"/>
      <c r="X349" s="682"/>
      <c r="Y349" s="682"/>
    </row>
    <row r="350" spans="1:25" ht="11.25" customHeight="1">
      <c r="A350" s="682"/>
      <c r="B350" s="682"/>
      <c r="C350" s="682"/>
      <c r="D350" s="683"/>
      <c r="E350" s="682"/>
      <c r="F350" s="682"/>
      <c r="G350" s="682"/>
      <c r="H350" s="682"/>
      <c r="I350" s="682"/>
      <c r="J350" s="682"/>
      <c r="P350" s="682"/>
      <c r="Q350" s="682"/>
      <c r="R350" s="682"/>
      <c r="S350" s="682"/>
      <c r="T350" s="682"/>
      <c r="U350" s="682"/>
      <c r="V350" s="682"/>
      <c r="W350" s="682"/>
      <c r="X350" s="682"/>
      <c r="Y350" s="682"/>
    </row>
    <row r="351" spans="1:25" ht="11.25" customHeight="1">
      <c r="A351" s="682"/>
      <c r="B351" s="682"/>
      <c r="C351" s="682"/>
      <c r="D351" s="683"/>
      <c r="E351" s="682"/>
      <c r="F351" s="682"/>
      <c r="G351" s="682"/>
      <c r="H351" s="682"/>
      <c r="I351" s="682"/>
      <c r="J351" s="682"/>
      <c r="P351" s="682"/>
      <c r="Q351" s="682"/>
      <c r="R351" s="682"/>
      <c r="S351" s="682"/>
      <c r="T351" s="682"/>
      <c r="U351" s="682"/>
      <c r="V351" s="682"/>
      <c r="W351" s="682"/>
      <c r="X351" s="682"/>
      <c r="Y351" s="682"/>
    </row>
    <row r="352" spans="1:25" ht="11.25" customHeight="1">
      <c r="A352" s="682"/>
      <c r="B352" s="682"/>
      <c r="C352" s="682"/>
      <c r="D352" s="683"/>
      <c r="E352" s="682"/>
      <c r="F352" s="682"/>
      <c r="G352" s="682"/>
      <c r="H352" s="682"/>
      <c r="I352" s="682"/>
      <c r="J352" s="682"/>
      <c r="P352" s="682"/>
      <c r="Q352" s="682"/>
      <c r="R352" s="682"/>
      <c r="S352" s="682"/>
      <c r="T352" s="682"/>
      <c r="U352" s="682"/>
      <c r="V352" s="682"/>
      <c r="W352" s="682"/>
      <c r="X352" s="682"/>
      <c r="Y352" s="682"/>
    </row>
    <row r="353" spans="1:25" ht="11.25" customHeight="1">
      <c r="A353" s="682"/>
      <c r="B353" s="682"/>
      <c r="C353" s="682"/>
      <c r="D353" s="683"/>
      <c r="E353" s="682"/>
      <c r="F353" s="682"/>
      <c r="G353" s="682"/>
      <c r="H353" s="682"/>
      <c r="I353" s="682"/>
      <c r="J353" s="682"/>
      <c r="P353" s="682"/>
      <c r="Q353" s="682"/>
      <c r="R353" s="682"/>
      <c r="S353" s="682"/>
      <c r="T353" s="682"/>
      <c r="U353" s="682"/>
      <c r="V353" s="682"/>
      <c r="W353" s="682"/>
      <c r="X353" s="682"/>
      <c r="Y353" s="682"/>
    </row>
    <row r="354" spans="1:25" ht="11.25" customHeight="1">
      <c r="A354" s="682"/>
      <c r="B354" s="682"/>
      <c r="C354" s="682"/>
      <c r="D354" s="683"/>
      <c r="E354" s="682"/>
      <c r="F354" s="682"/>
      <c r="G354" s="682"/>
      <c r="H354" s="682"/>
      <c r="I354" s="682"/>
      <c r="J354" s="682"/>
      <c r="P354" s="682"/>
      <c r="Q354" s="682"/>
      <c r="R354" s="682"/>
      <c r="S354" s="682"/>
      <c r="T354" s="682"/>
      <c r="U354" s="682"/>
      <c r="V354" s="682"/>
      <c r="W354" s="682"/>
      <c r="X354" s="682"/>
      <c r="Y354" s="682"/>
    </row>
    <row r="355" spans="1:25" ht="11.25" customHeight="1">
      <c r="A355" s="682"/>
      <c r="B355" s="682"/>
      <c r="C355" s="682"/>
      <c r="D355" s="683"/>
      <c r="E355" s="682"/>
      <c r="F355" s="682"/>
      <c r="G355" s="682"/>
      <c r="H355" s="682"/>
      <c r="I355" s="682"/>
      <c r="J355" s="682"/>
      <c r="P355" s="682"/>
      <c r="Q355" s="682"/>
      <c r="R355" s="682"/>
      <c r="S355" s="682"/>
      <c r="T355" s="682"/>
      <c r="U355" s="682"/>
      <c r="V355" s="682"/>
      <c r="W355" s="682"/>
      <c r="X355" s="682"/>
      <c r="Y355" s="682"/>
    </row>
    <row r="356" spans="1:25" ht="11.25" customHeight="1">
      <c r="A356" s="682"/>
      <c r="B356" s="682"/>
      <c r="C356" s="682"/>
      <c r="D356" s="683"/>
      <c r="E356" s="682"/>
      <c r="F356" s="682"/>
      <c r="G356" s="682"/>
      <c r="H356" s="682"/>
      <c r="I356" s="682"/>
      <c r="J356" s="682"/>
      <c r="P356" s="682"/>
      <c r="Q356" s="682"/>
      <c r="R356" s="682"/>
      <c r="S356" s="682"/>
      <c r="T356" s="682"/>
      <c r="U356" s="682"/>
      <c r="V356" s="682"/>
      <c r="W356" s="682"/>
      <c r="X356" s="682"/>
      <c r="Y356" s="682"/>
    </row>
    <row r="357" spans="1:25" ht="11.25" customHeight="1">
      <c r="A357" s="682"/>
      <c r="B357" s="682"/>
      <c r="C357" s="682"/>
      <c r="D357" s="683"/>
      <c r="E357" s="682"/>
      <c r="F357" s="682"/>
      <c r="G357" s="682"/>
      <c r="H357" s="682"/>
      <c r="I357" s="682"/>
      <c r="J357" s="682"/>
      <c r="P357" s="682"/>
      <c r="Q357" s="682"/>
      <c r="R357" s="682"/>
      <c r="S357" s="682"/>
      <c r="T357" s="682"/>
      <c r="U357" s="682"/>
      <c r="V357" s="682"/>
      <c r="W357" s="682"/>
      <c r="X357" s="682"/>
      <c r="Y357" s="682"/>
    </row>
    <row r="358" spans="1:25" ht="11.25" customHeight="1">
      <c r="A358" s="682"/>
      <c r="B358" s="682"/>
      <c r="C358" s="682"/>
      <c r="D358" s="683"/>
      <c r="E358" s="682"/>
      <c r="F358" s="682"/>
      <c r="G358" s="682"/>
      <c r="H358" s="682"/>
      <c r="I358" s="682"/>
      <c r="J358" s="682"/>
      <c r="P358" s="682"/>
      <c r="Q358" s="682"/>
      <c r="R358" s="682"/>
      <c r="S358" s="682"/>
      <c r="T358" s="682"/>
      <c r="U358" s="682"/>
      <c r="V358" s="682"/>
      <c r="W358" s="682"/>
      <c r="X358" s="682"/>
      <c r="Y358" s="682"/>
    </row>
    <row r="359" spans="1:25" ht="11.25" customHeight="1">
      <c r="A359" s="682"/>
      <c r="B359" s="682"/>
      <c r="C359" s="682"/>
      <c r="D359" s="683"/>
      <c r="E359" s="682"/>
      <c r="F359" s="682"/>
      <c r="G359" s="682"/>
      <c r="H359" s="682"/>
      <c r="I359" s="682"/>
      <c r="J359" s="682"/>
      <c r="P359" s="682"/>
      <c r="Q359" s="682"/>
      <c r="R359" s="682"/>
      <c r="S359" s="682"/>
      <c r="T359" s="682"/>
      <c r="U359" s="682"/>
      <c r="V359" s="682"/>
      <c r="W359" s="682"/>
      <c r="X359" s="682"/>
      <c r="Y359" s="682"/>
    </row>
    <row r="360" spans="1:25" ht="11.25" customHeight="1">
      <c r="A360" s="682"/>
      <c r="B360" s="682"/>
      <c r="C360" s="682"/>
      <c r="D360" s="683"/>
      <c r="E360" s="682"/>
      <c r="F360" s="682"/>
      <c r="G360" s="682"/>
      <c r="H360" s="682"/>
      <c r="I360" s="682"/>
      <c r="J360" s="682"/>
      <c r="P360" s="682"/>
      <c r="Q360" s="682"/>
      <c r="R360" s="682"/>
      <c r="S360" s="682"/>
      <c r="T360" s="682"/>
      <c r="U360" s="682"/>
      <c r="V360" s="682"/>
      <c r="W360" s="682"/>
      <c r="X360" s="682"/>
      <c r="Y360" s="682"/>
    </row>
    <row r="361" spans="1:25" ht="11.25" customHeight="1">
      <c r="A361" s="682"/>
      <c r="B361" s="682"/>
      <c r="C361" s="682"/>
      <c r="D361" s="683"/>
      <c r="E361" s="682"/>
      <c r="F361" s="682"/>
      <c r="G361" s="682"/>
      <c r="H361" s="682"/>
      <c r="I361" s="682"/>
      <c r="J361" s="682"/>
      <c r="P361" s="682"/>
      <c r="Q361" s="682"/>
      <c r="R361" s="682"/>
      <c r="S361" s="682"/>
      <c r="T361" s="682"/>
      <c r="U361" s="682"/>
      <c r="V361" s="682"/>
      <c r="W361" s="682"/>
      <c r="X361" s="682"/>
      <c r="Y361" s="682"/>
    </row>
    <row r="362" spans="1:25" ht="11.25" customHeight="1">
      <c r="A362" s="682"/>
      <c r="B362" s="682"/>
      <c r="C362" s="682"/>
      <c r="D362" s="683"/>
      <c r="E362" s="682"/>
      <c r="F362" s="682"/>
      <c r="G362" s="682"/>
      <c r="H362" s="682"/>
      <c r="I362" s="682"/>
      <c r="J362" s="682"/>
      <c r="P362" s="682"/>
      <c r="Q362" s="682"/>
      <c r="R362" s="682"/>
      <c r="S362" s="682"/>
      <c r="T362" s="682"/>
      <c r="U362" s="682"/>
      <c r="V362" s="682"/>
      <c r="W362" s="682"/>
      <c r="X362" s="682"/>
      <c r="Y362" s="682"/>
    </row>
    <row r="363" spans="1:25" ht="11.25" customHeight="1">
      <c r="A363" s="682"/>
      <c r="B363" s="682"/>
      <c r="C363" s="682"/>
      <c r="D363" s="683"/>
      <c r="E363" s="682"/>
      <c r="F363" s="682"/>
      <c r="G363" s="682"/>
      <c r="H363" s="682"/>
      <c r="I363" s="682"/>
      <c r="J363" s="682"/>
      <c r="P363" s="682"/>
      <c r="Q363" s="682"/>
      <c r="R363" s="682"/>
      <c r="S363" s="682"/>
      <c r="T363" s="682"/>
      <c r="U363" s="682"/>
      <c r="V363" s="682"/>
      <c r="W363" s="682"/>
      <c r="X363" s="682"/>
      <c r="Y363" s="682"/>
    </row>
    <row r="364" spans="1:25" ht="11.25" customHeight="1">
      <c r="A364" s="682"/>
      <c r="B364" s="682"/>
      <c r="C364" s="682"/>
      <c r="D364" s="683"/>
      <c r="E364" s="682"/>
      <c r="F364" s="682"/>
      <c r="G364" s="682"/>
      <c r="H364" s="682"/>
      <c r="I364" s="682"/>
      <c r="J364" s="682"/>
      <c r="P364" s="682"/>
      <c r="Q364" s="682"/>
      <c r="R364" s="682"/>
      <c r="S364" s="682"/>
      <c r="T364" s="682"/>
      <c r="U364" s="682"/>
      <c r="V364" s="682"/>
      <c r="W364" s="682"/>
      <c r="X364" s="682"/>
      <c r="Y364" s="682"/>
    </row>
    <row r="365" spans="1:25" ht="11.25" customHeight="1">
      <c r="A365" s="682"/>
      <c r="B365" s="682"/>
      <c r="C365" s="682"/>
      <c r="D365" s="683"/>
      <c r="E365" s="682"/>
      <c r="F365" s="682"/>
      <c r="G365" s="682"/>
      <c r="H365" s="682"/>
      <c r="I365" s="682"/>
      <c r="J365" s="682"/>
      <c r="P365" s="682"/>
      <c r="Q365" s="682"/>
      <c r="R365" s="682"/>
      <c r="S365" s="682"/>
      <c r="T365" s="682"/>
      <c r="U365" s="682"/>
      <c r="V365" s="682"/>
      <c r="W365" s="682"/>
      <c r="X365" s="682"/>
      <c r="Y365" s="682"/>
    </row>
    <row r="366" spans="1:25" ht="11.25" customHeight="1">
      <c r="A366" s="682"/>
      <c r="B366" s="682"/>
      <c r="C366" s="682"/>
      <c r="D366" s="683"/>
      <c r="E366" s="682"/>
      <c r="F366" s="682"/>
      <c r="G366" s="682"/>
      <c r="H366" s="682"/>
      <c r="I366" s="682"/>
      <c r="J366" s="682"/>
      <c r="P366" s="682"/>
      <c r="Q366" s="682"/>
      <c r="R366" s="682"/>
      <c r="S366" s="682"/>
      <c r="T366" s="682"/>
      <c r="U366" s="682"/>
      <c r="V366" s="682"/>
      <c r="W366" s="682"/>
      <c r="X366" s="682"/>
      <c r="Y366" s="682"/>
    </row>
    <row r="367" spans="1:25" ht="11.25" customHeight="1">
      <c r="A367" s="682"/>
      <c r="B367" s="682"/>
      <c r="C367" s="682"/>
      <c r="D367" s="683"/>
      <c r="E367" s="682"/>
      <c r="F367" s="682"/>
      <c r="G367" s="682"/>
      <c r="H367" s="682"/>
      <c r="I367" s="682"/>
      <c r="J367" s="682"/>
      <c r="P367" s="682"/>
      <c r="Q367" s="682"/>
      <c r="R367" s="682"/>
      <c r="S367" s="682"/>
      <c r="T367" s="682"/>
      <c r="U367" s="682"/>
      <c r="V367" s="682"/>
      <c r="W367" s="682"/>
      <c r="X367" s="682"/>
      <c r="Y367" s="682"/>
    </row>
    <row r="368" spans="1:25" ht="11.25" customHeight="1">
      <c r="A368" s="682"/>
      <c r="B368" s="682"/>
      <c r="C368" s="682"/>
      <c r="D368" s="683"/>
      <c r="E368" s="682"/>
      <c r="F368" s="682"/>
      <c r="G368" s="682"/>
      <c r="H368" s="682"/>
      <c r="I368" s="682"/>
      <c r="J368" s="682"/>
      <c r="P368" s="682"/>
      <c r="Q368" s="682"/>
      <c r="R368" s="682"/>
      <c r="S368" s="682"/>
      <c r="T368" s="682"/>
      <c r="U368" s="682"/>
      <c r="V368" s="682"/>
      <c r="W368" s="682"/>
      <c r="X368" s="682"/>
      <c r="Y368" s="682"/>
    </row>
    <row r="369" spans="1:25" ht="11.25" customHeight="1">
      <c r="A369" s="682"/>
      <c r="B369" s="682"/>
      <c r="C369" s="682"/>
      <c r="D369" s="683"/>
      <c r="E369" s="682"/>
      <c r="F369" s="682"/>
      <c r="G369" s="682"/>
      <c r="H369" s="682"/>
      <c r="I369" s="682"/>
      <c r="J369" s="682"/>
      <c r="P369" s="682"/>
      <c r="Q369" s="682"/>
      <c r="R369" s="682"/>
      <c r="S369" s="682"/>
      <c r="T369" s="682"/>
      <c r="U369" s="682"/>
      <c r="V369" s="682"/>
      <c r="W369" s="682"/>
      <c r="X369" s="682"/>
      <c r="Y369" s="682"/>
    </row>
    <row r="370" spans="1:25" ht="11.25" customHeight="1">
      <c r="A370" s="682"/>
      <c r="B370" s="682"/>
      <c r="C370" s="682"/>
      <c r="D370" s="683"/>
      <c r="E370" s="682"/>
      <c r="F370" s="682"/>
      <c r="G370" s="682"/>
      <c r="H370" s="682"/>
      <c r="I370" s="682"/>
      <c r="J370" s="682"/>
      <c r="P370" s="682"/>
      <c r="Q370" s="682"/>
      <c r="R370" s="682"/>
      <c r="S370" s="682"/>
      <c r="T370" s="682"/>
      <c r="U370" s="682"/>
      <c r="V370" s="682"/>
      <c r="W370" s="682"/>
      <c r="X370" s="682"/>
      <c r="Y370" s="682"/>
    </row>
    <row r="371" spans="1:25" ht="11.25" customHeight="1">
      <c r="A371" s="682"/>
      <c r="B371" s="682"/>
      <c r="C371" s="682"/>
      <c r="D371" s="683"/>
      <c r="E371" s="682"/>
      <c r="F371" s="682"/>
      <c r="G371" s="682"/>
      <c r="H371" s="682"/>
      <c r="I371" s="682"/>
      <c r="J371" s="682"/>
      <c r="P371" s="682"/>
      <c r="Q371" s="682"/>
      <c r="R371" s="682"/>
      <c r="S371" s="682"/>
      <c r="T371" s="682"/>
      <c r="U371" s="682"/>
      <c r="V371" s="682"/>
      <c r="W371" s="682"/>
      <c r="X371" s="682"/>
      <c r="Y371" s="682"/>
    </row>
    <row r="372" spans="1:25" ht="11.25" customHeight="1">
      <c r="A372" s="682"/>
      <c r="B372" s="682"/>
      <c r="C372" s="682"/>
      <c r="D372" s="683"/>
      <c r="E372" s="682"/>
      <c r="F372" s="682"/>
      <c r="G372" s="682"/>
      <c r="H372" s="682"/>
      <c r="I372" s="682"/>
      <c r="J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</row>
    <row r="373" spans="1:25" ht="11.25" customHeight="1">
      <c r="A373" s="682"/>
      <c r="B373" s="682"/>
      <c r="C373" s="682"/>
      <c r="D373" s="683"/>
      <c r="E373" s="682"/>
      <c r="F373" s="682"/>
      <c r="G373" s="682"/>
      <c r="H373" s="682"/>
      <c r="I373" s="682"/>
      <c r="J373" s="682"/>
      <c r="P373" s="682"/>
      <c r="Q373" s="682"/>
      <c r="R373" s="682"/>
      <c r="S373" s="682"/>
      <c r="T373" s="682"/>
      <c r="U373" s="682"/>
      <c r="V373" s="682"/>
      <c r="W373" s="682"/>
      <c r="X373" s="682"/>
      <c r="Y373" s="682"/>
    </row>
    <row r="374" spans="1:25" ht="11.25" customHeight="1">
      <c r="A374" s="682"/>
      <c r="B374" s="682"/>
      <c r="C374" s="682"/>
      <c r="D374" s="683"/>
      <c r="E374" s="682"/>
      <c r="F374" s="682"/>
      <c r="G374" s="682"/>
      <c r="H374" s="682"/>
      <c r="I374" s="682"/>
      <c r="J374" s="682"/>
      <c r="P374" s="682"/>
      <c r="Q374" s="682"/>
      <c r="R374" s="682"/>
      <c r="S374" s="682"/>
      <c r="T374" s="682"/>
      <c r="U374" s="682"/>
      <c r="V374" s="682"/>
      <c r="W374" s="682"/>
      <c r="X374" s="682"/>
      <c r="Y374" s="682"/>
    </row>
    <row r="375" spans="1:25" ht="11.25" customHeight="1">
      <c r="A375" s="682"/>
      <c r="B375" s="682"/>
      <c r="C375" s="682"/>
      <c r="D375" s="683"/>
      <c r="E375" s="682"/>
      <c r="F375" s="682"/>
      <c r="G375" s="682"/>
      <c r="H375" s="682"/>
      <c r="I375" s="682"/>
      <c r="J375" s="682"/>
      <c r="P375" s="682"/>
      <c r="Q375" s="682"/>
      <c r="R375" s="682"/>
      <c r="S375" s="682"/>
      <c r="T375" s="682"/>
      <c r="U375" s="682"/>
      <c r="V375" s="682"/>
      <c r="W375" s="682"/>
      <c r="X375" s="682"/>
      <c r="Y375" s="682"/>
    </row>
    <row r="376" spans="1:25" ht="11.25" customHeight="1">
      <c r="A376" s="682"/>
      <c r="B376" s="682"/>
      <c r="C376" s="682"/>
      <c r="D376" s="683"/>
      <c r="E376" s="682"/>
      <c r="F376" s="682"/>
      <c r="G376" s="682"/>
      <c r="H376" s="682"/>
      <c r="I376" s="682"/>
      <c r="J376" s="682"/>
      <c r="P376" s="682"/>
      <c r="Q376" s="682"/>
      <c r="R376" s="682"/>
      <c r="S376" s="682"/>
      <c r="T376" s="682"/>
      <c r="U376" s="682"/>
      <c r="V376" s="682"/>
      <c r="W376" s="682"/>
      <c r="X376" s="682"/>
      <c r="Y376" s="682"/>
    </row>
    <row r="377" spans="1:25" ht="11.25" customHeight="1">
      <c r="A377" s="682"/>
      <c r="B377" s="682"/>
      <c r="C377" s="682"/>
      <c r="D377" s="683"/>
      <c r="E377" s="682"/>
      <c r="F377" s="682"/>
      <c r="G377" s="682"/>
      <c r="H377" s="682"/>
      <c r="I377" s="682"/>
      <c r="J377" s="682"/>
      <c r="P377" s="682"/>
      <c r="Q377" s="682"/>
      <c r="R377" s="682"/>
      <c r="S377" s="682"/>
      <c r="T377" s="682"/>
      <c r="U377" s="682"/>
      <c r="V377" s="682"/>
      <c r="W377" s="682"/>
      <c r="X377" s="682"/>
      <c r="Y377" s="682"/>
    </row>
    <row r="378" spans="1:25" ht="11.25" customHeight="1">
      <c r="A378" s="682"/>
      <c r="B378" s="682"/>
      <c r="C378" s="682"/>
      <c r="D378" s="683"/>
      <c r="E378" s="682"/>
      <c r="F378" s="682"/>
      <c r="G378" s="682"/>
      <c r="H378" s="682"/>
      <c r="I378" s="682"/>
      <c r="J378" s="682"/>
      <c r="P378" s="682"/>
      <c r="Q378" s="682"/>
      <c r="R378" s="682"/>
      <c r="S378" s="682"/>
      <c r="T378" s="682"/>
      <c r="U378" s="682"/>
      <c r="V378" s="682"/>
      <c r="W378" s="682"/>
      <c r="X378" s="682"/>
      <c r="Y378" s="682"/>
    </row>
    <row r="379" spans="1:25" ht="11.25" customHeight="1">
      <c r="A379" s="682"/>
      <c r="B379" s="682"/>
      <c r="C379" s="682"/>
      <c r="D379" s="683"/>
      <c r="E379" s="682"/>
      <c r="F379" s="682"/>
      <c r="G379" s="682"/>
      <c r="H379" s="682"/>
      <c r="I379" s="682"/>
      <c r="J379" s="682"/>
      <c r="P379" s="682"/>
      <c r="Q379" s="682"/>
      <c r="R379" s="682"/>
      <c r="S379" s="682"/>
      <c r="T379" s="682"/>
      <c r="U379" s="682"/>
      <c r="V379" s="682"/>
      <c r="W379" s="682"/>
      <c r="X379" s="682"/>
      <c r="Y379" s="682"/>
    </row>
    <row r="380" spans="1:25" ht="11.25" customHeight="1">
      <c r="A380" s="682"/>
      <c r="B380" s="682"/>
      <c r="C380" s="682"/>
      <c r="D380" s="683"/>
      <c r="E380" s="682"/>
      <c r="F380" s="682"/>
      <c r="G380" s="682"/>
      <c r="H380" s="682"/>
      <c r="I380" s="682"/>
      <c r="J380" s="682"/>
      <c r="P380" s="682"/>
      <c r="Q380" s="682"/>
      <c r="R380" s="682"/>
      <c r="S380" s="682"/>
      <c r="T380" s="682"/>
      <c r="U380" s="682"/>
      <c r="V380" s="682"/>
      <c r="W380" s="682"/>
      <c r="X380" s="682"/>
      <c r="Y380" s="682"/>
    </row>
    <row r="381" spans="1:25" ht="11.25" customHeight="1">
      <c r="A381" s="682"/>
      <c r="B381" s="682"/>
      <c r="C381" s="682"/>
      <c r="D381" s="683"/>
      <c r="E381" s="682"/>
      <c r="F381" s="682"/>
      <c r="G381" s="682"/>
      <c r="H381" s="682"/>
      <c r="I381" s="682"/>
      <c r="J381" s="682"/>
      <c r="P381" s="682"/>
      <c r="Q381" s="682"/>
      <c r="R381" s="682"/>
      <c r="S381" s="682"/>
      <c r="T381" s="682"/>
      <c r="U381" s="682"/>
      <c r="V381" s="682"/>
      <c r="W381" s="682"/>
      <c r="X381" s="682"/>
      <c r="Y381" s="682"/>
    </row>
    <row r="382" spans="1:25" ht="11.25" customHeight="1">
      <c r="A382" s="682"/>
      <c r="B382" s="682"/>
      <c r="C382" s="682"/>
      <c r="D382" s="683"/>
      <c r="E382" s="682"/>
      <c r="F382" s="682"/>
      <c r="G382" s="682"/>
      <c r="H382" s="682"/>
      <c r="I382" s="682"/>
      <c r="J382" s="682"/>
      <c r="P382" s="682"/>
      <c r="Q382" s="682"/>
      <c r="R382" s="682"/>
      <c r="S382" s="682"/>
      <c r="T382" s="682"/>
      <c r="U382" s="682"/>
      <c r="V382" s="682"/>
      <c r="W382" s="682"/>
      <c r="X382" s="682"/>
      <c r="Y382" s="682"/>
    </row>
    <row r="383" spans="1:25" ht="11.25" customHeight="1">
      <c r="A383" s="682"/>
      <c r="B383" s="682"/>
      <c r="C383" s="682"/>
      <c r="D383" s="683"/>
      <c r="E383" s="682"/>
      <c r="F383" s="682"/>
      <c r="G383" s="682"/>
      <c r="H383" s="682"/>
      <c r="I383" s="682"/>
      <c r="J383" s="682"/>
      <c r="P383" s="682"/>
      <c r="Q383" s="682"/>
      <c r="R383" s="682"/>
      <c r="S383" s="682"/>
      <c r="T383" s="682"/>
      <c r="U383" s="682"/>
      <c r="V383" s="682"/>
      <c r="W383" s="682"/>
      <c r="X383" s="682"/>
      <c r="Y383" s="682"/>
    </row>
    <row r="384" spans="1:25" ht="11.25" customHeight="1">
      <c r="A384" s="682"/>
      <c r="B384" s="682"/>
      <c r="C384" s="682"/>
      <c r="D384" s="683"/>
      <c r="E384" s="682"/>
      <c r="F384" s="682"/>
      <c r="G384" s="682"/>
      <c r="H384" s="682"/>
      <c r="I384" s="682"/>
      <c r="J384" s="682"/>
      <c r="P384" s="682"/>
      <c r="Q384" s="682"/>
      <c r="R384" s="682"/>
      <c r="S384" s="682"/>
      <c r="T384" s="682"/>
      <c r="U384" s="682"/>
      <c r="V384" s="682"/>
      <c r="W384" s="682"/>
      <c r="X384" s="682"/>
      <c r="Y384" s="682"/>
    </row>
    <row r="385" spans="1:25" ht="11.25" customHeight="1">
      <c r="A385" s="682"/>
      <c r="B385" s="682"/>
      <c r="C385" s="682"/>
      <c r="D385" s="683"/>
      <c r="E385" s="682"/>
      <c r="F385" s="682"/>
      <c r="G385" s="682"/>
      <c r="H385" s="682"/>
      <c r="I385" s="682"/>
      <c r="J385" s="682"/>
      <c r="P385" s="682"/>
      <c r="Q385" s="682"/>
      <c r="R385" s="682"/>
      <c r="S385" s="682"/>
      <c r="T385" s="682"/>
      <c r="U385" s="682"/>
      <c r="V385" s="682"/>
      <c r="W385" s="682"/>
      <c r="X385" s="682"/>
      <c r="Y385" s="682"/>
    </row>
    <row r="386" spans="1:25" ht="11.25" customHeight="1">
      <c r="A386" s="682"/>
      <c r="B386" s="682"/>
      <c r="C386" s="682"/>
      <c r="D386" s="683"/>
      <c r="E386" s="682"/>
      <c r="F386" s="682"/>
      <c r="G386" s="682"/>
      <c r="H386" s="682"/>
      <c r="I386" s="682"/>
      <c r="J386" s="682"/>
      <c r="P386" s="682"/>
      <c r="Q386" s="682"/>
      <c r="R386" s="682"/>
      <c r="S386" s="682"/>
      <c r="T386" s="682"/>
      <c r="U386" s="682"/>
      <c r="V386" s="682"/>
      <c r="W386" s="682"/>
      <c r="X386" s="682"/>
      <c r="Y386" s="682"/>
    </row>
    <row r="387" spans="1:25" ht="11.25" customHeight="1">
      <c r="A387" s="682"/>
      <c r="B387" s="682"/>
      <c r="C387" s="682"/>
      <c r="D387" s="683"/>
      <c r="E387" s="682"/>
      <c r="F387" s="682"/>
      <c r="G387" s="682"/>
      <c r="H387" s="682"/>
      <c r="I387" s="682"/>
      <c r="J387" s="682"/>
      <c r="P387" s="682"/>
      <c r="Q387" s="682"/>
      <c r="R387" s="682"/>
      <c r="S387" s="682"/>
      <c r="T387" s="682"/>
      <c r="U387" s="682"/>
      <c r="V387" s="682"/>
      <c r="W387" s="682"/>
      <c r="X387" s="682"/>
      <c r="Y387" s="682"/>
    </row>
    <row r="388" spans="1:25" ht="11.25" customHeight="1">
      <c r="A388" s="682"/>
      <c r="B388" s="682"/>
      <c r="C388" s="682"/>
      <c r="D388" s="683"/>
      <c r="E388" s="682"/>
      <c r="F388" s="682"/>
      <c r="G388" s="682"/>
      <c r="H388" s="682"/>
      <c r="I388" s="682"/>
      <c r="J388" s="682"/>
      <c r="P388" s="682"/>
      <c r="Q388" s="682"/>
      <c r="R388" s="682"/>
      <c r="S388" s="682"/>
      <c r="T388" s="682"/>
      <c r="U388" s="682"/>
      <c r="V388" s="682"/>
      <c r="W388" s="682"/>
      <c r="X388" s="682"/>
      <c r="Y388" s="682"/>
    </row>
    <row r="389" spans="1:25" ht="11.25" customHeight="1">
      <c r="A389" s="682"/>
      <c r="B389" s="682"/>
      <c r="C389" s="682"/>
      <c r="D389" s="683"/>
      <c r="E389" s="682"/>
      <c r="F389" s="682"/>
      <c r="G389" s="682"/>
      <c r="H389" s="682"/>
      <c r="I389" s="682"/>
      <c r="J389" s="682"/>
      <c r="P389" s="682"/>
      <c r="Q389" s="682"/>
      <c r="R389" s="682"/>
      <c r="S389" s="682"/>
      <c r="T389" s="682"/>
      <c r="U389" s="682"/>
      <c r="V389" s="682"/>
      <c r="W389" s="682"/>
      <c r="X389" s="682"/>
      <c r="Y389" s="682"/>
    </row>
    <row r="390" spans="1:25" ht="11.25" customHeight="1">
      <c r="A390" s="682"/>
      <c r="B390" s="682"/>
      <c r="C390" s="682"/>
      <c r="D390" s="683"/>
      <c r="E390" s="682"/>
      <c r="F390" s="682"/>
      <c r="G390" s="682"/>
      <c r="H390" s="682"/>
      <c r="I390" s="682"/>
      <c r="J390" s="682"/>
      <c r="P390" s="682"/>
      <c r="Q390" s="682"/>
      <c r="R390" s="682"/>
      <c r="S390" s="682"/>
      <c r="T390" s="682"/>
      <c r="U390" s="682"/>
      <c r="V390" s="682"/>
      <c r="W390" s="682"/>
      <c r="X390" s="682"/>
      <c r="Y390" s="682"/>
    </row>
    <row r="391" spans="1:25" ht="11.25" customHeight="1">
      <c r="A391" s="682"/>
      <c r="B391" s="682"/>
      <c r="C391" s="682"/>
      <c r="D391" s="683"/>
      <c r="E391" s="682"/>
      <c r="F391" s="682"/>
      <c r="G391" s="682"/>
      <c r="H391" s="682"/>
      <c r="I391" s="682"/>
      <c r="J391" s="682"/>
      <c r="P391" s="682"/>
      <c r="Q391" s="682"/>
      <c r="R391" s="682"/>
      <c r="S391" s="682"/>
      <c r="T391" s="682"/>
      <c r="U391" s="682"/>
      <c r="V391" s="682"/>
      <c r="W391" s="682"/>
      <c r="X391" s="682"/>
      <c r="Y391" s="682"/>
    </row>
    <row r="392" spans="1:25" ht="11.25" customHeight="1">
      <c r="A392" s="682"/>
      <c r="B392" s="682"/>
      <c r="C392" s="682"/>
      <c r="D392" s="683"/>
      <c r="E392" s="682"/>
      <c r="F392" s="682"/>
      <c r="G392" s="682"/>
      <c r="H392" s="682"/>
      <c r="I392" s="682"/>
      <c r="J392" s="682"/>
      <c r="P392" s="682"/>
      <c r="Q392" s="682"/>
      <c r="R392" s="682"/>
      <c r="S392" s="682"/>
      <c r="T392" s="682"/>
      <c r="U392" s="682"/>
      <c r="V392" s="682"/>
      <c r="W392" s="682"/>
      <c r="X392" s="682"/>
      <c r="Y392" s="682"/>
    </row>
    <row r="393" spans="1:25" ht="11.25" customHeight="1">
      <c r="A393" s="682"/>
      <c r="B393" s="682"/>
      <c r="C393" s="682"/>
      <c r="D393" s="683"/>
      <c r="E393" s="682"/>
      <c r="F393" s="682"/>
      <c r="G393" s="682"/>
      <c r="H393" s="682"/>
      <c r="I393" s="682"/>
      <c r="J393" s="682"/>
      <c r="P393" s="682"/>
      <c r="Q393" s="682"/>
      <c r="R393" s="682"/>
      <c r="S393" s="682"/>
      <c r="T393" s="682"/>
      <c r="U393" s="682"/>
      <c r="V393" s="682"/>
      <c r="W393" s="682"/>
      <c r="X393" s="682"/>
      <c r="Y393" s="682"/>
    </row>
    <row r="394" spans="1:25" ht="11.25" customHeight="1">
      <c r="A394" s="682"/>
      <c r="B394" s="682"/>
      <c r="C394" s="682"/>
      <c r="D394" s="683"/>
      <c r="E394" s="682"/>
      <c r="F394" s="682"/>
      <c r="G394" s="682"/>
      <c r="H394" s="682"/>
      <c r="I394" s="682"/>
      <c r="J394" s="682"/>
      <c r="P394" s="682"/>
      <c r="Q394" s="682"/>
      <c r="R394" s="682"/>
      <c r="S394" s="682"/>
      <c r="T394" s="682"/>
      <c r="U394" s="682"/>
      <c r="V394" s="682"/>
      <c r="W394" s="682"/>
      <c r="X394" s="682"/>
      <c r="Y394" s="682"/>
    </row>
    <row r="395" spans="1:25" ht="11.25" customHeight="1">
      <c r="A395" s="682"/>
      <c r="B395" s="682"/>
      <c r="C395" s="682"/>
      <c r="D395" s="683"/>
      <c r="E395" s="682"/>
      <c r="F395" s="682"/>
      <c r="G395" s="682"/>
      <c r="H395" s="682"/>
      <c r="I395" s="682"/>
      <c r="J395" s="682"/>
      <c r="P395" s="682"/>
      <c r="Q395" s="682"/>
      <c r="R395" s="682"/>
      <c r="S395" s="682"/>
      <c r="T395" s="682"/>
      <c r="U395" s="682"/>
      <c r="V395" s="682"/>
      <c r="W395" s="682"/>
      <c r="X395" s="682"/>
      <c r="Y395" s="682"/>
    </row>
    <row r="396" spans="1:25" ht="11.25" customHeight="1">
      <c r="A396" s="682"/>
      <c r="B396" s="682"/>
      <c r="C396" s="682"/>
      <c r="D396" s="683"/>
      <c r="E396" s="682"/>
      <c r="F396" s="682"/>
      <c r="G396" s="682"/>
      <c r="H396" s="682"/>
      <c r="I396" s="682"/>
      <c r="J396" s="682"/>
      <c r="P396" s="682"/>
      <c r="Q396" s="682"/>
      <c r="R396" s="682"/>
      <c r="S396" s="682"/>
      <c r="T396" s="682"/>
      <c r="U396" s="682"/>
      <c r="V396" s="682"/>
      <c r="W396" s="682"/>
      <c r="X396" s="682"/>
      <c r="Y396" s="682"/>
    </row>
    <row r="397" spans="1:25" ht="11.25" customHeight="1">
      <c r="A397" s="682"/>
      <c r="B397" s="682"/>
      <c r="C397" s="682"/>
      <c r="D397" s="683"/>
      <c r="E397" s="682"/>
      <c r="F397" s="682"/>
      <c r="G397" s="682"/>
      <c r="H397" s="682"/>
      <c r="I397" s="682"/>
      <c r="J397" s="682"/>
      <c r="P397" s="682"/>
      <c r="Q397" s="682"/>
      <c r="R397" s="682"/>
      <c r="S397" s="682"/>
      <c r="T397" s="682"/>
      <c r="U397" s="682"/>
      <c r="V397" s="682"/>
      <c r="W397" s="682"/>
      <c r="X397" s="682"/>
      <c r="Y397" s="682"/>
    </row>
    <row r="398" spans="1:25" ht="11.25" customHeight="1">
      <c r="A398" s="682"/>
      <c r="B398" s="682"/>
      <c r="C398" s="682"/>
      <c r="D398" s="683"/>
      <c r="E398" s="682"/>
      <c r="F398" s="682"/>
      <c r="G398" s="682"/>
      <c r="H398" s="682"/>
      <c r="I398" s="682"/>
      <c r="J398" s="682"/>
      <c r="P398" s="682"/>
      <c r="Q398" s="682"/>
      <c r="R398" s="682"/>
      <c r="S398" s="682"/>
      <c r="T398" s="682"/>
      <c r="U398" s="682"/>
      <c r="V398" s="682"/>
      <c r="W398" s="682"/>
      <c r="X398" s="682"/>
      <c r="Y398" s="682"/>
    </row>
    <row r="399" spans="1:25" ht="11.25" customHeight="1">
      <c r="A399" s="682"/>
      <c r="B399" s="682"/>
      <c r="C399" s="682"/>
      <c r="D399" s="683"/>
      <c r="E399" s="682"/>
      <c r="F399" s="682"/>
      <c r="G399" s="682"/>
      <c r="H399" s="682"/>
      <c r="I399" s="682"/>
      <c r="J399" s="682"/>
      <c r="P399" s="682"/>
      <c r="Q399" s="682"/>
      <c r="R399" s="682"/>
      <c r="S399" s="682"/>
      <c r="T399" s="682"/>
      <c r="U399" s="682"/>
      <c r="V399" s="682"/>
      <c r="W399" s="682"/>
      <c r="X399" s="682"/>
      <c r="Y399" s="682"/>
    </row>
    <row r="400" spans="1:25" ht="11.25" customHeight="1">
      <c r="A400" s="682"/>
      <c r="B400" s="682"/>
      <c r="C400" s="682"/>
      <c r="D400" s="683"/>
      <c r="E400" s="682"/>
      <c r="F400" s="682"/>
      <c r="G400" s="682"/>
      <c r="H400" s="682"/>
      <c r="I400" s="682"/>
      <c r="J400" s="682"/>
      <c r="P400" s="682"/>
      <c r="Q400" s="682"/>
      <c r="R400" s="682"/>
      <c r="S400" s="682"/>
      <c r="T400" s="682"/>
      <c r="U400" s="682"/>
      <c r="V400" s="682"/>
      <c r="W400" s="682"/>
      <c r="X400" s="682"/>
      <c r="Y400" s="682"/>
    </row>
    <row r="401" spans="1:25" ht="11.25" customHeight="1">
      <c r="A401" s="682"/>
      <c r="B401" s="682"/>
      <c r="C401" s="682"/>
      <c r="D401" s="683"/>
      <c r="E401" s="682"/>
      <c r="F401" s="682"/>
      <c r="G401" s="682"/>
      <c r="H401" s="682"/>
      <c r="I401" s="682"/>
      <c r="J401" s="682"/>
      <c r="P401" s="682"/>
      <c r="Q401" s="682"/>
      <c r="R401" s="682"/>
      <c r="S401" s="682"/>
      <c r="T401" s="682"/>
      <c r="U401" s="682"/>
      <c r="V401" s="682"/>
      <c r="W401" s="682"/>
      <c r="X401" s="682"/>
      <c r="Y401" s="682"/>
    </row>
    <row r="402" spans="1:25" ht="11.25" customHeight="1">
      <c r="A402" s="682"/>
      <c r="B402" s="682"/>
      <c r="C402" s="682"/>
      <c r="D402" s="683"/>
      <c r="E402" s="682"/>
      <c r="F402" s="682"/>
      <c r="G402" s="682"/>
      <c r="H402" s="682"/>
      <c r="I402" s="682"/>
      <c r="J402" s="682"/>
      <c r="P402" s="682"/>
      <c r="Q402" s="682"/>
      <c r="R402" s="682"/>
      <c r="S402" s="682"/>
      <c r="T402" s="682"/>
      <c r="U402" s="682"/>
      <c r="V402" s="682"/>
      <c r="W402" s="682"/>
      <c r="X402" s="682"/>
      <c r="Y402" s="682"/>
    </row>
    <row r="403" spans="1:25" ht="11.25" customHeight="1">
      <c r="A403" s="682"/>
      <c r="B403" s="682"/>
      <c r="C403" s="682"/>
      <c r="D403" s="683"/>
      <c r="E403" s="682"/>
      <c r="F403" s="682"/>
      <c r="G403" s="682"/>
      <c r="H403" s="682"/>
      <c r="I403" s="682"/>
      <c r="J403" s="682"/>
      <c r="P403" s="682"/>
      <c r="Q403" s="682"/>
      <c r="R403" s="682"/>
      <c r="S403" s="682"/>
      <c r="T403" s="682"/>
      <c r="U403" s="682"/>
      <c r="V403" s="682"/>
      <c r="W403" s="682"/>
      <c r="X403" s="682"/>
      <c r="Y403" s="682"/>
    </row>
    <row r="404" spans="1:25" ht="11.25" customHeight="1">
      <c r="A404" s="682"/>
      <c r="B404" s="682"/>
      <c r="C404" s="682"/>
      <c r="D404" s="683"/>
      <c r="E404" s="682"/>
      <c r="F404" s="682"/>
      <c r="G404" s="682"/>
      <c r="H404" s="682"/>
      <c r="I404" s="682"/>
      <c r="J404" s="682"/>
      <c r="P404" s="682"/>
      <c r="Q404" s="682"/>
      <c r="R404" s="682"/>
      <c r="S404" s="682"/>
      <c r="T404" s="682"/>
      <c r="U404" s="682"/>
      <c r="V404" s="682"/>
      <c r="W404" s="682"/>
      <c r="X404" s="682"/>
      <c r="Y404" s="682"/>
    </row>
    <row r="405" spans="1:25" ht="11.25" customHeight="1">
      <c r="A405" s="682"/>
      <c r="B405" s="682"/>
      <c r="C405" s="682"/>
      <c r="D405" s="683"/>
      <c r="E405" s="682"/>
      <c r="F405" s="682"/>
      <c r="G405" s="682"/>
      <c r="H405" s="682"/>
      <c r="I405" s="682"/>
      <c r="J405" s="682"/>
      <c r="P405" s="682"/>
      <c r="Q405" s="682"/>
      <c r="R405" s="682"/>
      <c r="S405" s="682"/>
      <c r="T405" s="682"/>
      <c r="U405" s="682"/>
      <c r="V405" s="682"/>
      <c r="W405" s="682"/>
      <c r="X405" s="682"/>
      <c r="Y405" s="682"/>
    </row>
    <row r="406" spans="1:25" ht="11.25" customHeight="1">
      <c r="A406" s="682"/>
      <c r="B406" s="682"/>
      <c r="C406" s="682"/>
      <c r="D406" s="683"/>
      <c r="E406" s="682"/>
      <c r="F406" s="682"/>
      <c r="G406" s="682"/>
      <c r="H406" s="682"/>
      <c r="I406" s="682"/>
      <c r="J406" s="682"/>
      <c r="P406" s="682"/>
      <c r="Q406" s="682"/>
      <c r="R406" s="682"/>
      <c r="S406" s="682"/>
      <c r="T406" s="682"/>
      <c r="U406" s="682"/>
      <c r="V406" s="682"/>
      <c r="W406" s="682"/>
      <c r="X406" s="682"/>
      <c r="Y406" s="682"/>
    </row>
    <row r="407" spans="1:25" ht="11.25" customHeight="1">
      <c r="A407" s="682"/>
      <c r="B407" s="682"/>
      <c r="C407" s="682"/>
      <c r="D407" s="683"/>
      <c r="E407" s="682"/>
      <c r="F407" s="682"/>
      <c r="G407" s="682"/>
      <c r="H407" s="682"/>
      <c r="I407" s="682"/>
      <c r="J407" s="682"/>
      <c r="P407" s="682"/>
      <c r="Q407" s="682"/>
      <c r="R407" s="682"/>
      <c r="S407" s="682"/>
      <c r="T407" s="682"/>
      <c r="U407" s="682"/>
      <c r="V407" s="682"/>
      <c r="W407" s="682"/>
      <c r="X407" s="682"/>
      <c r="Y407" s="682"/>
    </row>
    <row r="408" spans="1:25" ht="11.25" customHeight="1">
      <c r="A408" s="682"/>
      <c r="B408" s="682"/>
      <c r="C408" s="682"/>
      <c r="D408" s="683"/>
      <c r="E408" s="682"/>
      <c r="F408" s="682"/>
      <c r="G408" s="682"/>
      <c r="H408" s="682"/>
      <c r="I408" s="682"/>
      <c r="J408" s="682"/>
      <c r="P408" s="682"/>
      <c r="Q408" s="682"/>
      <c r="R408" s="682"/>
      <c r="S408" s="682"/>
      <c r="T408" s="682"/>
      <c r="U408" s="682"/>
      <c r="V408" s="682"/>
      <c r="W408" s="682"/>
      <c r="X408" s="682"/>
      <c r="Y408" s="682"/>
    </row>
    <row r="409" spans="1:25" ht="11.25" customHeight="1">
      <c r="A409" s="682"/>
      <c r="B409" s="682"/>
      <c r="C409" s="682"/>
      <c r="D409" s="683"/>
      <c r="E409" s="682"/>
      <c r="F409" s="682"/>
      <c r="G409" s="682"/>
      <c r="H409" s="682"/>
      <c r="I409" s="682"/>
      <c r="J409" s="682"/>
      <c r="P409" s="682"/>
      <c r="Q409" s="682"/>
      <c r="R409" s="682"/>
      <c r="S409" s="682"/>
      <c r="T409" s="682"/>
      <c r="U409" s="682"/>
      <c r="V409" s="682"/>
      <c r="W409" s="682"/>
      <c r="X409" s="682"/>
      <c r="Y409" s="682"/>
    </row>
    <row r="410" spans="1:25" ht="11.25" customHeight="1">
      <c r="A410" s="682"/>
      <c r="B410" s="682"/>
      <c r="C410" s="682"/>
      <c r="D410" s="683"/>
      <c r="E410" s="682"/>
      <c r="F410" s="682"/>
      <c r="G410" s="682"/>
      <c r="H410" s="682"/>
      <c r="I410" s="682"/>
      <c r="J410" s="682"/>
      <c r="P410" s="682"/>
      <c r="Q410" s="682"/>
      <c r="R410" s="682"/>
      <c r="S410" s="682"/>
      <c r="T410" s="682"/>
      <c r="U410" s="682"/>
      <c r="V410" s="682"/>
      <c r="W410" s="682"/>
      <c r="X410" s="682"/>
      <c r="Y410" s="682"/>
    </row>
    <row r="411" spans="1:25" ht="11.25" customHeight="1">
      <c r="A411" s="682"/>
      <c r="B411" s="682"/>
      <c r="C411" s="682"/>
      <c r="D411" s="683"/>
      <c r="E411" s="682"/>
      <c r="F411" s="682"/>
      <c r="G411" s="682"/>
      <c r="H411" s="682"/>
      <c r="I411" s="682"/>
      <c r="J411" s="682"/>
      <c r="P411" s="682"/>
      <c r="Q411" s="682"/>
      <c r="R411" s="682"/>
      <c r="S411" s="682"/>
      <c r="T411" s="682"/>
      <c r="U411" s="682"/>
      <c r="V411" s="682"/>
      <c r="W411" s="682"/>
      <c r="X411" s="682"/>
      <c r="Y411" s="682"/>
    </row>
    <row r="412" spans="1:25" ht="11.25" customHeight="1">
      <c r="A412" s="682"/>
      <c r="B412" s="682"/>
      <c r="C412" s="682"/>
      <c r="D412" s="683"/>
      <c r="E412" s="682"/>
      <c r="F412" s="682"/>
      <c r="G412" s="682"/>
      <c r="H412" s="682"/>
      <c r="I412" s="682"/>
      <c r="J412" s="682"/>
      <c r="P412" s="682"/>
      <c r="Q412" s="682"/>
      <c r="R412" s="682"/>
      <c r="S412" s="682"/>
      <c r="T412" s="682"/>
      <c r="U412" s="682"/>
      <c r="V412" s="682"/>
      <c r="W412" s="682"/>
      <c r="X412" s="682"/>
      <c r="Y412" s="682"/>
    </row>
    <row r="413" spans="1:25" ht="11.25" customHeight="1">
      <c r="A413" s="682"/>
      <c r="B413" s="682"/>
      <c r="C413" s="682"/>
      <c r="D413" s="683"/>
      <c r="E413" s="682"/>
      <c r="F413" s="682"/>
      <c r="G413" s="682"/>
      <c r="H413" s="682"/>
      <c r="I413" s="682"/>
      <c r="J413" s="682"/>
      <c r="P413" s="682"/>
      <c r="Q413" s="682"/>
      <c r="R413" s="682"/>
      <c r="S413" s="682"/>
      <c r="T413" s="682"/>
      <c r="U413" s="682"/>
      <c r="V413" s="682"/>
      <c r="W413" s="682"/>
      <c r="X413" s="682"/>
      <c r="Y413" s="682"/>
    </row>
    <row r="414" spans="1:25" ht="11.25" customHeight="1">
      <c r="A414" s="682"/>
      <c r="B414" s="682"/>
      <c r="C414" s="682"/>
      <c r="D414" s="683"/>
      <c r="E414" s="682"/>
      <c r="F414" s="682"/>
      <c r="G414" s="682"/>
      <c r="H414" s="682"/>
      <c r="I414" s="682"/>
      <c r="J414" s="682"/>
      <c r="P414" s="682"/>
      <c r="Q414" s="682"/>
      <c r="R414" s="682"/>
      <c r="S414" s="682"/>
      <c r="T414" s="682"/>
      <c r="U414" s="682"/>
      <c r="V414" s="682"/>
      <c r="W414" s="682"/>
      <c r="X414" s="682"/>
      <c r="Y414" s="682"/>
    </row>
    <row r="415" spans="1:25" ht="11.25" customHeight="1">
      <c r="A415" s="682"/>
      <c r="B415" s="682"/>
      <c r="C415" s="682"/>
      <c r="D415" s="683"/>
      <c r="E415" s="682"/>
      <c r="F415" s="682"/>
      <c r="G415" s="682"/>
      <c r="H415" s="682"/>
      <c r="I415" s="682"/>
      <c r="J415" s="682"/>
      <c r="P415" s="682"/>
      <c r="Q415" s="682"/>
      <c r="R415" s="682"/>
      <c r="S415" s="682"/>
      <c r="T415" s="682"/>
      <c r="U415" s="682"/>
      <c r="V415" s="682"/>
      <c r="W415" s="682"/>
      <c r="X415" s="682"/>
      <c r="Y415" s="682"/>
    </row>
    <row r="416" spans="1:25" ht="11.25" customHeight="1">
      <c r="A416" s="682"/>
      <c r="B416" s="682"/>
      <c r="C416" s="682"/>
      <c r="D416" s="683"/>
      <c r="E416" s="682"/>
      <c r="F416" s="682"/>
      <c r="G416" s="682"/>
      <c r="H416" s="682"/>
      <c r="I416" s="682"/>
      <c r="J416" s="682"/>
      <c r="P416" s="682"/>
      <c r="Q416" s="682"/>
      <c r="R416" s="682"/>
      <c r="S416" s="682"/>
      <c r="T416" s="682"/>
      <c r="U416" s="682"/>
      <c r="V416" s="682"/>
      <c r="W416" s="682"/>
      <c r="X416" s="682"/>
      <c r="Y416" s="682"/>
    </row>
    <row r="417" spans="1:25" ht="11.25" customHeight="1">
      <c r="A417" s="682"/>
      <c r="B417" s="682"/>
      <c r="C417" s="682"/>
      <c r="D417" s="683"/>
      <c r="E417" s="682"/>
      <c r="F417" s="682"/>
      <c r="G417" s="682"/>
      <c r="H417" s="682"/>
      <c r="I417" s="682"/>
      <c r="J417" s="682"/>
      <c r="P417" s="682"/>
      <c r="Q417" s="682"/>
      <c r="R417" s="682"/>
      <c r="S417" s="682"/>
      <c r="T417" s="682"/>
      <c r="U417" s="682"/>
      <c r="V417" s="682"/>
      <c r="W417" s="682"/>
      <c r="X417" s="682"/>
      <c r="Y417" s="682"/>
    </row>
    <row r="418" spans="1:25" ht="11.25" customHeight="1">
      <c r="A418" s="682"/>
      <c r="B418" s="682"/>
      <c r="C418" s="682"/>
      <c r="D418" s="683"/>
      <c r="E418" s="682"/>
      <c r="F418" s="682"/>
      <c r="G418" s="682"/>
      <c r="H418" s="682"/>
      <c r="I418" s="682"/>
      <c r="J418" s="682"/>
      <c r="P418" s="682"/>
      <c r="Q418" s="682"/>
      <c r="R418" s="682"/>
      <c r="S418" s="682"/>
      <c r="T418" s="682"/>
      <c r="U418" s="682"/>
      <c r="V418" s="682"/>
      <c r="W418" s="682"/>
      <c r="X418" s="682"/>
      <c r="Y418" s="682"/>
    </row>
    <row r="419" spans="1:25" ht="11.25" customHeight="1">
      <c r="A419" s="682"/>
      <c r="B419" s="682"/>
      <c r="C419" s="682"/>
      <c r="D419" s="683"/>
      <c r="E419" s="682"/>
      <c r="F419" s="682"/>
      <c r="G419" s="682"/>
      <c r="H419" s="682"/>
      <c r="I419" s="682"/>
      <c r="J419" s="682"/>
      <c r="P419" s="682"/>
      <c r="Q419" s="682"/>
      <c r="R419" s="682"/>
      <c r="S419" s="682"/>
      <c r="T419" s="682"/>
      <c r="U419" s="682"/>
      <c r="V419" s="682"/>
      <c r="W419" s="682"/>
      <c r="X419" s="682"/>
      <c r="Y419" s="682"/>
    </row>
    <row r="420" spans="1:25" ht="11.25" customHeight="1">
      <c r="A420" s="682"/>
      <c r="B420" s="682"/>
      <c r="C420" s="682"/>
      <c r="D420" s="683"/>
      <c r="E420" s="682"/>
      <c r="F420" s="682"/>
      <c r="G420" s="682"/>
      <c r="H420" s="682"/>
      <c r="I420" s="682"/>
      <c r="J420" s="682"/>
      <c r="P420" s="682"/>
      <c r="Q420" s="682"/>
      <c r="R420" s="682"/>
      <c r="S420" s="682"/>
      <c r="T420" s="682"/>
      <c r="U420" s="682"/>
      <c r="V420" s="682"/>
      <c r="W420" s="682"/>
      <c r="X420" s="682"/>
      <c r="Y420" s="682"/>
    </row>
    <row r="421" spans="1:25" ht="11.25" customHeight="1">
      <c r="A421" s="682"/>
      <c r="B421" s="682"/>
      <c r="C421" s="682"/>
      <c r="D421" s="683"/>
      <c r="E421" s="682"/>
      <c r="F421" s="682"/>
      <c r="G421" s="682"/>
      <c r="H421" s="682"/>
      <c r="I421" s="682"/>
      <c r="J421" s="682"/>
      <c r="P421" s="682"/>
      <c r="Q421" s="682"/>
      <c r="R421" s="682"/>
      <c r="S421" s="682"/>
      <c r="T421" s="682"/>
      <c r="U421" s="682"/>
      <c r="V421" s="682"/>
      <c r="W421" s="682"/>
      <c r="X421" s="682"/>
      <c r="Y421" s="682"/>
    </row>
    <row r="422" spans="1:25" ht="11.25" customHeight="1">
      <c r="A422" s="682"/>
      <c r="B422" s="682"/>
      <c r="C422" s="682"/>
      <c r="D422" s="683"/>
      <c r="E422" s="682"/>
      <c r="F422" s="682"/>
      <c r="G422" s="682"/>
      <c r="H422" s="682"/>
      <c r="I422" s="682"/>
      <c r="J422" s="682"/>
      <c r="P422" s="682"/>
      <c r="Q422" s="682"/>
      <c r="R422" s="682"/>
      <c r="S422" s="682"/>
      <c r="T422" s="682"/>
      <c r="U422" s="682"/>
      <c r="V422" s="682"/>
      <c r="W422" s="682"/>
      <c r="X422" s="682"/>
      <c r="Y422" s="682"/>
    </row>
    <row r="423" spans="1:25" ht="11.25" customHeight="1">
      <c r="A423" s="682"/>
      <c r="B423" s="682"/>
      <c r="C423" s="682"/>
      <c r="D423" s="683"/>
      <c r="E423" s="682"/>
      <c r="F423" s="682"/>
      <c r="G423" s="682"/>
      <c r="H423" s="682"/>
      <c r="I423" s="682"/>
      <c r="J423" s="682"/>
      <c r="P423" s="682"/>
      <c r="Q423" s="682"/>
      <c r="R423" s="682"/>
      <c r="S423" s="682"/>
      <c r="T423" s="682"/>
      <c r="U423" s="682"/>
      <c r="V423" s="682"/>
      <c r="W423" s="682"/>
      <c r="X423" s="682"/>
      <c r="Y423" s="682"/>
    </row>
    <row r="424" spans="1:25" ht="11.25" customHeight="1">
      <c r="A424" s="682"/>
      <c r="B424" s="682"/>
      <c r="C424" s="682"/>
      <c r="D424" s="683"/>
      <c r="E424" s="682"/>
      <c r="F424" s="682"/>
      <c r="G424" s="682"/>
      <c r="H424" s="682"/>
      <c r="I424" s="682"/>
      <c r="J424" s="682"/>
      <c r="P424" s="682"/>
      <c r="Q424" s="682"/>
      <c r="R424" s="682"/>
      <c r="S424" s="682"/>
      <c r="T424" s="682"/>
      <c r="U424" s="682"/>
      <c r="V424" s="682"/>
      <c r="W424" s="682"/>
      <c r="X424" s="682"/>
      <c r="Y424" s="682"/>
    </row>
    <row r="425" spans="1:25" ht="11.25" customHeight="1">
      <c r="A425" s="682"/>
      <c r="B425" s="682"/>
      <c r="C425" s="682"/>
      <c r="D425" s="683"/>
      <c r="E425" s="682"/>
      <c r="F425" s="682"/>
      <c r="G425" s="682"/>
      <c r="H425" s="682"/>
      <c r="I425" s="682"/>
      <c r="J425" s="682"/>
      <c r="P425" s="682"/>
      <c r="Q425" s="682"/>
      <c r="R425" s="682"/>
      <c r="S425" s="682"/>
      <c r="T425" s="682"/>
      <c r="U425" s="682"/>
      <c r="V425" s="682"/>
      <c r="W425" s="682"/>
      <c r="X425" s="682"/>
      <c r="Y425" s="682"/>
    </row>
    <row r="426" spans="1:25" ht="11.25" customHeight="1">
      <c r="A426" s="682"/>
      <c r="B426" s="682"/>
      <c r="C426" s="682"/>
      <c r="D426" s="683"/>
      <c r="E426" s="682"/>
      <c r="F426" s="682"/>
      <c r="G426" s="682"/>
      <c r="H426" s="682"/>
      <c r="I426" s="682"/>
      <c r="J426" s="682"/>
      <c r="P426" s="682"/>
      <c r="Q426" s="682"/>
      <c r="R426" s="682"/>
      <c r="S426" s="682"/>
      <c r="T426" s="682"/>
      <c r="U426" s="682"/>
      <c r="V426" s="682"/>
      <c r="W426" s="682"/>
      <c r="X426" s="682"/>
      <c r="Y426" s="682"/>
    </row>
    <row r="427" spans="1:25" ht="11.25" customHeight="1">
      <c r="A427" s="682"/>
      <c r="B427" s="682"/>
      <c r="C427" s="682"/>
      <c r="D427" s="683"/>
      <c r="E427" s="682"/>
      <c r="F427" s="682"/>
      <c r="G427" s="682"/>
      <c r="H427" s="682"/>
      <c r="I427" s="682"/>
      <c r="J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</row>
    <row r="428" spans="1:25" ht="11.25" customHeight="1">
      <c r="A428" s="682"/>
      <c r="B428" s="682"/>
      <c r="C428" s="682"/>
      <c r="D428" s="683"/>
      <c r="E428" s="682"/>
      <c r="F428" s="682"/>
      <c r="G428" s="682"/>
      <c r="H428" s="682"/>
      <c r="I428" s="682"/>
      <c r="J428" s="682"/>
      <c r="P428" s="682"/>
      <c r="Q428" s="682"/>
      <c r="R428" s="682"/>
      <c r="S428" s="682"/>
      <c r="T428" s="682"/>
      <c r="U428" s="682"/>
      <c r="V428" s="682"/>
      <c r="W428" s="682"/>
      <c r="X428" s="682"/>
      <c r="Y428" s="682"/>
    </row>
    <row r="429" spans="1:25" ht="11.25" customHeight="1">
      <c r="A429" s="682"/>
      <c r="B429" s="682"/>
      <c r="C429" s="682"/>
      <c r="D429" s="683"/>
      <c r="E429" s="682"/>
      <c r="F429" s="682"/>
      <c r="G429" s="682"/>
      <c r="H429" s="682"/>
      <c r="I429" s="682"/>
      <c r="J429" s="682"/>
      <c r="P429" s="682"/>
      <c r="Q429" s="682"/>
      <c r="R429" s="682"/>
      <c r="S429" s="682"/>
      <c r="T429" s="682"/>
      <c r="U429" s="682"/>
      <c r="V429" s="682"/>
      <c r="W429" s="682"/>
      <c r="X429" s="682"/>
      <c r="Y429" s="682"/>
    </row>
    <row r="430" spans="1:25" ht="11.25" customHeight="1">
      <c r="A430" s="682"/>
      <c r="B430" s="682"/>
      <c r="C430" s="682"/>
      <c r="D430" s="683"/>
      <c r="E430" s="682"/>
      <c r="F430" s="682"/>
      <c r="G430" s="682"/>
      <c r="H430" s="682"/>
      <c r="I430" s="682"/>
      <c r="J430" s="682"/>
      <c r="P430" s="682"/>
      <c r="Q430" s="682"/>
      <c r="R430" s="682"/>
      <c r="S430" s="682"/>
      <c r="T430" s="682"/>
      <c r="U430" s="682"/>
      <c r="V430" s="682"/>
      <c r="W430" s="682"/>
      <c r="X430" s="682"/>
      <c r="Y430" s="682"/>
    </row>
    <row r="431" spans="1:25" ht="11.25" customHeight="1">
      <c r="A431" s="682"/>
      <c r="B431" s="682"/>
      <c r="C431" s="682"/>
      <c r="D431" s="683"/>
      <c r="E431" s="682"/>
      <c r="F431" s="682"/>
      <c r="G431" s="682"/>
      <c r="H431" s="682"/>
      <c r="I431" s="682"/>
      <c r="J431" s="682"/>
      <c r="P431" s="682"/>
      <c r="Q431" s="682"/>
      <c r="R431" s="682"/>
      <c r="S431" s="682"/>
      <c r="T431" s="682"/>
      <c r="U431" s="682"/>
      <c r="V431" s="682"/>
      <c r="W431" s="682"/>
      <c r="X431" s="682"/>
      <c r="Y431" s="682"/>
    </row>
    <row r="432" spans="1:25" ht="11.25" customHeight="1">
      <c r="A432" s="682"/>
      <c r="B432" s="682"/>
      <c r="C432" s="682"/>
      <c r="D432" s="683"/>
      <c r="E432" s="682"/>
      <c r="F432" s="682"/>
      <c r="G432" s="682"/>
      <c r="H432" s="682"/>
      <c r="I432" s="682"/>
      <c r="J432" s="682"/>
      <c r="P432" s="682"/>
      <c r="Q432" s="682"/>
      <c r="R432" s="682"/>
      <c r="S432" s="682"/>
      <c r="T432" s="682"/>
      <c r="U432" s="682"/>
      <c r="V432" s="682"/>
      <c r="W432" s="682"/>
      <c r="X432" s="682"/>
      <c r="Y432" s="682"/>
    </row>
    <row r="433" spans="1:25" ht="11.25" customHeight="1">
      <c r="A433" s="682"/>
      <c r="B433" s="682"/>
      <c r="C433" s="682"/>
      <c r="D433" s="683"/>
      <c r="E433" s="682"/>
      <c r="F433" s="682"/>
      <c r="G433" s="682"/>
      <c r="H433" s="682"/>
      <c r="I433" s="682"/>
      <c r="J433" s="682"/>
      <c r="P433" s="682"/>
      <c r="Q433" s="682"/>
      <c r="R433" s="682"/>
      <c r="S433" s="682"/>
      <c r="T433" s="682"/>
      <c r="U433" s="682"/>
      <c r="V433" s="682"/>
      <c r="W433" s="682"/>
      <c r="X433" s="682"/>
      <c r="Y433" s="682"/>
    </row>
    <row r="434" spans="1:25" ht="11.25" customHeight="1">
      <c r="A434" s="682"/>
      <c r="B434" s="682"/>
      <c r="C434" s="682"/>
      <c r="D434" s="683"/>
      <c r="E434" s="682"/>
      <c r="F434" s="682"/>
      <c r="G434" s="682"/>
      <c r="H434" s="682"/>
      <c r="I434" s="682"/>
      <c r="J434" s="682"/>
      <c r="P434" s="682"/>
      <c r="Q434" s="682"/>
      <c r="R434" s="682"/>
      <c r="S434" s="682"/>
      <c r="T434" s="682"/>
      <c r="U434" s="682"/>
      <c r="V434" s="682"/>
      <c r="W434" s="682"/>
      <c r="X434" s="682"/>
      <c r="Y434" s="682"/>
    </row>
    <row r="435" spans="1:25" ht="11.25" customHeight="1">
      <c r="A435" s="682"/>
      <c r="B435" s="682"/>
      <c r="C435" s="682"/>
      <c r="D435" s="683"/>
      <c r="E435" s="682"/>
      <c r="F435" s="682"/>
      <c r="G435" s="682"/>
      <c r="H435" s="682"/>
      <c r="I435" s="682"/>
      <c r="J435" s="682"/>
      <c r="P435" s="682"/>
      <c r="Q435" s="682"/>
      <c r="R435" s="682"/>
      <c r="S435" s="682"/>
      <c r="T435" s="682"/>
      <c r="U435" s="682"/>
      <c r="V435" s="682"/>
      <c r="W435" s="682"/>
      <c r="X435" s="682"/>
      <c r="Y435" s="682"/>
    </row>
    <row r="436" spans="1:25" ht="11.25" customHeight="1">
      <c r="A436" s="682"/>
      <c r="B436" s="682"/>
      <c r="C436" s="682"/>
      <c r="D436" s="683"/>
      <c r="E436" s="682"/>
      <c r="F436" s="682"/>
      <c r="G436" s="682"/>
      <c r="H436" s="682"/>
      <c r="I436" s="682"/>
      <c r="J436" s="682"/>
      <c r="P436" s="682"/>
      <c r="Q436" s="682"/>
      <c r="R436" s="682"/>
      <c r="S436" s="682"/>
      <c r="T436" s="682"/>
      <c r="U436" s="682"/>
      <c r="V436" s="682"/>
      <c r="W436" s="682"/>
      <c r="X436" s="682"/>
      <c r="Y436" s="682"/>
    </row>
    <row r="437" spans="1:25" ht="11.25" customHeight="1">
      <c r="A437" s="682"/>
      <c r="B437" s="682"/>
      <c r="C437" s="682"/>
      <c r="D437" s="683"/>
      <c r="E437" s="682"/>
      <c r="F437" s="682"/>
      <c r="G437" s="682"/>
      <c r="H437" s="682"/>
      <c r="I437" s="682"/>
      <c r="J437" s="682"/>
      <c r="P437" s="682"/>
      <c r="Q437" s="682"/>
      <c r="R437" s="682"/>
      <c r="S437" s="682"/>
      <c r="T437" s="682"/>
      <c r="U437" s="682"/>
      <c r="V437" s="682"/>
      <c r="W437" s="682"/>
      <c r="X437" s="682"/>
      <c r="Y437" s="682"/>
    </row>
    <row r="438" spans="1:25" ht="11.25" customHeight="1">
      <c r="A438" s="682"/>
      <c r="B438" s="682"/>
      <c r="C438" s="682"/>
      <c r="D438" s="683"/>
      <c r="E438" s="682"/>
      <c r="F438" s="682"/>
      <c r="G438" s="682"/>
      <c r="H438" s="682"/>
      <c r="I438" s="682"/>
      <c r="J438" s="682"/>
      <c r="P438" s="682"/>
      <c r="Q438" s="682"/>
      <c r="R438" s="682"/>
      <c r="S438" s="682"/>
      <c r="T438" s="682"/>
      <c r="U438" s="682"/>
      <c r="V438" s="682"/>
      <c r="W438" s="682"/>
      <c r="X438" s="682"/>
      <c r="Y438" s="682"/>
    </row>
    <row r="439" spans="1:25" ht="11.25" customHeight="1">
      <c r="A439" s="682"/>
      <c r="B439" s="682"/>
      <c r="C439" s="682"/>
      <c r="D439" s="683"/>
      <c r="E439" s="682"/>
      <c r="F439" s="682"/>
      <c r="G439" s="682"/>
      <c r="H439" s="682"/>
      <c r="I439" s="682"/>
      <c r="J439" s="682"/>
      <c r="P439" s="682"/>
      <c r="Q439" s="682"/>
      <c r="R439" s="682"/>
      <c r="S439" s="682"/>
      <c r="T439" s="682"/>
      <c r="U439" s="682"/>
      <c r="V439" s="682"/>
      <c r="W439" s="682"/>
      <c r="X439" s="682"/>
      <c r="Y439" s="682"/>
    </row>
    <row r="440" spans="1:25" ht="11.25" customHeight="1">
      <c r="A440" s="682"/>
      <c r="B440" s="682"/>
      <c r="C440" s="682"/>
      <c r="D440" s="683"/>
      <c r="E440" s="682"/>
      <c r="F440" s="682"/>
      <c r="G440" s="682"/>
      <c r="H440" s="682"/>
      <c r="I440" s="682"/>
      <c r="J440" s="682"/>
      <c r="P440" s="682"/>
      <c r="Q440" s="682"/>
      <c r="R440" s="682"/>
      <c r="S440" s="682"/>
      <c r="T440" s="682"/>
      <c r="U440" s="682"/>
      <c r="V440" s="682"/>
      <c r="W440" s="682"/>
      <c r="X440" s="682"/>
      <c r="Y440" s="682"/>
    </row>
    <row r="441" spans="1:25" ht="11.25" customHeight="1">
      <c r="A441" s="682"/>
      <c r="B441" s="682"/>
      <c r="C441" s="682"/>
      <c r="D441" s="683"/>
      <c r="E441" s="682"/>
      <c r="F441" s="682"/>
      <c r="G441" s="682"/>
      <c r="H441" s="682"/>
      <c r="I441" s="682"/>
      <c r="J441" s="682"/>
      <c r="P441" s="682"/>
      <c r="Q441" s="682"/>
      <c r="R441" s="682"/>
      <c r="S441" s="682"/>
      <c r="T441" s="682"/>
      <c r="U441" s="682"/>
      <c r="V441" s="682"/>
      <c r="W441" s="682"/>
      <c r="X441" s="682"/>
      <c r="Y441" s="682"/>
    </row>
    <row r="442" spans="1:25" ht="11.25" customHeight="1">
      <c r="A442" s="682"/>
      <c r="B442" s="682"/>
      <c r="C442" s="682"/>
      <c r="D442" s="683"/>
      <c r="E442" s="682"/>
      <c r="F442" s="682"/>
      <c r="G442" s="682"/>
      <c r="H442" s="682"/>
      <c r="I442" s="682"/>
      <c r="J442" s="682"/>
      <c r="P442" s="682"/>
      <c r="Q442" s="682"/>
      <c r="R442" s="682"/>
      <c r="S442" s="682"/>
      <c r="T442" s="682"/>
      <c r="U442" s="682"/>
      <c r="V442" s="682"/>
      <c r="W442" s="682"/>
      <c r="X442" s="682"/>
      <c r="Y442" s="682"/>
    </row>
    <row r="443" spans="1:25" ht="11.25" customHeight="1">
      <c r="A443" s="682"/>
      <c r="B443" s="682"/>
      <c r="C443" s="682"/>
      <c r="D443" s="683"/>
      <c r="E443" s="682"/>
      <c r="F443" s="682"/>
      <c r="G443" s="682"/>
      <c r="H443" s="682"/>
      <c r="I443" s="682"/>
      <c r="J443" s="682"/>
      <c r="P443" s="682"/>
      <c r="Q443" s="682"/>
      <c r="R443" s="682"/>
      <c r="S443" s="682"/>
      <c r="T443" s="682"/>
      <c r="U443" s="682"/>
      <c r="V443" s="682"/>
      <c r="W443" s="682"/>
      <c r="X443" s="682"/>
      <c r="Y443" s="682"/>
    </row>
    <row r="444" spans="1:25" ht="11.25" customHeight="1">
      <c r="A444" s="682"/>
      <c r="B444" s="682"/>
      <c r="C444" s="682"/>
      <c r="D444" s="683"/>
      <c r="E444" s="682"/>
      <c r="F444" s="682"/>
      <c r="G444" s="682"/>
      <c r="H444" s="682"/>
      <c r="I444" s="682"/>
      <c r="J444" s="682"/>
      <c r="P444" s="682"/>
      <c r="Q444" s="682"/>
      <c r="R444" s="682"/>
      <c r="S444" s="682"/>
      <c r="T444" s="682"/>
      <c r="U444" s="682"/>
      <c r="V444" s="682"/>
      <c r="W444" s="682"/>
      <c r="X444" s="682"/>
      <c r="Y444" s="682"/>
    </row>
    <row r="445" spans="1:25" ht="11.25" customHeight="1">
      <c r="A445" s="682"/>
      <c r="B445" s="682"/>
      <c r="C445" s="682"/>
      <c r="D445" s="683"/>
      <c r="E445" s="682"/>
      <c r="F445" s="682"/>
      <c r="G445" s="682"/>
      <c r="H445" s="682"/>
      <c r="I445" s="682"/>
      <c r="J445" s="682"/>
      <c r="P445" s="682"/>
      <c r="Q445" s="682"/>
      <c r="R445" s="682"/>
      <c r="S445" s="682"/>
      <c r="T445" s="682"/>
      <c r="U445" s="682"/>
      <c r="V445" s="682"/>
      <c r="W445" s="682"/>
      <c r="X445" s="682"/>
      <c r="Y445" s="682"/>
    </row>
    <row r="446" spans="1:25" ht="11.25" customHeight="1">
      <c r="A446" s="682"/>
      <c r="B446" s="682"/>
      <c r="C446" s="682"/>
      <c r="D446" s="683"/>
      <c r="E446" s="682"/>
      <c r="F446" s="682"/>
      <c r="G446" s="682"/>
      <c r="H446" s="682"/>
      <c r="I446" s="682"/>
      <c r="J446" s="682"/>
      <c r="P446" s="682"/>
      <c r="Q446" s="682"/>
      <c r="R446" s="682"/>
      <c r="S446" s="682"/>
      <c r="T446" s="682"/>
      <c r="U446" s="682"/>
      <c r="V446" s="682"/>
      <c r="W446" s="682"/>
      <c r="X446" s="682"/>
      <c r="Y446" s="682"/>
    </row>
    <row r="447" spans="1:25" ht="11.25" customHeight="1">
      <c r="A447" s="682"/>
      <c r="B447" s="682"/>
      <c r="C447" s="682"/>
      <c r="D447" s="683"/>
      <c r="E447" s="682"/>
      <c r="F447" s="682"/>
      <c r="G447" s="682"/>
      <c r="H447" s="682"/>
      <c r="I447" s="682"/>
      <c r="J447" s="682"/>
      <c r="P447" s="682"/>
      <c r="Q447" s="682"/>
      <c r="R447" s="682"/>
      <c r="S447" s="682"/>
      <c r="T447" s="682"/>
      <c r="U447" s="682"/>
      <c r="V447" s="682"/>
      <c r="W447" s="682"/>
      <c r="X447" s="682"/>
      <c r="Y447" s="682"/>
    </row>
    <row r="448" spans="1:25" ht="11.25" customHeight="1">
      <c r="A448" s="682"/>
      <c r="B448" s="682"/>
      <c r="C448" s="682"/>
      <c r="D448" s="683"/>
      <c r="E448" s="682"/>
      <c r="F448" s="682"/>
      <c r="G448" s="682"/>
      <c r="H448" s="682"/>
      <c r="I448" s="682"/>
      <c r="J448" s="682"/>
      <c r="P448" s="682"/>
      <c r="Q448" s="682"/>
      <c r="R448" s="682"/>
      <c r="S448" s="682"/>
      <c r="T448" s="682"/>
      <c r="U448" s="682"/>
      <c r="V448" s="682"/>
      <c r="W448" s="682"/>
      <c r="X448" s="682"/>
      <c r="Y448" s="682"/>
    </row>
    <row r="449" spans="1:25" ht="11.25" customHeight="1">
      <c r="A449" s="682"/>
      <c r="B449" s="682"/>
      <c r="C449" s="682"/>
      <c r="D449" s="683"/>
      <c r="E449" s="682"/>
      <c r="F449" s="682"/>
      <c r="G449" s="682"/>
      <c r="H449" s="682"/>
      <c r="I449" s="682"/>
      <c r="J449" s="682"/>
      <c r="P449" s="682"/>
      <c r="Q449" s="682"/>
      <c r="R449" s="682"/>
      <c r="S449" s="682"/>
      <c r="T449" s="682"/>
      <c r="U449" s="682"/>
      <c r="V449" s="682"/>
      <c r="W449" s="682"/>
      <c r="X449" s="682"/>
      <c r="Y449" s="682"/>
    </row>
    <row r="450" spans="1:25" ht="11.25" customHeight="1">
      <c r="A450" s="682"/>
      <c r="B450" s="682"/>
      <c r="C450" s="682"/>
      <c r="D450" s="683"/>
      <c r="E450" s="682"/>
      <c r="F450" s="682"/>
      <c r="G450" s="682"/>
      <c r="H450" s="682"/>
      <c r="I450" s="682"/>
      <c r="J450" s="682"/>
      <c r="P450" s="682"/>
      <c r="Q450" s="682"/>
      <c r="R450" s="682"/>
      <c r="S450" s="682"/>
      <c r="T450" s="682"/>
      <c r="U450" s="682"/>
      <c r="V450" s="682"/>
      <c r="W450" s="682"/>
      <c r="X450" s="682"/>
      <c r="Y450" s="682"/>
    </row>
    <row r="451" spans="1:25" ht="11.25" customHeight="1">
      <c r="A451" s="682"/>
      <c r="B451" s="682"/>
      <c r="C451" s="682"/>
      <c r="D451" s="683"/>
      <c r="E451" s="682"/>
      <c r="F451" s="682"/>
      <c r="G451" s="682"/>
      <c r="H451" s="682"/>
      <c r="I451" s="682"/>
      <c r="J451" s="682"/>
      <c r="P451" s="682"/>
      <c r="Q451" s="682"/>
      <c r="R451" s="682"/>
      <c r="S451" s="682"/>
      <c r="T451" s="682"/>
      <c r="U451" s="682"/>
      <c r="V451" s="682"/>
      <c r="W451" s="682"/>
      <c r="X451" s="682"/>
      <c r="Y451" s="682"/>
    </row>
    <row r="452" spans="1:25" ht="11.25" customHeight="1">
      <c r="A452" s="682"/>
      <c r="B452" s="682"/>
      <c r="C452" s="682"/>
      <c r="D452" s="683"/>
      <c r="E452" s="682"/>
      <c r="F452" s="682"/>
      <c r="G452" s="682"/>
      <c r="H452" s="682"/>
      <c r="I452" s="682"/>
      <c r="J452" s="682"/>
      <c r="P452" s="682"/>
      <c r="Q452" s="682"/>
      <c r="R452" s="682"/>
      <c r="S452" s="682"/>
      <c r="T452" s="682"/>
      <c r="U452" s="682"/>
      <c r="V452" s="682"/>
      <c r="W452" s="682"/>
      <c r="X452" s="682"/>
      <c r="Y452" s="682"/>
    </row>
    <row r="453" spans="1:25" ht="11.25" customHeight="1">
      <c r="A453" s="682"/>
      <c r="B453" s="682"/>
      <c r="C453" s="682"/>
      <c r="D453" s="683"/>
      <c r="E453" s="682"/>
      <c r="F453" s="682"/>
      <c r="G453" s="682"/>
      <c r="H453" s="682"/>
      <c r="I453" s="682"/>
      <c r="J453" s="682"/>
      <c r="P453" s="682"/>
      <c r="Q453" s="682"/>
      <c r="R453" s="682"/>
      <c r="S453" s="682"/>
      <c r="T453" s="682"/>
      <c r="U453" s="682"/>
      <c r="V453" s="682"/>
      <c r="W453" s="682"/>
      <c r="X453" s="682"/>
      <c r="Y453" s="682"/>
    </row>
    <row r="454" spans="1:25" ht="11.25" customHeight="1">
      <c r="A454" s="682"/>
      <c r="B454" s="682"/>
      <c r="C454" s="682"/>
      <c r="D454" s="683"/>
      <c r="E454" s="682"/>
      <c r="F454" s="682"/>
      <c r="G454" s="682"/>
      <c r="H454" s="682"/>
      <c r="I454" s="682"/>
      <c r="J454" s="682"/>
      <c r="P454" s="682"/>
      <c r="Q454" s="682"/>
      <c r="R454" s="682"/>
      <c r="S454" s="682"/>
      <c r="T454" s="682"/>
      <c r="U454" s="682"/>
      <c r="V454" s="682"/>
      <c r="W454" s="682"/>
      <c r="X454" s="682"/>
      <c r="Y454" s="682"/>
    </row>
    <row r="455" spans="1:25" ht="11.25" customHeight="1">
      <c r="A455" s="682"/>
      <c r="B455" s="682"/>
      <c r="C455" s="682"/>
      <c r="D455" s="683"/>
      <c r="E455" s="682"/>
      <c r="F455" s="682"/>
      <c r="G455" s="682"/>
      <c r="H455" s="682"/>
      <c r="I455" s="682"/>
      <c r="J455" s="682"/>
      <c r="P455" s="682"/>
      <c r="Q455" s="682"/>
      <c r="R455" s="682"/>
      <c r="S455" s="682"/>
      <c r="T455" s="682"/>
      <c r="U455" s="682"/>
      <c r="V455" s="682"/>
      <c r="W455" s="682"/>
      <c r="X455" s="682"/>
      <c r="Y455" s="682"/>
    </row>
    <row r="456" spans="1:25" ht="11.25" customHeight="1">
      <c r="A456" s="682"/>
      <c r="B456" s="682"/>
      <c r="C456" s="682"/>
      <c r="D456" s="683"/>
      <c r="E456" s="682"/>
      <c r="F456" s="682"/>
      <c r="G456" s="682"/>
      <c r="H456" s="682"/>
      <c r="I456" s="682"/>
      <c r="J456" s="682"/>
      <c r="P456" s="682"/>
      <c r="Q456" s="682"/>
      <c r="R456" s="682"/>
      <c r="S456" s="682"/>
      <c r="T456" s="682"/>
      <c r="U456" s="682"/>
      <c r="V456" s="682"/>
      <c r="W456" s="682"/>
      <c r="X456" s="682"/>
      <c r="Y456" s="682"/>
    </row>
    <row r="457" spans="1:25" ht="11.25" customHeight="1">
      <c r="A457" s="682"/>
      <c r="B457" s="682"/>
      <c r="C457" s="682"/>
      <c r="D457" s="683"/>
      <c r="E457" s="682"/>
      <c r="F457" s="682"/>
      <c r="G457" s="682"/>
      <c r="H457" s="682"/>
      <c r="I457" s="682"/>
      <c r="J457" s="682"/>
      <c r="P457" s="682"/>
      <c r="Q457" s="682"/>
      <c r="R457" s="682"/>
      <c r="S457" s="682"/>
      <c r="T457" s="682"/>
      <c r="U457" s="682"/>
      <c r="V457" s="682"/>
      <c r="W457" s="682"/>
      <c r="X457" s="682"/>
      <c r="Y457" s="682"/>
    </row>
    <row r="458" spans="1:25" ht="11.25" customHeight="1">
      <c r="A458" s="682"/>
      <c r="B458" s="682"/>
      <c r="C458" s="682"/>
      <c r="D458" s="683"/>
      <c r="E458" s="682"/>
      <c r="F458" s="682"/>
      <c r="G458" s="682"/>
      <c r="H458" s="682"/>
      <c r="I458" s="682"/>
      <c r="J458" s="682"/>
      <c r="P458" s="682"/>
      <c r="Q458" s="682"/>
      <c r="R458" s="682"/>
      <c r="S458" s="682"/>
      <c r="T458" s="682"/>
      <c r="U458" s="682"/>
      <c r="V458" s="682"/>
      <c r="W458" s="682"/>
      <c r="X458" s="682"/>
      <c r="Y458" s="682"/>
    </row>
    <row r="459" spans="1:25" ht="11.25" customHeight="1">
      <c r="A459" s="682"/>
      <c r="B459" s="682"/>
      <c r="C459" s="682"/>
      <c r="D459" s="683"/>
      <c r="E459" s="682"/>
      <c r="F459" s="682"/>
      <c r="G459" s="682"/>
      <c r="H459" s="682"/>
      <c r="I459" s="682"/>
      <c r="J459" s="682"/>
      <c r="P459" s="682"/>
      <c r="Q459" s="682"/>
      <c r="R459" s="682"/>
      <c r="S459" s="682"/>
      <c r="T459" s="682"/>
      <c r="U459" s="682"/>
      <c r="V459" s="682"/>
      <c r="W459" s="682"/>
      <c r="X459" s="682"/>
      <c r="Y459" s="682"/>
    </row>
    <row r="460" spans="1:25" ht="11.25" customHeight="1">
      <c r="A460" s="682"/>
      <c r="B460" s="682"/>
      <c r="C460" s="682"/>
      <c r="D460" s="683"/>
      <c r="E460" s="682"/>
      <c r="F460" s="682"/>
      <c r="G460" s="682"/>
      <c r="H460" s="682"/>
      <c r="I460" s="682"/>
      <c r="J460" s="682"/>
      <c r="P460" s="682"/>
      <c r="Q460" s="682"/>
      <c r="R460" s="682"/>
      <c r="S460" s="682"/>
      <c r="T460" s="682"/>
      <c r="U460" s="682"/>
      <c r="V460" s="682"/>
      <c r="W460" s="682"/>
      <c r="X460" s="682"/>
      <c r="Y460" s="682"/>
    </row>
    <row r="461" spans="1:25" ht="11.25" customHeight="1">
      <c r="A461" s="682"/>
      <c r="B461" s="682"/>
      <c r="C461" s="682"/>
      <c r="D461" s="683"/>
      <c r="E461" s="682"/>
      <c r="F461" s="682"/>
      <c r="G461" s="682"/>
      <c r="H461" s="682"/>
      <c r="I461" s="682"/>
      <c r="J461" s="682"/>
      <c r="P461" s="682"/>
      <c r="Q461" s="682"/>
      <c r="R461" s="682"/>
      <c r="S461" s="682"/>
      <c r="T461" s="682"/>
      <c r="U461" s="682"/>
      <c r="V461" s="682"/>
      <c r="W461" s="682"/>
      <c r="X461" s="682"/>
      <c r="Y461" s="682"/>
    </row>
    <row r="462" spans="1:25" ht="11.25" customHeight="1">
      <c r="A462" s="682"/>
      <c r="B462" s="682"/>
      <c r="C462" s="682"/>
      <c r="D462" s="683"/>
      <c r="E462" s="682"/>
      <c r="F462" s="682"/>
      <c r="G462" s="682"/>
      <c r="H462" s="682"/>
      <c r="I462" s="682"/>
      <c r="J462" s="682"/>
      <c r="P462" s="682"/>
      <c r="Q462" s="682"/>
      <c r="R462" s="682"/>
      <c r="S462" s="682"/>
      <c r="T462" s="682"/>
      <c r="U462" s="682"/>
      <c r="V462" s="682"/>
      <c r="W462" s="682"/>
      <c r="X462" s="682"/>
      <c r="Y462" s="682"/>
    </row>
    <row r="463" spans="1:25" ht="11.25" customHeight="1">
      <c r="A463" s="682"/>
      <c r="B463" s="682"/>
      <c r="C463" s="682"/>
      <c r="D463" s="683"/>
      <c r="E463" s="682"/>
      <c r="F463" s="682"/>
      <c r="G463" s="682"/>
      <c r="H463" s="682"/>
      <c r="I463" s="682"/>
      <c r="J463" s="682"/>
      <c r="P463" s="682"/>
      <c r="Q463" s="682"/>
      <c r="R463" s="682"/>
      <c r="S463" s="682"/>
      <c r="T463" s="682"/>
      <c r="U463" s="682"/>
      <c r="V463" s="682"/>
      <c r="W463" s="682"/>
      <c r="X463" s="682"/>
      <c r="Y463" s="682"/>
    </row>
    <row r="464" spans="1:25" ht="11.25" customHeight="1">
      <c r="A464" s="682"/>
      <c r="B464" s="682"/>
      <c r="C464" s="682"/>
      <c r="D464" s="683"/>
      <c r="E464" s="682"/>
      <c r="F464" s="682"/>
      <c r="G464" s="682"/>
      <c r="H464" s="682"/>
      <c r="I464" s="682"/>
      <c r="J464" s="682"/>
      <c r="P464" s="682"/>
      <c r="Q464" s="682"/>
      <c r="R464" s="682"/>
      <c r="S464" s="682"/>
      <c r="T464" s="682"/>
      <c r="U464" s="682"/>
      <c r="V464" s="682"/>
      <c r="W464" s="682"/>
      <c r="X464" s="682"/>
      <c r="Y464" s="682"/>
    </row>
    <row r="465" spans="1:25" ht="11.25" customHeight="1">
      <c r="A465" s="682"/>
      <c r="B465" s="682"/>
      <c r="C465" s="682"/>
      <c r="D465" s="683"/>
      <c r="E465" s="682"/>
      <c r="F465" s="682"/>
      <c r="G465" s="682"/>
      <c r="H465" s="682"/>
      <c r="I465" s="682"/>
      <c r="J465" s="682"/>
      <c r="P465" s="682"/>
      <c r="Q465" s="682"/>
      <c r="R465" s="682"/>
      <c r="S465" s="682"/>
      <c r="T465" s="682"/>
      <c r="U465" s="682"/>
      <c r="V465" s="682"/>
      <c r="W465" s="682"/>
      <c r="X465" s="682"/>
      <c r="Y465" s="682"/>
    </row>
    <row r="466" spans="1:25" ht="11.25" customHeight="1">
      <c r="A466" s="682"/>
      <c r="B466" s="682"/>
      <c r="C466" s="682"/>
      <c r="D466" s="683"/>
      <c r="E466" s="682"/>
      <c r="F466" s="682"/>
      <c r="G466" s="682"/>
      <c r="H466" s="682"/>
      <c r="I466" s="682"/>
      <c r="J466" s="682"/>
      <c r="P466" s="682"/>
      <c r="Q466" s="682"/>
      <c r="R466" s="682"/>
      <c r="S466" s="682"/>
      <c r="T466" s="682"/>
      <c r="U466" s="682"/>
      <c r="V466" s="682"/>
      <c r="W466" s="682"/>
      <c r="X466" s="682"/>
      <c r="Y466" s="682"/>
    </row>
    <row r="467" spans="1:25" ht="11.25" customHeight="1">
      <c r="A467" s="682"/>
      <c r="B467" s="682"/>
      <c r="C467" s="682"/>
      <c r="D467" s="683"/>
      <c r="E467" s="682"/>
      <c r="F467" s="682"/>
      <c r="G467" s="682"/>
      <c r="H467" s="682"/>
      <c r="I467" s="682"/>
      <c r="J467" s="682"/>
      <c r="P467" s="682"/>
      <c r="Q467" s="682"/>
      <c r="R467" s="682"/>
      <c r="S467" s="682"/>
      <c r="T467" s="682"/>
      <c r="U467" s="682"/>
      <c r="V467" s="682"/>
      <c r="W467" s="682"/>
      <c r="X467" s="682"/>
      <c r="Y467" s="682"/>
    </row>
    <row r="468" spans="1:25" ht="11.25" customHeight="1">
      <c r="A468" s="682"/>
      <c r="B468" s="682"/>
      <c r="C468" s="682"/>
      <c r="D468" s="683"/>
      <c r="E468" s="682"/>
      <c r="F468" s="682"/>
      <c r="G468" s="682"/>
      <c r="H468" s="682"/>
      <c r="I468" s="682"/>
      <c r="J468" s="682"/>
      <c r="P468" s="682"/>
      <c r="Q468" s="682"/>
      <c r="R468" s="682"/>
      <c r="S468" s="682"/>
      <c r="T468" s="682"/>
      <c r="U468" s="682"/>
      <c r="V468" s="682"/>
      <c r="W468" s="682"/>
      <c r="X468" s="682"/>
      <c r="Y468" s="682"/>
    </row>
    <row r="469" spans="1:25" ht="11.25" customHeight="1">
      <c r="A469" s="682"/>
      <c r="B469" s="682"/>
      <c r="C469" s="682"/>
      <c r="D469" s="683"/>
      <c r="E469" s="682"/>
      <c r="F469" s="682"/>
      <c r="G469" s="682"/>
      <c r="H469" s="682"/>
      <c r="I469" s="682"/>
      <c r="J469" s="682"/>
      <c r="P469" s="682"/>
      <c r="Q469" s="682"/>
      <c r="R469" s="682"/>
      <c r="S469" s="682"/>
      <c r="T469" s="682"/>
      <c r="U469" s="682"/>
      <c r="V469" s="682"/>
      <c r="W469" s="682"/>
      <c r="X469" s="682"/>
      <c r="Y469" s="682"/>
    </row>
    <row r="470" spans="1:25" ht="11.25" customHeight="1">
      <c r="A470" s="682"/>
      <c r="B470" s="682"/>
      <c r="C470" s="682"/>
      <c r="D470" s="683"/>
      <c r="E470" s="682"/>
      <c r="F470" s="682"/>
      <c r="G470" s="682"/>
      <c r="H470" s="682"/>
      <c r="I470" s="682"/>
      <c r="J470" s="682"/>
      <c r="P470" s="682"/>
      <c r="Q470" s="682"/>
      <c r="R470" s="682"/>
      <c r="S470" s="682"/>
      <c r="T470" s="682"/>
      <c r="U470" s="682"/>
      <c r="V470" s="682"/>
      <c r="W470" s="682"/>
      <c r="X470" s="682"/>
      <c r="Y470" s="682"/>
    </row>
    <row r="471" spans="1:25" ht="11.25" customHeight="1">
      <c r="A471" s="682"/>
      <c r="B471" s="682"/>
      <c r="C471" s="682"/>
      <c r="D471" s="683"/>
      <c r="E471" s="682"/>
      <c r="F471" s="682"/>
      <c r="G471" s="682"/>
      <c r="H471" s="682"/>
      <c r="I471" s="682"/>
      <c r="J471" s="682"/>
      <c r="P471" s="682"/>
      <c r="Q471" s="682"/>
      <c r="R471" s="682"/>
      <c r="S471" s="682"/>
      <c r="T471" s="682"/>
      <c r="U471" s="682"/>
      <c r="V471" s="682"/>
      <c r="W471" s="682"/>
      <c r="X471" s="682"/>
      <c r="Y471" s="682"/>
    </row>
    <row r="472" spans="1:25" ht="11.25" customHeight="1">
      <c r="A472" s="682"/>
      <c r="B472" s="682"/>
      <c r="C472" s="682"/>
      <c r="D472" s="683"/>
      <c r="E472" s="682"/>
      <c r="F472" s="682"/>
      <c r="G472" s="682"/>
      <c r="H472" s="682"/>
      <c r="I472" s="682"/>
      <c r="J472" s="682"/>
      <c r="P472" s="682"/>
      <c r="Q472" s="682"/>
      <c r="R472" s="682"/>
      <c r="S472" s="682"/>
      <c r="T472" s="682"/>
      <c r="U472" s="682"/>
      <c r="V472" s="682"/>
      <c r="W472" s="682"/>
      <c r="X472" s="682"/>
      <c r="Y472" s="682"/>
    </row>
    <row r="473" spans="1:25" ht="11.25" customHeight="1">
      <c r="A473" s="682"/>
      <c r="B473" s="682"/>
      <c r="C473" s="682"/>
      <c r="D473" s="683"/>
      <c r="E473" s="682"/>
      <c r="F473" s="682"/>
      <c r="G473" s="682"/>
      <c r="H473" s="682"/>
      <c r="I473" s="682"/>
      <c r="J473" s="682"/>
      <c r="P473" s="682"/>
      <c r="Q473" s="682"/>
      <c r="R473" s="682"/>
      <c r="S473" s="682"/>
      <c r="T473" s="682"/>
      <c r="U473" s="682"/>
      <c r="V473" s="682"/>
      <c r="W473" s="682"/>
      <c r="X473" s="682"/>
      <c r="Y473" s="682"/>
    </row>
    <row r="474" spans="1:25" ht="11.25" customHeight="1">
      <c r="A474" s="682"/>
      <c r="B474" s="682"/>
      <c r="C474" s="682"/>
      <c r="D474" s="683"/>
      <c r="E474" s="682"/>
      <c r="F474" s="682"/>
      <c r="G474" s="682"/>
      <c r="H474" s="682"/>
      <c r="I474" s="682"/>
      <c r="J474" s="682"/>
      <c r="P474" s="682"/>
      <c r="Q474" s="682"/>
      <c r="R474" s="682"/>
      <c r="S474" s="682"/>
      <c r="T474" s="682"/>
      <c r="U474" s="682"/>
      <c r="V474" s="682"/>
      <c r="W474" s="682"/>
      <c r="X474" s="682"/>
      <c r="Y474" s="682"/>
    </row>
    <row r="475" spans="1:25" ht="11.25" customHeight="1">
      <c r="A475" s="682"/>
      <c r="B475" s="682"/>
      <c r="C475" s="682"/>
      <c r="D475" s="683"/>
      <c r="E475" s="682"/>
      <c r="F475" s="682"/>
      <c r="G475" s="682"/>
      <c r="H475" s="682"/>
      <c r="I475" s="682"/>
      <c r="J475" s="682"/>
      <c r="P475" s="682"/>
      <c r="Q475" s="682"/>
      <c r="R475" s="682"/>
      <c r="S475" s="682"/>
      <c r="T475" s="682"/>
      <c r="U475" s="682"/>
      <c r="V475" s="682"/>
      <c r="W475" s="682"/>
      <c r="X475" s="682"/>
      <c r="Y475" s="682"/>
    </row>
    <row r="476" spans="1:25" ht="11.25" customHeight="1">
      <c r="A476" s="682"/>
      <c r="B476" s="682"/>
      <c r="C476" s="682"/>
      <c r="D476" s="683"/>
      <c r="E476" s="682"/>
      <c r="F476" s="682"/>
      <c r="G476" s="682"/>
      <c r="H476" s="682"/>
      <c r="I476" s="682"/>
      <c r="J476" s="682"/>
      <c r="P476" s="682"/>
      <c r="Q476" s="682"/>
      <c r="R476" s="682"/>
      <c r="S476" s="682"/>
      <c r="T476" s="682"/>
      <c r="U476" s="682"/>
      <c r="V476" s="682"/>
      <c r="W476" s="682"/>
      <c r="X476" s="682"/>
      <c r="Y476" s="682"/>
    </row>
    <row r="477" spans="1:25" ht="11.25" customHeight="1">
      <c r="A477" s="682"/>
      <c r="B477" s="682"/>
      <c r="C477" s="682"/>
      <c r="D477" s="683"/>
      <c r="E477" s="682"/>
      <c r="F477" s="682"/>
      <c r="G477" s="682"/>
      <c r="H477" s="682"/>
      <c r="I477" s="682"/>
      <c r="J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</row>
    <row r="478" spans="1:25" ht="11.25" customHeight="1">
      <c r="A478" s="682"/>
      <c r="B478" s="682"/>
      <c r="C478" s="682"/>
      <c r="D478" s="683"/>
      <c r="E478" s="682"/>
      <c r="F478" s="682"/>
      <c r="G478" s="682"/>
      <c r="H478" s="682"/>
      <c r="I478" s="682"/>
      <c r="J478" s="682"/>
      <c r="P478" s="682"/>
      <c r="Q478" s="682"/>
      <c r="R478" s="682"/>
      <c r="S478" s="682"/>
      <c r="T478" s="682"/>
      <c r="U478" s="682"/>
      <c r="V478" s="682"/>
      <c r="W478" s="682"/>
      <c r="X478" s="682"/>
      <c r="Y478" s="682"/>
    </row>
    <row r="479" spans="1:25" ht="11.25" customHeight="1">
      <c r="A479" s="682"/>
      <c r="B479" s="682"/>
      <c r="C479" s="682"/>
      <c r="D479" s="683"/>
      <c r="E479" s="682"/>
      <c r="F479" s="682"/>
      <c r="G479" s="682"/>
      <c r="H479" s="682"/>
      <c r="I479" s="682"/>
      <c r="J479" s="682"/>
      <c r="P479" s="682"/>
      <c r="Q479" s="682"/>
      <c r="R479" s="682"/>
      <c r="S479" s="682"/>
      <c r="T479" s="682"/>
      <c r="U479" s="682"/>
      <c r="V479" s="682"/>
      <c r="W479" s="682"/>
      <c r="X479" s="682"/>
      <c r="Y479" s="682"/>
    </row>
    <row r="480" spans="1:25" ht="11.25" customHeight="1">
      <c r="A480" s="682"/>
      <c r="B480" s="682"/>
      <c r="C480" s="682"/>
      <c r="D480" s="683"/>
      <c r="E480" s="682"/>
      <c r="F480" s="682"/>
      <c r="G480" s="682"/>
      <c r="H480" s="682"/>
      <c r="I480" s="682"/>
      <c r="J480" s="682"/>
      <c r="P480" s="682"/>
      <c r="Q480" s="682"/>
      <c r="R480" s="682"/>
      <c r="S480" s="682"/>
      <c r="T480" s="682"/>
      <c r="U480" s="682"/>
      <c r="V480" s="682"/>
      <c r="W480" s="682"/>
      <c r="X480" s="682"/>
      <c r="Y480" s="682"/>
    </row>
    <row r="481" spans="1:25" ht="11.25" customHeight="1">
      <c r="A481" s="682"/>
      <c r="B481" s="682"/>
      <c r="C481" s="682"/>
      <c r="D481" s="683"/>
      <c r="E481" s="682"/>
      <c r="F481" s="682"/>
      <c r="G481" s="682"/>
      <c r="H481" s="682"/>
      <c r="I481" s="682"/>
      <c r="J481" s="682"/>
      <c r="P481" s="682"/>
      <c r="Q481" s="682"/>
      <c r="R481" s="682"/>
      <c r="S481" s="682"/>
      <c r="T481" s="682"/>
      <c r="U481" s="682"/>
      <c r="V481" s="682"/>
      <c r="W481" s="682"/>
      <c r="X481" s="682"/>
      <c r="Y481" s="682"/>
    </row>
    <row r="482" spans="1:25" ht="11.25" customHeight="1">
      <c r="A482" s="682"/>
      <c r="B482" s="682"/>
      <c r="C482" s="682"/>
      <c r="D482" s="683"/>
      <c r="E482" s="682"/>
      <c r="F482" s="682"/>
      <c r="G482" s="682"/>
      <c r="H482" s="682"/>
      <c r="I482" s="682"/>
      <c r="J482" s="682"/>
      <c r="P482" s="682"/>
      <c r="Q482" s="682"/>
      <c r="R482" s="682"/>
      <c r="S482" s="682"/>
      <c r="T482" s="682"/>
      <c r="U482" s="682"/>
      <c r="V482" s="682"/>
      <c r="W482" s="682"/>
      <c r="X482" s="682"/>
      <c r="Y482" s="682"/>
    </row>
    <row r="483" spans="1:25" ht="11.25" customHeight="1">
      <c r="A483" s="682"/>
      <c r="B483" s="682"/>
      <c r="C483" s="682"/>
      <c r="D483" s="683"/>
      <c r="E483" s="682"/>
      <c r="F483" s="682"/>
      <c r="G483" s="682"/>
      <c r="H483" s="682"/>
      <c r="I483" s="682"/>
      <c r="J483" s="682"/>
      <c r="P483" s="682"/>
      <c r="Q483" s="682"/>
      <c r="R483" s="682"/>
      <c r="S483" s="682"/>
      <c r="T483" s="682"/>
      <c r="U483" s="682"/>
      <c r="V483" s="682"/>
      <c r="W483" s="682"/>
      <c r="X483" s="682"/>
      <c r="Y483" s="682"/>
    </row>
    <row r="484" spans="1:25" ht="11.25" customHeight="1">
      <c r="A484" s="682"/>
      <c r="B484" s="682"/>
      <c r="C484" s="682"/>
      <c r="D484" s="683"/>
      <c r="E484" s="682"/>
      <c r="F484" s="682"/>
      <c r="G484" s="682"/>
      <c r="H484" s="682"/>
      <c r="I484" s="682"/>
      <c r="J484" s="682"/>
      <c r="P484" s="682"/>
      <c r="Q484" s="682"/>
      <c r="R484" s="682"/>
      <c r="S484" s="682"/>
      <c r="T484" s="682"/>
      <c r="U484" s="682"/>
      <c r="V484" s="682"/>
      <c r="W484" s="682"/>
      <c r="X484" s="682"/>
      <c r="Y484" s="682"/>
    </row>
    <row r="485" spans="1:25" ht="11.25" customHeight="1">
      <c r="A485" s="682"/>
      <c r="B485" s="682"/>
      <c r="C485" s="682"/>
      <c r="D485" s="683"/>
      <c r="E485" s="682"/>
      <c r="F485" s="682"/>
      <c r="G485" s="682"/>
      <c r="H485" s="682"/>
      <c r="I485" s="682"/>
      <c r="J485" s="682"/>
      <c r="P485" s="682"/>
      <c r="Q485" s="682"/>
      <c r="R485" s="682"/>
      <c r="S485" s="682"/>
      <c r="T485" s="682"/>
      <c r="U485" s="682"/>
      <c r="V485" s="682"/>
      <c r="W485" s="682"/>
      <c r="X485" s="682"/>
      <c r="Y485" s="682"/>
    </row>
    <row r="486" spans="1:25" ht="11.25" customHeight="1">
      <c r="A486" s="682"/>
      <c r="B486" s="682"/>
      <c r="C486" s="682"/>
      <c r="D486" s="683"/>
      <c r="E486" s="682"/>
      <c r="F486" s="682"/>
      <c r="G486" s="682"/>
      <c r="H486" s="682"/>
      <c r="I486" s="682"/>
      <c r="J486" s="682"/>
      <c r="P486" s="682"/>
      <c r="Q486" s="682"/>
      <c r="R486" s="682"/>
      <c r="S486" s="682"/>
      <c r="T486" s="682"/>
      <c r="U486" s="682"/>
      <c r="V486" s="682"/>
      <c r="W486" s="682"/>
      <c r="X486" s="682"/>
      <c r="Y486" s="682"/>
    </row>
    <row r="487" spans="1:25" ht="11.25" customHeight="1">
      <c r="A487" s="682"/>
      <c r="B487" s="682"/>
      <c r="C487" s="682"/>
      <c r="D487" s="683"/>
      <c r="E487" s="682"/>
      <c r="F487" s="682"/>
      <c r="G487" s="682"/>
      <c r="H487" s="682"/>
      <c r="I487" s="682"/>
      <c r="J487" s="682"/>
      <c r="P487" s="682"/>
      <c r="Q487" s="682"/>
      <c r="R487" s="682"/>
      <c r="S487" s="682"/>
      <c r="T487" s="682"/>
      <c r="U487" s="682"/>
      <c r="V487" s="682"/>
      <c r="W487" s="682"/>
      <c r="X487" s="682"/>
      <c r="Y487" s="682"/>
    </row>
    <row r="488" spans="1:25" ht="11.25" customHeight="1">
      <c r="A488" s="682"/>
      <c r="B488" s="682"/>
      <c r="C488" s="682"/>
      <c r="D488" s="683"/>
      <c r="E488" s="682"/>
      <c r="F488" s="682"/>
      <c r="G488" s="682"/>
      <c r="H488" s="682"/>
      <c r="I488" s="682"/>
      <c r="J488" s="682"/>
      <c r="P488" s="682"/>
      <c r="Q488" s="682"/>
      <c r="R488" s="682"/>
      <c r="S488" s="682"/>
      <c r="T488" s="682"/>
      <c r="U488" s="682"/>
      <c r="V488" s="682"/>
      <c r="W488" s="682"/>
      <c r="X488" s="682"/>
      <c r="Y488" s="682"/>
    </row>
    <row r="489" spans="1:25" ht="11.25" customHeight="1">
      <c r="A489" s="682"/>
      <c r="B489" s="682"/>
      <c r="C489" s="682"/>
      <c r="D489" s="683"/>
      <c r="E489" s="682"/>
      <c r="F489" s="682"/>
      <c r="G489" s="682"/>
      <c r="H489" s="682"/>
      <c r="I489" s="682"/>
      <c r="J489" s="682"/>
      <c r="P489" s="682"/>
      <c r="Q489" s="682"/>
      <c r="R489" s="682"/>
      <c r="S489" s="682"/>
      <c r="T489" s="682"/>
      <c r="U489" s="682"/>
      <c r="V489" s="682"/>
      <c r="W489" s="682"/>
      <c r="X489" s="682"/>
      <c r="Y489" s="682"/>
    </row>
    <row r="490" spans="1:25" ht="11.25" customHeight="1">
      <c r="A490" s="682"/>
      <c r="B490" s="682"/>
      <c r="C490" s="682"/>
      <c r="D490" s="683"/>
      <c r="E490" s="682"/>
      <c r="F490" s="682"/>
      <c r="G490" s="682"/>
      <c r="H490" s="682"/>
      <c r="I490" s="682"/>
      <c r="J490" s="682"/>
      <c r="P490" s="682"/>
      <c r="Q490" s="682"/>
      <c r="R490" s="682"/>
      <c r="S490" s="682"/>
      <c r="T490" s="682"/>
      <c r="U490" s="682"/>
      <c r="V490" s="682"/>
      <c r="W490" s="682"/>
      <c r="X490" s="682"/>
      <c r="Y490" s="682"/>
    </row>
    <row r="491" spans="1:25" ht="11.25" customHeight="1">
      <c r="A491" s="682"/>
      <c r="B491" s="682"/>
      <c r="C491" s="682"/>
      <c r="D491" s="683"/>
      <c r="E491" s="682"/>
      <c r="F491" s="682"/>
      <c r="G491" s="682"/>
      <c r="H491" s="682"/>
      <c r="I491" s="682"/>
      <c r="J491" s="682"/>
      <c r="P491" s="682"/>
      <c r="Q491" s="682"/>
      <c r="R491" s="682"/>
      <c r="S491" s="682"/>
      <c r="T491" s="682"/>
      <c r="U491" s="682"/>
      <c r="V491" s="682"/>
      <c r="W491" s="682"/>
      <c r="X491" s="682"/>
      <c r="Y491" s="682"/>
    </row>
    <row r="492" spans="1:25" ht="11.25" customHeight="1">
      <c r="A492" s="682"/>
      <c r="B492" s="682"/>
      <c r="C492" s="682"/>
      <c r="D492" s="683"/>
      <c r="E492" s="682"/>
      <c r="F492" s="682"/>
      <c r="G492" s="682"/>
      <c r="H492" s="682"/>
      <c r="I492" s="682"/>
      <c r="J492" s="682"/>
      <c r="P492" s="682"/>
      <c r="Q492" s="682"/>
      <c r="R492" s="682"/>
      <c r="S492" s="682"/>
      <c r="T492" s="682"/>
      <c r="U492" s="682"/>
      <c r="V492" s="682"/>
      <c r="W492" s="682"/>
      <c r="X492" s="682"/>
      <c r="Y492" s="682"/>
    </row>
    <row r="493" spans="1:25" ht="11.25" customHeight="1">
      <c r="A493" s="682"/>
      <c r="B493" s="682"/>
      <c r="C493" s="682"/>
      <c r="D493" s="683"/>
      <c r="E493" s="682"/>
      <c r="F493" s="682"/>
      <c r="G493" s="682"/>
      <c r="H493" s="682"/>
      <c r="I493" s="682"/>
      <c r="J493" s="682"/>
      <c r="P493" s="682"/>
      <c r="Q493" s="682"/>
      <c r="R493" s="682"/>
      <c r="S493" s="682"/>
      <c r="T493" s="682"/>
      <c r="U493" s="682"/>
      <c r="V493" s="682"/>
      <c r="W493" s="682"/>
      <c r="X493" s="682"/>
      <c r="Y493" s="682"/>
    </row>
    <row r="494" spans="1:25" ht="11.25" customHeight="1">
      <c r="A494" s="682"/>
      <c r="B494" s="682"/>
      <c r="C494" s="682"/>
      <c r="D494" s="683"/>
      <c r="E494" s="682"/>
      <c r="F494" s="682"/>
      <c r="G494" s="682"/>
      <c r="H494" s="682"/>
      <c r="I494" s="682"/>
      <c r="J494" s="682"/>
      <c r="P494" s="682"/>
      <c r="Q494" s="682"/>
      <c r="R494" s="682"/>
      <c r="S494" s="682"/>
      <c r="T494" s="682"/>
      <c r="U494" s="682"/>
      <c r="V494" s="682"/>
      <c r="W494" s="682"/>
      <c r="X494" s="682"/>
      <c r="Y494" s="682"/>
    </row>
    <row r="495" spans="1:25" ht="11.25" customHeight="1">
      <c r="A495" s="682"/>
      <c r="B495" s="682"/>
      <c r="C495" s="682"/>
      <c r="D495" s="683"/>
      <c r="E495" s="682"/>
      <c r="F495" s="682"/>
      <c r="G495" s="682"/>
      <c r="H495" s="682"/>
      <c r="I495" s="682"/>
      <c r="J495" s="682"/>
      <c r="P495" s="682"/>
      <c r="Q495" s="682"/>
      <c r="R495" s="682"/>
      <c r="S495" s="682"/>
      <c r="T495" s="682"/>
      <c r="U495" s="682"/>
      <c r="V495" s="682"/>
      <c r="W495" s="682"/>
      <c r="X495" s="682"/>
      <c r="Y495" s="682"/>
    </row>
    <row r="496" spans="1:25" ht="11.25" customHeight="1">
      <c r="A496" s="682"/>
      <c r="B496" s="682"/>
      <c r="C496" s="682"/>
      <c r="D496" s="683"/>
      <c r="E496" s="682"/>
      <c r="F496" s="682"/>
      <c r="G496" s="682"/>
      <c r="H496" s="682"/>
      <c r="I496" s="682"/>
      <c r="J496" s="682"/>
      <c r="P496" s="682"/>
      <c r="Q496" s="682"/>
      <c r="R496" s="682"/>
      <c r="S496" s="682"/>
      <c r="T496" s="682"/>
      <c r="U496" s="682"/>
      <c r="V496" s="682"/>
      <c r="W496" s="682"/>
      <c r="X496" s="682"/>
      <c r="Y496" s="682"/>
    </row>
    <row r="497" spans="1:25" ht="11.25" customHeight="1">
      <c r="A497" s="682"/>
      <c r="B497" s="682"/>
      <c r="C497" s="682"/>
      <c r="D497" s="683"/>
      <c r="E497" s="682"/>
      <c r="F497" s="682"/>
      <c r="G497" s="682"/>
      <c r="H497" s="682"/>
      <c r="I497" s="682"/>
      <c r="J497" s="682"/>
      <c r="P497" s="682"/>
      <c r="Q497" s="682"/>
      <c r="R497" s="682"/>
      <c r="S497" s="682"/>
      <c r="T497" s="682"/>
      <c r="U497" s="682"/>
      <c r="V497" s="682"/>
      <c r="W497" s="682"/>
      <c r="X497" s="682"/>
      <c r="Y497" s="682"/>
    </row>
    <row r="498" spans="1:25" ht="11.25" customHeight="1">
      <c r="A498" s="682"/>
      <c r="B498" s="682"/>
      <c r="C498" s="682"/>
      <c r="D498" s="683"/>
      <c r="E498" s="682"/>
      <c r="F498" s="682"/>
      <c r="G498" s="682"/>
      <c r="H498" s="682"/>
      <c r="I498" s="682"/>
      <c r="J498" s="682"/>
      <c r="P498" s="682"/>
      <c r="Q498" s="682"/>
      <c r="R498" s="682"/>
      <c r="S498" s="682"/>
      <c r="T498" s="682"/>
      <c r="U498" s="682"/>
      <c r="V498" s="682"/>
      <c r="W498" s="682"/>
      <c r="X498" s="682"/>
      <c r="Y498" s="682"/>
    </row>
    <row r="499" spans="1:25" ht="11.25" customHeight="1">
      <c r="A499" s="682"/>
      <c r="B499" s="682"/>
      <c r="C499" s="682"/>
      <c r="D499" s="683"/>
      <c r="E499" s="682"/>
      <c r="F499" s="682"/>
      <c r="G499" s="682"/>
      <c r="H499" s="682"/>
      <c r="I499" s="682"/>
      <c r="J499" s="682"/>
      <c r="P499" s="682"/>
      <c r="Q499" s="682"/>
      <c r="R499" s="682"/>
      <c r="S499" s="682"/>
      <c r="T499" s="682"/>
      <c r="U499" s="682"/>
      <c r="V499" s="682"/>
      <c r="W499" s="682"/>
      <c r="X499" s="682"/>
      <c r="Y499" s="682"/>
    </row>
    <row r="500" spans="1:25" ht="11.25" customHeight="1">
      <c r="A500" s="682"/>
      <c r="B500" s="682"/>
      <c r="C500" s="682"/>
      <c r="D500" s="683"/>
      <c r="E500" s="682"/>
      <c r="F500" s="682"/>
      <c r="G500" s="682"/>
      <c r="H500" s="682"/>
      <c r="I500" s="682"/>
      <c r="J500" s="682"/>
      <c r="P500" s="682"/>
      <c r="Q500" s="682"/>
      <c r="R500" s="682"/>
      <c r="S500" s="682"/>
      <c r="T500" s="682"/>
      <c r="U500" s="682"/>
      <c r="V500" s="682"/>
      <c r="W500" s="682"/>
      <c r="X500" s="682"/>
      <c r="Y500" s="682"/>
    </row>
    <row r="501" spans="1:25" ht="11.25" customHeight="1">
      <c r="A501" s="682"/>
      <c r="B501" s="682"/>
      <c r="C501" s="682"/>
      <c r="D501" s="683"/>
      <c r="E501" s="682"/>
      <c r="F501" s="682"/>
      <c r="G501" s="682"/>
      <c r="H501" s="682"/>
      <c r="I501" s="682"/>
      <c r="J501" s="682"/>
      <c r="P501" s="682"/>
      <c r="Q501" s="682"/>
      <c r="R501" s="682"/>
      <c r="S501" s="682"/>
      <c r="T501" s="682"/>
      <c r="U501" s="682"/>
      <c r="V501" s="682"/>
      <c r="W501" s="682"/>
      <c r="X501" s="682"/>
      <c r="Y501" s="682"/>
    </row>
    <row r="502" spans="1:25" ht="11.25" customHeight="1">
      <c r="A502" s="682"/>
      <c r="B502" s="682"/>
      <c r="C502" s="682"/>
      <c r="D502" s="683"/>
      <c r="E502" s="682"/>
      <c r="F502" s="682"/>
      <c r="G502" s="682"/>
      <c r="H502" s="682"/>
      <c r="I502" s="682"/>
      <c r="J502" s="682"/>
      <c r="P502" s="682"/>
      <c r="Q502" s="682"/>
      <c r="R502" s="682"/>
      <c r="S502" s="682"/>
      <c r="T502" s="682"/>
      <c r="U502" s="682"/>
      <c r="V502" s="682"/>
      <c r="W502" s="682"/>
      <c r="X502" s="682"/>
      <c r="Y502" s="682"/>
    </row>
    <row r="503" spans="1:25" ht="11.25" customHeight="1">
      <c r="A503" s="682"/>
      <c r="B503" s="682"/>
      <c r="C503" s="682"/>
      <c r="D503" s="683"/>
      <c r="E503" s="682"/>
      <c r="F503" s="682"/>
      <c r="G503" s="682"/>
      <c r="H503" s="682"/>
      <c r="I503" s="682"/>
      <c r="J503" s="682"/>
      <c r="P503" s="682"/>
      <c r="Q503" s="682"/>
      <c r="R503" s="682"/>
      <c r="S503" s="682"/>
      <c r="T503" s="682"/>
      <c r="U503" s="682"/>
      <c r="V503" s="682"/>
      <c r="W503" s="682"/>
      <c r="X503" s="682"/>
      <c r="Y503" s="682"/>
    </row>
    <row r="504" spans="1:25" ht="11.25" customHeight="1">
      <c r="A504" s="682"/>
      <c r="B504" s="682"/>
      <c r="C504" s="682"/>
      <c r="D504" s="683"/>
      <c r="E504" s="682"/>
      <c r="F504" s="682"/>
      <c r="G504" s="682"/>
      <c r="H504" s="682"/>
      <c r="I504" s="682"/>
      <c r="J504" s="682"/>
      <c r="P504" s="682"/>
      <c r="Q504" s="682"/>
      <c r="R504" s="682"/>
      <c r="S504" s="682"/>
      <c r="T504" s="682"/>
      <c r="U504" s="682"/>
      <c r="V504" s="682"/>
      <c r="W504" s="682"/>
      <c r="X504" s="682"/>
      <c r="Y504" s="682"/>
    </row>
    <row r="505" spans="1:25" ht="11.25" customHeight="1">
      <c r="A505" s="682"/>
      <c r="B505" s="682"/>
      <c r="C505" s="682"/>
      <c r="D505" s="683"/>
      <c r="E505" s="682"/>
      <c r="F505" s="682"/>
      <c r="G505" s="682"/>
      <c r="H505" s="682"/>
      <c r="I505" s="682"/>
      <c r="J505" s="682"/>
      <c r="P505" s="682"/>
      <c r="Q505" s="682"/>
      <c r="R505" s="682"/>
      <c r="S505" s="682"/>
      <c r="T505" s="682"/>
      <c r="U505" s="682"/>
      <c r="V505" s="682"/>
      <c r="W505" s="682"/>
      <c r="X505" s="682"/>
      <c r="Y505" s="682"/>
    </row>
    <row r="506" spans="1:25" ht="11.25" customHeight="1">
      <c r="A506" s="682"/>
      <c r="B506" s="682"/>
      <c r="C506" s="682"/>
      <c r="D506" s="683"/>
      <c r="E506" s="682"/>
      <c r="F506" s="682"/>
      <c r="G506" s="682"/>
      <c r="H506" s="682"/>
      <c r="I506" s="682"/>
      <c r="J506" s="682"/>
      <c r="P506" s="682"/>
      <c r="Q506" s="682"/>
      <c r="R506" s="682"/>
      <c r="S506" s="682"/>
      <c r="T506" s="682"/>
      <c r="U506" s="682"/>
      <c r="V506" s="682"/>
      <c r="W506" s="682"/>
      <c r="X506" s="682"/>
      <c r="Y506" s="682"/>
    </row>
    <row r="507" spans="1:25" ht="11.25" customHeight="1">
      <c r="A507" s="682"/>
      <c r="B507" s="682"/>
      <c r="C507" s="682"/>
      <c r="D507" s="683"/>
      <c r="E507" s="682"/>
      <c r="F507" s="682"/>
      <c r="G507" s="682"/>
      <c r="H507" s="682"/>
      <c r="I507" s="682"/>
      <c r="J507" s="682"/>
      <c r="P507" s="682"/>
      <c r="Q507" s="682"/>
      <c r="R507" s="682"/>
      <c r="S507" s="682"/>
      <c r="T507" s="682"/>
      <c r="U507" s="682"/>
      <c r="V507" s="682"/>
      <c r="W507" s="682"/>
      <c r="X507" s="682"/>
      <c r="Y507" s="682"/>
    </row>
    <row r="508" spans="1:25" ht="11.25" customHeight="1">
      <c r="A508" s="682"/>
      <c r="B508" s="682"/>
      <c r="C508" s="682"/>
      <c r="D508" s="683"/>
      <c r="E508" s="682"/>
      <c r="F508" s="682"/>
      <c r="G508" s="682"/>
      <c r="H508" s="682"/>
      <c r="I508" s="682"/>
      <c r="J508" s="682"/>
      <c r="P508" s="682"/>
      <c r="Q508" s="682"/>
      <c r="R508" s="682"/>
      <c r="S508" s="682"/>
      <c r="T508" s="682"/>
      <c r="U508" s="682"/>
      <c r="V508" s="682"/>
      <c r="W508" s="682"/>
      <c r="X508" s="682"/>
      <c r="Y508" s="682"/>
    </row>
    <row r="509" spans="1:25" ht="11.25" customHeight="1">
      <c r="A509" s="682"/>
      <c r="B509" s="682"/>
      <c r="C509" s="682"/>
      <c r="D509" s="683"/>
      <c r="E509" s="682"/>
      <c r="F509" s="682"/>
      <c r="G509" s="682"/>
      <c r="H509" s="682"/>
      <c r="I509" s="682"/>
      <c r="J509" s="682"/>
      <c r="P509" s="682"/>
      <c r="Q509" s="682"/>
      <c r="R509" s="682"/>
      <c r="S509" s="682"/>
      <c r="T509" s="682"/>
      <c r="U509" s="682"/>
      <c r="V509" s="682"/>
      <c r="W509" s="682"/>
      <c r="X509" s="682"/>
      <c r="Y509" s="682"/>
    </row>
    <row r="510" spans="1:25" ht="11.25" customHeight="1">
      <c r="A510" s="682"/>
      <c r="B510" s="682"/>
      <c r="C510" s="682"/>
      <c r="D510" s="683"/>
      <c r="E510" s="682"/>
      <c r="F510" s="682"/>
      <c r="G510" s="682"/>
      <c r="H510" s="682"/>
      <c r="I510" s="682"/>
      <c r="J510" s="682"/>
      <c r="P510" s="682"/>
      <c r="Q510" s="682"/>
      <c r="R510" s="682"/>
      <c r="S510" s="682"/>
      <c r="T510" s="682"/>
      <c r="U510" s="682"/>
      <c r="V510" s="682"/>
      <c r="W510" s="682"/>
      <c r="X510" s="682"/>
      <c r="Y510" s="682"/>
    </row>
    <row r="511" spans="1:25" ht="11.25" customHeight="1">
      <c r="A511" s="682"/>
      <c r="B511" s="682"/>
      <c r="C511" s="682"/>
      <c r="D511" s="683"/>
      <c r="E511" s="682"/>
      <c r="F511" s="682"/>
      <c r="G511" s="682"/>
      <c r="H511" s="682"/>
      <c r="I511" s="682"/>
      <c r="J511" s="682"/>
      <c r="P511" s="682"/>
      <c r="Q511" s="682"/>
      <c r="R511" s="682"/>
      <c r="S511" s="682"/>
      <c r="T511" s="682"/>
      <c r="U511" s="682"/>
      <c r="V511" s="682"/>
      <c r="W511" s="682"/>
      <c r="X511" s="682"/>
      <c r="Y511" s="682"/>
    </row>
    <row r="512" spans="1:25" ht="11.25" customHeight="1">
      <c r="A512" s="682"/>
      <c r="B512" s="682"/>
      <c r="C512" s="682"/>
      <c r="D512" s="683"/>
      <c r="E512" s="682"/>
      <c r="F512" s="682"/>
      <c r="G512" s="682"/>
      <c r="H512" s="682"/>
      <c r="I512" s="682"/>
      <c r="J512" s="682"/>
      <c r="P512" s="682"/>
      <c r="Q512" s="682"/>
      <c r="R512" s="682"/>
      <c r="S512" s="682"/>
      <c r="T512" s="682"/>
      <c r="U512" s="682"/>
      <c r="V512" s="682"/>
      <c r="W512" s="682"/>
      <c r="X512" s="682"/>
      <c r="Y512" s="682"/>
    </row>
    <row r="513" spans="1:25" ht="11.25" customHeight="1">
      <c r="A513" s="682"/>
      <c r="B513" s="682"/>
      <c r="C513" s="682"/>
      <c r="D513" s="683"/>
      <c r="E513" s="682"/>
      <c r="F513" s="682"/>
      <c r="G513" s="682"/>
      <c r="H513" s="682"/>
      <c r="I513" s="682"/>
      <c r="J513" s="682"/>
      <c r="P513" s="682"/>
      <c r="Q513" s="682"/>
      <c r="R513" s="682"/>
      <c r="S513" s="682"/>
      <c r="T513" s="682"/>
      <c r="U513" s="682"/>
      <c r="V513" s="682"/>
      <c r="W513" s="682"/>
      <c r="X513" s="682"/>
      <c r="Y513" s="682"/>
    </row>
    <row r="514" spans="1:25" ht="11.25" customHeight="1">
      <c r="A514" s="682"/>
      <c r="B514" s="682"/>
      <c r="C514" s="682"/>
      <c r="D514" s="683"/>
      <c r="E514" s="682"/>
      <c r="F514" s="682"/>
      <c r="G514" s="682"/>
      <c r="H514" s="682"/>
      <c r="I514" s="682"/>
      <c r="J514" s="682"/>
      <c r="P514" s="682"/>
      <c r="Q514" s="682"/>
      <c r="R514" s="682"/>
      <c r="S514" s="682"/>
      <c r="T514" s="682"/>
      <c r="U514" s="682"/>
      <c r="V514" s="682"/>
      <c r="W514" s="682"/>
      <c r="X514" s="682"/>
      <c r="Y514" s="682"/>
    </row>
    <row r="515" spans="1:25" ht="11.25" customHeight="1">
      <c r="A515" s="682"/>
      <c r="B515" s="682"/>
      <c r="C515" s="682"/>
      <c r="D515" s="683"/>
      <c r="E515" s="682"/>
      <c r="F515" s="682"/>
      <c r="G515" s="682"/>
      <c r="H515" s="682"/>
      <c r="I515" s="682"/>
      <c r="J515" s="682"/>
      <c r="P515" s="682"/>
      <c r="Q515" s="682"/>
      <c r="R515" s="682"/>
      <c r="S515" s="682"/>
      <c r="T515" s="682"/>
      <c r="U515" s="682"/>
      <c r="V515" s="682"/>
      <c r="W515" s="682"/>
      <c r="X515" s="682"/>
      <c r="Y515" s="682"/>
    </row>
    <row r="516" spans="1:25" ht="11.25" customHeight="1">
      <c r="A516" s="682"/>
      <c r="B516" s="682"/>
      <c r="C516" s="682"/>
      <c r="D516" s="683"/>
      <c r="E516" s="682"/>
      <c r="F516" s="682"/>
      <c r="G516" s="682"/>
      <c r="H516" s="682"/>
      <c r="I516" s="682"/>
      <c r="J516" s="682"/>
      <c r="P516" s="682"/>
      <c r="Q516" s="682"/>
      <c r="R516" s="682"/>
      <c r="S516" s="682"/>
      <c r="T516" s="682"/>
      <c r="U516" s="682"/>
      <c r="V516" s="682"/>
      <c r="W516" s="682"/>
      <c r="X516" s="682"/>
      <c r="Y516" s="682"/>
    </row>
    <row r="517" spans="1:25" ht="11.25" customHeight="1">
      <c r="A517" s="682"/>
      <c r="B517" s="682"/>
      <c r="C517" s="682"/>
      <c r="D517" s="683"/>
      <c r="E517" s="682"/>
      <c r="F517" s="682"/>
      <c r="G517" s="682"/>
      <c r="H517" s="682"/>
      <c r="I517" s="682"/>
      <c r="J517" s="682"/>
      <c r="P517" s="682"/>
      <c r="Q517" s="682"/>
      <c r="R517" s="682"/>
      <c r="S517" s="682"/>
      <c r="T517" s="682"/>
      <c r="U517" s="682"/>
      <c r="V517" s="682"/>
      <c r="W517" s="682"/>
      <c r="X517" s="682"/>
      <c r="Y517" s="682"/>
    </row>
    <row r="518" spans="1:25" ht="11.25" customHeight="1">
      <c r="A518" s="682"/>
      <c r="B518" s="682"/>
      <c r="C518" s="682"/>
      <c r="D518" s="683"/>
      <c r="E518" s="682"/>
      <c r="F518" s="682"/>
      <c r="G518" s="682"/>
      <c r="H518" s="682"/>
      <c r="I518" s="682"/>
      <c r="J518" s="682"/>
      <c r="P518" s="682"/>
      <c r="Q518" s="682"/>
      <c r="R518" s="682"/>
      <c r="S518" s="682"/>
      <c r="T518" s="682"/>
      <c r="U518" s="682"/>
      <c r="V518" s="682"/>
      <c r="W518" s="682"/>
      <c r="X518" s="682"/>
      <c r="Y518" s="682"/>
    </row>
    <row r="519" spans="1:25" ht="11.25" customHeight="1">
      <c r="A519" s="682"/>
      <c r="B519" s="682"/>
      <c r="C519" s="682"/>
      <c r="D519" s="683"/>
      <c r="E519" s="682"/>
      <c r="F519" s="682"/>
      <c r="G519" s="682"/>
      <c r="H519" s="682"/>
      <c r="I519" s="682"/>
      <c r="J519" s="682"/>
      <c r="P519" s="682"/>
      <c r="Q519" s="682"/>
      <c r="R519" s="682"/>
      <c r="S519" s="682"/>
      <c r="T519" s="682"/>
      <c r="U519" s="682"/>
      <c r="V519" s="682"/>
      <c r="W519" s="682"/>
      <c r="X519" s="682"/>
      <c r="Y519" s="682"/>
    </row>
    <row r="520" spans="1:25" ht="11.25" customHeight="1">
      <c r="A520" s="682"/>
      <c r="B520" s="682"/>
      <c r="C520" s="682"/>
      <c r="D520" s="683"/>
      <c r="E520" s="682"/>
      <c r="F520" s="682"/>
      <c r="G520" s="682"/>
      <c r="H520" s="682"/>
      <c r="I520" s="682"/>
      <c r="J520" s="682"/>
      <c r="P520" s="682"/>
      <c r="Q520" s="682"/>
      <c r="R520" s="682"/>
      <c r="S520" s="682"/>
      <c r="T520" s="682"/>
      <c r="U520" s="682"/>
      <c r="V520" s="682"/>
      <c r="W520" s="682"/>
      <c r="X520" s="682"/>
      <c r="Y520" s="682"/>
    </row>
    <row r="521" spans="1:25" ht="11.25" customHeight="1">
      <c r="A521" s="682"/>
      <c r="B521" s="682"/>
      <c r="C521" s="682"/>
      <c r="D521" s="683"/>
      <c r="E521" s="682"/>
      <c r="F521" s="682"/>
      <c r="G521" s="682"/>
      <c r="H521" s="682"/>
      <c r="I521" s="682"/>
      <c r="J521" s="682"/>
      <c r="P521" s="682"/>
      <c r="Q521" s="682"/>
      <c r="R521" s="682"/>
      <c r="S521" s="682"/>
      <c r="T521" s="682"/>
      <c r="U521" s="682"/>
      <c r="V521" s="682"/>
      <c r="W521" s="682"/>
      <c r="X521" s="682"/>
      <c r="Y521" s="682"/>
    </row>
    <row r="522" spans="1:25" ht="11.25" customHeight="1">
      <c r="A522" s="682"/>
      <c r="B522" s="682"/>
      <c r="C522" s="682"/>
      <c r="D522" s="683"/>
      <c r="E522" s="682"/>
      <c r="F522" s="682"/>
      <c r="G522" s="682"/>
      <c r="H522" s="682"/>
      <c r="I522" s="682"/>
      <c r="J522" s="682"/>
      <c r="P522" s="682"/>
      <c r="Q522" s="682"/>
      <c r="R522" s="682"/>
      <c r="S522" s="682"/>
      <c r="T522" s="682"/>
      <c r="U522" s="682"/>
      <c r="V522" s="682"/>
      <c r="W522" s="682"/>
      <c r="X522" s="682"/>
      <c r="Y522" s="682"/>
    </row>
    <row r="523" spans="1:25" ht="11.25" customHeight="1">
      <c r="A523" s="682"/>
      <c r="B523" s="682"/>
      <c r="C523" s="682"/>
      <c r="D523" s="683"/>
      <c r="E523" s="682"/>
      <c r="F523" s="682"/>
      <c r="G523" s="682"/>
      <c r="H523" s="682"/>
      <c r="I523" s="682"/>
      <c r="J523" s="682"/>
      <c r="P523" s="682"/>
      <c r="Q523" s="682"/>
      <c r="R523" s="682"/>
      <c r="S523" s="682"/>
      <c r="T523" s="682"/>
      <c r="U523" s="682"/>
      <c r="V523" s="682"/>
      <c r="W523" s="682"/>
      <c r="X523" s="682"/>
      <c r="Y523" s="682"/>
    </row>
    <row r="524" spans="1:25" ht="11.25" customHeight="1">
      <c r="A524" s="682"/>
      <c r="B524" s="682"/>
      <c r="C524" s="682"/>
      <c r="D524" s="683"/>
      <c r="E524" s="682"/>
      <c r="F524" s="682"/>
      <c r="G524" s="682"/>
      <c r="H524" s="682"/>
      <c r="I524" s="682"/>
      <c r="J524" s="682"/>
      <c r="P524" s="682"/>
      <c r="Q524" s="682"/>
      <c r="R524" s="682"/>
      <c r="S524" s="682"/>
      <c r="T524" s="682"/>
      <c r="U524" s="682"/>
      <c r="V524" s="682"/>
      <c r="W524" s="682"/>
      <c r="X524" s="682"/>
      <c r="Y524" s="682"/>
    </row>
    <row r="525" spans="1:25" ht="11.25" customHeight="1">
      <c r="A525" s="682"/>
      <c r="B525" s="682"/>
      <c r="C525" s="682"/>
      <c r="D525" s="683"/>
      <c r="E525" s="682"/>
      <c r="F525" s="682"/>
      <c r="G525" s="682"/>
      <c r="H525" s="682"/>
      <c r="I525" s="682"/>
      <c r="J525" s="682"/>
      <c r="P525" s="682"/>
      <c r="Q525" s="682"/>
      <c r="R525" s="682"/>
      <c r="S525" s="682"/>
      <c r="T525" s="682"/>
      <c r="U525" s="682"/>
      <c r="V525" s="682"/>
      <c r="W525" s="682"/>
      <c r="X525" s="682"/>
      <c r="Y525" s="682"/>
    </row>
    <row r="526" spans="1:25" ht="11.25" customHeight="1">
      <c r="A526" s="682"/>
      <c r="B526" s="682"/>
      <c r="C526" s="682"/>
      <c r="D526" s="683"/>
      <c r="E526" s="682"/>
      <c r="F526" s="682"/>
      <c r="G526" s="682"/>
      <c r="H526" s="682"/>
      <c r="I526" s="682"/>
      <c r="J526" s="682"/>
      <c r="P526" s="682"/>
      <c r="Q526" s="682"/>
      <c r="R526" s="682"/>
      <c r="S526" s="682"/>
      <c r="T526" s="682"/>
      <c r="U526" s="682"/>
      <c r="V526" s="682"/>
      <c r="W526" s="682"/>
      <c r="X526" s="682"/>
      <c r="Y526" s="682"/>
    </row>
    <row r="527" spans="1:25" ht="11.25" customHeight="1">
      <c r="A527" s="682"/>
      <c r="B527" s="682"/>
      <c r="C527" s="682"/>
      <c r="D527" s="683"/>
      <c r="E527" s="682"/>
      <c r="F527" s="682"/>
      <c r="G527" s="682"/>
      <c r="H527" s="682"/>
      <c r="I527" s="682"/>
      <c r="J527" s="682"/>
      <c r="P527" s="682"/>
      <c r="Q527" s="682"/>
      <c r="R527" s="682"/>
      <c r="S527" s="682"/>
      <c r="T527" s="682"/>
      <c r="U527" s="682"/>
      <c r="V527" s="682"/>
      <c r="W527" s="682"/>
      <c r="X527" s="682"/>
      <c r="Y527" s="682"/>
    </row>
    <row r="528" spans="1:25" ht="11.25" customHeight="1">
      <c r="A528" s="682"/>
      <c r="B528" s="682"/>
      <c r="C528" s="682"/>
      <c r="D528" s="683"/>
      <c r="E528" s="682"/>
      <c r="F528" s="682"/>
      <c r="G528" s="682"/>
      <c r="H528" s="682"/>
      <c r="I528" s="682"/>
      <c r="J528" s="682"/>
      <c r="P528" s="682"/>
      <c r="Q528" s="682"/>
      <c r="R528" s="682"/>
      <c r="S528" s="682"/>
      <c r="T528" s="682"/>
      <c r="U528" s="682"/>
      <c r="V528" s="682"/>
      <c r="W528" s="682"/>
      <c r="X528" s="682"/>
      <c r="Y528" s="682"/>
    </row>
    <row r="529" spans="1:25" ht="11.25" customHeight="1">
      <c r="A529" s="682"/>
      <c r="B529" s="682"/>
      <c r="C529" s="682"/>
      <c r="D529" s="683"/>
      <c r="E529" s="682"/>
      <c r="F529" s="682"/>
      <c r="G529" s="682"/>
      <c r="H529" s="682"/>
      <c r="I529" s="682"/>
      <c r="J529" s="682"/>
      <c r="P529" s="682"/>
      <c r="Q529" s="682"/>
      <c r="R529" s="682"/>
      <c r="S529" s="682"/>
      <c r="T529" s="682"/>
      <c r="U529" s="682"/>
      <c r="V529" s="682"/>
      <c r="W529" s="682"/>
      <c r="X529" s="682"/>
      <c r="Y529" s="682"/>
    </row>
    <row r="530" spans="1:25" ht="11.25" customHeight="1">
      <c r="A530" s="682"/>
      <c r="B530" s="682"/>
      <c r="C530" s="682"/>
      <c r="D530" s="683"/>
      <c r="E530" s="682"/>
      <c r="F530" s="682"/>
      <c r="G530" s="682"/>
      <c r="H530" s="682"/>
      <c r="I530" s="682"/>
      <c r="J530" s="682"/>
      <c r="P530" s="682"/>
      <c r="Q530" s="682"/>
      <c r="R530" s="682"/>
      <c r="S530" s="682"/>
      <c r="T530" s="682"/>
      <c r="U530" s="682"/>
      <c r="V530" s="682"/>
      <c r="W530" s="682"/>
      <c r="X530" s="682"/>
      <c r="Y530" s="682"/>
    </row>
    <row r="531" spans="1:25" ht="11.25" customHeight="1">
      <c r="A531" s="682"/>
      <c r="B531" s="682"/>
      <c r="C531" s="682"/>
      <c r="D531" s="683"/>
      <c r="E531" s="682"/>
      <c r="F531" s="682"/>
      <c r="G531" s="682"/>
      <c r="H531" s="682"/>
      <c r="I531" s="682"/>
      <c r="J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</row>
    <row r="532" spans="1:25" ht="11.25" customHeight="1">
      <c r="A532" s="682"/>
      <c r="B532" s="682"/>
      <c r="C532" s="682"/>
      <c r="D532" s="683"/>
      <c r="E532" s="682"/>
      <c r="F532" s="682"/>
      <c r="G532" s="682"/>
      <c r="H532" s="682"/>
      <c r="I532" s="682"/>
      <c r="J532" s="682"/>
      <c r="P532" s="682"/>
      <c r="Q532" s="682"/>
      <c r="R532" s="682"/>
      <c r="S532" s="682"/>
      <c r="T532" s="682"/>
      <c r="U532" s="682"/>
      <c r="V532" s="682"/>
      <c r="W532" s="682"/>
      <c r="X532" s="682"/>
      <c r="Y532" s="682"/>
    </row>
    <row r="533" spans="1:25" ht="11.25" customHeight="1">
      <c r="A533" s="682"/>
      <c r="B533" s="682"/>
      <c r="C533" s="682"/>
      <c r="D533" s="683"/>
      <c r="E533" s="682"/>
      <c r="F533" s="682"/>
      <c r="G533" s="682"/>
      <c r="H533" s="682"/>
      <c r="I533" s="682"/>
      <c r="J533" s="682"/>
      <c r="P533" s="682"/>
      <c r="Q533" s="682"/>
      <c r="R533" s="682"/>
      <c r="S533" s="682"/>
      <c r="T533" s="682"/>
      <c r="U533" s="682"/>
      <c r="V533" s="682"/>
      <c r="W533" s="682"/>
      <c r="X533" s="682"/>
      <c r="Y533" s="682"/>
    </row>
    <row r="534" spans="1:25" ht="11.25" customHeight="1">
      <c r="A534" s="682"/>
      <c r="B534" s="682"/>
      <c r="C534" s="682"/>
      <c r="D534" s="683"/>
      <c r="E534" s="682"/>
      <c r="F534" s="682"/>
      <c r="G534" s="682"/>
      <c r="H534" s="682"/>
      <c r="I534" s="682"/>
      <c r="J534" s="682"/>
      <c r="P534" s="682"/>
      <c r="Q534" s="682"/>
      <c r="R534" s="682"/>
      <c r="S534" s="682"/>
      <c r="T534" s="682"/>
      <c r="U534" s="682"/>
      <c r="V534" s="682"/>
      <c r="W534" s="682"/>
      <c r="X534" s="682"/>
      <c r="Y534" s="682"/>
    </row>
    <row r="535" spans="1:25" ht="11.25" customHeight="1">
      <c r="A535" s="682"/>
      <c r="B535" s="682"/>
      <c r="C535" s="682"/>
      <c r="D535" s="683"/>
      <c r="E535" s="682"/>
      <c r="F535" s="682"/>
      <c r="G535" s="682"/>
      <c r="H535" s="682"/>
      <c r="I535" s="682"/>
      <c r="J535" s="682"/>
      <c r="P535" s="682"/>
      <c r="Q535" s="682"/>
      <c r="R535" s="682"/>
      <c r="S535" s="682"/>
      <c r="T535" s="682"/>
      <c r="U535" s="682"/>
      <c r="V535" s="682"/>
      <c r="W535" s="682"/>
      <c r="X535" s="682"/>
      <c r="Y535" s="682"/>
    </row>
    <row r="536" spans="1:25" ht="11.25" customHeight="1">
      <c r="A536" s="682"/>
      <c r="B536" s="682"/>
      <c r="C536" s="682"/>
      <c r="D536" s="683"/>
      <c r="E536" s="682"/>
      <c r="F536" s="682"/>
      <c r="G536" s="682"/>
      <c r="H536" s="682"/>
      <c r="I536" s="682"/>
      <c r="J536" s="682"/>
      <c r="P536" s="682"/>
      <c r="Q536" s="682"/>
      <c r="R536" s="682"/>
      <c r="S536" s="682"/>
      <c r="T536" s="682"/>
      <c r="U536" s="682"/>
      <c r="V536" s="682"/>
      <c r="W536" s="682"/>
      <c r="X536" s="682"/>
      <c r="Y536" s="682"/>
    </row>
    <row r="537" spans="1:25" ht="11.25" customHeight="1">
      <c r="A537" s="682"/>
      <c r="B537" s="682"/>
      <c r="C537" s="682"/>
      <c r="D537" s="683"/>
      <c r="E537" s="682"/>
      <c r="F537" s="682"/>
      <c r="G537" s="682"/>
      <c r="H537" s="682"/>
      <c r="I537" s="682"/>
      <c r="J537" s="682"/>
      <c r="P537" s="682"/>
      <c r="Q537" s="682"/>
      <c r="R537" s="682"/>
      <c r="S537" s="682"/>
      <c r="T537" s="682"/>
      <c r="U537" s="682"/>
      <c r="V537" s="682"/>
      <c r="W537" s="682"/>
      <c r="X537" s="682"/>
      <c r="Y537" s="682"/>
    </row>
    <row r="538" spans="1:25" ht="11.25" customHeight="1">
      <c r="A538" s="682"/>
      <c r="B538" s="682"/>
      <c r="C538" s="682"/>
      <c r="D538" s="683"/>
      <c r="E538" s="682"/>
      <c r="F538" s="682"/>
      <c r="G538" s="682"/>
      <c r="H538" s="682"/>
      <c r="I538" s="682"/>
      <c r="J538" s="682"/>
      <c r="P538" s="682"/>
      <c r="Q538" s="682"/>
      <c r="R538" s="682"/>
      <c r="S538" s="682"/>
      <c r="T538" s="682"/>
      <c r="U538" s="682"/>
      <c r="V538" s="682"/>
      <c r="W538" s="682"/>
      <c r="X538" s="682"/>
      <c r="Y538" s="682"/>
    </row>
    <row r="539" spans="1:25" ht="11.25" customHeight="1">
      <c r="A539" s="682"/>
      <c r="B539" s="682"/>
      <c r="C539" s="682"/>
      <c r="D539" s="683"/>
      <c r="E539" s="682"/>
      <c r="F539" s="682"/>
      <c r="G539" s="682"/>
      <c r="H539" s="682"/>
      <c r="I539" s="682"/>
      <c r="J539" s="682"/>
      <c r="P539" s="682"/>
      <c r="Q539" s="682"/>
      <c r="R539" s="682"/>
      <c r="S539" s="682"/>
      <c r="T539" s="682"/>
      <c r="U539" s="682"/>
      <c r="V539" s="682"/>
      <c r="W539" s="682"/>
      <c r="X539" s="682"/>
      <c r="Y539" s="682"/>
    </row>
    <row r="540" spans="1:25" ht="11.25" customHeight="1">
      <c r="A540" s="682"/>
      <c r="B540" s="682"/>
      <c r="C540" s="682"/>
      <c r="D540" s="683"/>
      <c r="E540" s="682"/>
      <c r="F540" s="682"/>
      <c r="G540" s="682"/>
      <c r="H540" s="682"/>
      <c r="I540" s="682"/>
      <c r="J540" s="682"/>
      <c r="P540" s="682"/>
      <c r="Q540" s="682"/>
      <c r="R540" s="682"/>
      <c r="S540" s="682"/>
      <c r="T540" s="682"/>
      <c r="U540" s="682"/>
      <c r="V540" s="682"/>
      <c r="W540" s="682"/>
      <c r="X540" s="682"/>
      <c r="Y540" s="682"/>
    </row>
    <row r="541" spans="1:25" ht="11.25" customHeight="1">
      <c r="A541" s="682"/>
      <c r="B541" s="682"/>
      <c r="C541" s="682"/>
      <c r="D541" s="683"/>
      <c r="E541" s="682"/>
      <c r="F541" s="682"/>
      <c r="G541" s="682"/>
      <c r="H541" s="682"/>
      <c r="I541" s="682"/>
      <c r="J541" s="682"/>
      <c r="P541" s="682"/>
      <c r="Q541" s="682"/>
      <c r="R541" s="682"/>
      <c r="S541" s="682"/>
      <c r="T541" s="682"/>
      <c r="U541" s="682"/>
      <c r="V541" s="682"/>
      <c r="W541" s="682"/>
      <c r="X541" s="682"/>
      <c r="Y541" s="682"/>
    </row>
    <row r="542" spans="1:25" ht="11.25" customHeight="1">
      <c r="A542" s="682"/>
      <c r="B542" s="682"/>
      <c r="C542" s="682"/>
      <c r="D542" s="683"/>
      <c r="E542" s="682"/>
      <c r="F542" s="682"/>
      <c r="G542" s="682"/>
      <c r="H542" s="682"/>
      <c r="I542" s="682"/>
      <c r="J542" s="682"/>
      <c r="P542" s="682"/>
      <c r="Q542" s="682"/>
      <c r="R542" s="682"/>
      <c r="S542" s="682"/>
      <c r="T542" s="682"/>
      <c r="U542" s="682"/>
      <c r="V542" s="682"/>
      <c r="W542" s="682"/>
      <c r="X542" s="682"/>
      <c r="Y542" s="682"/>
    </row>
    <row r="543" spans="1:25" ht="11.25" customHeight="1">
      <c r="A543" s="682"/>
      <c r="B543" s="682"/>
      <c r="C543" s="682"/>
      <c r="D543" s="683"/>
      <c r="E543" s="682"/>
      <c r="F543" s="682"/>
      <c r="G543" s="682"/>
      <c r="H543" s="682"/>
      <c r="I543" s="682"/>
      <c r="J543" s="682"/>
      <c r="P543" s="682"/>
      <c r="Q543" s="682"/>
      <c r="R543" s="682"/>
      <c r="S543" s="682"/>
      <c r="T543" s="682"/>
      <c r="U543" s="682"/>
      <c r="V543" s="682"/>
      <c r="W543" s="682"/>
      <c r="X543" s="682"/>
      <c r="Y543" s="682"/>
    </row>
    <row r="544" spans="1:25" ht="11.25" customHeight="1">
      <c r="A544" s="682"/>
      <c r="B544" s="682"/>
      <c r="C544" s="682"/>
      <c r="D544" s="683"/>
      <c r="E544" s="682"/>
      <c r="F544" s="682"/>
      <c r="G544" s="682"/>
      <c r="H544" s="682"/>
      <c r="I544" s="682"/>
      <c r="J544" s="682"/>
      <c r="P544" s="682"/>
      <c r="Q544" s="682"/>
      <c r="R544" s="682"/>
      <c r="S544" s="682"/>
      <c r="T544" s="682"/>
      <c r="U544" s="682"/>
      <c r="V544" s="682"/>
      <c r="W544" s="682"/>
      <c r="X544" s="682"/>
      <c r="Y544" s="682"/>
    </row>
    <row r="545" spans="1:25" ht="11.25" customHeight="1">
      <c r="A545" s="682"/>
      <c r="B545" s="682"/>
      <c r="C545" s="682"/>
      <c r="D545" s="683"/>
      <c r="E545" s="682"/>
      <c r="F545" s="682"/>
      <c r="G545" s="682"/>
      <c r="H545" s="682"/>
      <c r="I545" s="682"/>
      <c r="J545" s="682"/>
      <c r="P545" s="682"/>
      <c r="Q545" s="682"/>
      <c r="R545" s="682"/>
      <c r="S545" s="682"/>
      <c r="T545" s="682"/>
      <c r="U545" s="682"/>
      <c r="V545" s="682"/>
      <c r="W545" s="682"/>
      <c r="X545" s="682"/>
      <c r="Y545" s="682"/>
    </row>
    <row r="546" spans="1:25" ht="11.25" customHeight="1">
      <c r="A546" s="682"/>
      <c r="B546" s="682"/>
      <c r="C546" s="682"/>
      <c r="D546" s="683"/>
      <c r="E546" s="682"/>
      <c r="F546" s="682"/>
      <c r="G546" s="682"/>
      <c r="H546" s="682"/>
      <c r="I546" s="682"/>
      <c r="J546" s="682"/>
      <c r="P546" s="682"/>
      <c r="Q546" s="682"/>
      <c r="R546" s="682"/>
      <c r="S546" s="682"/>
      <c r="T546" s="682"/>
      <c r="U546" s="682"/>
      <c r="V546" s="682"/>
      <c r="W546" s="682"/>
      <c r="X546" s="682"/>
      <c r="Y546" s="682"/>
    </row>
    <row r="547" spans="1:25" ht="11.25" customHeight="1">
      <c r="A547" s="682"/>
      <c r="B547" s="682"/>
      <c r="C547" s="682"/>
      <c r="D547" s="683"/>
      <c r="E547" s="682"/>
      <c r="F547" s="682"/>
      <c r="G547" s="682"/>
      <c r="H547" s="682"/>
      <c r="I547" s="682"/>
      <c r="J547" s="682"/>
      <c r="P547" s="682"/>
      <c r="Q547" s="682"/>
      <c r="R547" s="682"/>
      <c r="S547" s="682"/>
      <c r="T547" s="682"/>
      <c r="U547" s="682"/>
      <c r="V547" s="682"/>
      <c r="W547" s="682"/>
      <c r="X547" s="682"/>
      <c r="Y547" s="682"/>
    </row>
    <row r="548" spans="1:25" ht="11.25" customHeight="1">
      <c r="A548" s="682"/>
      <c r="B548" s="682"/>
      <c r="C548" s="682"/>
      <c r="D548" s="683"/>
      <c r="E548" s="682"/>
      <c r="F548" s="682"/>
      <c r="G548" s="682"/>
      <c r="H548" s="682"/>
      <c r="I548" s="682"/>
      <c r="J548" s="682"/>
      <c r="P548" s="682"/>
      <c r="Q548" s="682"/>
      <c r="R548" s="682"/>
      <c r="S548" s="682"/>
      <c r="T548" s="682"/>
      <c r="U548" s="682"/>
      <c r="V548" s="682"/>
      <c r="W548" s="682"/>
      <c r="X548" s="682"/>
      <c r="Y548" s="682"/>
    </row>
    <row r="549" spans="1:25" ht="11.25" customHeight="1">
      <c r="A549" s="682"/>
      <c r="B549" s="682"/>
      <c r="C549" s="682"/>
      <c r="D549" s="683"/>
      <c r="E549" s="682"/>
      <c r="F549" s="682"/>
      <c r="G549" s="682"/>
      <c r="H549" s="682"/>
      <c r="I549" s="682"/>
      <c r="J549" s="682"/>
      <c r="P549" s="682"/>
      <c r="Q549" s="682"/>
      <c r="R549" s="682"/>
      <c r="S549" s="682"/>
      <c r="T549" s="682"/>
      <c r="U549" s="682"/>
      <c r="V549" s="682"/>
      <c r="W549" s="682"/>
      <c r="X549" s="682"/>
      <c r="Y549" s="682"/>
    </row>
    <row r="550" spans="1:25" ht="11.25" customHeight="1">
      <c r="A550" s="682"/>
      <c r="B550" s="682"/>
      <c r="C550" s="682"/>
      <c r="D550" s="683"/>
      <c r="E550" s="682"/>
      <c r="F550" s="682"/>
      <c r="G550" s="682"/>
      <c r="H550" s="682"/>
      <c r="I550" s="682"/>
      <c r="J550" s="682"/>
      <c r="P550" s="682"/>
      <c r="Q550" s="682"/>
      <c r="R550" s="682"/>
      <c r="S550" s="682"/>
      <c r="T550" s="682"/>
      <c r="U550" s="682"/>
      <c r="V550" s="682"/>
      <c r="W550" s="682"/>
      <c r="X550" s="682"/>
      <c r="Y550" s="682"/>
    </row>
    <row r="551" spans="1:25" ht="11.25" customHeight="1">
      <c r="A551" s="682"/>
      <c r="B551" s="682"/>
      <c r="C551" s="682"/>
      <c r="D551" s="683"/>
      <c r="E551" s="682"/>
      <c r="F551" s="682"/>
      <c r="G551" s="682"/>
      <c r="H551" s="682"/>
      <c r="I551" s="682"/>
      <c r="J551" s="682"/>
      <c r="P551" s="682"/>
      <c r="Q551" s="682"/>
      <c r="R551" s="682"/>
      <c r="S551" s="682"/>
      <c r="T551" s="682"/>
      <c r="U551" s="682"/>
      <c r="V551" s="682"/>
      <c r="W551" s="682"/>
      <c r="X551" s="682"/>
      <c r="Y551" s="682"/>
    </row>
    <row r="552" spans="1:25" ht="11.25" customHeight="1">
      <c r="A552" s="682"/>
      <c r="B552" s="682"/>
      <c r="C552" s="682"/>
      <c r="D552" s="683"/>
      <c r="E552" s="682"/>
      <c r="F552" s="682"/>
      <c r="G552" s="682"/>
      <c r="H552" s="682"/>
      <c r="I552" s="682"/>
      <c r="J552" s="682"/>
      <c r="P552" s="682"/>
      <c r="Q552" s="682"/>
      <c r="R552" s="682"/>
      <c r="S552" s="682"/>
      <c r="T552" s="682"/>
      <c r="U552" s="682"/>
      <c r="V552" s="682"/>
      <c r="W552" s="682"/>
      <c r="X552" s="682"/>
      <c r="Y552" s="682"/>
    </row>
    <row r="553" spans="1:25" ht="11.25" customHeight="1">
      <c r="A553" s="682"/>
      <c r="B553" s="682"/>
      <c r="C553" s="682"/>
      <c r="D553" s="683"/>
      <c r="E553" s="682"/>
      <c r="F553" s="682"/>
      <c r="G553" s="682"/>
      <c r="H553" s="682"/>
      <c r="I553" s="682"/>
      <c r="J553" s="682"/>
      <c r="P553" s="682"/>
      <c r="Q553" s="682"/>
      <c r="R553" s="682"/>
      <c r="S553" s="682"/>
      <c r="T553" s="682"/>
      <c r="U553" s="682"/>
      <c r="V553" s="682"/>
      <c r="W553" s="682"/>
      <c r="X553" s="682"/>
      <c r="Y553" s="682"/>
    </row>
    <row r="554" spans="1:25" ht="11.25" customHeight="1">
      <c r="A554" s="682"/>
      <c r="B554" s="682"/>
      <c r="C554" s="682"/>
      <c r="D554" s="683"/>
      <c r="E554" s="682"/>
      <c r="F554" s="682"/>
      <c r="G554" s="682"/>
      <c r="H554" s="682"/>
      <c r="I554" s="682"/>
      <c r="J554" s="682"/>
      <c r="P554" s="682"/>
      <c r="Q554" s="682"/>
      <c r="R554" s="682"/>
      <c r="S554" s="682"/>
      <c r="T554" s="682"/>
      <c r="U554" s="682"/>
      <c r="V554" s="682"/>
      <c r="W554" s="682"/>
      <c r="X554" s="682"/>
      <c r="Y554" s="682"/>
    </row>
    <row r="555" spans="1:25" ht="11.25" customHeight="1">
      <c r="A555" s="682"/>
      <c r="B555" s="682"/>
      <c r="C555" s="682"/>
      <c r="D555" s="683"/>
      <c r="E555" s="682"/>
      <c r="F555" s="682"/>
      <c r="G555" s="682"/>
      <c r="H555" s="682"/>
      <c r="I555" s="682"/>
      <c r="J555" s="682"/>
      <c r="P555" s="682"/>
      <c r="Q555" s="682"/>
      <c r="R555" s="682"/>
      <c r="S555" s="682"/>
      <c r="T555" s="682"/>
      <c r="U555" s="682"/>
      <c r="V555" s="682"/>
      <c r="W555" s="682"/>
      <c r="X555" s="682"/>
      <c r="Y555" s="682"/>
    </row>
    <row r="556" spans="1:25" ht="11.25" customHeight="1">
      <c r="A556" s="682"/>
      <c r="B556" s="682"/>
      <c r="C556" s="682"/>
      <c r="D556" s="683"/>
      <c r="E556" s="682"/>
      <c r="F556" s="682"/>
      <c r="G556" s="682"/>
      <c r="H556" s="682"/>
      <c r="I556" s="682"/>
      <c r="J556" s="682"/>
      <c r="P556" s="682"/>
      <c r="Q556" s="682"/>
      <c r="R556" s="682"/>
      <c r="S556" s="682"/>
      <c r="T556" s="682"/>
      <c r="U556" s="682"/>
      <c r="V556" s="682"/>
      <c r="W556" s="682"/>
      <c r="X556" s="682"/>
      <c r="Y556" s="682"/>
    </row>
    <row r="557" spans="1:25" ht="11.25" customHeight="1">
      <c r="A557" s="682"/>
      <c r="B557" s="682"/>
      <c r="C557" s="682"/>
      <c r="D557" s="683"/>
      <c r="E557" s="682"/>
      <c r="F557" s="682"/>
      <c r="G557" s="682"/>
      <c r="H557" s="682"/>
      <c r="I557" s="682"/>
      <c r="J557" s="682"/>
      <c r="P557" s="682"/>
      <c r="Q557" s="682"/>
      <c r="R557" s="682"/>
      <c r="S557" s="682"/>
      <c r="T557" s="682"/>
      <c r="U557" s="682"/>
      <c r="V557" s="682"/>
      <c r="W557" s="682"/>
      <c r="X557" s="682"/>
      <c r="Y557" s="682"/>
    </row>
    <row r="558" spans="1:25" ht="11.25" customHeight="1">
      <c r="A558" s="682"/>
      <c r="B558" s="682"/>
      <c r="C558" s="682"/>
      <c r="D558" s="683"/>
      <c r="E558" s="682"/>
      <c r="F558" s="682"/>
      <c r="G558" s="682"/>
      <c r="H558" s="682"/>
      <c r="I558" s="682"/>
      <c r="J558" s="682"/>
      <c r="P558" s="682"/>
      <c r="Q558" s="682"/>
      <c r="R558" s="682"/>
      <c r="S558" s="682"/>
      <c r="T558" s="682"/>
      <c r="U558" s="682"/>
      <c r="V558" s="682"/>
      <c r="W558" s="682"/>
      <c r="X558" s="682"/>
      <c r="Y558" s="682"/>
    </row>
    <row r="559" spans="1:25" ht="11.25" customHeight="1">
      <c r="A559" s="682"/>
      <c r="B559" s="682"/>
      <c r="C559" s="682"/>
      <c r="D559" s="683"/>
      <c r="E559" s="682"/>
      <c r="F559" s="682"/>
      <c r="G559" s="682"/>
      <c r="H559" s="682"/>
      <c r="I559" s="682"/>
      <c r="J559" s="682"/>
      <c r="P559" s="682"/>
      <c r="Q559" s="682"/>
      <c r="R559" s="682"/>
      <c r="S559" s="682"/>
      <c r="T559" s="682"/>
      <c r="U559" s="682"/>
      <c r="V559" s="682"/>
      <c r="W559" s="682"/>
      <c r="X559" s="682"/>
      <c r="Y559" s="682"/>
    </row>
    <row r="560" spans="1:25" ht="11.25" customHeight="1">
      <c r="A560" s="682"/>
      <c r="B560" s="682"/>
      <c r="C560" s="682"/>
      <c r="D560" s="683"/>
      <c r="E560" s="682"/>
      <c r="F560" s="682"/>
      <c r="G560" s="682"/>
      <c r="H560" s="682"/>
      <c r="I560" s="682"/>
      <c r="J560" s="682"/>
      <c r="P560" s="682"/>
      <c r="Q560" s="682"/>
      <c r="R560" s="682"/>
      <c r="S560" s="682"/>
      <c r="T560" s="682"/>
      <c r="U560" s="682"/>
      <c r="V560" s="682"/>
      <c r="W560" s="682"/>
      <c r="X560" s="682"/>
      <c r="Y560" s="682"/>
    </row>
    <row r="561" spans="1:25" ht="11.25" customHeight="1">
      <c r="A561" s="682"/>
      <c r="B561" s="682"/>
      <c r="C561" s="682"/>
      <c r="D561" s="683"/>
      <c r="E561" s="682"/>
      <c r="F561" s="682"/>
      <c r="G561" s="682"/>
      <c r="H561" s="682"/>
      <c r="I561" s="682"/>
      <c r="J561" s="682"/>
      <c r="P561" s="682"/>
      <c r="Q561" s="682"/>
      <c r="R561" s="682"/>
      <c r="S561" s="682"/>
      <c r="T561" s="682"/>
      <c r="U561" s="682"/>
      <c r="V561" s="682"/>
      <c r="W561" s="682"/>
      <c r="X561" s="682"/>
      <c r="Y561" s="682"/>
    </row>
    <row r="562" spans="1:25" ht="11.25" customHeight="1">
      <c r="A562" s="682"/>
      <c r="B562" s="682"/>
      <c r="C562" s="682"/>
      <c r="D562" s="683"/>
      <c r="E562" s="682"/>
      <c r="F562" s="682"/>
      <c r="G562" s="682"/>
      <c r="H562" s="682"/>
      <c r="I562" s="682"/>
      <c r="J562" s="682"/>
      <c r="P562" s="682"/>
      <c r="Q562" s="682"/>
      <c r="R562" s="682"/>
      <c r="S562" s="682"/>
      <c r="T562" s="682"/>
      <c r="U562" s="682"/>
      <c r="V562" s="682"/>
      <c r="W562" s="682"/>
      <c r="X562" s="682"/>
      <c r="Y562" s="682"/>
    </row>
    <row r="563" spans="1:25" ht="11.25" customHeight="1">
      <c r="A563" s="682"/>
      <c r="B563" s="682"/>
      <c r="C563" s="682"/>
      <c r="D563" s="683"/>
      <c r="E563" s="682"/>
      <c r="F563" s="682"/>
      <c r="G563" s="682"/>
      <c r="H563" s="682"/>
      <c r="I563" s="682"/>
      <c r="J563" s="682"/>
      <c r="P563" s="682"/>
      <c r="Q563" s="682"/>
      <c r="R563" s="682"/>
      <c r="S563" s="682"/>
      <c r="T563" s="682"/>
      <c r="U563" s="682"/>
      <c r="V563" s="682"/>
      <c r="W563" s="682"/>
      <c r="X563" s="682"/>
      <c r="Y563" s="682"/>
    </row>
    <row r="564" spans="1:25" ht="11.25" customHeight="1">
      <c r="A564" s="682"/>
      <c r="B564" s="682"/>
      <c r="C564" s="682"/>
      <c r="D564" s="683"/>
      <c r="E564" s="682"/>
      <c r="F564" s="682"/>
      <c r="G564" s="682"/>
      <c r="H564" s="682"/>
      <c r="I564" s="682"/>
      <c r="J564" s="682"/>
      <c r="P564" s="682"/>
      <c r="Q564" s="682"/>
      <c r="R564" s="682"/>
      <c r="S564" s="682"/>
      <c r="T564" s="682"/>
      <c r="U564" s="682"/>
      <c r="V564" s="682"/>
      <c r="W564" s="682"/>
      <c r="X564" s="682"/>
      <c r="Y564" s="682"/>
    </row>
    <row r="565" spans="1:25" ht="11.25" customHeight="1">
      <c r="A565" s="682"/>
      <c r="B565" s="682"/>
      <c r="C565" s="682"/>
      <c r="D565" s="683"/>
      <c r="E565" s="682"/>
      <c r="F565" s="682"/>
      <c r="G565" s="682"/>
      <c r="H565" s="682"/>
      <c r="I565" s="682"/>
      <c r="J565" s="682"/>
      <c r="P565" s="682"/>
      <c r="Q565" s="682"/>
      <c r="R565" s="682"/>
      <c r="S565" s="682"/>
      <c r="T565" s="682"/>
      <c r="U565" s="682"/>
      <c r="V565" s="682"/>
      <c r="W565" s="682"/>
      <c r="X565" s="682"/>
      <c r="Y565" s="682"/>
    </row>
    <row r="566" spans="1:25" ht="11.25" customHeight="1">
      <c r="A566" s="682"/>
      <c r="B566" s="682"/>
      <c r="C566" s="682"/>
      <c r="D566" s="683"/>
      <c r="E566" s="682"/>
      <c r="F566" s="682"/>
      <c r="G566" s="682"/>
      <c r="H566" s="682"/>
      <c r="I566" s="682"/>
      <c r="J566" s="682"/>
      <c r="P566" s="682"/>
      <c r="Q566" s="682"/>
      <c r="R566" s="682"/>
      <c r="S566" s="682"/>
      <c r="T566" s="682"/>
      <c r="U566" s="682"/>
      <c r="V566" s="682"/>
      <c r="W566" s="682"/>
      <c r="X566" s="682"/>
      <c r="Y566" s="682"/>
    </row>
    <row r="567" spans="1:25" ht="11.25" customHeight="1">
      <c r="A567" s="682"/>
      <c r="B567" s="682"/>
      <c r="C567" s="682"/>
      <c r="D567" s="683"/>
      <c r="E567" s="682"/>
      <c r="F567" s="682"/>
      <c r="G567" s="682"/>
      <c r="H567" s="682"/>
      <c r="I567" s="682"/>
      <c r="J567" s="682"/>
      <c r="P567" s="682"/>
      <c r="Q567" s="682"/>
      <c r="R567" s="682"/>
      <c r="S567" s="682"/>
      <c r="T567" s="682"/>
      <c r="U567" s="682"/>
      <c r="V567" s="682"/>
      <c r="W567" s="682"/>
      <c r="X567" s="682"/>
      <c r="Y567" s="682"/>
    </row>
    <row r="568" spans="1:25" ht="11.25" customHeight="1">
      <c r="A568" s="682"/>
      <c r="B568" s="682"/>
      <c r="C568" s="682"/>
      <c r="D568" s="683"/>
      <c r="E568" s="682"/>
      <c r="F568" s="682"/>
      <c r="G568" s="682"/>
      <c r="H568" s="682"/>
      <c r="I568" s="682"/>
      <c r="J568" s="682"/>
      <c r="P568" s="682"/>
      <c r="Q568" s="682"/>
      <c r="R568" s="682"/>
      <c r="S568" s="682"/>
      <c r="T568" s="682"/>
      <c r="U568" s="682"/>
      <c r="V568" s="682"/>
      <c r="W568" s="682"/>
      <c r="X568" s="682"/>
      <c r="Y568" s="682"/>
    </row>
    <row r="569" spans="1:25" ht="11.25" customHeight="1">
      <c r="A569" s="682"/>
      <c r="B569" s="682"/>
      <c r="C569" s="682"/>
      <c r="D569" s="683"/>
      <c r="E569" s="682"/>
      <c r="F569" s="682"/>
      <c r="G569" s="682"/>
      <c r="H569" s="682"/>
      <c r="I569" s="682"/>
      <c r="J569" s="682"/>
      <c r="P569" s="682"/>
      <c r="Q569" s="682"/>
      <c r="R569" s="682"/>
      <c r="S569" s="682"/>
      <c r="T569" s="682"/>
      <c r="U569" s="682"/>
      <c r="V569" s="682"/>
      <c r="W569" s="682"/>
      <c r="X569" s="682"/>
      <c r="Y569" s="682"/>
    </row>
    <row r="570" spans="1:25" ht="11.25" customHeight="1">
      <c r="A570" s="682"/>
      <c r="B570" s="682"/>
      <c r="C570" s="682"/>
      <c r="D570" s="683"/>
      <c r="E570" s="682"/>
      <c r="F570" s="682"/>
      <c r="G570" s="682"/>
      <c r="H570" s="682"/>
      <c r="I570" s="682"/>
      <c r="J570" s="682"/>
      <c r="P570" s="682"/>
      <c r="Q570" s="682"/>
      <c r="R570" s="682"/>
      <c r="S570" s="682"/>
      <c r="T570" s="682"/>
      <c r="U570" s="682"/>
      <c r="V570" s="682"/>
      <c r="W570" s="682"/>
      <c r="X570" s="682"/>
      <c r="Y570" s="682"/>
    </row>
    <row r="571" spans="1:25" ht="11.25" customHeight="1">
      <c r="A571" s="682"/>
      <c r="B571" s="682"/>
      <c r="C571" s="682"/>
      <c r="D571" s="683"/>
      <c r="E571" s="682"/>
      <c r="F571" s="682"/>
      <c r="G571" s="682"/>
      <c r="H571" s="682"/>
      <c r="I571" s="682"/>
      <c r="J571" s="682"/>
      <c r="P571" s="682"/>
      <c r="Q571" s="682"/>
      <c r="R571" s="682"/>
      <c r="S571" s="682"/>
      <c r="T571" s="682"/>
      <c r="U571" s="682"/>
      <c r="V571" s="682"/>
      <c r="W571" s="682"/>
      <c r="X571" s="682"/>
      <c r="Y571" s="682"/>
    </row>
    <row r="572" spans="1:25" ht="11.25" customHeight="1">
      <c r="A572" s="682"/>
      <c r="B572" s="682"/>
      <c r="C572" s="682"/>
      <c r="D572" s="683"/>
      <c r="E572" s="682"/>
      <c r="F572" s="682"/>
      <c r="G572" s="682"/>
      <c r="H572" s="682"/>
      <c r="I572" s="682"/>
      <c r="J572" s="682"/>
      <c r="P572" s="682"/>
      <c r="Q572" s="682"/>
      <c r="R572" s="682"/>
      <c r="S572" s="682"/>
      <c r="T572" s="682"/>
      <c r="U572" s="682"/>
      <c r="V572" s="682"/>
      <c r="W572" s="682"/>
      <c r="X572" s="682"/>
      <c r="Y572" s="682"/>
    </row>
    <row r="573" spans="1:25" ht="11.25" customHeight="1">
      <c r="A573" s="682"/>
      <c r="B573" s="682"/>
      <c r="C573" s="682"/>
      <c r="D573" s="683"/>
      <c r="E573" s="682"/>
      <c r="F573" s="682"/>
      <c r="G573" s="682"/>
      <c r="H573" s="682"/>
      <c r="I573" s="682"/>
      <c r="J573" s="682"/>
      <c r="P573" s="682"/>
      <c r="Q573" s="682"/>
      <c r="R573" s="682"/>
      <c r="S573" s="682"/>
      <c r="T573" s="682"/>
      <c r="U573" s="682"/>
      <c r="V573" s="682"/>
      <c r="W573" s="682"/>
      <c r="X573" s="682"/>
      <c r="Y573" s="682"/>
    </row>
    <row r="574" spans="1:25" ht="11.25" customHeight="1">
      <c r="A574" s="682"/>
      <c r="B574" s="682"/>
      <c r="C574" s="682"/>
      <c r="D574" s="683"/>
      <c r="E574" s="682"/>
      <c r="F574" s="682"/>
      <c r="G574" s="682"/>
      <c r="H574" s="682"/>
      <c r="I574" s="682"/>
      <c r="J574" s="682"/>
      <c r="P574" s="682"/>
      <c r="Q574" s="682"/>
      <c r="R574" s="682"/>
      <c r="S574" s="682"/>
      <c r="T574" s="682"/>
      <c r="U574" s="682"/>
      <c r="V574" s="682"/>
      <c r="W574" s="682"/>
      <c r="X574" s="682"/>
      <c r="Y574" s="682"/>
    </row>
    <row r="575" spans="1:25" ht="11.25" customHeight="1">
      <c r="A575" s="682"/>
      <c r="B575" s="682"/>
      <c r="C575" s="682"/>
      <c r="D575" s="683"/>
      <c r="E575" s="682"/>
      <c r="F575" s="682"/>
      <c r="G575" s="682"/>
      <c r="H575" s="682"/>
      <c r="I575" s="682"/>
      <c r="J575" s="682"/>
      <c r="P575" s="682"/>
      <c r="Q575" s="682"/>
      <c r="R575" s="682"/>
      <c r="S575" s="682"/>
      <c r="T575" s="682"/>
      <c r="U575" s="682"/>
      <c r="V575" s="682"/>
      <c r="W575" s="682"/>
      <c r="X575" s="682"/>
      <c r="Y575" s="682"/>
    </row>
    <row r="576" spans="1:25" ht="11.25" customHeight="1">
      <c r="A576" s="682"/>
      <c r="B576" s="682"/>
      <c r="C576" s="682"/>
      <c r="D576" s="683"/>
      <c r="E576" s="682"/>
      <c r="F576" s="682"/>
      <c r="G576" s="682"/>
      <c r="H576" s="682"/>
      <c r="I576" s="682"/>
      <c r="J576" s="682"/>
      <c r="P576" s="682"/>
      <c r="Q576" s="682"/>
      <c r="R576" s="682"/>
      <c r="S576" s="682"/>
      <c r="T576" s="682"/>
      <c r="U576" s="682"/>
      <c r="V576" s="682"/>
      <c r="W576" s="682"/>
      <c r="X576" s="682"/>
      <c r="Y576" s="682"/>
    </row>
    <row r="577" spans="1:25" ht="11.25" customHeight="1">
      <c r="A577" s="682"/>
      <c r="B577" s="682"/>
      <c r="C577" s="682"/>
      <c r="D577" s="683"/>
      <c r="E577" s="682"/>
      <c r="F577" s="682"/>
      <c r="G577" s="682"/>
      <c r="H577" s="682"/>
      <c r="I577" s="682"/>
      <c r="J577" s="682"/>
      <c r="P577" s="682"/>
      <c r="Q577" s="682"/>
      <c r="R577" s="682"/>
      <c r="S577" s="682"/>
      <c r="T577" s="682"/>
      <c r="U577" s="682"/>
      <c r="V577" s="682"/>
      <c r="W577" s="682"/>
      <c r="X577" s="682"/>
      <c r="Y577" s="682"/>
    </row>
    <row r="578" spans="1:25" ht="11.25" customHeight="1">
      <c r="A578" s="682"/>
      <c r="B578" s="682"/>
      <c r="C578" s="682"/>
      <c r="D578" s="683"/>
      <c r="E578" s="682"/>
      <c r="F578" s="682"/>
      <c r="G578" s="682"/>
      <c r="H578" s="682"/>
      <c r="I578" s="682"/>
      <c r="J578" s="682"/>
      <c r="P578" s="682"/>
      <c r="Q578" s="682"/>
      <c r="R578" s="682"/>
      <c r="S578" s="682"/>
      <c r="T578" s="682"/>
      <c r="U578" s="682"/>
      <c r="V578" s="682"/>
      <c r="W578" s="682"/>
      <c r="X578" s="682"/>
      <c r="Y578" s="682"/>
    </row>
    <row r="579" spans="1:25" ht="11.25" customHeight="1">
      <c r="A579" s="682"/>
      <c r="B579" s="682"/>
      <c r="C579" s="682"/>
      <c r="D579" s="683"/>
      <c r="E579" s="682"/>
      <c r="F579" s="682"/>
      <c r="G579" s="682"/>
      <c r="H579" s="682"/>
      <c r="I579" s="682"/>
      <c r="J579" s="682"/>
      <c r="P579" s="682"/>
      <c r="Q579" s="682"/>
      <c r="R579" s="682"/>
      <c r="S579" s="682"/>
      <c r="T579" s="682"/>
      <c r="U579" s="682"/>
      <c r="V579" s="682"/>
      <c r="W579" s="682"/>
      <c r="X579" s="682"/>
      <c r="Y579" s="682"/>
    </row>
    <row r="580" spans="1:25" ht="11.25" customHeight="1">
      <c r="A580" s="682"/>
      <c r="B580" s="682"/>
      <c r="C580" s="682"/>
      <c r="D580" s="683"/>
      <c r="E580" s="682"/>
      <c r="F580" s="682"/>
      <c r="G580" s="682"/>
      <c r="H580" s="682"/>
      <c r="I580" s="682"/>
      <c r="J580" s="682"/>
      <c r="P580" s="682"/>
      <c r="Q580" s="682"/>
      <c r="R580" s="682"/>
      <c r="S580" s="682"/>
      <c r="T580" s="682"/>
      <c r="U580" s="682"/>
      <c r="V580" s="682"/>
      <c r="W580" s="682"/>
      <c r="X580" s="682"/>
      <c r="Y580" s="682"/>
    </row>
    <row r="581" spans="1:25" ht="11.25" customHeight="1">
      <c r="A581" s="682"/>
      <c r="B581" s="682"/>
      <c r="C581" s="682"/>
      <c r="D581" s="683"/>
      <c r="E581" s="682"/>
      <c r="F581" s="682"/>
      <c r="G581" s="682"/>
      <c r="H581" s="682"/>
      <c r="I581" s="682"/>
      <c r="J581" s="682"/>
      <c r="P581" s="682"/>
      <c r="Q581" s="682"/>
      <c r="R581" s="682"/>
      <c r="S581" s="682"/>
      <c r="T581" s="682"/>
      <c r="U581" s="682"/>
      <c r="V581" s="682"/>
      <c r="W581" s="682"/>
      <c r="X581" s="682"/>
      <c r="Y581" s="682"/>
    </row>
    <row r="582" spans="1:25" ht="11.25" customHeight="1">
      <c r="A582" s="682"/>
      <c r="B582" s="682"/>
      <c r="C582" s="682"/>
      <c r="D582" s="683"/>
      <c r="E582" s="682"/>
      <c r="F582" s="682"/>
      <c r="G582" s="682"/>
      <c r="H582" s="682"/>
      <c r="I582" s="682"/>
      <c r="J582" s="682"/>
      <c r="P582" s="682"/>
      <c r="Q582" s="682"/>
      <c r="R582" s="682"/>
      <c r="S582" s="682"/>
      <c r="T582" s="682"/>
      <c r="U582" s="682"/>
      <c r="V582" s="682"/>
      <c r="W582" s="682"/>
      <c r="X582" s="682"/>
      <c r="Y582" s="682"/>
    </row>
    <row r="583" spans="1:25" ht="11.25" customHeight="1">
      <c r="A583" s="682"/>
      <c r="B583" s="682"/>
      <c r="C583" s="682"/>
      <c r="D583" s="683"/>
      <c r="E583" s="682"/>
      <c r="F583" s="682"/>
      <c r="G583" s="682"/>
      <c r="H583" s="682"/>
      <c r="I583" s="682"/>
      <c r="J583" s="682"/>
      <c r="P583" s="682"/>
      <c r="Q583" s="682"/>
      <c r="R583" s="682"/>
      <c r="S583" s="682"/>
      <c r="T583" s="682"/>
      <c r="U583" s="682"/>
      <c r="V583" s="682"/>
      <c r="W583" s="682"/>
      <c r="X583" s="682"/>
      <c r="Y583" s="682"/>
    </row>
    <row r="584" spans="1:25" ht="11.25" customHeight="1">
      <c r="A584" s="682"/>
      <c r="B584" s="682"/>
      <c r="C584" s="682"/>
      <c r="D584" s="683"/>
      <c r="E584" s="682"/>
      <c r="F584" s="682"/>
      <c r="G584" s="682"/>
      <c r="H584" s="682"/>
      <c r="I584" s="682"/>
      <c r="J584" s="682"/>
      <c r="P584" s="682"/>
      <c r="Q584" s="682"/>
      <c r="R584" s="682"/>
      <c r="S584" s="682"/>
      <c r="T584" s="682"/>
      <c r="U584" s="682"/>
      <c r="V584" s="682"/>
      <c r="W584" s="682"/>
      <c r="X584" s="682"/>
      <c r="Y584" s="682"/>
    </row>
    <row r="585" spans="1:25" ht="11.25" customHeight="1">
      <c r="A585" s="682"/>
      <c r="B585" s="682"/>
      <c r="C585" s="682"/>
      <c r="D585" s="683"/>
      <c r="E585" s="682"/>
      <c r="F585" s="682"/>
      <c r="G585" s="682"/>
      <c r="H585" s="682"/>
      <c r="I585" s="682"/>
      <c r="J585" s="682"/>
      <c r="P585" s="682"/>
      <c r="Q585" s="682"/>
      <c r="R585" s="682"/>
      <c r="S585" s="682"/>
      <c r="T585" s="682"/>
      <c r="U585" s="682"/>
      <c r="V585" s="682"/>
      <c r="W585" s="682"/>
      <c r="X585" s="682"/>
      <c r="Y585" s="682"/>
    </row>
    <row r="586" spans="1:25" ht="11.25" customHeight="1">
      <c r="A586" s="682"/>
      <c r="B586" s="682"/>
      <c r="C586" s="682"/>
      <c r="D586" s="683"/>
      <c r="E586" s="682"/>
      <c r="F586" s="682"/>
      <c r="G586" s="682"/>
      <c r="H586" s="682"/>
      <c r="I586" s="682"/>
      <c r="J586" s="682"/>
      <c r="P586" s="682"/>
      <c r="Q586" s="682"/>
      <c r="R586" s="682"/>
      <c r="S586" s="682"/>
      <c r="T586" s="682"/>
      <c r="U586" s="682"/>
      <c r="V586" s="682"/>
      <c r="W586" s="682"/>
      <c r="X586" s="682"/>
      <c r="Y586" s="682"/>
    </row>
    <row r="587" spans="1:25" ht="11.25" customHeight="1">
      <c r="A587" s="682"/>
      <c r="B587" s="682"/>
      <c r="C587" s="682"/>
      <c r="D587" s="683"/>
      <c r="E587" s="682"/>
      <c r="F587" s="682"/>
      <c r="G587" s="682"/>
      <c r="H587" s="682"/>
      <c r="I587" s="682"/>
      <c r="J587" s="682"/>
      <c r="P587" s="682"/>
      <c r="Q587" s="682"/>
      <c r="R587" s="682"/>
      <c r="S587" s="682"/>
      <c r="T587" s="682"/>
      <c r="U587" s="682"/>
      <c r="V587" s="682"/>
      <c r="W587" s="682"/>
      <c r="X587" s="682"/>
      <c r="Y587" s="682"/>
    </row>
    <row r="588" spans="1:25" ht="11.25" customHeight="1">
      <c r="A588" s="682"/>
      <c r="B588" s="682"/>
      <c r="C588" s="682"/>
      <c r="D588" s="683"/>
      <c r="E588" s="682"/>
      <c r="F588" s="682"/>
      <c r="G588" s="682"/>
      <c r="H588" s="682"/>
      <c r="I588" s="682"/>
      <c r="J588" s="682"/>
      <c r="P588" s="682"/>
      <c r="Q588" s="682"/>
      <c r="R588" s="682"/>
      <c r="S588" s="682"/>
      <c r="T588" s="682"/>
      <c r="U588" s="682"/>
      <c r="V588" s="682"/>
      <c r="W588" s="682"/>
      <c r="X588" s="682"/>
      <c r="Y588" s="682"/>
    </row>
    <row r="589" spans="1:25" ht="11.25" customHeight="1">
      <c r="A589" s="682"/>
      <c r="B589" s="682"/>
      <c r="C589" s="682"/>
      <c r="D589" s="683"/>
      <c r="E589" s="682"/>
      <c r="F589" s="682"/>
      <c r="G589" s="682"/>
      <c r="H589" s="682"/>
      <c r="I589" s="682"/>
      <c r="J589" s="682"/>
      <c r="P589" s="682"/>
      <c r="Q589" s="682"/>
      <c r="R589" s="682"/>
      <c r="S589" s="682"/>
      <c r="T589" s="682"/>
      <c r="U589" s="682"/>
      <c r="V589" s="682"/>
      <c r="W589" s="682"/>
      <c r="X589" s="682"/>
      <c r="Y589" s="682"/>
    </row>
    <row r="590" spans="1:25" ht="11.25" customHeight="1">
      <c r="A590" s="682"/>
      <c r="B590" s="682"/>
      <c r="C590" s="682"/>
      <c r="D590" s="683"/>
      <c r="E590" s="682"/>
      <c r="F590" s="682"/>
      <c r="G590" s="682"/>
      <c r="H590" s="682"/>
      <c r="I590" s="682"/>
      <c r="J590" s="682"/>
      <c r="P590" s="682"/>
      <c r="Q590" s="682"/>
      <c r="R590" s="682"/>
      <c r="S590" s="682"/>
      <c r="T590" s="682"/>
      <c r="U590" s="682"/>
      <c r="V590" s="682"/>
      <c r="W590" s="682"/>
      <c r="X590" s="682"/>
      <c r="Y590" s="682"/>
    </row>
    <row r="591" spans="1:25" ht="11.25" customHeight="1">
      <c r="A591" s="682"/>
      <c r="B591" s="682"/>
      <c r="C591" s="682"/>
      <c r="D591" s="683"/>
      <c r="E591" s="682"/>
      <c r="F591" s="682"/>
      <c r="G591" s="682"/>
      <c r="H591" s="682"/>
      <c r="I591" s="682"/>
      <c r="J591" s="682"/>
      <c r="P591" s="682"/>
      <c r="Q591" s="682"/>
      <c r="R591" s="682"/>
      <c r="S591" s="682"/>
      <c r="T591" s="682"/>
      <c r="U591" s="682"/>
      <c r="V591" s="682"/>
      <c r="W591" s="682"/>
      <c r="X591" s="682"/>
      <c r="Y591" s="682"/>
    </row>
    <row r="592" spans="1:25" ht="11.25" customHeight="1">
      <c r="A592" s="682"/>
      <c r="B592" s="682"/>
      <c r="C592" s="682"/>
      <c r="D592" s="683"/>
      <c r="E592" s="682"/>
      <c r="F592" s="682"/>
      <c r="G592" s="682"/>
      <c r="H592" s="682"/>
      <c r="I592" s="682"/>
      <c r="J592" s="682"/>
      <c r="P592" s="682"/>
      <c r="Q592" s="682"/>
      <c r="R592" s="682"/>
      <c r="S592" s="682"/>
      <c r="T592" s="682"/>
      <c r="U592" s="682"/>
      <c r="V592" s="682"/>
      <c r="W592" s="682"/>
      <c r="X592" s="682"/>
      <c r="Y592" s="682"/>
    </row>
    <row r="593" spans="1:25" ht="11.25" customHeight="1">
      <c r="A593" s="682"/>
      <c r="B593" s="682"/>
      <c r="C593" s="682"/>
      <c r="D593" s="683"/>
      <c r="E593" s="682"/>
      <c r="F593" s="682"/>
      <c r="G593" s="682"/>
      <c r="H593" s="682"/>
      <c r="I593" s="682"/>
      <c r="J593" s="682"/>
      <c r="P593" s="682"/>
      <c r="Q593" s="682"/>
      <c r="R593" s="682"/>
      <c r="S593" s="682"/>
      <c r="T593" s="682"/>
      <c r="U593" s="682"/>
      <c r="V593" s="682"/>
      <c r="W593" s="682"/>
      <c r="X593" s="682"/>
      <c r="Y593" s="682"/>
    </row>
    <row r="594" spans="1:25" ht="11.25" customHeight="1">
      <c r="A594" s="682"/>
      <c r="B594" s="682"/>
      <c r="C594" s="682"/>
      <c r="D594" s="683"/>
      <c r="E594" s="682"/>
      <c r="F594" s="682"/>
      <c r="G594" s="682"/>
      <c r="H594" s="682"/>
      <c r="I594" s="682"/>
      <c r="J594" s="682"/>
      <c r="P594" s="682"/>
      <c r="Q594" s="682"/>
      <c r="R594" s="682"/>
      <c r="S594" s="682"/>
      <c r="T594" s="682"/>
      <c r="U594" s="682"/>
      <c r="V594" s="682"/>
      <c r="W594" s="682"/>
      <c r="X594" s="682"/>
      <c r="Y594" s="682"/>
    </row>
    <row r="595" spans="1:25" ht="11.25" customHeight="1">
      <c r="A595" s="682"/>
      <c r="B595" s="682"/>
      <c r="C595" s="682"/>
      <c r="D595" s="683"/>
      <c r="E595" s="682"/>
      <c r="F595" s="682"/>
      <c r="G595" s="682"/>
      <c r="H595" s="682"/>
      <c r="I595" s="682"/>
      <c r="J595" s="682"/>
      <c r="P595" s="682"/>
      <c r="Q595" s="682"/>
      <c r="R595" s="682"/>
      <c r="S595" s="682"/>
      <c r="T595" s="682"/>
      <c r="U595" s="682"/>
      <c r="V595" s="682"/>
      <c r="W595" s="682"/>
      <c r="X595" s="682"/>
      <c r="Y595" s="682"/>
    </row>
    <row r="596" spans="1:25" ht="11.25" customHeight="1">
      <c r="A596" s="682"/>
      <c r="B596" s="682"/>
      <c r="C596" s="682"/>
      <c r="D596" s="683"/>
      <c r="E596" s="682"/>
      <c r="F596" s="682"/>
      <c r="G596" s="682"/>
      <c r="H596" s="682"/>
      <c r="I596" s="682"/>
      <c r="J596" s="682"/>
      <c r="P596" s="682"/>
      <c r="Q596" s="682"/>
      <c r="R596" s="682"/>
      <c r="S596" s="682"/>
      <c r="T596" s="682"/>
      <c r="U596" s="682"/>
      <c r="V596" s="682"/>
      <c r="W596" s="682"/>
      <c r="X596" s="682"/>
      <c r="Y596" s="682"/>
    </row>
    <row r="597" spans="1:25" ht="11.25" customHeight="1">
      <c r="A597" s="682"/>
      <c r="B597" s="682"/>
      <c r="C597" s="682"/>
      <c r="D597" s="683"/>
      <c r="E597" s="682"/>
      <c r="F597" s="682"/>
      <c r="G597" s="682"/>
      <c r="H597" s="682"/>
      <c r="I597" s="682"/>
      <c r="J597" s="682"/>
      <c r="P597" s="682"/>
      <c r="Q597" s="682"/>
      <c r="R597" s="682"/>
      <c r="S597" s="682"/>
      <c r="T597" s="682"/>
      <c r="U597" s="682"/>
      <c r="V597" s="682"/>
      <c r="W597" s="682"/>
      <c r="X597" s="682"/>
      <c r="Y597" s="682"/>
    </row>
    <row r="598" spans="1:25" ht="11.25" customHeight="1">
      <c r="A598" s="682"/>
      <c r="B598" s="682"/>
      <c r="C598" s="682"/>
      <c r="D598" s="683"/>
      <c r="E598" s="682"/>
      <c r="F598" s="682"/>
      <c r="G598" s="682"/>
      <c r="H598" s="682"/>
      <c r="I598" s="682"/>
      <c r="J598" s="682"/>
      <c r="P598" s="682"/>
      <c r="Q598" s="682"/>
      <c r="R598" s="682"/>
      <c r="S598" s="682"/>
      <c r="T598" s="682"/>
      <c r="U598" s="682"/>
      <c r="V598" s="682"/>
      <c r="W598" s="682"/>
      <c r="X598" s="682"/>
      <c r="Y598" s="682"/>
    </row>
    <row r="599" spans="1:25" ht="11.25" customHeight="1">
      <c r="A599" s="682"/>
      <c r="B599" s="682"/>
      <c r="C599" s="682"/>
      <c r="D599" s="683"/>
      <c r="E599" s="682"/>
      <c r="F599" s="682"/>
      <c r="G599" s="682"/>
      <c r="H599" s="682"/>
      <c r="I599" s="682"/>
      <c r="J599" s="682"/>
      <c r="P599" s="682"/>
      <c r="Q599" s="682"/>
      <c r="R599" s="682"/>
      <c r="S599" s="682"/>
      <c r="T599" s="682"/>
      <c r="U599" s="682"/>
      <c r="V599" s="682"/>
      <c r="W599" s="682"/>
      <c r="X599" s="682"/>
      <c r="Y599" s="682"/>
    </row>
    <row r="600" spans="1:25" ht="11.25" customHeight="1">
      <c r="A600" s="682"/>
      <c r="B600" s="682"/>
      <c r="C600" s="682"/>
      <c r="D600" s="683"/>
      <c r="E600" s="682"/>
      <c r="F600" s="682"/>
      <c r="G600" s="682"/>
      <c r="H600" s="682"/>
      <c r="I600" s="682"/>
      <c r="J600" s="682"/>
      <c r="P600" s="682"/>
      <c r="Q600" s="682"/>
      <c r="R600" s="682"/>
      <c r="S600" s="682"/>
      <c r="T600" s="682"/>
      <c r="U600" s="682"/>
      <c r="V600" s="682"/>
      <c r="W600" s="682"/>
      <c r="X600" s="682"/>
      <c r="Y600" s="682"/>
    </row>
    <row r="601" spans="1:25" ht="11.25" customHeight="1">
      <c r="A601" s="682"/>
      <c r="B601" s="682"/>
      <c r="C601" s="682"/>
      <c r="D601" s="683"/>
      <c r="E601" s="682"/>
      <c r="F601" s="682"/>
      <c r="G601" s="682"/>
      <c r="H601" s="682"/>
      <c r="I601" s="682"/>
      <c r="J601" s="682"/>
      <c r="P601" s="682"/>
      <c r="Q601" s="682"/>
      <c r="R601" s="682"/>
      <c r="S601" s="682"/>
      <c r="T601" s="682"/>
      <c r="U601" s="682"/>
      <c r="V601" s="682"/>
      <c r="W601" s="682"/>
      <c r="X601" s="682"/>
      <c r="Y601" s="682"/>
    </row>
    <row r="602" spans="1:25" ht="11.25" customHeight="1">
      <c r="A602" s="682"/>
      <c r="B602" s="682"/>
      <c r="C602" s="682"/>
      <c r="D602" s="683"/>
      <c r="E602" s="682"/>
      <c r="F602" s="682"/>
      <c r="G602" s="682"/>
      <c r="H602" s="682"/>
      <c r="I602" s="682"/>
      <c r="J602" s="682"/>
      <c r="P602" s="682"/>
      <c r="Q602" s="682"/>
      <c r="R602" s="682"/>
      <c r="S602" s="682"/>
      <c r="T602" s="682"/>
      <c r="U602" s="682"/>
      <c r="V602" s="682"/>
      <c r="W602" s="682"/>
      <c r="X602" s="682"/>
      <c r="Y602" s="682"/>
    </row>
    <row r="603" spans="1:25" ht="11.25" customHeight="1">
      <c r="A603" s="682"/>
      <c r="B603" s="682"/>
      <c r="C603" s="682"/>
      <c r="D603" s="683"/>
      <c r="E603" s="682"/>
      <c r="F603" s="682"/>
      <c r="G603" s="682"/>
      <c r="H603" s="682"/>
      <c r="I603" s="682"/>
      <c r="J603" s="682"/>
      <c r="P603" s="682"/>
      <c r="Q603" s="682"/>
      <c r="R603" s="682"/>
      <c r="S603" s="682"/>
      <c r="T603" s="682"/>
      <c r="U603" s="682"/>
      <c r="V603" s="682"/>
      <c r="W603" s="682"/>
      <c r="X603" s="682"/>
      <c r="Y603" s="682"/>
    </row>
    <row r="604" spans="1:25" ht="11.25" customHeight="1">
      <c r="A604" s="682"/>
      <c r="B604" s="682"/>
      <c r="C604" s="682"/>
      <c r="D604" s="683"/>
      <c r="E604" s="682"/>
      <c r="F604" s="682"/>
      <c r="G604" s="682"/>
      <c r="H604" s="682"/>
      <c r="I604" s="682"/>
      <c r="J604" s="682"/>
      <c r="P604" s="682"/>
      <c r="Q604" s="682"/>
      <c r="R604" s="682"/>
      <c r="S604" s="682"/>
      <c r="T604" s="682"/>
      <c r="U604" s="682"/>
      <c r="V604" s="682"/>
      <c r="W604" s="682"/>
      <c r="X604" s="682"/>
      <c r="Y604" s="682"/>
    </row>
    <row r="605" spans="1:25" ht="11.25" customHeight="1">
      <c r="A605" s="682"/>
      <c r="B605" s="682"/>
      <c r="C605" s="682"/>
      <c r="D605" s="683"/>
      <c r="E605" s="682"/>
      <c r="F605" s="682"/>
      <c r="G605" s="682"/>
      <c r="H605" s="682"/>
      <c r="I605" s="682"/>
      <c r="J605" s="682"/>
      <c r="P605" s="682"/>
      <c r="Q605" s="682"/>
      <c r="R605" s="682"/>
      <c r="S605" s="682"/>
      <c r="T605" s="682"/>
      <c r="U605" s="682"/>
      <c r="V605" s="682"/>
      <c r="W605" s="682"/>
      <c r="X605" s="682"/>
      <c r="Y605" s="682"/>
    </row>
    <row r="606" spans="1:25" ht="11.25" customHeight="1">
      <c r="A606" s="682"/>
      <c r="B606" s="682"/>
      <c r="C606" s="682"/>
      <c r="D606" s="683"/>
      <c r="E606" s="682"/>
      <c r="F606" s="682"/>
      <c r="G606" s="682"/>
      <c r="H606" s="682"/>
      <c r="I606" s="682"/>
      <c r="J606" s="682"/>
      <c r="P606" s="682"/>
      <c r="Q606" s="682"/>
      <c r="R606" s="682"/>
      <c r="S606" s="682"/>
      <c r="T606" s="682"/>
      <c r="U606" s="682"/>
      <c r="V606" s="682"/>
      <c r="W606" s="682"/>
      <c r="X606" s="682"/>
      <c r="Y606" s="682"/>
    </row>
    <row r="607" spans="1:25" ht="11.25" customHeight="1">
      <c r="A607" s="682"/>
      <c r="B607" s="682"/>
      <c r="C607" s="682"/>
      <c r="D607" s="683"/>
      <c r="E607" s="682"/>
      <c r="F607" s="682"/>
      <c r="G607" s="682"/>
      <c r="H607" s="682"/>
      <c r="I607" s="682"/>
      <c r="J607" s="682"/>
      <c r="P607" s="682"/>
      <c r="Q607" s="682"/>
      <c r="R607" s="682"/>
      <c r="S607" s="682"/>
      <c r="T607" s="682"/>
      <c r="U607" s="682"/>
      <c r="V607" s="682"/>
      <c r="W607" s="682"/>
      <c r="X607" s="682"/>
      <c r="Y607" s="682"/>
    </row>
    <row r="608" spans="1:25" ht="11.25" customHeight="1">
      <c r="A608" s="682"/>
      <c r="B608" s="682"/>
      <c r="C608" s="682"/>
      <c r="D608" s="683"/>
      <c r="E608" s="682"/>
      <c r="F608" s="682"/>
      <c r="G608" s="682"/>
      <c r="H608" s="682"/>
      <c r="I608" s="682"/>
      <c r="J608" s="682"/>
      <c r="P608" s="682"/>
      <c r="Q608" s="682"/>
      <c r="R608" s="682"/>
      <c r="S608" s="682"/>
      <c r="T608" s="682"/>
      <c r="U608" s="682"/>
      <c r="V608" s="682"/>
      <c r="W608" s="682"/>
      <c r="X608" s="682"/>
      <c r="Y608" s="682"/>
    </row>
    <row r="609" spans="1:25" ht="11.25" customHeight="1">
      <c r="A609" s="682"/>
      <c r="B609" s="682"/>
      <c r="C609" s="682"/>
      <c r="D609" s="683"/>
      <c r="E609" s="682"/>
      <c r="F609" s="682"/>
      <c r="G609" s="682"/>
      <c r="H609" s="682"/>
      <c r="I609" s="682"/>
      <c r="J609" s="682"/>
      <c r="P609" s="682"/>
      <c r="Q609" s="682"/>
      <c r="R609" s="682"/>
      <c r="S609" s="682"/>
      <c r="T609" s="682"/>
      <c r="U609" s="682"/>
      <c r="V609" s="682"/>
      <c r="W609" s="682"/>
      <c r="X609" s="682"/>
      <c r="Y609" s="682"/>
    </row>
    <row r="610" spans="1:25" ht="11.25" customHeight="1">
      <c r="A610" s="682"/>
      <c r="B610" s="682"/>
      <c r="C610" s="682"/>
      <c r="D610" s="683"/>
      <c r="E610" s="682"/>
      <c r="F610" s="682"/>
      <c r="G610" s="682"/>
      <c r="H610" s="682"/>
      <c r="I610" s="682"/>
      <c r="J610" s="682"/>
      <c r="P610" s="682"/>
      <c r="Q610" s="682"/>
      <c r="R610" s="682"/>
      <c r="S610" s="682"/>
      <c r="T610" s="682"/>
      <c r="U610" s="682"/>
      <c r="V610" s="682"/>
      <c r="W610" s="682"/>
      <c r="X610" s="682"/>
      <c r="Y610" s="682"/>
    </row>
    <row r="611" spans="1:25" ht="11.25" customHeight="1">
      <c r="A611" s="682"/>
      <c r="B611" s="682"/>
      <c r="C611" s="682"/>
      <c r="D611" s="683"/>
      <c r="E611" s="682"/>
      <c r="F611" s="682"/>
      <c r="G611" s="682"/>
      <c r="H611" s="682"/>
      <c r="I611" s="682"/>
      <c r="J611" s="682"/>
      <c r="P611" s="682"/>
      <c r="Q611" s="682"/>
      <c r="R611" s="682"/>
      <c r="S611" s="682"/>
      <c r="T611" s="682"/>
      <c r="U611" s="682"/>
      <c r="V611" s="682"/>
      <c r="W611" s="682"/>
      <c r="X611" s="682"/>
      <c r="Y611" s="682"/>
    </row>
    <row r="612" spans="1:25" ht="11.25" customHeight="1">
      <c r="A612" s="682"/>
      <c r="B612" s="682"/>
      <c r="C612" s="682"/>
      <c r="D612" s="683"/>
      <c r="E612" s="682"/>
      <c r="F612" s="682"/>
      <c r="G612" s="682"/>
      <c r="H612" s="682"/>
      <c r="I612" s="682"/>
      <c r="J612" s="682"/>
      <c r="P612" s="682"/>
      <c r="Q612" s="682"/>
      <c r="R612" s="682"/>
      <c r="S612" s="682"/>
      <c r="T612" s="682"/>
      <c r="U612" s="682"/>
      <c r="V612" s="682"/>
      <c r="W612" s="682"/>
      <c r="X612" s="682"/>
      <c r="Y612" s="682"/>
    </row>
    <row r="613" spans="1:25" ht="11.25" customHeight="1">
      <c r="A613" s="682"/>
      <c r="B613" s="682"/>
      <c r="C613" s="682"/>
      <c r="D613" s="683"/>
      <c r="E613" s="682"/>
      <c r="F613" s="682"/>
      <c r="G613" s="682"/>
      <c r="H613" s="682"/>
      <c r="I613" s="682"/>
      <c r="J613" s="682"/>
      <c r="P613" s="682"/>
      <c r="Q613" s="682"/>
      <c r="R613" s="682"/>
      <c r="S613" s="682"/>
      <c r="T613" s="682"/>
      <c r="U613" s="682"/>
      <c r="V613" s="682"/>
      <c r="W613" s="682"/>
      <c r="X613" s="682"/>
      <c r="Y613" s="682"/>
    </row>
    <row r="614" spans="1:25" ht="11.25" customHeight="1">
      <c r="A614" s="682"/>
      <c r="B614" s="682"/>
      <c r="C614" s="682"/>
      <c r="D614" s="683"/>
      <c r="E614" s="682"/>
      <c r="F614" s="682"/>
      <c r="G614" s="682"/>
      <c r="H614" s="682"/>
      <c r="I614" s="682"/>
      <c r="J614" s="682"/>
      <c r="P614" s="682"/>
      <c r="Q614" s="682"/>
      <c r="R614" s="682"/>
      <c r="S614" s="682"/>
      <c r="T614" s="682"/>
      <c r="U614" s="682"/>
      <c r="V614" s="682"/>
      <c r="W614" s="682"/>
      <c r="X614" s="682"/>
      <c r="Y614" s="682"/>
    </row>
    <row r="615" spans="1:25" ht="11.25" customHeight="1">
      <c r="A615" s="682"/>
      <c r="B615" s="682"/>
      <c r="C615" s="682"/>
      <c r="D615" s="683"/>
      <c r="E615" s="682"/>
      <c r="F615" s="682"/>
      <c r="G615" s="682"/>
      <c r="H615" s="682"/>
      <c r="I615" s="682"/>
      <c r="J615" s="682"/>
      <c r="P615" s="682"/>
      <c r="Q615" s="682"/>
      <c r="R615" s="682"/>
      <c r="S615" s="682"/>
      <c r="T615" s="682"/>
      <c r="U615" s="682"/>
      <c r="V615" s="682"/>
      <c r="W615" s="682"/>
      <c r="X615" s="682"/>
      <c r="Y615" s="682"/>
    </row>
    <row r="616" spans="1:25" ht="11.25" customHeight="1">
      <c r="A616" s="682"/>
      <c r="B616" s="682"/>
      <c r="C616" s="682"/>
      <c r="D616" s="683"/>
      <c r="E616" s="682"/>
      <c r="F616" s="682"/>
      <c r="G616" s="682"/>
      <c r="H616" s="682"/>
      <c r="I616" s="682"/>
      <c r="J616" s="682"/>
      <c r="P616" s="682"/>
      <c r="Q616" s="682"/>
      <c r="R616" s="682"/>
      <c r="S616" s="682"/>
      <c r="T616" s="682"/>
      <c r="U616" s="682"/>
      <c r="V616" s="682"/>
      <c r="W616" s="682"/>
      <c r="X616" s="682"/>
      <c r="Y616" s="682"/>
    </row>
    <row r="617" spans="1:25" ht="11.25" customHeight="1">
      <c r="A617" s="682"/>
      <c r="B617" s="682"/>
      <c r="C617" s="682"/>
      <c r="D617" s="683"/>
      <c r="E617" s="682"/>
      <c r="F617" s="682"/>
      <c r="G617" s="682"/>
      <c r="H617" s="682"/>
      <c r="I617" s="682"/>
      <c r="J617" s="682"/>
      <c r="P617" s="682"/>
      <c r="Q617" s="682"/>
      <c r="R617" s="682"/>
      <c r="S617" s="682"/>
      <c r="T617" s="682"/>
      <c r="U617" s="682"/>
      <c r="V617" s="682"/>
      <c r="W617" s="682"/>
      <c r="X617" s="682"/>
      <c r="Y617" s="682"/>
    </row>
    <row r="618" spans="1:25" ht="11.25" customHeight="1">
      <c r="A618" s="682"/>
      <c r="B618" s="682"/>
      <c r="C618" s="682"/>
      <c r="D618" s="683"/>
      <c r="E618" s="682"/>
      <c r="F618" s="682"/>
      <c r="G618" s="682"/>
      <c r="H618" s="682"/>
      <c r="I618" s="682"/>
      <c r="J618" s="682"/>
      <c r="P618" s="682"/>
      <c r="Q618" s="682"/>
      <c r="R618" s="682"/>
      <c r="S618" s="682"/>
      <c r="T618" s="682"/>
      <c r="U618" s="682"/>
      <c r="V618" s="682"/>
      <c r="W618" s="682"/>
      <c r="X618" s="682"/>
      <c r="Y618" s="682"/>
    </row>
    <row r="619" spans="1:25" ht="11.25" customHeight="1">
      <c r="A619" s="682"/>
      <c r="B619" s="682"/>
      <c r="C619" s="682"/>
      <c r="D619" s="683"/>
      <c r="E619" s="682"/>
      <c r="F619" s="682"/>
      <c r="G619" s="682"/>
      <c r="H619" s="682"/>
      <c r="I619" s="682"/>
      <c r="J619" s="682"/>
      <c r="P619" s="682"/>
      <c r="Q619" s="682"/>
      <c r="R619" s="682"/>
      <c r="S619" s="682"/>
      <c r="T619" s="682"/>
      <c r="U619" s="682"/>
      <c r="V619" s="682"/>
      <c r="W619" s="682"/>
      <c r="X619" s="682"/>
      <c r="Y619" s="682"/>
    </row>
    <row r="620" spans="1:25" ht="11.25" customHeight="1">
      <c r="A620" s="682"/>
      <c r="B620" s="682"/>
      <c r="C620" s="682"/>
      <c r="D620" s="683"/>
      <c r="E620" s="682"/>
      <c r="F620" s="682"/>
      <c r="G620" s="682"/>
      <c r="H620" s="682"/>
      <c r="I620" s="682"/>
      <c r="J620" s="682"/>
      <c r="P620" s="682"/>
      <c r="Q620" s="682"/>
      <c r="R620" s="682"/>
      <c r="S620" s="682"/>
      <c r="T620" s="682"/>
      <c r="U620" s="682"/>
      <c r="V620" s="682"/>
      <c r="W620" s="682"/>
      <c r="X620" s="682"/>
      <c r="Y620" s="682"/>
    </row>
    <row r="621" spans="1:25" ht="11.25" customHeight="1">
      <c r="A621" s="682"/>
      <c r="B621" s="682"/>
      <c r="C621" s="682"/>
      <c r="D621" s="683"/>
      <c r="E621" s="682"/>
      <c r="F621" s="682"/>
      <c r="G621" s="682"/>
      <c r="H621" s="682"/>
      <c r="I621" s="682"/>
      <c r="J621" s="682"/>
      <c r="P621" s="682"/>
      <c r="Q621" s="682"/>
      <c r="R621" s="682"/>
      <c r="S621" s="682"/>
      <c r="T621" s="682"/>
      <c r="U621" s="682"/>
      <c r="V621" s="682"/>
      <c r="W621" s="682"/>
      <c r="X621" s="682"/>
      <c r="Y621" s="682"/>
    </row>
    <row r="622" spans="1:25" ht="11.25" customHeight="1">
      <c r="A622" s="682"/>
      <c r="B622" s="682"/>
      <c r="C622" s="682"/>
      <c r="D622" s="683"/>
      <c r="E622" s="682"/>
      <c r="F622" s="682"/>
      <c r="G622" s="682"/>
      <c r="H622" s="682"/>
      <c r="I622" s="682"/>
      <c r="J622" s="682"/>
      <c r="P622" s="682"/>
      <c r="Q622" s="682"/>
      <c r="R622" s="682"/>
      <c r="S622" s="682"/>
      <c r="T622" s="682"/>
      <c r="U622" s="682"/>
      <c r="V622" s="682"/>
      <c r="W622" s="682"/>
      <c r="X622" s="682"/>
      <c r="Y622" s="682"/>
    </row>
    <row r="623" spans="1:25" ht="11.25" customHeight="1">
      <c r="A623" s="682"/>
      <c r="B623" s="682"/>
      <c r="C623" s="682"/>
      <c r="D623" s="683"/>
      <c r="E623" s="682"/>
      <c r="F623" s="682"/>
      <c r="G623" s="682"/>
      <c r="H623" s="682"/>
      <c r="I623" s="682"/>
      <c r="J623" s="682"/>
      <c r="P623" s="682"/>
      <c r="Q623" s="682"/>
      <c r="R623" s="682"/>
      <c r="S623" s="682"/>
      <c r="T623" s="682"/>
      <c r="U623" s="682"/>
      <c r="V623" s="682"/>
      <c r="W623" s="682"/>
      <c r="X623" s="682"/>
      <c r="Y623" s="682"/>
    </row>
    <row r="624" spans="1:25" ht="11.25" customHeight="1">
      <c r="A624" s="682"/>
      <c r="B624" s="682"/>
      <c r="C624" s="682"/>
      <c r="D624" s="683"/>
      <c r="E624" s="682"/>
      <c r="F624" s="682"/>
      <c r="G624" s="682"/>
      <c r="H624" s="682"/>
      <c r="I624" s="682"/>
      <c r="J624" s="682"/>
      <c r="P624" s="682"/>
      <c r="Q624" s="682"/>
      <c r="R624" s="682"/>
      <c r="S624" s="682"/>
      <c r="T624" s="682"/>
      <c r="U624" s="682"/>
      <c r="V624" s="682"/>
      <c r="W624" s="682"/>
      <c r="X624" s="682"/>
      <c r="Y624" s="682"/>
    </row>
    <row r="625" spans="1:25" ht="11.25" customHeight="1">
      <c r="A625" s="682"/>
      <c r="B625" s="682"/>
      <c r="C625" s="682"/>
      <c r="D625" s="683"/>
      <c r="E625" s="682"/>
      <c r="F625" s="682"/>
      <c r="G625" s="682"/>
      <c r="H625" s="682"/>
      <c r="I625" s="682"/>
      <c r="J625" s="682"/>
      <c r="P625" s="682"/>
      <c r="Q625" s="682"/>
      <c r="R625" s="682"/>
      <c r="S625" s="682"/>
      <c r="T625" s="682"/>
      <c r="U625" s="682"/>
      <c r="V625" s="682"/>
      <c r="W625" s="682"/>
      <c r="X625" s="682"/>
      <c r="Y625" s="682"/>
    </row>
    <row r="626" spans="1:25" ht="11.25" customHeight="1">
      <c r="A626" s="682"/>
      <c r="B626" s="682"/>
      <c r="C626" s="682"/>
      <c r="D626" s="683"/>
      <c r="E626" s="682"/>
      <c r="F626" s="682"/>
      <c r="G626" s="682"/>
      <c r="H626" s="682"/>
      <c r="I626" s="682"/>
      <c r="J626" s="682"/>
      <c r="P626" s="682"/>
      <c r="Q626" s="682"/>
      <c r="R626" s="682"/>
      <c r="S626" s="682"/>
      <c r="T626" s="682"/>
      <c r="U626" s="682"/>
      <c r="V626" s="682"/>
      <c r="W626" s="682"/>
      <c r="X626" s="682"/>
      <c r="Y626" s="682"/>
    </row>
    <row r="627" spans="1:25" ht="11.25" customHeight="1">
      <c r="A627" s="682"/>
      <c r="B627" s="682"/>
      <c r="C627" s="682"/>
      <c r="D627" s="683"/>
      <c r="E627" s="682"/>
      <c r="F627" s="682"/>
      <c r="G627" s="682"/>
      <c r="H627" s="682"/>
      <c r="I627" s="682"/>
      <c r="J627" s="682"/>
      <c r="P627" s="682"/>
      <c r="Q627" s="682"/>
      <c r="R627" s="682"/>
      <c r="S627" s="682"/>
      <c r="T627" s="682"/>
      <c r="U627" s="682"/>
      <c r="V627" s="682"/>
      <c r="W627" s="682"/>
      <c r="X627" s="682"/>
      <c r="Y627" s="682"/>
    </row>
    <row r="628" spans="1:25" ht="11.25" customHeight="1">
      <c r="A628" s="682"/>
      <c r="B628" s="682"/>
      <c r="C628" s="682"/>
      <c r="D628" s="683"/>
      <c r="E628" s="682"/>
      <c r="F628" s="682"/>
      <c r="G628" s="682"/>
      <c r="H628" s="682"/>
      <c r="I628" s="682"/>
      <c r="J628" s="682"/>
      <c r="P628" s="682"/>
      <c r="Q628" s="682"/>
      <c r="R628" s="682"/>
      <c r="S628" s="682"/>
      <c r="T628" s="682"/>
      <c r="U628" s="682"/>
      <c r="V628" s="682"/>
      <c r="W628" s="682"/>
      <c r="X628" s="682"/>
      <c r="Y628" s="682"/>
    </row>
    <row r="629" spans="1:25" ht="11.25" customHeight="1">
      <c r="A629" s="682"/>
      <c r="B629" s="682"/>
      <c r="C629" s="682"/>
      <c r="D629" s="683"/>
      <c r="E629" s="682"/>
      <c r="F629" s="682"/>
      <c r="G629" s="682"/>
      <c r="H629" s="682"/>
      <c r="I629" s="682"/>
      <c r="J629" s="682"/>
      <c r="P629" s="682"/>
      <c r="Q629" s="682"/>
      <c r="R629" s="682"/>
      <c r="S629" s="682"/>
      <c r="T629" s="682"/>
      <c r="U629" s="682"/>
      <c r="V629" s="682"/>
      <c r="W629" s="682"/>
      <c r="X629" s="682"/>
      <c r="Y629" s="682"/>
    </row>
    <row r="630" spans="1:25" ht="11.25" customHeight="1">
      <c r="A630" s="682"/>
      <c r="B630" s="682"/>
      <c r="C630" s="682"/>
      <c r="D630" s="683"/>
      <c r="E630" s="682"/>
      <c r="F630" s="682"/>
      <c r="G630" s="682"/>
      <c r="H630" s="682"/>
      <c r="I630" s="682"/>
      <c r="J630" s="682"/>
      <c r="P630" s="682"/>
      <c r="Q630" s="682"/>
      <c r="R630" s="682"/>
      <c r="S630" s="682"/>
      <c r="T630" s="682"/>
      <c r="U630" s="682"/>
      <c r="V630" s="682"/>
      <c r="W630" s="682"/>
      <c r="X630" s="682"/>
      <c r="Y630" s="682"/>
    </row>
    <row r="631" spans="1:25" ht="11.25" customHeight="1">
      <c r="A631" s="682"/>
      <c r="B631" s="682"/>
      <c r="C631" s="682"/>
      <c r="D631" s="683"/>
      <c r="E631" s="682"/>
      <c r="F631" s="682"/>
      <c r="G631" s="682"/>
      <c r="H631" s="682"/>
      <c r="I631" s="682"/>
      <c r="J631" s="682"/>
      <c r="P631" s="682"/>
      <c r="Q631" s="682"/>
      <c r="R631" s="682"/>
      <c r="S631" s="682"/>
      <c r="T631" s="682"/>
      <c r="U631" s="682"/>
      <c r="V631" s="682"/>
      <c r="W631" s="682"/>
      <c r="X631" s="682"/>
      <c r="Y631" s="682"/>
    </row>
    <row r="632" spans="1:25" ht="11.25" customHeight="1">
      <c r="A632" s="682"/>
      <c r="B632" s="682"/>
      <c r="C632" s="682"/>
      <c r="D632" s="683"/>
      <c r="E632" s="682"/>
      <c r="F632" s="682"/>
      <c r="G632" s="682"/>
      <c r="H632" s="682"/>
      <c r="I632" s="682"/>
      <c r="J632" s="682"/>
      <c r="P632" s="682"/>
      <c r="Q632" s="682"/>
      <c r="R632" s="682"/>
      <c r="S632" s="682"/>
      <c r="T632" s="682"/>
      <c r="U632" s="682"/>
      <c r="V632" s="682"/>
      <c r="W632" s="682"/>
      <c r="X632" s="682"/>
      <c r="Y632" s="682"/>
    </row>
    <row r="633" spans="1:25" ht="11.25" customHeight="1">
      <c r="A633" s="682"/>
      <c r="B633" s="682"/>
      <c r="C633" s="682"/>
      <c r="D633" s="683"/>
      <c r="E633" s="682"/>
      <c r="F633" s="682"/>
      <c r="G633" s="682"/>
      <c r="H633" s="682"/>
      <c r="I633" s="682"/>
      <c r="J633" s="682"/>
      <c r="P633" s="682"/>
      <c r="Q633" s="682"/>
      <c r="R633" s="682"/>
      <c r="S633" s="682"/>
      <c r="T633" s="682"/>
      <c r="U633" s="682"/>
      <c r="V633" s="682"/>
      <c r="W633" s="682"/>
      <c r="X633" s="682"/>
      <c r="Y633" s="682"/>
    </row>
    <row r="634" spans="1:25" ht="11.25" customHeight="1">
      <c r="A634" s="682"/>
      <c r="B634" s="682"/>
      <c r="C634" s="682"/>
      <c r="D634" s="683"/>
      <c r="E634" s="682"/>
      <c r="F634" s="682"/>
      <c r="G634" s="682"/>
      <c r="H634" s="682"/>
      <c r="I634" s="682"/>
      <c r="J634" s="682"/>
      <c r="P634" s="682"/>
      <c r="Q634" s="682"/>
      <c r="R634" s="682"/>
      <c r="S634" s="682"/>
      <c r="T634" s="682"/>
      <c r="U634" s="682"/>
      <c r="V634" s="682"/>
      <c r="W634" s="682"/>
      <c r="X634" s="682"/>
      <c r="Y634" s="682"/>
    </row>
    <row r="635" spans="1:25" ht="11.25" customHeight="1">
      <c r="A635" s="682"/>
      <c r="B635" s="682"/>
      <c r="C635" s="682"/>
      <c r="D635" s="683"/>
      <c r="E635" s="682"/>
      <c r="F635" s="682"/>
      <c r="G635" s="682"/>
      <c r="H635" s="682"/>
      <c r="I635" s="682"/>
      <c r="J635" s="682"/>
      <c r="P635" s="682"/>
      <c r="Q635" s="682"/>
      <c r="R635" s="682"/>
      <c r="S635" s="682"/>
      <c r="T635" s="682"/>
      <c r="U635" s="682"/>
      <c r="V635" s="682"/>
      <c r="W635" s="682"/>
      <c r="X635" s="682"/>
      <c r="Y635" s="682"/>
    </row>
    <row r="636" spans="1:25" ht="11.25" customHeight="1">
      <c r="A636" s="682"/>
      <c r="B636" s="682"/>
      <c r="C636" s="682"/>
      <c r="D636" s="683"/>
      <c r="E636" s="682"/>
      <c r="F636" s="682"/>
      <c r="G636" s="682"/>
      <c r="H636" s="682"/>
      <c r="I636" s="682"/>
      <c r="J636" s="682"/>
      <c r="P636" s="682"/>
      <c r="Q636" s="682"/>
      <c r="R636" s="682"/>
      <c r="S636" s="682"/>
      <c r="T636" s="682"/>
      <c r="U636" s="682"/>
      <c r="V636" s="682"/>
      <c r="W636" s="682"/>
      <c r="X636" s="682"/>
      <c r="Y636" s="682"/>
    </row>
    <row r="637" spans="1:25" ht="11.25" customHeight="1">
      <c r="A637" s="682"/>
      <c r="B637" s="682"/>
      <c r="C637" s="682"/>
      <c r="D637" s="683"/>
      <c r="E637" s="682"/>
      <c r="F637" s="682"/>
      <c r="G637" s="682"/>
      <c r="H637" s="682"/>
      <c r="I637" s="682"/>
      <c r="J637" s="682"/>
      <c r="P637" s="682"/>
      <c r="Q637" s="682"/>
      <c r="R637" s="682"/>
      <c r="S637" s="682"/>
      <c r="T637" s="682"/>
      <c r="U637" s="682"/>
      <c r="V637" s="682"/>
      <c r="W637" s="682"/>
      <c r="X637" s="682"/>
      <c r="Y637" s="682"/>
    </row>
    <row r="638" spans="1:25" ht="11.25" customHeight="1">
      <c r="A638" s="682"/>
      <c r="B638" s="682"/>
      <c r="C638" s="682"/>
      <c r="D638" s="683"/>
      <c r="E638" s="682"/>
      <c r="F638" s="682"/>
      <c r="G638" s="682"/>
      <c r="H638" s="682"/>
      <c r="I638" s="682"/>
      <c r="J638" s="682"/>
      <c r="P638" s="682"/>
      <c r="Q638" s="682"/>
      <c r="R638" s="682"/>
      <c r="S638" s="682"/>
      <c r="T638" s="682"/>
      <c r="U638" s="682"/>
      <c r="V638" s="682"/>
      <c r="W638" s="682"/>
      <c r="X638" s="682"/>
      <c r="Y638" s="682"/>
    </row>
    <row r="639" spans="1:25" ht="11.25" customHeight="1">
      <c r="A639" s="682"/>
      <c r="B639" s="682"/>
      <c r="C639" s="682"/>
      <c r="D639" s="683"/>
      <c r="E639" s="682"/>
      <c r="F639" s="682"/>
      <c r="G639" s="682"/>
      <c r="H639" s="682"/>
      <c r="I639" s="682"/>
      <c r="J639" s="682"/>
      <c r="P639" s="682"/>
      <c r="Q639" s="682"/>
      <c r="R639" s="682"/>
      <c r="S639" s="682"/>
      <c r="T639" s="682"/>
      <c r="U639" s="682"/>
      <c r="V639" s="682"/>
      <c r="W639" s="682"/>
      <c r="X639" s="682"/>
      <c r="Y639" s="682"/>
    </row>
    <row r="640" spans="1:25" ht="11.25" customHeight="1">
      <c r="A640" s="682"/>
      <c r="B640" s="682"/>
      <c r="C640" s="682"/>
      <c r="D640" s="683"/>
      <c r="E640" s="682"/>
      <c r="F640" s="682"/>
      <c r="G640" s="682"/>
      <c r="H640" s="682"/>
      <c r="I640" s="682"/>
      <c r="J640" s="682"/>
      <c r="P640" s="682"/>
      <c r="Q640" s="682"/>
      <c r="R640" s="682"/>
      <c r="S640" s="682"/>
      <c r="T640" s="682"/>
      <c r="U640" s="682"/>
      <c r="V640" s="682"/>
      <c r="W640" s="682"/>
      <c r="X640" s="682"/>
      <c r="Y640" s="682"/>
    </row>
    <row r="641" spans="1:25" ht="11.25" customHeight="1">
      <c r="A641" s="682"/>
      <c r="B641" s="682"/>
      <c r="C641" s="682"/>
      <c r="D641" s="683"/>
      <c r="E641" s="682"/>
      <c r="F641" s="682"/>
      <c r="G641" s="682"/>
      <c r="H641" s="682"/>
      <c r="I641" s="682"/>
      <c r="J641" s="682"/>
      <c r="P641" s="682"/>
      <c r="Q641" s="682"/>
      <c r="R641" s="682"/>
      <c r="S641" s="682"/>
      <c r="T641" s="682"/>
      <c r="U641" s="682"/>
      <c r="V641" s="682"/>
      <c r="W641" s="682"/>
      <c r="X641" s="682"/>
      <c r="Y641" s="682"/>
    </row>
    <row r="642" spans="1:25" ht="11.25" customHeight="1">
      <c r="A642" s="682"/>
      <c r="B642" s="682"/>
      <c r="C642" s="682"/>
      <c r="D642" s="683"/>
      <c r="E642" s="682"/>
      <c r="F642" s="682"/>
      <c r="G642" s="682"/>
      <c r="H642" s="682"/>
      <c r="I642" s="682"/>
      <c r="J642" s="682"/>
      <c r="P642" s="682"/>
      <c r="Q642" s="682"/>
      <c r="R642" s="682"/>
      <c r="S642" s="682"/>
      <c r="T642" s="682"/>
      <c r="U642" s="682"/>
      <c r="V642" s="682"/>
      <c r="W642" s="682"/>
      <c r="X642" s="682"/>
      <c r="Y642" s="682"/>
    </row>
    <row r="643" spans="1:25" ht="11.25" customHeight="1">
      <c r="A643" s="682"/>
      <c r="B643" s="682"/>
      <c r="C643" s="682"/>
      <c r="D643" s="683"/>
      <c r="E643" s="682"/>
      <c r="F643" s="682"/>
      <c r="G643" s="682"/>
      <c r="H643" s="682"/>
      <c r="I643" s="682"/>
      <c r="J643" s="682"/>
      <c r="P643" s="682"/>
      <c r="Q643" s="682"/>
      <c r="R643" s="682"/>
      <c r="S643" s="682"/>
      <c r="T643" s="682"/>
      <c r="U643" s="682"/>
      <c r="V643" s="682"/>
      <c r="W643" s="682"/>
      <c r="X643" s="682"/>
      <c r="Y643" s="682"/>
    </row>
    <row r="644" spans="1:25" ht="11.25" customHeight="1">
      <c r="A644" s="682"/>
      <c r="B644" s="682"/>
      <c r="C644" s="682"/>
      <c r="D644" s="683"/>
      <c r="E644" s="682"/>
      <c r="F644" s="682"/>
      <c r="G644" s="682"/>
      <c r="H644" s="682"/>
      <c r="I644" s="682"/>
      <c r="J644" s="682"/>
      <c r="P644" s="682"/>
      <c r="Q644" s="682"/>
      <c r="R644" s="682"/>
      <c r="S644" s="682"/>
      <c r="T644" s="682"/>
      <c r="U644" s="682"/>
      <c r="V644" s="682"/>
      <c r="W644" s="682"/>
      <c r="X644" s="682"/>
      <c r="Y644" s="682"/>
    </row>
    <row r="645" spans="1:25" ht="11.25" customHeight="1">
      <c r="A645" s="682"/>
      <c r="B645" s="682"/>
      <c r="C645" s="682"/>
      <c r="D645" s="683"/>
      <c r="E645" s="682"/>
      <c r="F645" s="682"/>
      <c r="G645" s="682"/>
      <c r="H645" s="682"/>
      <c r="I645" s="682"/>
      <c r="J645" s="682"/>
      <c r="P645" s="682"/>
      <c r="Q645" s="682"/>
      <c r="R645" s="682"/>
      <c r="S645" s="682"/>
      <c r="T645" s="682"/>
      <c r="U645" s="682"/>
      <c r="V645" s="682"/>
      <c r="W645" s="682"/>
      <c r="X645" s="682"/>
      <c r="Y645" s="682"/>
    </row>
    <row r="646" spans="1:25" ht="11.25" customHeight="1">
      <c r="A646" s="682"/>
      <c r="B646" s="682"/>
      <c r="C646" s="682"/>
      <c r="D646" s="683"/>
      <c r="E646" s="682"/>
      <c r="F646" s="682"/>
      <c r="G646" s="682"/>
      <c r="H646" s="682"/>
      <c r="I646" s="682"/>
      <c r="J646" s="682"/>
      <c r="P646" s="682"/>
      <c r="Q646" s="682"/>
      <c r="R646" s="682"/>
      <c r="S646" s="682"/>
      <c r="T646" s="682"/>
      <c r="U646" s="682"/>
      <c r="V646" s="682"/>
      <c r="W646" s="682"/>
      <c r="X646" s="682"/>
      <c r="Y646" s="682"/>
    </row>
    <row r="647" spans="1:25" ht="11.25" customHeight="1">
      <c r="A647" s="682"/>
      <c r="B647" s="682"/>
      <c r="C647" s="682"/>
      <c r="D647" s="683"/>
      <c r="E647" s="682"/>
      <c r="F647" s="682"/>
      <c r="G647" s="682"/>
      <c r="H647" s="682"/>
      <c r="I647" s="682"/>
      <c r="J647" s="682"/>
      <c r="P647" s="682"/>
      <c r="Q647" s="682"/>
      <c r="R647" s="682"/>
      <c r="S647" s="682"/>
      <c r="T647" s="682"/>
      <c r="U647" s="682"/>
      <c r="V647" s="682"/>
      <c r="W647" s="682"/>
      <c r="X647" s="682"/>
      <c r="Y647" s="682"/>
    </row>
    <row r="648" spans="1:25" ht="11.25" customHeight="1">
      <c r="A648" s="682"/>
      <c r="B648" s="682"/>
      <c r="C648" s="682"/>
      <c r="D648" s="683"/>
      <c r="E648" s="682"/>
      <c r="F648" s="682"/>
      <c r="G648" s="682"/>
      <c r="H648" s="682"/>
      <c r="I648" s="682"/>
      <c r="J648" s="682"/>
      <c r="P648" s="682"/>
      <c r="Q648" s="682"/>
      <c r="R648" s="682"/>
      <c r="S648" s="682"/>
      <c r="T648" s="682"/>
      <c r="U648" s="682"/>
      <c r="V648" s="682"/>
      <c r="W648" s="682"/>
      <c r="X648" s="682"/>
      <c r="Y648" s="682"/>
    </row>
    <row r="649" spans="1:25" ht="11.25" customHeight="1">
      <c r="A649" s="682"/>
      <c r="B649" s="682"/>
      <c r="C649" s="682"/>
      <c r="D649" s="683"/>
      <c r="E649" s="682"/>
      <c r="F649" s="682"/>
      <c r="G649" s="682"/>
      <c r="H649" s="682"/>
      <c r="I649" s="682"/>
      <c r="J649" s="682"/>
      <c r="P649" s="682"/>
      <c r="Q649" s="682"/>
      <c r="R649" s="682"/>
      <c r="S649" s="682"/>
      <c r="T649" s="682"/>
      <c r="U649" s="682"/>
      <c r="V649" s="682"/>
      <c r="W649" s="682"/>
      <c r="X649" s="682"/>
      <c r="Y649" s="682"/>
    </row>
    <row r="650" spans="1:25" ht="11.25" customHeight="1">
      <c r="A650" s="682"/>
      <c r="B650" s="682"/>
      <c r="C650" s="682"/>
      <c r="D650" s="683"/>
      <c r="E650" s="682"/>
      <c r="F650" s="682"/>
      <c r="G650" s="682"/>
      <c r="H650" s="682"/>
      <c r="I650" s="682"/>
      <c r="J650" s="682"/>
      <c r="P650" s="682"/>
      <c r="Q650" s="682"/>
      <c r="R650" s="682"/>
      <c r="S650" s="682"/>
      <c r="T650" s="682"/>
      <c r="U650" s="682"/>
      <c r="V650" s="682"/>
      <c r="W650" s="682"/>
      <c r="X650" s="682"/>
      <c r="Y650" s="682"/>
    </row>
    <row r="651" spans="1:25" ht="11.25" customHeight="1">
      <c r="A651" s="682"/>
      <c r="B651" s="682"/>
      <c r="C651" s="682"/>
      <c r="D651" s="683"/>
      <c r="E651" s="682"/>
      <c r="F651" s="682"/>
      <c r="G651" s="682"/>
      <c r="H651" s="682"/>
      <c r="I651" s="682"/>
      <c r="J651" s="682"/>
      <c r="P651" s="682"/>
      <c r="Q651" s="682"/>
      <c r="R651" s="682"/>
      <c r="S651" s="682"/>
      <c r="T651" s="682"/>
      <c r="U651" s="682"/>
      <c r="V651" s="682"/>
      <c r="W651" s="682"/>
      <c r="X651" s="682"/>
      <c r="Y651" s="682"/>
    </row>
    <row r="652" spans="1:25" ht="11.25" customHeight="1">
      <c r="A652" s="682"/>
      <c r="B652" s="682"/>
      <c r="C652" s="682"/>
      <c r="D652" s="683"/>
      <c r="E652" s="682"/>
      <c r="F652" s="682"/>
      <c r="G652" s="682"/>
      <c r="H652" s="682"/>
      <c r="I652" s="682"/>
      <c r="J652" s="682"/>
      <c r="P652" s="682"/>
      <c r="Q652" s="682"/>
      <c r="R652" s="682"/>
      <c r="S652" s="682"/>
      <c r="T652" s="682"/>
      <c r="U652" s="682"/>
      <c r="V652" s="682"/>
      <c r="W652" s="682"/>
      <c r="X652" s="682"/>
      <c r="Y652" s="682"/>
    </row>
    <row r="653" spans="1:25" ht="11.25" customHeight="1">
      <c r="A653" s="682"/>
      <c r="B653" s="682"/>
      <c r="C653" s="682"/>
      <c r="D653" s="683"/>
      <c r="E653" s="682"/>
      <c r="F653" s="682"/>
      <c r="G653" s="682"/>
      <c r="H653" s="682"/>
      <c r="I653" s="682"/>
      <c r="J653" s="682"/>
      <c r="P653" s="682"/>
      <c r="Q653" s="682"/>
      <c r="R653" s="682"/>
      <c r="S653" s="682"/>
      <c r="T653" s="682"/>
      <c r="U653" s="682"/>
      <c r="V653" s="682"/>
      <c r="W653" s="682"/>
      <c r="X653" s="682"/>
      <c r="Y653" s="682"/>
    </row>
    <row r="654" spans="1:25" ht="11.25" customHeight="1">
      <c r="A654" s="682"/>
      <c r="B654" s="682"/>
      <c r="C654" s="682"/>
      <c r="D654" s="683"/>
      <c r="E654" s="682"/>
      <c r="F654" s="682"/>
      <c r="G654" s="682"/>
      <c r="H654" s="682"/>
      <c r="I654" s="682"/>
      <c r="J654" s="682"/>
      <c r="P654" s="682"/>
      <c r="Q654" s="682"/>
      <c r="R654" s="682"/>
      <c r="S654" s="682"/>
      <c r="T654" s="682"/>
      <c r="U654" s="682"/>
      <c r="V654" s="682"/>
      <c r="W654" s="682"/>
      <c r="X654" s="682"/>
      <c r="Y654" s="682"/>
    </row>
    <row r="655" spans="1:25" ht="11.25" customHeight="1">
      <c r="A655" s="682"/>
      <c r="B655" s="682"/>
      <c r="C655" s="682"/>
      <c r="D655" s="683"/>
      <c r="E655" s="682"/>
      <c r="F655" s="682"/>
      <c r="G655" s="682"/>
      <c r="H655" s="682"/>
      <c r="I655" s="682"/>
      <c r="J655" s="682"/>
      <c r="P655" s="682"/>
      <c r="Q655" s="682"/>
      <c r="R655" s="682"/>
      <c r="S655" s="682"/>
      <c r="T655" s="682"/>
      <c r="U655" s="682"/>
      <c r="V655" s="682"/>
      <c r="W655" s="682"/>
      <c r="X655" s="682"/>
      <c r="Y655" s="682"/>
    </row>
    <row r="656" spans="1:25" ht="11.25" customHeight="1">
      <c r="A656" s="682"/>
      <c r="B656" s="682"/>
      <c r="C656" s="682"/>
      <c r="D656" s="683"/>
      <c r="E656" s="682"/>
      <c r="F656" s="682"/>
      <c r="G656" s="682"/>
      <c r="H656" s="682"/>
      <c r="I656" s="682"/>
      <c r="J656" s="682"/>
      <c r="P656" s="682"/>
      <c r="Q656" s="682"/>
      <c r="R656" s="682"/>
      <c r="S656" s="682"/>
      <c r="T656" s="682"/>
      <c r="U656" s="682"/>
      <c r="V656" s="682"/>
      <c r="W656" s="682"/>
      <c r="X656" s="682"/>
      <c r="Y656" s="682"/>
    </row>
    <row r="657" spans="1:25" ht="11.25" customHeight="1">
      <c r="A657" s="682"/>
      <c r="B657" s="682"/>
      <c r="C657" s="682"/>
      <c r="D657" s="683"/>
      <c r="E657" s="682"/>
      <c r="F657" s="682"/>
      <c r="G657" s="682"/>
      <c r="H657" s="682"/>
      <c r="I657" s="682"/>
      <c r="J657" s="682"/>
      <c r="P657" s="682"/>
      <c r="Q657" s="682"/>
      <c r="R657" s="682"/>
      <c r="S657" s="682"/>
      <c r="T657" s="682"/>
      <c r="U657" s="682"/>
      <c r="V657" s="682"/>
      <c r="W657" s="682"/>
      <c r="X657" s="682"/>
      <c r="Y657" s="682"/>
    </row>
    <row r="658" spans="1:25" ht="11.25" customHeight="1">
      <c r="A658" s="682"/>
      <c r="B658" s="682"/>
      <c r="C658" s="682"/>
      <c r="D658" s="683"/>
      <c r="E658" s="682"/>
      <c r="F658" s="682"/>
      <c r="G658" s="682"/>
      <c r="H658" s="682"/>
      <c r="I658" s="682"/>
      <c r="J658" s="682"/>
      <c r="P658" s="682"/>
      <c r="Q658" s="682"/>
      <c r="R658" s="682"/>
      <c r="S658" s="682"/>
      <c r="T658" s="682"/>
      <c r="U658" s="682"/>
      <c r="V658" s="682"/>
      <c r="W658" s="682"/>
      <c r="X658" s="682"/>
      <c r="Y658" s="682"/>
    </row>
    <row r="659" spans="1:25" ht="11.25" customHeight="1">
      <c r="A659" s="682"/>
      <c r="B659" s="682"/>
      <c r="C659" s="682"/>
      <c r="D659" s="683"/>
      <c r="E659" s="682"/>
      <c r="F659" s="682"/>
      <c r="G659" s="682"/>
      <c r="H659" s="682"/>
      <c r="I659" s="682"/>
      <c r="J659" s="682"/>
      <c r="P659" s="682"/>
      <c r="Q659" s="682"/>
      <c r="R659" s="682"/>
      <c r="S659" s="682"/>
      <c r="T659" s="682"/>
      <c r="U659" s="682"/>
      <c r="V659" s="682"/>
      <c r="W659" s="682"/>
      <c r="X659" s="682"/>
      <c r="Y659" s="682"/>
    </row>
    <row r="660" spans="1:25" ht="11.25" customHeight="1">
      <c r="A660" s="682"/>
      <c r="B660" s="682"/>
      <c r="C660" s="682"/>
      <c r="D660" s="683"/>
      <c r="E660" s="682"/>
      <c r="F660" s="682"/>
      <c r="G660" s="682"/>
      <c r="H660" s="682"/>
      <c r="I660" s="682"/>
      <c r="J660" s="682"/>
      <c r="P660" s="682"/>
      <c r="Q660" s="682"/>
      <c r="R660" s="682"/>
      <c r="S660" s="682"/>
      <c r="T660" s="682"/>
      <c r="U660" s="682"/>
      <c r="V660" s="682"/>
      <c r="W660" s="682"/>
      <c r="X660" s="682"/>
      <c r="Y660" s="682"/>
    </row>
    <row r="661" spans="1:25" ht="11.25" customHeight="1">
      <c r="A661" s="682"/>
      <c r="B661" s="682"/>
      <c r="C661" s="682"/>
      <c r="D661" s="683"/>
      <c r="E661" s="682"/>
      <c r="F661" s="682"/>
      <c r="G661" s="682"/>
      <c r="H661" s="682"/>
      <c r="I661" s="682"/>
      <c r="J661" s="682"/>
      <c r="P661" s="682"/>
      <c r="Q661" s="682"/>
      <c r="R661" s="682"/>
      <c r="S661" s="682"/>
      <c r="T661" s="682"/>
      <c r="U661" s="682"/>
      <c r="V661" s="682"/>
      <c r="W661" s="682"/>
      <c r="X661" s="682"/>
      <c r="Y661" s="682"/>
    </row>
    <row r="662" spans="1:25" ht="11.25" customHeight="1">
      <c r="A662" s="682"/>
      <c r="B662" s="682"/>
      <c r="C662" s="682"/>
      <c r="D662" s="683"/>
      <c r="E662" s="682"/>
      <c r="F662" s="682"/>
      <c r="G662" s="682"/>
      <c r="H662" s="682"/>
      <c r="I662" s="682"/>
      <c r="J662" s="682"/>
      <c r="P662" s="682"/>
      <c r="Q662" s="682"/>
      <c r="R662" s="682"/>
      <c r="S662" s="682"/>
      <c r="T662" s="682"/>
      <c r="U662" s="682"/>
      <c r="V662" s="682"/>
      <c r="W662" s="682"/>
      <c r="X662" s="682"/>
      <c r="Y662" s="682"/>
    </row>
    <row r="663" spans="1:25" ht="11.25" customHeight="1">
      <c r="A663" s="682"/>
      <c r="B663" s="682"/>
      <c r="C663" s="682"/>
      <c r="D663" s="683"/>
      <c r="E663" s="682"/>
      <c r="F663" s="682"/>
      <c r="G663" s="682"/>
      <c r="H663" s="682"/>
      <c r="I663" s="682"/>
      <c r="J663" s="682"/>
      <c r="P663" s="682"/>
      <c r="Q663" s="682"/>
      <c r="R663" s="682"/>
      <c r="S663" s="682"/>
      <c r="T663" s="682"/>
      <c r="U663" s="682"/>
      <c r="V663" s="682"/>
      <c r="W663" s="682"/>
      <c r="X663" s="682"/>
      <c r="Y663" s="682"/>
    </row>
    <row r="664" spans="1:25" ht="11.25" customHeight="1">
      <c r="A664" s="682"/>
      <c r="B664" s="682"/>
      <c r="C664" s="682"/>
      <c r="D664" s="683"/>
      <c r="E664" s="682"/>
      <c r="F664" s="682"/>
      <c r="G664" s="682"/>
      <c r="H664" s="682"/>
      <c r="I664" s="682"/>
      <c r="J664" s="682"/>
      <c r="P664" s="682"/>
      <c r="Q664" s="682"/>
      <c r="R664" s="682"/>
      <c r="S664" s="682"/>
      <c r="T664" s="682"/>
      <c r="U664" s="682"/>
      <c r="V664" s="682"/>
      <c r="W664" s="682"/>
      <c r="X664" s="682"/>
      <c r="Y664" s="682"/>
    </row>
    <row r="665" spans="1:25" ht="11.25" customHeight="1">
      <c r="A665" s="682"/>
      <c r="B665" s="682"/>
      <c r="C665" s="682"/>
      <c r="D665" s="683"/>
      <c r="E665" s="682"/>
      <c r="F665" s="682"/>
      <c r="G665" s="682"/>
      <c r="H665" s="682"/>
      <c r="I665" s="682"/>
      <c r="J665" s="682"/>
      <c r="P665" s="682"/>
      <c r="Q665" s="682"/>
      <c r="R665" s="682"/>
      <c r="S665" s="682"/>
      <c r="T665" s="682"/>
      <c r="U665" s="682"/>
      <c r="V665" s="682"/>
      <c r="W665" s="682"/>
      <c r="X665" s="682"/>
      <c r="Y665" s="682"/>
    </row>
    <row r="666" spans="1:25" ht="11.25" customHeight="1">
      <c r="A666" s="682"/>
      <c r="B666" s="682"/>
      <c r="C666" s="682"/>
      <c r="D666" s="683"/>
      <c r="E666" s="682"/>
      <c r="F666" s="682"/>
      <c r="G666" s="682"/>
      <c r="H666" s="682"/>
      <c r="I666" s="682"/>
      <c r="J666" s="682"/>
      <c r="P666" s="682"/>
      <c r="Q666" s="682"/>
      <c r="R666" s="682"/>
      <c r="S666" s="682"/>
      <c r="T666" s="682"/>
      <c r="U666" s="682"/>
      <c r="V666" s="682"/>
      <c r="W666" s="682"/>
      <c r="X666" s="682"/>
      <c r="Y666" s="682"/>
    </row>
    <row r="667" spans="1:25" ht="11.25" customHeight="1">
      <c r="A667" s="682"/>
      <c r="B667" s="682"/>
      <c r="C667" s="682"/>
      <c r="D667" s="683"/>
      <c r="E667" s="682"/>
      <c r="F667" s="682"/>
      <c r="G667" s="682"/>
      <c r="H667" s="682"/>
      <c r="I667" s="682"/>
      <c r="J667" s="682"/>
      <c r="P667" s="682"/>
      <c r="Q667" s="682"/>
      <c r="R667" s="682"/>
      <c r="S667" s="682"/>
      <c r="T667" s="682"/>
      <c r="U667" s="682"/>
      <c r="V667" s="682"/>
      <c r="W667" s="682"/>
      <c r="X667" s="682"/>
      <c r="Y667" s="682"/>
    </row>
    <row r="668" spans="1:25" ht="11.25" customHeight="1">
      <c r="A668" s="682"/>
      <c r="B668" s="682"/>
      <c r="C668" s="682"/>
      <c r="D668" s="683"/>
      <c r="E668" s="682"/>
      <c r="F668" s="682"/>
      <c r="G668" s="682"/>
      <c r="H668" s="682"/>
      <c r="I668" s="682"/>
      <c r="J668" s="682"/>
      <c r="P668" s="682"/>
      <c r="Q668" s="682"/>
      <c r="R668" s="682"/>
      <c r="S668" s="682"/>
      <c r="T668" s="682"/>
      <c r="U668" s="682"/>
      <c r="V668" s="682"/>
      <c r="W668" s="682"/>
      <c r="X668" s="682"/>
      <c r="Y668" s="682"/>
    </row>
    <row r="669" spans="1:25" ht="11.25" customHeight="1">
      <c r="A669" s="682"/>
      <c r="B669" s="682"/>
      <c r="C669" s="682"/>
      <c r="D669" s="683"/>
      <c r="E669" s="682"/>
      <c r="F669" s="682"/>
      <c r="G669" s="682"/>
      <c r="H669" s="682"/>
      <c r="I669" s="682"/>
      <c r="J669" s="682"/>
      <c r="P669" s="682"/>
      <c r="Q669" s="682"/>
      <c r="R669" s="682"/>
      <c r="S669" s="682"/>
      <c r="T669" s="682"/>
      <c r="U669" s="682"/>
      <c r="V669" s="682"/>
      <c r="W669" s="682"/>
      <c r="X669" s="682"/>
      <c r="Y669" s="682"/>
    </row>
    <row r="670" spans="1:25" ht="11.25" customHeight="1">
      <c r="A670" s="682"/>
      <c r="B670" s="682"/>
      <c r="C670" s="682"/>
      <c r="D670" s="683"/>
      <c r="E670" s="682"/>
      <c r="F670" s="682"/>
      <c r="G670" s="682"/>
      <c r="H670" s="682"/>
      <c r="I670" s="682"/>
      <c r="J670" s="682"/>
      <c r="P670" s="682"/>
      <c r="Q670" s="682"/>
      <c r="R670" s="682"/>
      <c r="S670" s="682"/>
      <c r="T670" s="682"/>
      <c r="U670" s="682"/>
      <c r="V670" s="682"/>
      <c r="W670" s="682"/>
      <c r="X670" s="682"/>
      <c r="Y670" s="682"/>
    </row>
    <row r="671" spans="1:25" ht="11.25" customHeight="1">
      <c r="A671" s="682"/>
      <c r="B671" s="682"/>
      <c r="C671" s="682"/>
      <c r="D671" s="683"/>
      <c r="E671" s="682"/>
      <c r="F671" s="682"/>
      <c r="G671" s="682"/>
      <c r="H671" s="682"/>
      <c r="I671" s="682"/>
      <c r="J671" s="682"/>
      <c r="P671" s="682"/>
      <c r="Q671" s="682"/>
      <c r="R671" s="682"/>
      <c r="S671" s="682"/>
      <c r="T671" s="682"/>
      <c r="U671" s="682"/>
      <c r="V671" s="682"/>
      <c r="W671" s="682"/>
      <c r="X671" s="682"/>
      <c r="Y671" s="682"/>
    </row>
    <row r="672" spans="1:25" ht="11.25" customHeight="1">
      <c r="A672" s="682"/>
      <c r="B672" s="682"/>
      <c r="C672" s="682"/>
      <c r="D672" s="683"/>
      <c r="E672" s="682"/>
      <c r="F672" s="682"/>
      <c r="G672" s="682"/>
      <c r="H672" s="682"/>
      <c r="I672" s="682"/>
      <c r="J672" s="682"/>
      <c r="P672" s="682"/>
      <c r="Q672" s="682"/>
      <c r="R672" s="682"/>
      <c r="S672" s="682"/>
      <c r="T672" s="682"/>
      <c r="U672" s="682"/>
      <c r="V672" s="682"/>
      <c r="W672" s="682"/>
      <c r="X672" s="682"/>
      <c r="Y672" s="682"/>
    </row>
    <row r="673" spans="1:25" ht="11.25" customHeight="1">
      <c r="A673" s="682"/>
      <c r="B673" s="682"/>
      <c r="C673" s="682"/>
      <c r="D673" s="683"/>
      <c r="E673" s="682"/>
      <c r="F673" s="682"/>
      <c r="G673" s="682"/>
      <c r="H673" s="682"/>
      <c r="I673" s="682"/>
      <c r="J673" s="682"/>
      <c r="P673" s="682"/>
      <c r="Q673" s="682"/>
      <c r="R673" s="682"/>
      <c r="S673" s="682"/>
      <c r="T673" s="682"/>
      <c r="U673" s="682"/>
      <c r="V673" s="682"/>
      <c r="W673" s="682"/>
      <c r="X673" s="682"/>
      <c r="Y673" s="682"/>
    </row>
    <row r="674" spans="1:25" ht="11.25" customHeight="1">
      <c r="A674" s="682"/>
      <c r="B674" s="682"/>
      <c r="C674" s="682"/>
      <c r="D674" s="683"/>
      <c r="E674" s="682"/>
      <c r="F674" s="682"/>
      <c r="G674" s="682"/>
      <c r="H674" s="682"/>
      <c r="I674" s="682"/>
      <c r="J674" s="682"/>
      <c r="P674" s="682"/>
      <c r="Q674" s="682"/>
      <c r="R674" s="682"/>
      <c r="S674" s="682"/>
      <c r="T674" s="682"/>
      <c r="U674" s="682"/>
      <c r="V674" s="682"/>
      <c r="W674" s="682"/>
      <c r="X674" s="682"/>
      <c r="Y674" s="682"/>
    </row>
    <row r="675" spans="1:25" ht="11.25" customHeight="1">
      <c r="A675" s="682"/>
      <c r="B675" s="682"/>
      <c r="C675" s="682"/>
      <c r="D675" s="683"/>
      <c r="E675" s="682"/>
      <c r="F675" s="682"/>
      <c r="G675" s="682"/>
      <c r="H675" s="682"/>
      <c r="I675" s="682"/>
      <c r="J675" s="682"/>
      <c r="P675" s="682"/>
      <c r="Q675" s="682"/>
      <c r="R675" s="682"/>
      <c r="S675" s="682"/>
      <c r="T675" s="682"/>
      <c r="U675" s="682"/>
      <c r="V675" s="682"/>
      <c r="W675" s="682"/>
      <c r="X675" s="682"/>
      <c r="Y675" s="682"/>
    </row>
    <row r="676" spans="1:25" ht="11.25" customHeight="1">
      <c r="A676" s="682"/>
      <c r="B676" s="682"/>
      <c r="C676" s="682"/>
      <c r="D676" s="683"/>
      <c r="E676" s="682"/>
      <c r="F676" s="682"/>
      <c r="G676" s="682"/>
      <c r="H676" s="682"/>
      <c r="I676" s="682"/>
      <c r="J676" s="682"/>
      <c r="P676" s="682"/>
      <c r="Q676" s="682"/>
      <c r="R676" s="682"/>
      <c r="S676" s="682"/>
      <c r="T676" s="682"/>
      <c r="U676" s="682"/>
      <c r="V676" s="682"/>
      <c r="W676" s="682"/>
      <c r="X676" s="682"/>
      <c r="Y676" s="682"/>
    </row>
    <row r="677" spans="1:25" ht="11.25" customHeight="1">
      <c r="A677" s="682"/>
      <c r="B677" s="682"/>
      <c r="C677" s="682"/>
      <c r="D677" s="683"/>
      <c r="E677" s="682"/>
      <c r="F677" s="682"/>
      <c r="G677" s="682"/>
      <c r="H677" s="682"/>
      <c r="I677" s="682"/>
      <c r="J677" s="682"/>
      <c r="P677" s="682"/>
      <c r="Q677" s="682"/>
      <c r="R677" s="682"/>
      <c r="S677" s="682"/>
      <c r="T677" s="682"/>
      <c r="U677" s="682"/>
      <c r="V677" s="682"/>
      <c r="W677" s="682"/>
      <c r="X677" s="682"/>
      <c r="Y677" s="682"/>
    </row>
    <row r="678" spans="1:25" ht="11.25" customHeight="1">
      <c r="A678" s="682"/>
      <c r="B678" s="682"/>
      <c r="C678" s="682"/>
      <c r="D678" s="683"/>
      <c r="E678" s="682"/>
      <c r="F678" s="682"/>
      <c r="G678" s="682"/>
      <c r="H678" s="682"/>
      <c r="I678" s="682"/>
      <c r="J678" s="682"/>
      <c r="P678" s="682"/>
      <c r="Q678" s="682"/>
      <c r="R678" s="682"/>
      <c r="S678" s="682"/>
      <c r="T678" s="682"/>
      <c r="U678" s="682"/>
      <c r="V678" s="682"/>
      <c r="W678" s="682"/>
      <c r="X678" s="682"/>
      <c r="Y678" s="682"/>
    </row>
    <row r="679" spans="1:25" ht="11.25" customHeight="1">
      <c r="A679" s="682"/>
      <c r="B679" s="682"/>
      <c r="C679" s="682"/>
      <c r="D679" s="683"/>
      <c r="E679" s="682"/>
      <c r="F679" s="682"/>
      <c r="G679" s="682"/>
      <c r="H679" s="682"/>
      <c r="I679" s="682"/>
      <c r="J679" s="682"/>
      <c r="P679" s="682"/>
      <c r="Q679" s="682"/>
      <c r="R679" s="682"/>
      <c r="S679" s="682"/>
      <c r="T679" s="682"/>
      <c r="U679" s="682"/>
      <c r="V679" s="682"/>
      <c r="W679" s="682"/>
      <c r="X679" s="682"/>
      <c r="Y679" s="682"/>
    </row>
    <row r="680" spans="1:25" ht="11.25" customHeight="1">
      <c r="A680" s="682"/>
      <c r="B680" s="682"/>
      <c r="C680" s="682"/>
      <c r="D680" s="683"/>
      <c r="E680" s="682"/>
      <c r="F680" s="682"/>
      <c r="G680" s="682"/>
      <c r="H680" s="682"/>
      <c r="I680" s="682"/>
      <c r="J680" s="682"/>
      <c r="P680" s="682"/>
      <c r="Q680" s="682"/>
      <c r="R680" s="682"/>
      <c r="S680" s="682"/>
      <c r="T680" s="682"/>
      <c r="U680" s="682"/>
      <c r="V680" s="682"/>
      <c r="W680" s="682"/>
      <c r="X680" s="682"/>
      <c r="Y680" s="682"/>
    </row>
    <row r="681" spans="1:25" ht="11.25" customHeight="1">
      <c r="A681" s="682"/>
      <c r="B681" s="682"/>
      <c r="C681" s="682"/>
      <c r="D681" s="683"/>
      <c r="E681" s="682"/>
      <c r="F681" s="682"/>
      <c r="G681" s="682"/>
      <c r="H681" s="682"/>
      <c r="I681" s="682"/>
      <c r="J681" s="682"/>
      <c r="P681" s="682"/>
      <c r="Q681" s="682"/>
      <c r="R681" s="682"/>
      <c r="S681" s="682"/>
      <c r="T681" s="682"/>
      <c r="U681" s="682"/>
      <c r="V681" s="682"/>
      <c r="W681" s="682"/>
      <c r="X681" s="682"/>
      <c r="Y681" s="682"/>
    </row>
    <row r="682" spans="1:25" ht="11.25" customHeight="1">
      <c r="A682" s="682"/>
      <c r="B682" s="682"/>
      <c r="C682" s="682"/>
      <c r="D682" s="683"/>
      <c r="E682" s="682"/>
      <c r="F682" s="682"/>
      <c r="G682" s="682"/>
      <c r="H682" s="682"/>
      <c r="I682" s="682"/>
      <c r="J682" s="682"/>
      <c r="P682" s="682"/>
      <c r="Q682" s="682"/>
      <c r="R682" s="682"/>
      <c r="S682" s="682"/>
      <c r="T682" s="682"/>
      <c r="U682" s="682"/>
      <c r="V682" s="682"/>
      <c r="W682" s="682"/>
      <c r="X682" s="682"/>
      <c r="Y682" s="682"/>
    </row>
    <row r="683" spans="1:25" ht="11.25" customHeight="1">
      <c r="A683" s="682"/>
      <c r="B683" s="682"/>
      <c r="C683" s="682"/>
      <c r="D683" s="683"/>
      <c r="E683" s="682"/>
      <c r="F683" s="682"/>
      <c r="G683" s="682"/>
      <c r="H683" s="682"/>
      <c r="I683" s="682"/>
      <c r="J683" s="682"/>
      <c r="P683" s="682"/>
      <c r="Q683" s="682"/>
      <c r="R683" s="682"/>
      <c r="S683" s="682"/>
      <c r="T683" s="682"/>
      <c r="U683" s="682"/>
      <c r="V683" s="682"/>
      <c r="W683" s="682"/>
      <c r="X683" s="682"/>
      <c r="Y683" s="682"/>
    </row>
    <row r="684" spans="1:25" ht="11.25" customHeight="1">
      <c r="A684" s="682"/>
      <c r="B684" s="682"/>
      <c r="C684" s="682"/>
      <c r="D684" s="683"/>
      <c r="E684" s="682"/>
      <c r="F684" s="682"/>
      <c r="G684" s="682"/>
      <c r="H684" s="682"/>
      <c r="I684" s="682"/>
      <c r="J684" s="682"/>
      <c r="P684" s="682"/>
      <c r="Q684" s="682"/>
      <c r="R684" s="682"/>
      <c r="S684" s="682"/>
      <c r="T684" s="682"/>
      <c r="U684" s="682"/>
      <c r="V684" s="682"/>
      <c r="W684" s="682"/>
      <c r="X684" s="682"/>
      <c r="Y684" s="682"/>
    </row>
    <row r="685" spans="1:25" ht="11.25" customHeight="1">
      <c r="A685" s="682"/>
      <c r="B685" s="682"/>
      <c r="C685" s="682"/>
      <c r="D685" s="683"/>
      <c r="E685" s="682"/>
      <c r="F685" s="682"/>
      <c r="G685" s="682"/>
      <c r="H685" s="682"/>
      <c r="I685" s="682"/>
      <c r="J685" s="682"/>
      <c r="P685" s="682"/>
      <c r="Q685" s="682"/>
      <c r="R685" s="682"/>
      <c r="S685" s="682"/>
      <c r="T685" s="682"/>
      <c r="U685" s="682"/>
      <c r="V685" s="682"/>
      <c r="W685" s="682"/>
      <c r="X685" s="682"/>
      <c r="Y685" s="682"/>
    </row>
    <row r="686" spans="1:25" ht="11.25" customHeight="1">
      <c r="A686" s="682"/>
      <c r="B686" s="682"/>
      <c r="C686" s="682"/>
      <c r="D686" s="683"/>
      <c r="E686" s="682"/>
      <c r="F686" s="682"/>
      <c r="G686" s="682"/>
      <c r="H686" s="682"/>
      <c r="I686" s="682"/>
      <c r="J686" s="682"/>
      <c r="P686" s="682"/>
      <c r="Q686" s="682"/>
      <c r="R686" s="682"/>
      <c r="S686" s="682"/>
      <c r="T686" s="682"/>
      <c r="U686" s="682"/>
      <c r="V686" s="682"/>
      <c r="W686" s="682"/>
      <c r="X686" s="682"/>
      <c r="Y686" s="682"/>
    </row>
    <row r="687" spans="1:25" ht="11.25" customHeight="1">
      <c r="A687" s="682"/>
      <c r="B687" s="682"/>
      <c r="C687" s="682"/>
      <c r="D687" s="683"/>
      <c r="E687" s="682"/>
      <c r="F687" s="682"/>
      <c r="G687" s="682"/>
      <c r="H687" s="682"/>
      <c r="I687" s="682"/>
      <c r="J687" s="682"/>
      <c r="P687" s="682"/>
      <c r="Q687" s="682"/>
      <c r="R687" s="682"/>
      <c r="S687" s="682"/>
      <c r="T687" s="682"/>
      <c r="U687" s="682"/>
      <c r="V687" s="682"/>
      <c r="W687" s="682"/>
      <c r="X687" s="682"/>
      <c r="Y687" s="682"/>
    </row>
    <row r="688" spans="1:25" ht="11.25" customHeight="1">
      <c r="A688" s="682"/>
      <c r="B688" s="682"/>
      <c r="C688" s="682"/>
      <c r="D688" s="683"/>
      <c r="E688" s="682"/>
      <c r="F688" s="682"/>
      <c r="G688" s="682"/>
      <c r="H688" s="682"/>
      <c r="I688" s="682"/>
      <c r="J688" s="682"/>
      <c r="P688" s="682"/>
      <c r="Q688" s="682"/>
      <c r="R688" s="682"/>
      <c r="S688" s="682"/>
      <c r="T688" s="682"/>
      <c r="U688" s="682"/>
      <c r="V688" s="682"/>
      <c r="W688" s="682"/>
      <c r="X688" s="682"/>
      <c r="Y688" s="682"/>
    </row>
    <row r="689" spans="1:25" ht="11.25" customHeight="1">
      <c r="A689" s="682"/>
      <c r="B689" s="682"/>
      <c r="C689" s="682"/>
      <c r="D689" s="683"/>
      <c r="E689" s="682"/>
      <c r="F689" s="682"/>
      <c r="G689" s="682"/>
      <c r="H689" s="682"/>
      <c r="I689" s="682"/>
      <c r="J689" s="682"/>
      <c r="P689" s="682"/>
      <c r="Q689" s="682"/>
      <c r="R689" s="682"/>
      <c r="S689" s="682"/>
      <c r="T689" s="682"/>
      <c r="U689" s="682"/>
      <c r="V689" s="682"/>
      <c r="W689" s="682"/>
      <c r="X689" s="682"/>
      <c r="Y689" s="682"/>
    </row>
    <row r="690" spans="1:25" ht="11.25" customHeight="1">
      <c r="A690" s="682"/>
      <c r="B690" s="682"/>
      <c r="C690" s="682"/>
      <c r="D690" s="683"/>
      <c r="E690" s="682"/>
      <c r="F690" s="682"/>
      <c r="G690" s="682"/>
      <c r="H690" s="682"/>
      <c r="I690" s="682"/>
      <c r="J690" s="682"/>
      <c r="P690" s="682"/>
      <c r="Q690" s="682"/>
      <c r="R690" s="682"/>
      <c r="S690" s="682"/>
      <c r="T690" s="682"/>
      <c r="U690" s="682"/>
      <c r="V690" s="682"/>
      <c r="W690" s="682"/>
      <c r="X690" s="682"/>
      <c r="Y690" s="682"/>
    </row>
    <row r="691" spans="1:25" ht="11.25" customHeight="1">
      <c r="A691" s="682"/>
      <c r="B691" s="682"/>
      <c r="C691" s="682"/>
      <c r="D691" s="683"/>
      <c r="E691" s="682"/>
      <c r="F691" s="682"/>
      <c r="G691" s="682"/>
      <c r="H691" s="682"/>
      <c r="I691" s="682"/>
      <c r="J691" s="682"/>
      <c r="P691" s="682"/>
      <c r="Q691" s="682"/>
      <c r="R691" s="682"/>
      <c r="S691" s="682"/>
      <c r="T691" s="682"/>
      <c r="U691" s="682"/>
      <c r="V691" s="682"/>
      <c r="W691" s="682"/>
      <c r="X691" s="682"/>
      <c r="Y691" s="682"/>
    </row>
    <row r="692" spans="1:25" ht="11.25" customHeight="1">
      <c r="A692" s="682"/>
      <c r="B692" s="682"/>
      <c r="C692" s="682"/>
      <c r="D692" s="683"/>
      <c r="E692" s="682"/>
      <c r="F692" s="682"/>
      <c r="G692" s="682"/>
      <c r="H692" s="682"/>
      <c r="I692" s="682"/>
      <c r="J692" s="682"/>
      <c r="P692" s="682"/>
      <c r="Q692" s="682"/>
      <c r="R692" s="682"/>
      <c r="S692" s="682"/>
      <c r="T692" s="682"/>
      <c r="U692" s="682"/>
      <c r="V692" s="682"/>
      <c r="W692" s="682"/>
      <c r="X692" s="682"/>
      <c r="Y692" s="682"/>
    </row>
    <row r="693" spans="1:25" ht="11.25" customHeight="1">
      <c r="A693" s="682"/>
      <c r="B693" s="682"/>
      <c r="C693" s="682"/>
      <c r="D693" s="683"/>
      <c r="E693" s="682"/>
      <c r="F693" s="682"/>
      <c r="G693" s="682"/>
      <c r="H693" s="682"/>
      <c r="I693" s="682"/>
      <c r="J693" s="682"/>
      <c r="P693" s="682"/>
      <c r="Q693" s="682"/>
      <c r="R693" s="682"/>
      <c r="S693" s="682"/>
      <c r="T693" s="682"/>
      <c r="U693" s="682"/>
      <c r="V693" s="682"/>
      <c r="W693" s="682"/>
      <c r="X693" s="682"/>
      <c r="Y693" s="682"/>
    </row>
    <row r="694" spans="1:25" ht="11.25" customHeight="1">
      <c r="A694" s="682"/>
      <c r="B694" s="682"/>
      <c r="C694" s="682"/>
      <c r="D694" s="683"/>
      <c r="E694" s="682"/>
      <c r="F694" s="682"/>
      <c r="G694" s="682"/>
      <c r="H694" s="682"/>
      <c r="I694" s="682"/>
      <c r="J694" s="682"/>
      <c r="P694" s="682"/>
      <c r="Q694" s="682"/>
      <c r="R694" s="682"/>
      <c r="S694" s="682"/>
      <c r="T694" s="682"/>
      <c r="U694" s="682"/>
      <c r="V694" s="682"/>
      <c r="W694" s="682"/>
      <c r="X694" s="682"/>
      <c r="Y694" s="682"/>
    </row>
    <row r="695" spans="1:25" ht="11.25" customHeight="1">
      <c r="A695" s="682"/>
      <c r="B695" s="682"/>
      <c r="C695" s="682"/>
      <c r="D695" s="683"/>
      <c r="E695" s="682"/>
      <c r="F695" s="682"/>
      <c r="G695" s="682"/>
      <c r="H695" s="682"/>
      <c r="I695" s="682"/>
      <c r="J695" s="682"/>
      <c r="P695" s="682"/>
      <c r="Q695" s="682"/>
      <c r="R695" s="682"/>
      <c r="S695" s="682"/>
      <c r="T695" s="682"/>
      <c r="U695" s="682"/>
      <c r="V695" s="682"/>
      <c r="W695" s="682"/>
      <c r="X695" s="682"/>
      <c r="Y695" s="682"/>
    </row>
    <row r="696" spans="1:25" ht="11.25" customHeight="1">
      <c r="A696" s="682"/>
      <c r="B696" s="682"/>
      <c r="C696" s="682"/>
      <c r="D696" s="683"/>
      <c r="E696" s="682"/>
      <c r="F696" s="682"/>
      <c r="G696" s="682"/>
      <c r="H696" s="682"/>
      <c r="I696" s="682"/>
      <c r="J696" s="682"/>
      <c r="P696" s="682"/>
      <c r="Q696" s="682"/>
      <c r="R696" s="682"/>
      <c r="S696" s="682"/>
      <c r="T696" s="682"/>
      <c r="U696" s="682"/>
      <c r="V696" s="682"/>
      <c r="W696" s="682"/>
      <c r="X696" s="682"/>
      <c r="Y696" s="682"/>
    </row>
    <row r="697" spans="1:25" ht="11.25" customHeight="1">
      <c r="A697" s="682"/>
      <c r="B697" s="682"/>
      <c r="C697" s="682"/>
      <c r="D697" s="683"/>
      <c r="E697" s="682"/>
      <c r="F697" s="682"/>
      <c r="G697" s="682"/>
      <c r="H697" s="682"/>
      <c r="I697" s="682"/>
      <c r="J697" s="682"/>
      <c r="P697" s="682"/>
      <c r="Q697" s="682"/>
      <c r="R697" s="682"/>
      <c r="S697" s="682"/>
      <c r="T697" s="682"/>
      <c r="U697" s="682"/>
      <c r="V697" s="682"/>
      <c r="W697" s="682"/>
      <c r="X697" s="682"/>
      <c r="Y697" s="682"/>
    </row>
    <row r="698" spans="1:25" ht="11.25" customHeight="1">
      <c r="A698" s="682"/>
      <c r="B698" s="682"/>
      <c r="C698" s="682"/>
      <c r="D698" s="683"/>
      <c r="E698" s="682"/>
      <c r="F698" s="682"/>
      <c r="G698" s="682"/>
      <c r="H698" s="682"/>
      <c r="I698" s="682"/>
      <c r="J698" s="682"/>
      <c r="P698" s="682"/>
      <c r="Q698" s="682"/>
      <c r="R698" s="682"/>
      <c r="S698" s="682"/>
      <c r="T698" s="682"/>
      <c r="U698" s="682"/>
      <c r="V698" s="682"/>
      <c r="W698" s="682"/>
      <c r="X698" s="682"/>
      <c r="Y698" s="682"/>
    </row>
    <row r="699" spans="1:25" ht="11.25" customHeight="1">
      <c r="A699" s="682"/>
      <c r="B699" s="682"/>
      <c r="C699" s="682"/>
      <c r="D699" s="683"/>
      <c r="E699" s="682"/>
      <c r="F699" s="682"/>
      <c r="G699" s="682"/>
      <c r="H699" s="682"/>
      <c r="I699" s="682"/>
      <c r="J699" s="682"/>
      <c r="P699" s="682"/>
      <c r="Q699" s="682"/>
      <c r="R699" s="682"/>
      <c r="S699" s="682"/>
      <c r="T699" s="682"/>
      <c r="U699" s="682"/>
      <c r="V699" s="682"/>
      <c r="W699" s="682"/>
      <c r="X699" s="682"/>
      <c r="Y699" s="682"/>
    </row>
    <row r="700" spans="1:25" ht="11.25" customHeight="1">
      <c r="A700" s="682"/>
      <c r="B700" s="682"/>
      <c r="C700" s="682"/>
      <c r="D700" s="683"/>
      <c r="E700" s="682"/>
      <c r="F700" s="682"/>
      <c r="G700" s="682"/>
      <c r="H700" s="682"/>
      <c r="I700" s="682"/>
      <c r="J700" s="682"/>
      <c r="P700" s="682"/>
      <c r="Q700" s="682"/>
      <c r="R700" s="682"/>
      <c r="S700" s="682"/>
      <c r="T700" s="682"/>
      <c r="U700" s="682"/>
      <c r="V700" s="682"/>
      <c r="W700" s="682"/>
      <c r="X700" s="682"/>
      <c r="Y700" s="682"/>
    </row>
    <row r="701" spans="1:25" ht="11.25" customHeight="1">
      <c r="A701" s="682"/>
      <c r="B701" s="682"/>
      <c r="C701" s="682"/>
      <c r="D701" s="683"/>
      <c r="E701" s="682"/>
      <c r="F701" s="682"/>
      <c r="G701" s="682"/>
      <c r="H701" s="682"/>
      <c r="I701" s="682"/>
      <c r="J701" s="682"/>
      <c r="P701" s="682"/>
      <c r="Q701" s="682"/>
      <c r="R701" s="682"/>
      <c r="S701" s="682"/>
      <c r="T701" s="682"/>
      <c r="U701" s="682"/>
      <c r="V701" s="682"/>
      <c r="W701" s="682"/>
      <c r="X701" s="682"/>
      <c r="Y701" s="682"/>
    </row>
    <row r="702" spans="1:25" ht="11.25" customHeight="1">
      <c r="A702" s="682"/>
      <c r="B702" s="682"/>
      <c r="C702" s="682"/>
      <c r="D702" s="683"/>
      <c r="E702" s="682"/>
      <c r="F702" s="682"/>
      <c r="G702" s="682"/>
      <c r="H702" s="682"/>
      <c r="I702" s="682"/>
      <c r="J702" s="682"/>
      <c r="P702" s="682"/>
      <c r="Q702" s="682"/>
      <c r="R702" s="682"/>
      <c r="S702" s="682"/>
      <c r="T702" s="682"/>
      <c r="U702" s="682"/>
      <c r="V702" s="682"/>
      <c r="W702" s="682"/>
      <c r="X702" s="682"/>
      <c r="Y702" s="682"/>
    </row>
    <row r="703" spans="1:25" ht="11.25" customHeight="1">
      <c r="A703" s="682"/>
      <c r="B703" s="682"/>
      <c r="C703" s="682"/>
      <c r="D703" s="683"/>
      <c r="E703" s="682"/>
      <c r="F703" s="682"/>
      <c r="G703" s="682"/>
      <c r="H703" s="682"/>
      <c r="I703" s="682"/>
      <c r="J703" s="682"/>
      <c r="P703" s="682"/>
      <c r="Q703" s="682"/>
      <c r="R703" s="682"/>
      <c r="S703" s="682"/>
      <c r="T703" s="682"/>
      <c r="U703" s="682"/>
      <c r="V703" s="682"/>
      <c r="W703" s="682"/>
      <c r="X703" s="682"/>
      <c r="Y703" s="682"/>
    </row>
    <row r="704" spans="1:25" ht="11.25" customHeight="1">
      <c r="A704" s="682"/>
      <c r="B704" s="682"/>
      <c r="C704" s="682"/>
      <c r="D704" s="683"/>
      <c r="E704" s="682"/>
      <c r="F704" s="682"/>
      <c r="G704" s="682"/>
      <c r="H704" s="682"/>
      <c r="I704" s="682"/>
      <c r="J704" s="682"/>
      <c r="P704" s="682"/>
      <c r="Q704" s="682"/>
      <c r="R704" s="682"/>
      <c r="S704" s="682"/>
      <c r="T704" s="682"/>
      <c r="U704" s="682"/>
      <c r="V704" s="682"/>
      <c r="W704" s="682"/>
      <c r="X704" s="682"/>
      <c r="Y704" s="682"/>
    </row>
    <row r="705" spans="1:25" ht="11.25" customHeight="1">
      <c r="A705" s="682"/>
      <c r="B705" s="682"/>
      <c r="C705" s="682"/>
      <c r="D705" s="683"/>
      <c r="E705" s="682"/>
      <c r="F705" s="682"/>
      <c r="G705" s="682"/>
      <c r="H705" s="682"/>
      <c r="I705" s="682"/>
      <c r="J705" s="682"/>
      <c r="P705" s="682"/>
      <c r="Q705" s="682"/>
      <c r="R705" s="682"/>
      <c r="S705" s="682"/>
      <c r="T705" s="682"/>
      <c r="U705" s="682"/>
      <c r="V705" s="682"/>
      <c r="W705" s="682"/>
      <c r="X705" s="682"/>
      <c r="Y705" s="682"/>
    </row>
    <row r="706" spans="1:25" ht="11.25" customHeight="1">
      <c r="A706" s="682"/>
      <c r="B706" s="682"/>
      <c r="C706" s="682"/>
      <c r="D706" s="683"/>
      <c r="E706" s="682"/>
      <c r="F706" s="682"/>
      <c r="G706" s="682"/>
      <c r="H706" s="682"/>
      <c r="I706" s="682"/>
      <c r="J706" s="682"/>
      <c r="P706" s="682"/>
      <c r="Q706" s="682"/>
      <c r="R706" s="682"/>
      <c r="S706" s="682"/>
      <c r="T706" s="682"/>
      <c r="U706" s="682"/>
      <c r="V706" s="682"/>
      <c r="W706" s="682"/>
      <c r="X706" s="682"/>
      <c r="Y706" s="682"/>
    </row>
    <row r="707" spans="1:25" ht="11.25" customHeight="1">
      <c r="A707" s="682"/>
      <c r="B707" s="682"/>
      <c r="C707" s="682"/>
      <c r="D707" s="683"/>
      <c r="E707" s="682"/>
      <c r="F707" s="682"/>
      <c r="G707" s="682"/>
      <c r="H707" s="682"/>
      <c r="I707" s="682"/>
      <c r="J707" s="682"/>
      <c r="P707" s="682"/>
      <c r="Q707" s="682"/>
      <c r="R707" s="682"/>
      <c r="S707" s="682"/>
      <c r="T707" s="682"/>
      <c r="U707" s="682"/>
      <c r="V707" s="682"/>
      <c r="W707" s="682"/>
      <c r="X707" s="682"/>
      <c r="Y707" s="682"/>
    </row>
    <row r="708" spans="1:25" ht="11.25" customHeight="1">
      <c r="A708" s="682"/>
      <c r="B708" s="682"/>
      <c r="C708" s="682"/>
      <c r="D708" s="683"/>
      <c r="E708" s="682"/>
      <c r="F708" s="682"/>
      <c r="G708" s="682"/>
      <c r="H708" s="682"/>
      <c r="I708" s="682"/>
      <c r="J708" s="682"/>
      <c r="P708" s="682"/>
      <c r="Q708" s="682"/>
      <c r="R708" s="682"/>
      <c r="S708" s="682"/>
      <c r="T708" s="682"/>
      <c r="U708" s="682"/>
      <c r="V708" s="682"/>
      <c r="W708" s="682"/>
      <c r="X708" s="682"/>
      <c r="Y708" s="682"/>
    </row>
    <row r="709" spans="1:25" ht="11.25" customHeight="1">
      <c r="A709" s="682"/>
      <c r="B709" s="682"/>
      <c r="C709" s="682"/>
      <c r="D709" s="683"/>
      <c r="E709" s="682"/>
      <c r="F709" s="682"/>
      <c r="G709" s="682"/>
      <c r="H709" s="682"/>
      <c r="I709" s="682"/>
      <c r="J709" s="682"/>
      <c r="P709" s="682"/>
      <c r="Q709" s="682"/>
      <c r="R709" s="682"/>
      <c r="S709" s="682"/>
      <c r="T709" s="682"/>
      <c r="U709" s="682"/>
      <c r="V709" s="682"/>
      <c r="W709" s="682"/>
      <c r="X709" s="682"/>
      <c r="Y709" s="682"/>
    </row>
    <row r="710" spans="1:25" ht="11.25" customHeight="1">
      <c r="A710" s="682"/>
      <c r="B710" s="682"/>
      <c r="C710" s="682"/>
      <c r="D710" s="683"/>
      <c r="E710" s="682"/>
      <c r="F710" s="682"/>
      <c r="G710" s="682"/>
      <c r="H710" s="682"/>
      <c r="I710" s="682"/>
      <c r="J710" s="682"/>
      <c r="P710" s="682"/>
      <c r="Q710" s="682"/>
      <c r="R710" s="682"/>
      <c r="S710" s="682"/>
      <c r="T710" s="682"/>
      <c r="U710" s="682"/>
      <c r="V710" s="682"/>
      <c r="W710" s="682"/>
      <c r="X710" s="682"/>
      <c r="Y710" s="682"/>
    </row>
    <row r="711" spans="1:25" ht="11.25" customHeight="1">
      <c r="A711" s="682"/>
      <c r="B711" s="682"/>
      <c r="C711" s="682"/>
      <c r="D711" s="683"/>
      <c r="E711" s="682"/>
      <c r="F711" s="682"/>
      <c r="G711" s="682"/>
      <c r="H711" s="682"/>
      <c r="I711" s="682"/>
      <c r="J711" s="682"/>
      <c r="P711" s="682"/>
      <c r="Q711" s="682"/>
      <c r="R711" s="682"/>
      <c r="S711" s="682"/>
      <c r="T711" s="682"/>
      <c r="U711" s="682"/>
      <c r="V711" s="682"/>
      <c r="W711" s="682"/>
      <c r="X711" s="682"/>
      <c r="Y711" s="682"/>
    </row>
    <row r="712" spans="1:25" ht="11.25" customHeight="1">
      <c r="A712" s="682"/>
      <c r="B712" s="682"/>
      <c r="C712" s="682"/>
      <c r="D712" s="683"/>
      <c r="E712" s="682"/>
      <c r="F712" s="682"/>
      <c r="G712" s="682"/>
      <c r="H712" s="682"/>
      <c r="I712" s="682"/>
      <c r="J712" s="682"/>
      <c r="P712" s="682"/>
      <c r="Q712" s="682"/>
      <c r="R712" s="682"/>
      <c r="S712" s="682"/>
      <c r="T712" s="682"/>
      <c r="U712" s="682"/>
      <c r="V712" s="682"/>
      <c r="W712" s="682"/>
      <c r="X712" s="682"/>
      <c r="Y712" s="682"/>
    </row>
    <row r="713" spans="1:25" ht="11.25" customHeight="1">
      <c r="A713" s="682"/>
      <c r="B713" s="682"/>
      <c r="C713" s="682"/>
      <c r="D713" s="683"/>
      <c r="E713" s="682"/>
      <c r="F713" s="682"/>
      <c r="G713" s="682"/>
      <c r="H713" s="682"/>
      <c r="I713" s="682"/>
      <c r="J713" s="682"/>
      <c r="P713" s="682"/>
      <c r="Q713" s="682"/>
      <c r="R713" s="682"/>
      <c r="S713" s="682"/>
      <c r="T713" s="682"/>
      <c r="U713" s="682"/>
      <c r="V713" s="682"/>
      <c r="W713" s="682"/>
      <c r="X713" s="682"/>
      <c r="Y713" s="682"/>
    </row>
    <row r="714" spans="1:25" ht="11.25" customHeight="1">
      <c r="A714" s="682"/>
      <c r="B714" s="682"/>
      <c r="C714" s="682"/>
      <c r="D714" s="683"/>
      <c r="E714" s="682"/>
      <c r="F714" s="682"/>
      <c r="G714" s="682"/>
      <c r="H714" s="682"/>
      <c r="I714" s="682"/>
      <c r="J714" s="682"/>
      <c r="P714" s="682"/>
      <c r="Q714" s="682"/>
      <c r="R714" s="682"/>
      <c r="S714" s="682"/>
      <c r="T714" s="682"/>
      <c r="U714" s="682"/>
      <c r="V714" s="682"/>
      <c r="W714" s="682"/>
      <c r="X714" s="682"/>
      <c r="Y714" s="682"/>
    </row>
    <row r="715" spans="1:25" ht="11.25" customHeight="1">
      <c r="A715" s="682"/>
      <c r="B715" s="682"/>
      <c r="C715" s="682"/>
      <c r="D715" s="683"/>
      <c r="E715" s="682"/>
      <c r="F715" s="682"/>
      <c r="G715" s="682"/>
      <c r="H715" s="682"/>
      <c r="I715" s="682"/>
      <c r="J715" s="682"/>
      <c r="P715" s="682"/>
      <c r="Q715" s="682"/>
      <c r="R715" s="682"/>
      <c r="S715" s="682"/>
      <c r="T715" s="682"/>
      <c r="U715" s="682"/>
      <c r="V715" s="682"/>
      <c r="W715" s="682"/>
      <c r="X715" s="682"/>
      <c r="Y715" s="682"/>
    </row>
    <row r="716" spans="1:25" ht="11.25" customHeight="1">
      <c r="A716" s="682"/>
      <c r="B716" s="682"/>
      <c r="C716" s="682"/>
      <c r="D716" s="683"/>
      <c r="E716" s="682"/>
      <c r="F716" s="682"/>
      <c r="G716" s="682"/>
      <c r="H716" s="682"/>
      <c r="I716" s="682"/>
      <c r="J716" s="682"/>
      <c r="P716" s="682"/>
      <c r="Q716" s="682"/>
      <c r="R716" s="682"/>
      <c r="S716" s="682"/>
      <c r="T716" s="682"/>
      <c r="U716" s="682"/>
      <c r="V716" s="682"/>
      <c r="W716" s="682"/>
      <c r="X716" s="682"/>
      <c r="Y716" s="682"/>
    </row>
    <row r="717" spans="1:25" ht="11.25" customHeight="1">
      <c r="A717" s="682"/>
      <c r="B717" s="682"/>
      <c r="C717" s="682"/>
      <c r="D717" s="683"/>
      <c r="E717" s="682"/>
      <c r="F717" s="682"/>
      <c r="G717" s="682"/>
      <c r="H717" s="682"/>
      <c r="I717" s="682"/>
      <c r="J717" s="682"/>
      <c r="P717" s="682"/>
      <c r="Q717" s="682"/>
      <c r="R717" s="682"/>
      <c r="S717" s="682"/>
      <c r="T717" s="682"/>
      <c r="U717" s="682"/>
      <c r="V717" s="682"/>
      <c r="W717" s="682"/>
      <c r="X717" s="682"/>
      <c r="Y717" s="682"/>
    </row>
    <row r="718" spans="1:25" ht="11.25" customHeight="1">
      <c r="A718" s="682"/>
      <c r="B718" s="682"/>
      <c r="C718" s="682"/>
      <c r="D718" s="683"/>
      <c r="E718" s="682"/>
      <c r="F718" s="682"/>
      <c r="G718" s="682"/>
      <c r="H718" s="682"/>
      <c r="I718" s="682"/>
      <c r="J718" s="682"/>
      <c r="P718" s="682"/>
      <c r="Q718" s="682"/>
      <c r="R718" s="682"/>
      <c r="S718" s="682"/>
      <c r="T718" s="682"/>
      <c r="U718" s="682"/>
      <c r="V718" s="682"/>
      <c r="W718" s="682"/>
      <c r="X718" s="682"/>
      <c r="Y718" s="682"/>
    </row>
    <row r="719" spans="1:25" ht="11.25" customHeight="1">
      <c r="A719" s="682"/>
      <c r="B719" s="682"/>
      <c r="C719" s="682"/>
      <c r="D719" s="683"/>
      <c r="E719" s="682"/>
      <c r="F719" s="682"/>
      <c r="G719" s="682"/>
      <c r="H719" s="682"/>
      <c r="I719" s="682"/>
      <c r="J719" s="682"/>
      <c r="P719" s="682"/>
      <c r="Q719" s="682"/>
      <c r="R719" s="682"/>
      <c r="S719" s="682"/>
      <c r="T719" s="682"/>
      <c r="U719" s="682"/>
      <c r="V719" s="682"/>
      <c r="W719" s="682"/>
      <c r="X719" s="682"/>
      <c r="Y719" s="682"/>
    </row>
    <row r="720" spans="1:25" ht="11.25" customHeight="1">
      <c r="A720" s="682"/>
      <c r="B720" s="682"/>
      <c r="C720" s="682"/>
      <c r="D720" s="683"/>
      <c r="E720" s="682"/>
      <c r="F720" s="682"/>
      <c r="G720" s="682"/>
      <c r="H720" s="682"/>
      <c r="I720" s="682"/>
      <c r="J720" s="682"/>
      <c r="P720" s="682"/>
      <c r="Q720" s="682"/>
      <c r="R720" s="682"/>
      <c r="S720" s="682"/>
      <c r="T720" s="682"/>
      <c r="U720" s="682"/>
      <c r="V720" s="682"/>
      <c r="W720" s="682"/>
      <c r="X720" s="682"/>
      <c r="Y720" s="682"/>
    </row>
    <row r="721" spans="1:25" ht="11.25" customHeight="1">
      <c r="A721" s="682"/>
      <c r="B721" s="682"/>
      <c r="C721" s="682"/>
      <c r="D721" s="683"/>
      <c r="E721" s="682"/>
      <c r="F721" s="682"/>
      <c r="G721" s="682"/>
      <c r="H721" s="682"/>
      <c r="I721" s="682"/>
      <c r="J721" s="682"/>
      <c r="P721" s="682"/>
      <c r="Q721" s="682"/>
      <c r="R721" s="682"/>
      <c r="S721" s="682"/>
      <c r="T721" s="682"/>
      <c r="U721" s="682"/>
      <c r="V721" s="682"/>
      <c r="W721" s="682"/>
      <c r="X721" s="682"/>
      <c r="Y721" s="682"/>
    </row>
    <row r="722" spans="1:25" ht="11.25" customHeight="1">
      <c r="A722" s="682"/>
      <c r="B722" s="682"/>
      <c r="C722" s="682"/>
      <c r="D722" s="683"/>
      <c r="E722" s="682"/>
      <c r="F722" s="682"/>
      <c r="G722" s="682"/>
      <c r="H722" s="682"/>
      <c r="I722" s="682"/>
      <c r="J722" s="682"/>
      <c r="P722" s="682"/>
      <c r="Q722" s="682"/>
      <c r="R722" s="682"/>
      <c r="S722" s="682"/>
      <c r="T722" s="682"/>
      <c r="U722" s="682"/>
      <c r="V722" s="682"/>
      <c r="W722" s="682"/>
      <c r="X722" s="682"/>
      <c r="Y722" s="682"/>
    </row>
    <row r="723" spans="1:25" ht="11.25" customHeight="1">
      <c r="A723" s="682"/>
      <c r="B723" s="682"/>
      <c r="C723" s="682"/>
      <c r="D723" s="683"/>
      <c r="E723" s="682"/>
      <c r="F723" s="682"/>
      <c r="G723" s="682"/>
      <c r="H723" s="682"/>
      <c r="I723" s="682"/>
      <c r="J723" s="682"/>
      <c r="P723" s="682"/>
      <c r="Q723" s="682"/>
      <c r="R723" s="682"/>
      <c r="S723" s="682"/>
      <c r="T723" s="682"/>
      <c r="U723" s="682"/>
      <c r="V723" s="682"/>
      <c r="W723" s="682"/>
      <c r="X723" s="682"/>
      <c r="Y723" s="682"/>
    </row>
    <row r="724" spans="1:25" ht="11.25" customHeight="1">
      <c r="A724" s="682"/>
      <c r="B724" s="682"/>
      <c r="C724" s="682"/>
      <c r="D724" s="683"/>
      <c r="E724" s="682"/>
      <c r="F724" s="682"/>
      <c r="G724" s="682"/>
      <c r="H724" s="682"/>
      <c r="I724" s="682"/>
      <c r="J724" s="682"/>
      <c r="P724" s="682"/>
      <c r="Q724" s="682"/>
      <c r="R724" s="682"/>
      <c r="S724" s="682"/>
      <c r="T724" s="682"/>
      <c r="U724" s="682"/>
      <c r="V724" s="682"/>
      <c r="W724" s="682"/>
      <c r="X724" s="682"/>
      <c r="Y724" s="682"/>
    </row>
    <row r="725" spans="1:25" ht="11.25" customHeight="1">
      <c r="A725" s="682"/>
      <c r="B725" s="682"/>
      <c r="C725" s="682"/>
      <c r="D725" s="683"/>
      <c r="E725" s="682"/>
      <c r="F725" s="682"/>
      <c r="G725" s="682"/>
      <c r="H725" s="682"/>
      <c r="I725" s="682"/>
      <c r="J725" s="682"/>
      <c r="P725" s="682"/>
      <c r="Q725" s="682"/>
      <c r="R725" s="682"/>
      <c r="S725" s="682"/>
      <c r="T725" s="682"/>
      <c r="U725" s="682"/>
      <c r="V725" s="682"/>
      <c r="W725" s="682"/>
      <c r="X725" s="682"/>
      <c r="Y725" s="682"/>
    </row>
    <row r="726" spans="1:25" ht="11.25" customHeight="1">
      <c r="A726" s="682"/>
      <c r="B726" s="682"/>
      <c r="C726" s="682"/>
      <c r="D726" s="683"/>
      <c r="E726" s="682"/>
      <c r="F726" s="682"/>
      <c r="G726" s="682"/>
      <c r="H726" s="682"/>
      <c r="I726" s="682"/>
      <c r="J726" s="682"/>
      <c r="P726" s="682"/>
      <c r="Q726" s="682"/>
      <c r="R726" s="682"/>
      <c r="S726" s="682"/>
      <c r="T726" s="682"/>
      <c r="U726" s="682"/>
      <c r="V726" s="682"/>
      <c r="W726" s="682"/>
      <c r="X726" s="682"/>
      <c r="Y726" s="682"/>
    </row>
    <row r="727" spans="1:25" ht="11.25" customHeight="1">
      <c r="A727" s="682"/>
      <c r="B727" s="682"/>
      <c r="C727" s="682"/>
      <c r="D727" s="683"/>
      <c r="E727" s="682"/>
      <c r="F727" s="682"/>
      <c r="G727" s="682"/>
      <c r="H727" s="682"/>
      <c r="I727" s="682"/>
      <c r="J727" s="682"/>
      <c r="P727" s="682"/>
      <c r="Q727" s="682"/>
      <c r="R727" s="682"/>
      <c r="S727" s="682"/>
      <c r="T727" s="682"/>
      <c r="U727" s="682"/>
      <c r="V727" s="682"/>
      <c r="W727" s="682"/>
      <c r="X727" s="682"/>
      <c r="Y727" s="682"/>
    </row>
    <row r="728" spans="1:25" ht="11.25" customHeight="1">
      <c r="A728" s="682"/>
      <c r="B728" s="682"/>
      <c r="C728" s="682"/>
      <c r="D728" s="683"/>
      <c r="E728" s="682"/>
      <c r="F728" s="682"/>
      <c r="G728" s="682"/>
      <c r="H728" s="682"/>
      <c r="I728" s="682"/>
      <c r="J728" s="682"/>
      <c r="P728" s="682"/>
      <c r="Q728" s="682"/>
      <c r="R728" s="682"/>
      <c r="S728" s="682"/>
      <c r="T728" s="682"/>
      <c r="U728" s="682"/>
      <c r="V728" s="682"/>
      <c r="W728" s="682"/>
      <c r="X728" s="682"/>
      <c r="Y728" s="682"/>
    </row>
    <row r="729" spans="1:25" ht="11.25" customHeight="1">
      <c r="A729" s="682"/>
      <c r="B729" s="682"/>
      <c r="C729" s="682"/>
      <c r="D729" s="683"/>
      <c r="E729" s="682"/>
      <c r="F729" s="682"/>
      <c r="G729" s="682"/>
      <c r="H729" s="682"/>
      <c r="I729" s="682"/>
      <c r="J729" s="682"/>
      <c r="P729" s="682"/>
      <c r="Q729" s="682"/>
      <c r="R729" s="682"/>
      <c r="S729" s="682"/>
      <c r="T729" s="682"/>
      <c r="U729" s="682"/>
      <c r="V729" s="682"/>
      <c r="W729" s="682"/>
      <c r="X729" s="682"/>
      <c r="Y729" s="682"/>
    </row>
    <row r="730" spans="1:25" ht="11.25" customHeight="1">
      <c r="A730" s="682"/>
      <c r="B730" s="682"/>
      <c r="C730" s="682"/>
      <c r="D730" s="683"/>
      <c r="E730" s="682"/>
      <c r="F730" s="682"/>
      <c r="G730" s="682"/>
      <c r="H730" s="682"/>
      <c r="I730" s="682"/>
      <c r="J730" s="682"/>
      <c r="P730" s="682"/>
      <c r="Q730" s="682"/>
      <c r="R730" s="682"/>
      <c r="S730" s="682"/>
      <c r="T730" s="682"/>
      <c r="U730" s="682"/>
      <c r="V730" s="682"/>
      <c r="W730" s="682"/>
      <c r="X730" s="682"/>
      <c r="Y730" s="682"/>
    </row>
    <row r="731" spans="1:25" ht="11.25" customHeight="1">
      <c r="A731" s="682"/>
      <c r="B731" s="682"/>
      <c r="C731" s="682"/>
      <c r="D731" s="683"/>
      <c r="E731" s="682"/>
      <c r="F731" s="682"/>
      <c r="G731" s="682"/>
      <c r="H731" s="682"/>
      <c r="I731" s="682"/>
      <c r="J731" s="682"/>
      <c r="P731" s="682"/>
      <c r="Q731" s="682"/>
      <c r="R731" s="682"/>
      <c r="S731" s="682"/>
      <c r="T731" s="682"/>
      <c r="U731" s="682"/>
      <c r="V731" s="682"/>
      <c r="W731" s="682"/>
      <c r="X731" s="682"/>
      <c r="Y731" s="682"/>
    </row>
    <row r="732" spans="1:25" ht="11.25" customHeight="1">
      <c r="A732" s="682"/>
      <c r="B732" s="682"/>
      <c r="C732" s="682"/>
      <c r="D732" s="683"/>
      <c r="E732" s="682"/>
      <c r="F732" s="682"/>
      <c r="G732" s="682"/>
      <c r="H732" s="682"/>
      <c r="I732" s="682"/>
      <c r="J732" s="682"/>
      <c r="P732" s="682"/>
      <c r="Q732" s="682"/>
      <c r="R732" s="682"/>
      <c r="S732" s="682"/>
      <c r="T732" s="682"/>
      <c r="U732" s="682"/>
      <c r="V732" s="682"/>
      <c r="W732" s="682"/>
      <c r="X732" s="682"/>
      <c r="Y732" s="682"/>
    </row>
    <row r="733" spans="1:25" ht="11.25" customHeight="1">
      <c r="A733" s="682"/>
      <c r="B733" s="682"/>
      <c r="C733" s="682"/>
      <c r="D733" s="683"/>
      <c r="E733" s="682"/>
      <c r="F733" s="682"/>
      <c r="G733" s="682"/>
      <c r="H733" s="682"/>
      <c r="I733" s="682"/>
      <c r="J733" s="682"/>
      <c r="P733" s="682"/>
      <c r="Q733" s="682"/>
      <c r="R733" s="682"/>
      <c r="S733" s="682"/>
      <c r="T733" s="682"/>
      <c r="U733" s="682"/>
      <c r="V733" s="682"/>
      <c r="W733" s="682"/>
      <c r="X733" s="682"/>
      <c r="Y733" s="682"/>
    </row>
    <row r="734" spans="1:25" ht="11.25" customHeight="1">
      <c r="A734" s="682"/>
      <c r="B734" s="682"/>
      <c r="C734" s="682"/>
      <c r="D734" s="683"/>
      <c r="E734" s="682"/>
      <c r="F734" s="682"/>
      <c r="G734" s="682"/>
      <c r="H734" s="682"/>
      <c r="I734" s="682"/>
      <c r="J734" s="682"/>
      <c r="P734" s="682"/>
      <c r="Q734" s="682"/>
      <c r="R734" s="682"/>
      <c r="S734" s="682"/>
      <c r="T734" s="682"/>
      <c r="U734" s="682"/>
      <c r="V734" s="682"/>
      <c r="W734" s="682"/>
      <c r="X734" s="682"/>
      <c r="Y734" s="682"/>
    </row>
    <row r="735" spans="1:25" ht="11.25" customHeight="1">
      <c r="A735" s="682"/>
      <c r="B735" s="682"/>
      <c r="C735" s="682"/>
      <c r="D735" s="683"/>
      <c r="E735" s="682"/>
      <c r="F735" s="682"/>
      <c r="G735" s="682"/>
      <c r="H735" s="682"/>
      <c r="I735" s="682"/>
      <c r="J735" s="682"/>
      <c r="P735" s="682"/>
      <c r="Q735" s="682"/>
      <c r="R735" s="682"/>
      <c r="S735" s="682"/>
      <c r="T735" s="682"/>
      <c r="U735" s="682"/>
      <c r="V735" s="682"/>
      <c r="W735" s="682"/>
      <c r="X735" s="682"/>
      <c r="Y735" s="682"/>
    </row>
    <row r="736" spans="1:25" ht="11.25" customHeight="1">
      <c r="A736" s="682"/>
      <c r="B736" s="682"/>
      <c r="C736" s="682"/>
      <c r="D736" s="683"/>
      <c r="E736" s="682"/>
      <c r="F736" s="682"/>
      <c r="G736" s="682"/>
      <c r="H736" s="682"/>
      <c r="I736" s="682"/>
      <c r="J736" s="682"/>
      <c r="P736" s="682"/>
      <c r="Q736" s="682"/>
      <c r="R736" s="682"/>
      <c r="S736" s="682"/>
      <c r="T736" s="682"/>
      <c r="U736" s="682"/>
      <c r="V736" s="682"/>
      <c r="W736" s="682"/>
      <c r="X736" s="682"/>
      <c r="Y736" s="682"/>
    </row>
    <row r="737" spans="1:25" ht="11.25" customHeight="1">
      <c r="A737" s="682"/>
      <c r="B737" s="682"/>
      <c r="C737" s="682"/>
      <c r="D737" s="683"/>
      <c r="E737" s="682"/>
      <c r="F737" s="682"/>
      <c r="G737" s="682"/>
      <c r="H737" s="682"/>
      <c r="I737" s="682"/>
      <c r="J737" s="682"/>
      <c r="P737" s="682"/>
      <c r="Q737" s="682"/>
      <c r="R737" s="682"/>
      <c r="S737" s="682"/>
      <c r="T737" s="682"/>
      <c r="U737" s="682"/>
      <c r="V737" s="682"/>
      <c r="W737" s="682"/>
      <c r="X737" s="682"/>
      <c r="Y737" s="682"/>
    </row>
    <row r="738" spans="1:25" ht="11.25" customHeight="1">
      <c r="A738" s="682"/>
      <c r="B738" s="682"/>
      <c r="C738" s="682"/>
      <c r="D738" s="683"/>
      <c r="E738" s="682"/>
      <c r="F738" s="682"/>
      <c r="G738" s="682"/>
      <c r="H738" s="682"/>
      <c r="I738" s="682"/>
      <c r="J738" s="682"/>
      <c r="P738" s="682"/>
      <c r="Q738" s="682"/>
      <c r="R738" s="682"/>
      <c r="S738" s="682"/>
      <c r="T738" s="682"/>
      <c r="U738" s="682"/>
      <c r="V738" s="682"/>
      <c r="W738" s="682"/>
      <c r="X738" s="682"/>
      <c r="Y738" s="682"/>
    </row>
    <row r="739" spans="1:25" ht="11.25" customHeight="1">
      <c r="A739" s="682"/>
      <c r="B739" s="682"/>
      <c r="C739" s="682"/>
      <c r="D739" s="683"/>
      <c r="E739" s="682"/>
      <c r="F739" s="682"/>
      <c r="G739" s="682"/>
      <c r="H739" s="682"/>
      <c r="I739" s="682"/>
      <c r="J739" s="682"/>
      <c r="P739" s="682"/>
      <c r="Q739" s="682"/>
      <c r="R739" s="682"/>
      <c r="S739" s="682"/>
      <c r="T739" s="682"/>
      <c r="U739" s="682"/>
      <c r="V739" s="682"/>
      <c r="W739" s="682"/>
      <c r="X739" s="682"/>
      <c r="Y739" s="682"/>
    </row>
    <row r="740" spans="1:25" ht="11.25" customHeight="1">
      <c r="A740" s="682"/>
      <c r="B740" s="682"/>
      <c r="C740" s="682"/>
      <c r="D740" s="683"/>
      <c r="E740" s="682"/>
      <c r="F740" s="682"/>
      <c r="G740" s="682"/>
      <c r="H740" s="682"/>
      <c r="I740" s="682"/>
      <c r="J740" s="682"/>
      <c r="P740" s="682"/>
      <c r="Q740" s="682"/>
      <c r="R740" s="682"/>
      <c r="S740" s="682"/>
      <c r="T740" s="682"/>
      <c r="U740" s="682"/>
      <c r="V740" s="682"/>
      <c r="W740" s="682"/>
      <c r="X740" s="682"/>
      <c r="Y740" s="682"/>
    </row>
    <row r="741" spans="1:25" ht="11.25" customHeight="1">
      <c r="A741" s="682"/>
      <c r="B741" s="682"/>
      <c r="C741" s="682"/>
      <c r="D741" s="683"/>
      <c r="E741" s="682"/>
      <c r="F741" s="682"/>
      <c r="G741" s="682"/>
      <c r="H741" s="682"/>
      <c r="I741" s="682"/>
      <c r="J741" s="682"/>
      <c r="P741" s="682"/>
      <c r="Q741" s="682"/>
      <c r="R741" s="682"/>
      <c r="S741" s="682"/>
      <c r="T741" s="682"/>
      <c r="U741" s="682"/>
      <c r="V741" s="682"/>
      <c r="W741" s="682"/>
      <c r="X741" s="682"/>
      <c r="Y741" s="682"/>
    </row>
    <row r="742" spans="1:25" ht="11.25" customHeight="1">
      <c r="A742" s="682"/>
      <c r="B742" s="682"/>
      <c r="C742" s="682"/>
      <c r="D742" s="683"/>
      <c r="E742" s="682"/>
      <c r="F742" s="682"/>
      <c r="G742" s="682"/>
      <c r="H742" s="682"/>
      <c r="I742" s="682"/>
      <c r="J742" s="682"/>
      <c r="P742" s="682"/>
      <c r="Q742" s="682"/>
      <c r="R742" s="682"/>
      <c r="S742" s="682"/>
      <c r="T742" s="682"/>
      <c r="U742" s="682"/>
      <c r="V742" s="682"/>
      <c r="W742" s="682"/>
      <c r="X742" s="682"/>
      <c r="Y742" s="682"/>
    </row>
    <row r="743" spans="1:25" ht="11.25" customHeight="1">
      <c r="A743" s="682"/>
      <c r="B743" s="682"/>
      <c r="C743" s="682"/>
      <c r="D743" s="683"/>
      <c r="E743" s="682"/>
      <c r="F743" s="682"/>
      <c r="G743" s="682"/>
      <c r="H743" s="682"/>
      <c r="I743" s="682"/>
      <c r="J743" s="682"/>
      <c r="P743" s="682"/>
      <c r="Q743" s="682"/>
      <c r="R743" s="682"/>
      <c r="S743" s="682"/>
      <c r="T743" s="682"/>
      <c r="U743" s="682"/>
      <c r="V743" s="682"/>
      <c r="W743" s="682"/>
      <c r="X743" s="682"/>
      <c r="Y743" s="682"/>
    </row>
    <row r="744" spans="1:25" ht="11.25" customHeight="1">
      <c r="A744" s="682"/>
      <c r="B744" s="682"/>
      <c r="C744" s="682"/>
      <c r="D744" s="683"/>
      <c r="E744" s="682"/>
      <c r="F744" s="682"/>
      <c r="G744" s="682"/>
      <c r="H744" s="682"/>
      <c r="I744" s="682"/>
      <c r="J744" s="682"/>
      <c r="P744" s="682"/>
      <c r="Q744" s="682"/>
      <c r="R744" s="682"/>
      <c r="S744" s="682"/>
      <c r="T744" s="682"/>
      <c r="U744" s="682"/>
      <c r="V744" s="682"/>
      <c r="W744" s="682"/>
      <c r="X744" s="682"/>
      <c r="Y744" s="682"/>
    </row>
    <row r="745" spans="1:25" ht="11.25" customHeight="1">
      <c r="A745" s="682"/>
      <c r="B745" s="682"/>
      <c r="C745" s="682"/>
      <c r="D745" s="683"/>
      <c r="E745" s="682"/>
      <c r="F745" s="682"/>
      <c r="G745" s="682"/>
      <c r="H745" s="682"/>
      <c r="I745" s="682"/>
      <c r="J745" s="682"/>
      <c r="P745" s="682"/>
      <c r="Q745" s="682"/>
      <c r="R745" s="682"/>
      <c r="S745" s="682"/>
      <c r="T745" s="682"/>
      <c r="U745" s="682"/>
      <c r="V745" s="682"/>
      <c r="W745" s="682"/>
      <c r="X745" s="682"/>
      <c r="Y745" s="682"/>
    </row>
    <row r="746" spans="1:25" ht="11.25" customHeight="1">
      <c r="A746" s="682"/>
      <c r="B746" s="682"/>
      <c r="C746" s="682"/>
      <c r="D746" s="683"/>
      <c r="E746" s="682"/>
      <c r="F746" s="682"/>
      <c r="G746" s="682"/>
      <c r="H746" s="682"/>
      <c r="I746" s="682"/>
      <c r="J746" s="682"/>
      <c r="P746" s="682"/>
      <c r="Q746" s="682"/>
      <c r="R746" s="682"/>
      <c r="S746" s="682"/>
      <c r="T746" s="682"/>
      <c r="U746" s="682"/>
      <c r="V746" s="682"/>
      <c r="W746" s="682"/>
      <c r="X746" s="682"/>
      <c r="Y746" s="682"/>
    </row>
    <row r="747" spans="1:25" ht="11.25" customHeight="1">
      <c r="A747" s="682"/>
      <c r="B747" s="682"/>
      <c r="C747" s="682"/>
      <c r="D747" s="683"/>
      <c r="E747" s="682"/>
      <c r="F747" s="682"/>
      <c r="G747" s="682"/>
      <c r="H747" s="682"/>
      <c r="I747" s="682"/>
      <c r="J747" s="682"/>
      <c r="P747" s="682"/>
      <c r="Q747" s="682"/>
      <c r="R747" s="682"/>
      <c r="S747" s="682"/>
      <c r="T747" s="682"/>
      <c r="U747" s="682"/>
      <c r="V747" s="682"/>
      <c r="W747" s="682"/>
      <c r="X747" s="682"/>
      <c r="Y747" s="682"/>
    </row>
    <row r="748" spans="1:25" ht="11.25" customHeight="1">
      <c r="A748" s="682"/>
      <c r="B748" s="682"/>
      <c r="C748" s="682"/>
      <c r="D748" s="683"/>
      <c r="E748" s="682"/>
      <c r="F748" s="682"/>
      <c r="G748" s="682"/>
      <c r="H748" s="682"/>
      <c r="I748" s="682"/>
      <c r="J748" s="682"/>
      <c r="P748" s="682"/>
      <c r="Q748" s="682"/>
      <c r="R748" s="682"/>
      <c r="S748" s="682"/>
      <c r="T748" s="682"/>
      <c r="U748" s="682"/>
      <c r="V748" s="682"/>
      <c r="W748" s="682"/>
      <c r="X748" s="682"/>
      <c r="Y748" s="682"/>
    </row>
    <row r="749" spans="1:25" ht="11.25" customHeight="1">
      <c r="A749" s="682"/>
      <c r="B749" s="682"/>
      <c r="C749" s="682"/>
      <c r="D749" s="683"/>
      <c r="E749" s="682"/>
      <c r="F749" s="682"/>
      <c r="G749" s="682"/>
      <c r="H749" s="682"/>
      <c r="I749" s="682"/>
      <c r="J749" s="682"/>
      <c r="P749" s="682"/>
      <c r="Q749" s="682"/>
      <c r="R749" s="682"/>
      <c r="S749" s="682"/>
      <c r="T749" s="682"/>
      <c r="U749" s="682"/>
      <c r="V749" s="682"/>
      <c r="W749" s="682"/>
      <c r="X749" s="682"/>
      <c r="Y749" s="682"/>
    </row>
    <row r="750" spans="1:25" ht="11.25" customHeight="1">
      <c r="A750" s="682"/>
      <c r="B750" s="682"/>
      <c r="C750" s="682"/>
      <c r="D750" s="683"/>
      <c r="E750" s="682"/>
      <c r="F750" s="682"/>
      <c r="G750" s="682"/>
      <c r="H750" s="682"/>
      <c r="I750" s="682"/>
      <c r="J750" s="682"/>
      <c r="P750" s="682"/>
      <c r="Q750" s="682"/>
      <c r="R750" s="682"/>
      <c r="S750" s="682"/>
      <c r="T750" s="682"/>
      <c r="U750" s="682"/>
      <c r="V750" s="682"/>
      <c r="W750" s="682"/>
      <c r="X750" s="682"/>
      <c r="Y750" s="682"/>
    </row>
    <row r="751" spans="1:25" ht="11.25" customHeight="1">
      <c r="A751" s="682"/>
      <c r="B751" s="682"/>
      <c r="C751" s="682"/>
      <c r="D751" s="683"/>
      <c r="E751" s="682"/>
      <c r="F751" s="682"/>
      <c r="G751" s="682"/>
      <c r="H751" s="682"/>
      <c r="I751" s="682"/>
      <c r="J751" s="682"/>
      <c r="P751" s="682"/>
      <c r="Q751" s="682"/>
      <c r="R751" s="682"/>
      <c r="S751" s="682"/>
      <c r="T751" s="682"/>
      <c r="U751" s="682"/>
      <c r="V751" s="682"/>
      <c r="W751" s="682"/>
      <c r="X751" s="682"/>
      <c r="Y751" s="682"/>
    </row>
    <row r="752" spans="1:25" ht="11.25" customHeight="1">
      <c r="A752" s="682"/>
      <c r="B752" s="682"/>
      <c r="C752" s="682"/>
      <c r="D752" s="683"/>
      <c r="E752" s="682"/>
      <c r="F752" s="682"/>
      <c r="G752" s="682"/>
      <c r="H752" s="682"/>
      <c r="I752" s="682"/>
      <c r="J752" s="682"/>
      <c r="P752" s="682"/>
      <c r="Q752" s="682"/>
      <c r="R752" s="682"/>
      <c r="S752" s="682"/>
      <c r="T752" s="682"/>
      <c r="U752" s="682"/>
      <c r="V752" s="682"/>
      <c r="W752" s="682"/>
      <c r="X752" s="682"/>
      <c r="Y752" s="682"/>
    </row>
    <row r="753" spans="1:25" ht="11.25" customHeight="1">
      <c r="A753" s="682"/>
      <c r="B753" s="682"/>
      <c r="C753" s="682"/>
      <c r="D753" s="683"/>
      <c r="E753" s="682"/>
      <c r="F753" s="682"/>
      <c r="G753" s="682"/>
      <c r="H753" s="682"/>
      <c r="I753" s="682"/>
      <c r="J753" s="682"/>
      <c r="P753" s="682"/>
      <c r="Q753" s="682"/>
      <c r="R753" s="682"/>
      <c r="S753" s="682"/>
      <c r="T753" s="682"/>
      <c r="U753" s="682"/>
      <c r="V753" s="682"/>
      <c r="W753" s="682"/>
      <c r="X753" s="682"/>
      <c r="Y753" s="682"/>
    </row>
    <row r="754" spans="1:25" ht="11.25" customHeight="1">
      <c r="A754" s="682"/>
      <c r="B754" s="682"/>
      <c r="C754" s="682"/>
      <c r="D754" s="683"/>
      <c r="E754" s="682"/>
      <c r="F754" s="682"/>
      <c r="G754" s="682"/>
      <c r="H754" s="682"/>
      <c r="I754" s="682"/>
      <c r="J754" s="682"/>
      <c r="P754" s="682"/>
      <c r="Q754" s="682"/>
      <c r="R754" s="682"/>
      <c r="S754" s="682"/>
      <c r="T754" s="682"/>
      <c r="U754" s="682"/>
      <c r="V754" s="682"/>
      <c r="W754" s="682"/>
      <c r="X754" s="682"/>
      <c r="Y754" s="682"/>
    </row>
    <row r="755" spans="1:25" ht="11.25" customHeight="1">
      <c r="A755" s="682"/>
      <c r="B755" s="682"/>
      <c r="C755" s="682"/>
      <c r="D755" s="683"/>
      <c r="E755" s="682"/>
      <c r="F755" s="682"/>
      <c r="G755" s="682"/>
      <c r="H755" s="682"/>
      <c r="I755" s="682"/>
      <c r="J755" s="682"/>
      <c r="P755" s="682"/>
      <c r="Q755" s="682"/>
      <c r="R755" s="682"/>
      <c r="S755" s="682"/>
      <c r="T755" s="682"/>
      <c r="U755" s="682"/>
      <c r="V755" s="682"/>
      <c r="W755" s="682"/>
      <c r="X755" s="682"/>
      <c r="Y755" s="682"/>
    </row>
    <row r="756" spans="1:25" ht="11.25" customHeight="1">
      <c r="A756" s="682"/>
      <c r="B756" s="682"/>
      <c r="C756" s="682"/>
      <c r="D756" s="683"/>
      <c r="E756" s="682"/>
      <c r="F756" s="682"/>
      <c r="G756" s="682"/>
      <c r="H756" s="682"/>
      <c r="I756" s="682"/>
      <c r="J756" s="682"/>
      <c r="P756" s="682"/>
      <c r="Q756" s="682"/>
      <c r="R756" s="682"/>
      <c r="S756" s="682"/>
      <c r="T756" s="682"/>
      <c r="U756" s="682"/>
      <c r="V756" s="682"/>
      <c r="W756" s="682"/>
      <c r="X756" s="682"/>
      <c r="Y756" s="682"/>
    </row>
    <row r="757" spans="1:25" ht="11.25" customHeight="1">
      <c r="A757" s="682"/>
      <c r="B757" s="682"/>
      <c r="C757" s="682"/>
      <c r="D757" s="683"/>
      <c r="E757" s="682"/>
      <c r="F757" s="682"/>
      <c r="G757" s="682"/>
      <c r="H757" s="682"/>
      <c r="I757" s="682"/>
      <c r="J757" s="682"/>
      <c r="P757" s="682"/>
      <c r="Q757" s="682"/>
      <c r="R757" s="682"/>
      <c r="S757" s="682"/>
      <c r="T757" s="682"/>
      <c r="U757" s="682"/>
      <c r="V757" s="682"/>
      <c r="W757" s="682"/>
      <c r="X757" s="682"/>
      <c r="Y757" s="682"/>
    </row>
    <row r="758" spans="1:25" ht="11.25" customHeight="1">
      <c r="A758" s="682"/>
      <c r="B758" s="682"/>
      <c r="C758" s="682"/>
      <c r="D758" s="683"/>
      <c r="E758" s="682"/>
      <c r="F758" s="682"/>
      <c r="G758" s="682"/>
      <c r="H758" s="682"/>
      <c r="I758" s="682"/>
      <c r="J758" s="682"/>
      <c r="P758" s="682"/>
      <c r="Q758" s="682"/>
      <c r="R758" s="682"/>
      <c r="S758" s="682"/>
      <c r="T758" s="682"/>
      <c r="U758" s="682"/>
      <c r="V758" s="682"/>
      <c r="W758" s="682"/>
      <c r="X758" s="682"/>
      <c r="Y758" s="682"/>
    </row>
    <row r="759" spans="1:25" ht="11.25" customHeight="1">
      <c r="A759" s="682"/>
      <c r="B759" s="682"/>
      <c r="C759" s="682"/>
      <c r="D759" s="683"/>
      <c r="E759" s="682"/>
      <c r="F759" s="682"/>
      <c r="G759" s="682"/>
      <c r="H759" s="682"/>
      <c r="I759" s="682"/>
      <c r="J759" s="682"/>
      <c r="P759" s="682"/>
      <c r="Q759" s="682"/>
      <c r="R759" s="682"/>
      <c r="S759" s="682"/>
      <c r="T759" s="682"/>
      <c r="U759" s="682"/>
      <c r="V759" s="682"/>
      <c r="W759" s="682"/>
      <c r="X759" s="682"/>
      <c r="Y759" s="682"/>
    </row>
    <row r="760" spans="1:25" ht="11.25" customHeight="1">
      <c r="A760" s="682"/>
      <c r="B760" s="682"/>
      <c r="C760" s="682"/>
      <c r="D760" s="683"/>
      <c r="E760" s="682"/>
      <c r="F760" s="682"/>
      <c r="G760" s="682"/>
      <c r="H760" s="682"/>
      <c r="I760" s="682"/>
      <c r="J760" s="682"/>
      <c r="P760" s="682"/>
      <c r="Q760" s="682"/>
      <c r="R760" s="682"/>
      <c r="S760" s="682"/>
      <c r="T760" s="682"/>
      <c r="U760" s="682"/>
      <c r="V760" s="682"/>
      <c r="W760" s="682"/>
      <c r="X760" s="682"/>
      <c r="Y760" s="682"/>
    </row>
    <row r="761" spans="1:25" ht="11.25" customHeight="1">
      <c r="A761" s="682"/>
      <c r="B761" s="682"/>
      <c r="C761" s="682"/>
      <c r="D761" s="683"/>
      <c r="E761" s="682"/>
      <c r="F761" s="682"/>
      <c r="G761" s="682"/>
      <c r="H761" s="682"/>
      <c r="I761" s="682"/>
      <c r="J761" s="682"/>
      <c r="P761" s="682"/>
      <c r="Q761" s="682"/>
      <c r="R761" s="682"/>
      <c r="S761" s="682"/>
      <c r="T761" s="682"/>
      <c r="U761" s="682"/>
      <c r="V761" s="682"/>
      <c r="W761" s="682"/>
      <c r="X761" s="682"/>
      <c r="Y761" s="682"/>
    </row>
    <row r="762" spans="1:25" ht="11.25" customHeight="1">
      <c r="A762" s="682"/>
      <c r="B762" s="682"/>
      <c r="C762" s="682"/>
      <c r="D762" s="683"/>
      <c r="E762" s="682"/>
      <c r="F762" s="682"/>
      <c r="G762" s="682"/>
      <c r="H762" s="682"/>
      <c r="I762" s="682"/>
      <c r="J762" s="682"/>
      <c r="P762" s="682"/>
      <c r="Q762" s="682"/>
      <c r="R762" s="682"/>
      <c r="S762" s="682"/>
      <c r="T762" s="682"/>
      <c r="U762" s="682"/>
      <c r="V762" s="682"/>
      <c r="W762" s="682"/>
      <c r="X762" s="682"/>
      <c r="Y762" s="682"/>
    </row>
    <row r="763" spans="1:25" ht="11.25" customHeight="1">
      <c r="A763" s="682"/>
      <c r="B763" s="682"/>
      <c r="C763" s="682"/>
      <c r="D763" s="683"/>
      <c r="E763" s="682"/>
      <c r="F763" s="682"/>
      <c r="G763" s="682"/>
      <c r="H763" s="682"/>
      <c r="I763" s="682"/>
      <c r="J763" s="682"/>
      <c r="P763" s="682"/>
      <c r="Q763" s="682"/>
      <c r="R763" s="682"/>
      <c r="S763" s="682"/>
      <c r="T763" s="682"/>
      <c r="U763" s="682"/>
      <c r="V763" s="682"/>
      <c r="W763" s="682"/>
      <c r="X763" s="682"/>
      <c r="Y763" s="682"/>
    </row>
    <row r="764" spans="1:25" ht="11.25" customHeight="1">
      <c r="A764" s="682"/>
      <c r="B764" s="682"/>
      <c r="C764" s="682"/>
      <c r="D764" s="683"/>
      <c r="E764" s="682"/>
      <c r="F764" s="682"/>
      <c r="G764" s="682"/>
      <c r="H764" s="682"/>
      <c r="I764" s="682"/>
      <c r="J764" s="682"/>
      <c r="P764" s="682"/>
      <c r="Q764" s="682"/>
      <c r="R764" s="682"/>
      <c r="S764" s="682"/>
      <c r="T764" s="682"/>
      <c r="U764" s="682"/>
      <c r="V764" s="682"/>
      <c r="W764" s="682"/>
      <c r="X764" s="682"/>
      <c r="Y764" s="682"/>
    </row>
    <row r="765" spans="1:25" ht="11.25" customHeight="1">
      <c r="A765" s="682"/>
      <c r="B765" s="682"/>
      <c r="C765" s="682"/>
      <c r="D765" s="683"/>
      <c r="E765" s="682"/>
      <c r="F765" s="682"/>
      <c r="G765" s="682"/>
      <c r="H765" s="682"/>
      <c r="I765" s="682"/>
      <c r="J765" s="682"/>
      <c r="P765" s="682"/>
      <c r="Q765" s="682"/>
      <c r="R765" s="682"/>
      <c r="S765" s="682"/>
      <c r="T765" s="682"/>
      <c r="U765" s="682"/>
      <c r="V765" s="682"/>
      <c r="W765" s="682"/>
      <c r="X765" s="682"/>
      <c r="Y765" s="682"/>
    </row>
    <row r="766" spans="1:25" ht="11.25" customHeight="1">
      <c r="A766" s="682"/>
      <c r="B766" s="682"/>
      <c r="C766" s="682"/>
      <c r="D766" s="683"/>
      <c r="E766" s="682"/>
      <c r="F766" s="682"/>
      <c r="G766" s="682"/>
      <c r="H766" s="682"/>
      <c r="I766" s="682"/>
      <c r="J766" s="682"/>
      <c r="P766" s="682"/>
      <c r="Q766" s="682"/>
      <c r="R766" s="682"/>
      <c r="S766" s="682"/>
      <c r="T766" s="682"/>
      <c r="U766" s="682"/>
      <c r="V766" s="682"/>
      <c r="W766" s="682"/>
      <c r="X766" s="682"/>
      <c r="Y766" s="682"/>
    </row>
    <row r="767" spans="1:25" ht="11.25" customHeight="1">
      <c r="A767" s="682"/>
      <c r="B767" s="682"/>
      <c r="C767" s="682"/>
      <c r="D767" s="683"/>
      <c r="E767" s="682"/>
      <c r="F767" s="682"/>
      <c r="G767" s="682"/>
      <c r="H767" s="682"/>
      <c r="I767" s="682"/>
      <c r="J767" s="682"/>
      <c r="P767" s="682"/>
      <c r="Q767" s="682"/>
      <c r="R767" s="682"/>
      <c r="S767" s="682"/>
      <c r="T767" s="682"/>
      <c r="U767" s="682"/>
      <c r="V767" s="682"/>
      <c r="W767" s="682"/>
      <c r="X767" s="682"/>
      <c r="Y767" s="682"/>
    </row>
    <row r="768" spans="1:25" ht="11.25" customHeight="1">
      <c r="A768" s="682"/>
      <c r="B768" s="682"/>
      <c r="C768" s="682"/>
      <c r="D768" s="683"/>
      <c r="E768" s="682"/>
      <c r="F768" s="682"/>
      <c r="G768" s="682"/>
      <c r="H768" s="682"/>
      <c r="I768" s="682"/>
      <c r="J768" s="682"/>
      <c r="P768" s="682"/>
      <c r="Q768" s="682"/>
      <c r="R768" s="682"/>
      <c r="S768" s="682"/>
      <c r="T768" s="682"/>
      <c r="U768" s="682"/>
      <c r="V768" s="682"/>
      <c r="W768" s="682"/>
      <c r="X768" s="682"/>
      <c r="Y768" s="682"/>
    </row>
    <row r="769" spans="1:25" ht="11.25" customHeight="1">
      <c r="A769" s="682"/>
      <c r="B769" s="682"/>
      <c r="C769" s="682"/>
      <c r="D769" s="683"/>
      <c r="E769" s="682"/>
      <c r="F769" s="682"/>
      <c r="G769" s="682"/>
      <c r="H769" s="682"/>
      <c r="I769" s="682"/>
      <c r="J769" s="682"/>
      <c r="P769" s="682"/>
      <c r="Q769" s="682"/>
      <c r="R769" s="682"/>
      <c r="S769" s="682"/>
      <c r="T769" s="682"/>
      <c r="U769" s="682"/>
      <c r="V769" s="682"/>
      <c r="W769" s="682"/>
      <c r="X769" s="682"/>
      <c r="Y769" s="682"/>
    </row>
    <row r="770" spans="1:25" ht="11.25" customHeight="1">
      <c r="A770" s="682"/>
      <c r="B770" s="682"/>
      <c r="C770" s="682"/>
      <c r="D770" s="683"/>
      <c r="E770" s="682"/>
      <c r="F770" s="682"/>
      <c r="G770" s="682"/>
      <c r="H770" s="682"/>
      <c r="I770" s="682"/>
      <c r="J770" s="682"/>
      <c r="P770" s="682"/>
      <c r="Q770" s="682"/>
      <c r="R770" s="682"/>
      <c r="S770" s="682"/>
      <c r="T770" s="682"/>
      <c r="U770" s="682"/>
      <c r="V770" s="682"/>
      <c r="W770" s="682"/>
      <c r="X770" s="682"/>
      <c r="Y770" s="682"/>
    </row>
    <row r="771" spans="1:25" ht="11.25" customHeight="1">
      <c r="A771" s="682"/>
      <c r="B771" s="682"/>
      <c r="C771" s="682"/>
      <c r="D771" s="683"/>
      <c r="E771" s="682"/>
      <c r="F771" s="682"/>
      <c r="G771" s="682"/>
      <c r="H771" s="682"/>
      <c r="I771" s="682"/>
      <c r="J771" s="682"/>
      <c r="P771" s="682"/>
      <c r="Q771" s="682"/>
      <c r="R771" s="682"/>
      <c r="S771" s="682"/>
      <c r="T771" s="682"/>
      <c r="U771" s="682"/>
      <c r="V771" s="682"/>
      <c r="W771" s="682"/>
      <c r="X771" s="682"/>
      <c r="Y771" s="682"/>
    </row>
    <row r="772" spans="1:25" ht="11.25" customHeight="1">
      <c r="A772" s="682"/>
      <c r="B772" s="682"/>
      <c r="C772" s="682"/>
      <c r="D772" s="683"/>
      <c r="E772" s="682"/>
      <c r="F772" s="682"/>
      <c r="G772" s="682"/>
      <c r="H772" s="682"/>
      <c r="I772" s="682"/>
      <c r="J772" s="682"/>
      <c r="P772" s="682"/>
      <c r="Q772" s="682"/>
      <c r="R772" s="682"/>
      <c r="S772" s="682"/>
      <c r="T772" s="682"/>
      <c r="U772" s="682"/>
      <c r="V772" s="682"/>
      <c r="W772" s="682"/>
      <c r="X772" s="682"/>
      <c r="Y772" s="682"/>
    </row>
    <row r="773" spans="1:25" ht="11.25" customHeight="1">
      <c r="A773" s="682"/>
      <c r="B773" s="682"/>
      <c r="C773" s="682"/>
      <c r="D773" s="683"/>
      <c r="E773" s="682"/>
      <c r="F773" s="682"/>
      <c r="G773" s="682"/>
      <c r="H773" s="682"/>
      <c r="I773" s="682"/>
      <c r="J773" s="682"/>
      <c r="P773" s="682"/>
      <c r="Q773" s="682"/>
      <c r="R773" s="682"/>
      <c r="S773" s="682"/>
      <c r="T773" s="682"/>
      <c r="U773" s="682"/>
      <c r="V773" s="682"/>
      <c r="W773" s="682"/>
      <c r="X773" s="682"/>
      <c r="Y773" s="682"/>
    </row>
    <row r="774" spans="1:25" ht="11.25" customHeight="1">
      <c r="A774" s="682"/>
      <c r="B774" s="682"/>
      <c r="C774" s="682"/>
      <c r="D774" s="683"/>
      <c r="E774" s="682"/>
      <c r="F774" s="682"/>
      <c r="G774" s="682"/>
      <c r="H774" s="682"/>
      <c r="I774" s="682"/>
      <c r="J774" s="682"/>
      <c r="P774" s="682"/>
      <c r="Q774" s="682"/>
      <c r="R774" s="682"/>
      <c r="S774" s="682"/>
      <c r="T774" s="682"/>
      <c r="U774" s="682"/>
      <c r="V774" s="682"/>
      <c r="W774" s="682"/>
      <c r="X774" s="682"/>
      <c r="Y774" s="682"/>
    </row>
    <row r="775" spans="1:25" ht="11.25" customHeight="1">
      <c r="A775" s="682"/>
      <c r="B775" s="682"/>
      <c r="C775" s="682"/>
      <c r="D775" s="683"/>
      <c r="E775" s="682"/>
      <c r="F775" s="682"/>
      <c r="G775" s="682"/>
      <c r="H775" s="682"/>
      <c r="I775" s="682"/>
      <c r="J775" s="682"/>
      <c r="P775" s="682"/>
      <c r="Q775" s="682"/>
      <c r="R775" s="682"/>
      <c r="S775" s="682"/>
      <c r="T775" s="682"/>
      <c r="U775" s="682"/>
      <c r="V775" s="682"/>
      <c r="W775" s="682"/>
      <c r="X775" s="682"/>
      <c r="Y775" s="682"/>
    </row>
    <row r="776" spans="1:25" ht="11.25" customHeight="1">
      <c r="A776" s="682"/>
      <c r="B776" s="682"/>
      <c r="C776" s="682"/>
      <c r="D776" s="683"/>
      <c r="E776" s="682"/>
      <c r="F776" s="682"/>
      <c r="G776" s="682"/>
      <c r="H776" s="682"/>
      <c r="I776" s="682"/>
      <c r="J776" s="682"/>
      <c r="P776" s="682"/>
      <c r="Q776" s="682"/>
      <c r="R776" s="682"/>
      <c r="S776" s="682"/>
      <c r="T776" s="682"/>
      <c r="U776" s="682"/>
      <c r="V776" s="682"/>
      <c r="W776" s="682"/>
      <c r="X776" s="682"/>
      <c r="Y776" s="682"/>
    </row>
    <row r="777" spans="1:25" ht="11.25" customHeight="1">
      <c r="A777" s="682"/>
      <c r="B777" s="682"/>
      <c r="C777" s="682"/>
      <c r="D777" s="683"/>
      <c r="E777" s="682"/>
      <c r="F777" s="682"/>
      <c r="G777" s="682"/>
      <c r="H777" s="682"/>
      <c r="I777" s="682"/>
      <c r="J777" s="682"/>
      <c r="P777" s="682"/>
      <c r="Q777" s="682"/>
      <c r="R777" s="682"/>
      <c r="S777" s="682"/>
      <c r="T777" s="682"/>
      <c r="U777" s="682"/>
      <c r="V777" s="682"/>
      <c r="W777" s="682"/>
      <c r="X777" s="682"/>
      <c r="Y777" s="682"/>
    </row>
    <row r="778" spans="1:25" ht="11.25" customHeight="1">
      <c r="A778" s="682"/>
      <c r="B778" s="682"/>
      <c r="C778" s="682"/>
      <c r="D778" s="683"/>
      <c r="E778" s="682"/>
      <c r="F778" s="682"/>
      <c r="G778" s="682"/>
      <c r="H778" s="682"/>
      <c r="I778" s="682"/>
      <c r="J778" s="682"/>
      <c r="P778" s="682"/>
      <c r="Q778" s="682"/>
      <c r="R778" s="682"/>
      <c r="S778" s="682"/>
      <c r="T778" s="682"/>
      <c r="U778" s="682"/>
      <c r="V778" s="682"/>
      <c r="W778" s="682"/>
      <c r="X778" s="682"/>
      <c r="Y778" s="682"/>
    </row>
    <row r="779" spans="1:25" ht="11.25" customHeight="1">
      <c r="A779" s="682"/>
      <c r="B779" s="682"/>
      <c r="C779" s="682"/>
      <c r="D779" s="683"/>
      <c r="E779" s="682"/>
      <c r="F779" s="682"/>
      <c r="G779" s="682"/>
      <c r="H779" s="682"/>
      <c r="I779" s="682"/>
      <c r="J779" s="682"/>
      <c r="P779" s="682"/>
      <c r="Q779" s="682"/>
      <c r="R779" s="682"/>
      <c r="S779" s="682"/>
      <c r="T779" s="682"/>
      <c r="U779" s="682"/>
      <c r="V779" s="682"/>
      <c r="W779" s="682"/>
      <c r="X779" s="682"/>
      <c r="Y779" s="682"/>
    </row>
    <row r="780" spans="1:25" ht="11.25" customHeight="1">
      <c r="A780" s="682"/>
      <c r="B780" s="682"/>
      <c r="C780" s="682"/>
      <c r="D780" s="683"/>
      <c r="E780" s="682"/>
      <c r="F780" s="682"/>
      <c r="G780" s="682"/>
      <c r="H780" s="682"/>
      <c r="I780" s="682"/>
      <c r="J780" s="682"/>
      <c r="P780" s="682"/>
      <c r="Q780" s="682"/>
      <c r="R780" s="682"/>
      <c r="S780" s="682"/>
      <c r="T780" s="682"/>
      <c r="U780" s="682"/>
      <c r="V780" s="682"/>
      <c r="W780" s="682"/>
      <c r="X780" s="682"/>
      <c r="Y780" s="682"/>
    </row>
    <row r="781" spans="1:25" ht="11.25" customHeight="1">
      <c r="A781" s="682"/>
      <c r="B781" s="682"/>
      <c r="C781" s="682"/>
      <c r="D781" s="683"/>
      <c r="E781" s="682"/>
      <c r="F781" s="682"/>
      <c r="G781" s="682"/>
      <c r="H781" s="682"/>
      <c r="I781" s="682"/>
      <c r="J781" s="682"/>
      <c r="P781" s="682"/>
      <c r="Q781" s="682"/>
      <c r="R781" s="682"/>
      <c r="S781" s="682"/>
      <c r="T781" s="682"/>
      <c r="U781" s="682"/>
      <c r="V781" s="682"/>
      <c r="W781" s="682"/>
      <c r="X781" s="682"/>
      <c r="Y781" s="682"/>
    </row>
    <row r="782" spans="1:25" ht="11.25" customHeight="1">
      <c r="A782" s="682"/>
      <c r="B782" s="682"/>
      <c r="C782" s="682"/>
      <c r="D782" s="683"/>
      <c r="E782" s="682"/>
      <c r="F782" s="682"/>
      <c r="G782" s="682"/>
      <c r="H782" s="682"/>
      <c r="I782" s="682"/>
      <c r="J782" s="682"/>
      <c r="P782" s="682"/>
      <c r="Q782" s="682"/>
      <c r="R782" s="682"/>
      <c r="S782" s="682"/>
      <c r="T782" s="682"/>
      <c r="U782" s="682"/>
      <c r="V782" s="682"/>
      <c r="W782" s="682"/>
      <c r="X782" s="682"/>
      <c r="Y782" s="682"/>
    </row>
    <row r="783" spans="1:25" ht="11.25" customHeight="1">
      <c r="A783" s="682"/>
      <c r="B783" s="682"/>
      <c r="C783" s="682"/>
      <c r="D783" s="683"/>
      <c r="E783" s="682"/>
      <c r="F783" s="682"/>
      <c r="G783" s="682"/>
      <c r="H783" s="682"/>
      <c r="I783" s="682"/>
      <c r="J783" s="682"/>
      <c r="P783" s="682"/>
      <c r="Q783" s="682"/>
      <c r="R783" s="682"/>
      <c r="S783" s="682"/>
      <c r="T783" s="682"/>
      <c r="U783" s="682"/>
      <c r="V783" s="682"/>
      <c r="W783" s="682"/>
      <c r="X783" s="682"/>
      <c r="Y783" s="682"/>
    </row>
    <row r="784" spans="1:25" ht="11.25" customHeight="1">
      <c r="A784" s="682"/>
      <c r="B784" s="682"/>
      <c r="C784" s="682"/>
      <c r="D784" s="683"/>
      <c r="E784" s="682"/>
      <c r="F784" s="682"/>
      <c r="G784" s="682"/>
      <c r="H784" s="682"/>
      <c r="I784" s="682"/>
      <c r="J784" s="682"/>
      <c r="P784" s="682"/>
      <c r="Q784" s="682"/>
      <c r="R784" s="682"/>
      <c r="S784" s="682"/>
      <c r="T784" s="682"/>
      <c r="U784" s="682"/>
      <c r="V784" s="682"/>
      <c r="W784" s="682"/>
      <c r="X784" s="682"/>
      <c r="Y784" s="682"/>
    </row>
    <row r="785" spans="1:25" ht="11.25" customHeight="1">
      <c r="A785" s="682"/>
      <c r="B785" s="682"/>
      <c r="C785" s="682"/>
      <c r="D785" s="683"/>
      <c r="E785" s="682"/>
      <c r="F785" s="682"/>
      <c r="G785" s="682"/>
      <c r="H785" s="682"/>
      <c r="I785" s="682"/>
      <c r="J785" s="682"/>
      <c r="P785" s="682"/>
      <c r="Q785" s="682"/>
      <c r="R785" s="682"/>
      <c r="S785" s="682"/>
      <c r="T785" s="682"/>
      <c r="U785" s="682"/>
      <c r="V785" s="682"/>
      <c r="W785" s="682"/>
      <c r="X785" s="682"/>
      <c r="Y785" s="682"/>
    </row>
    <row r="786" spans="1:25" ht="11.25" customHeight="1">
      <c r="A786" s="682"/>
      <c r="B786" s="682"/>
      <c r="C786" s="682"/>
      <c r="D786" s="683"/>
      <c r="E786" s="682"/>
      <c r="F786" s="682"/>
      <c r="G786" s="682"/>
      <c r="H786" s="682"/>
      <c r="I786" s="682"/>
      <c r="J786" s="682"/>
      <c r="P786" s="682"/>
      <c r="Q786" s="682"/>
      <c r="R786" s="682"/>
      <c r="S786" s="682"/>
      <c r="T786" s="682"/>
      <c r="U786" s="682"/>
      <c r="V786" s="682"/>
      <c r="W786" s="682"/>
      <c r="X786" s="682"/>
      <c r="Y786" s="682"/>
    </row>
    <row r="787" spans="1:25" ht="11.25" customHeight="1">
      <c r="A787" s="682"/>
      <c r="B787" s="682"/>
      <c r="C787" s="682"/>
      <c r="D787" s="683"/>
      <c r="E787" s="682"/>
      <c r="F787" s="682"/>
      <c r="G787" s="682"/>
      <c r="H787" s="682"/>
      <c r="I787" s="682"/>
      <c r="J787" s="682"/>
      <c r="P787" s="682"/>
      <c r="Q787" s="682"/>
      <c r="R787" s="682"/>
      <c r="S787" s="682"/>
      <c r="T787" s="682"/>
      <c r="U787" s="682"/>
      <c r="V787" s="682"/>
      <c r="W787" s="682"/>
      <c r="X787" s="682"/>
      <c r="Y787" s="682"/>
    </row>
    <row r="788" spans="1:25" ht="11.25" customHeight="1">
      <c r="A788" s="682"/>
      <c r="B788" s="682"/>
      <c r="C788" s="682"/>
      <c r="D788" s="683"/>
      <c r="E788" s="682"/>
      <c r="F788" s="682"/>
      <c r="G788" s="682"/>
      <c r="H788" s="682"/>
      <c r="I788" s="682"/>
      <c r="J788" s="682"/>
      <c r="P788" s="682"/>
      <c r="Q788" s="682"/>
      <c r="R788" s="682"/>
      <c r="S788" s="682"/>
      <c r="T788" s="682"/>
      <c r="U788" s="682"/>
      <c r="V788" s="682"/>
      <c r="W788" s="682"/>
      <c r="X788" s="682"/>
      <c r="Y788" s="682"/>
    </row>
    <row r="789" spans="1:25" ht="11.25" customHeight="1">
      <c r="A789" s="682"/>
      <c r="B789" s="682"/>
      <c r="C789" s="682"/>
      <c r="D789" s="683"/>
      <c r="E789" s="682"/>
      <c r="F789" s="682"/>
      <c r="G789" s="682"/>
      <c r="H789" s="682"/>
      <c r="I789" s="682"/>
      <c r="J789" s="682"/>
      <c r="P789" s="682"/>
      <c r="Q789" s="682"/>
      <c r="R789" s="682"/>
      <c r="S789" s="682"/>
      <c r="T789" s="682"/>
      <c r="U789" s="682"/>
      <c r="V789" s="682"/>
      <c r="W789" s="682"/>
      <c r="X789" s="682"/>
      <c r="Y789" s="682"/>
    </row>
    <row r="790" spans="1:25" ht="11.25" customHeight="1">
      <c r="A790" s="682"/>
      <c r="B790" s="682"/>
      <c r="C790" s="682"/>
      <c r="D790" s="683"/>
      <c r="E790" s="682"/>
      <c r="F790" s="682"/>
      <c r="G790" s="682"/>
      <c r="H790" s="682"/>
      <c r="I790" s="682"/>
      <c r="J790" s="682"/>
      <c r="P790" s="682"/>
      <c r="Q790" s="682"/>
      <c r="R790" s="682"/>
      <c r="S790" s="682"/>
      <c r="T790" s="682"/>
      <c r="U790" s="682"/>
      <c r="V790" s="682"/>
      <c r="W790" s="682"/>
      <c r="X790" s="682"/>
      <c r="Y790" s="682"/>
    </row>
    <row r="791" spans="1:25" ht="11.25" customHeight="1">
      <c r="A791" s="682"/>
      <c r="B791" s="682"/>
      <c r="C791" s="682"/>
      <c r="D791" s="683"/>
      <c r="E791" s="682"/>
      <c r="F791" s="682"/>
      <c r="G791" s="682"/>
      <c r="H791" s="682"/>
      <c r="I791" s="682"/>
      <c r="J791" s="682"/>
      <c r="P791" s="682"/>
      <c r="Q791" s="682"/>
      <c r="R791" s="682"/>
      <c r="S791" s="682"/>
      <c r="T791" s="682"/>
      <c r="U791" s="682"/>
      <c r="V791" s="682"/>
      <c r="W791" s="682"/>
      <c r="X791" s="682"/>
      <c r="Y791" s="682"/>
    </row>
    <row r="792" spans="1:25" ht="11.25" customHeight="1">
      <c r="A792" s="682"/>
      <c r="B792" s="682"/>
      <c r="C792" s="682"/>
      <c r="D792" s="683"/>
      <c r="E792" s="682"/>
      <c r="F792" s="682"/>
      <c r="G792" s="682"/>
      <c r="H792" s="682"/>
      <c r="I792" s="682"/>
      <c r="J792" s="682"/>
      <c r="P792" s="682"/>
      <c r="Q792" s="682"/>
      <c r="R792" s="682"/>
      <c r="S792" s="682"/>
      <c r="T792" s="682"/>
      <c r="U792" s="682"/>
      <c r="V792" s="682"/>
      <c r="W792" s="682"/>
      <c r="X792" s="682"/>
      <c r="Y792" s="682"/>
    </row>
    <row r="793" spans="1:25" ht="11.25" customHeight="1">
      <c r="A793" s="682"/>
      <c r="B793" s="682"/>
      <c r="C793" s="682"/>
      <c r="D793" s="683"/>
      <c r="E793" s="682"/>
      <c r="F793" s="682"/>
      <c r="G793" s="682"/>
      <c r="H793" s="682"/>
      <c r="I793" s="682"/>
      <c r="J793" s="682"/>
      <c r="P793" s="682"/>
      <c r="Q793" s="682"/>
      <c r="R793" s="682"/>
      <c r="S793" s="682"/>
      <c r="T793" s="682"/>
      <c r="U793" s="682"/>
      <c r="V793" s="682"/>
      <c r="W793" s="682"/>
      <c r="X793" s="682"/>
      <c r="Y793" s="682"/>
    </row>
    <row r="794" spans="1:25" ht="11.25" customHeight="1">
      <c r="A794" s="682"/>
      <c r="B794" s="682"/>
      <c r="C794" s="682"/>
      <c r="D794" s="683"/>
      <c r="E794" s="682"/>
      <c r="F794" s="682"/>
      <c r="G794" s="682"/>
      <c r="H794" s="682"/>
      <c r="I794" s="682"/>
      <c r="J794" s="682"/>
      <c r="P794" s="682"/>
      <c r="Q794" s="682"/>
      <c r="R794" s="682"/>
      <c r="S794" s="682"/>
      <c r="T794" s="682"/>
      <c r="U794" s="682"/>
      <c r="V794" s="682"/>
      <c r="W794" s="682"/>
      <c r="X794" s="682"/>
      <c r="Y794" s="682"/>
    </row>
    <row r="795" spans="1:25" ht="11.25" customHeight="1">
      <c r="A795" s="682"/>
      <c r="B795" s="682"/>
      <c r="C795" s="682"/>
      <c r="D795" s="683"/>
      <c r="E795" s="682"/>
      <c r="F795" s="682"/>
      <c r="G795" s="682"/>
      <c r="H795" s="682"/>
      <c r="I795" s="682"/>
      <c r="J795" s="682"/>
      <c r="P795" s="682"/>
      <c r="Q795" s="682"/>
      <c r="R795" s="682"/>
      <c r="S795" s="682"/>
      <c r="T795" s="682"/>
      <c r="U795" s="682"/>
      <c r="V795" s="682"/>
      <c r="W795" s="682"/>
      <c r="X795" s="682"/>
      <c r="Y795" s="682"/>
    </row>
    <row r="796" spans="1:25" ht="11.25" customHeight="1">
      <c r="A796" s="682"/>
      <c r="B796" s="682"/>
      <c r="C796" s="682"/>
      <c r="D796" s="683"/>
      <c r="E796" s="682"/>
      <c r="F796" s="682"/>
      <c r="G796" s="682"/>
      <c r="H796" s="682"/>
      <c r="I796" s="682"/>
      <c r="J796" s="682"/>
      <c r="P796" s="682"/>
      <c r="Q796" s="682"/>
      <c r="R796" s="682"/>
      <c r="S796" s="682"/>
      <c r="T796" s="682"/>
      <c r="U796" s="682"/>
      <c r="V796" s="682"/>
      <c r="W796" s="682"/>
      <c r="X796" s="682"/>
      <c r="Y796" s="682"/>
    </row>
    <row r="797" spans="1:25" ht="11.25" customHeight="1">
      <c r="A797" s="682"/>
      <c r="B797" s="682"/>
      <c r="C797" s="682"/>
      <c r="D797" s="683"/>
      <c r="E797" s="682"/>
      <c r="F797" s="682"/>
      <c r="G797" s="682"/>
      <c r="H797" s="682"/>
      <c r="I797" s="682"/>
      <c r="J797" s="682"/>
      <c r="P797" s="682"/>
      <c r="Q797" s="682"/>
      <c r="R797" s="682"/>
      <c r="S797" s="682"/>
      <c r="T797" s="682"/>
      <c r="U797" s="682"/>
      <c r="V797" s="682"/>
      <c r="W797" s="682"/>
      <c r="X797" s="682"/>
      <c r="Y797" s="682"/>
    </row>
    <row r="798" spans="1:25" ht="11.25" customHeight="1">
      <c r="A798" s="682"/>
      <c r="B798" s="682"/>
      <c r="C798" s="682"/>
      <c r="D798" s="683"/>
      <c r="E798" s="682"/>
      <c r="F798" s="682"/>
      <c r="G798" s="682"/>
      <c r="H798" s="682"/>
      <c r="I798" s="682"/>
      <c r="J798" s="682"/>
      <c r="P798" s="682"/>
      <c r="Q798" s="682"/>
      <c r="R798" s="682"/>
      <c r="S798" s="682"/>
      <c r="T798" s="682"/>
      <c r="U798" s="682"/>
      <c r="V798" s="682"/>
      <c r="W798" s="682"/>
      <c r="X798" s="682"/>
      <c r="Y798" s="682"/>
    </row>
    <row r="799" spans="1:25" ht="11.25" customHeight="1">
      <c r="A799" s="682"/>
      <c r="B799" s="682"/>
      <c r="C799" s="682"/>
      <c r="D799" s="683"/>
      <c r="E799" s="682"/>
      <c r="F799" s="682"/>
      <c r="G799" s="682"/>
      <c r="H799" s="682"/>
      <c r="I799" s="682"/>
      <c r="J799" s="682"/>
      <c r="P799" s="682"/>
      <c r="Q799" s="682"/>
      <c r="R799" s="682"/>
      <c r="S799" s="682"/>
      <c r="T799" s="682"/>
      <c r="U799" s="682"/>
      <c r="V799" s="682"/>
      <c r="W799" s="682"/>
      <c r="X799" s="682"/>
      <c r="Y799" s="682"/>
    </row>
    <row r="800" spans="1:25" ht="11.25" customHeight="1">
      <c r="A800" s="682"/>
      <c r="B800" s="682"/>
      <c r="C800" s="682"/>
      <c r="D800" s="683"/>
      <c r="E800" s="682"/>
      <c r="F800" s="682"/>
      <c r="G800" s="682"/>
      <c r="H800" s="682"/>
      <c r="I800" s="682"/>
      <c r="J800" s="682"/>
      <c r="P800" s="682"/>
      <c r="Q800" s="682"/>
      <c r="R800" s="682"/>
      <c r="S800" s="682"/>
      <c r="T800" s="682"/>
      <c r="U800" s="682"/>
      <c r="V800" s="682"/>
      <c r="W800" s="682"/>
      <c r="X800" s="682"/>
      <c r="Y800" s="682"/>
    </row>
    <row r="801" spans="1:25" ht="11.25" customHeight="1">
      <c r="A801" s="682"/>
      <c r="B801" s="682"/>
      <c r="C801" s="682"/>
      <c r="D801" s="683"/>
      <c r="E801" s="682"/>
      <c r="F801" s="682"/>
      <c r="G801" s="682"/>
      <c r="H801" s="682"/>
      <c r="I801" s="682"/>
      <c r="J801" s="682"/>
      <c r="P801" s="682"/>
      <c r="Q801" s="682"/>
      <c r="R801" s="682"/>
      <c r="S801" s="682"/>
      <c r="T801" s="682"/>
      <c r="U801" s="682"/>
      <c r="V801" s="682"/>
      <c r="W801" s="682"/>
      <c r="X801" s="682"/>
      <c r="Y801" s="682"/>
    </row>
    <row r="802" spans="1:25" ht="11.25" customHeight="1">
      <c r="A802" s="682"/>
      <c r="B802" s="682"/>
      <c r="C802" s="682"/>
      <c r="D802" s="683"/>
      <c r="E802" s="682"/>
      <c r="F802" s="682"/>
      <c r="G802" s="682"/>
      <c r="H802" s="682"/>
      <c r="I802" s="682"/>
      <c r="J802" s="682"/>
      <c r="P802" s="682"/>
      <c r="Q802" s="682"/>
      <c r="R802" s="682"/>
      <c r="S802" s="682"/>
      <c r="T802" s="682"/>
      <c r="U802" s="682"/>
      <c r="V802" s="682"/>
      <c r="W802" s="682"/>
      <c r="X802" s="682"/>
      <c r="Y802" s="682"/>
    </row>
    <row r="803" spans="1:25" ht="11.25" customHeight="1">
      <c r="A803" s="682"/>
      <c r="B803" s="682"/>
      <c r="C803" s="682"/>
      <c r="D803" s="683"/>
      <c r="E803" s="682"/>
      <c r="F803" s="682"/>
      <c r="G803" s="682"/>
      <c r="H803" s="682"/>
      <c r="I803" s="682"/>
      <c r="J803" s="682"/>
      <c r="P803" s="682"/>
      <c r="Q803" s="682"/>
      <c r="R803" s="682"/>
      <c r="S803" s="682"/>
      <c r="T803" s="682"/>
      <c r="U803" s="682"/>
      <c r="V803" s="682"/>
      <c r="W803" s="682"/>
      <c r="X803" s="682"/>
      <c r="Y803" s="682"/>
    </row>
    <row r="804" spans="1:25" ht="11.25" customHeight="1">
      <c r="A804" s="682"/>
      <c r="B804" s="682"/>
      <c r="C804" s="682"/>
      <c r="D804" s="683"/>
      <c r="E804" s="682"/>
      <c r="F804" s="682"/>
      <c r="G804" s="682"/>
      <c r="H804" s="682"/>
      <c r="I804" s="682"/>
      <c r="J804" s="682"/>
      <c r="P804" s="682"/>
      <c r="Q804" s="682"/>
      <c r="R804" s="682"/>
      <c r="S804" s="682"/>
      <c r="T804" s="682"/>
      <c r="U804" s="682"/>
      <c r="V804" s="682"/>
      <c r="W804" s="682"/>
      <c r="X804" s="682"/>
      <c r="Y804" s="682"/>
    </row>
    <row r="805" spans="1:25" ht="11.25" customHeight="1">
      <c r="A805" s="682"/>
      <c r="B805" s="682"/>
      <c r="C805" s="682"/>
      <c r="D805" s="683"/>
      <c r="E805" s="682"/>
      <c r="F805" s="682"/>
      <c r="G805" s="682"/>
      <c r="H805" s="682"/>
      <c r="I805" s="682"/>
      <c r="J805" s="682"/>
      <c r="P805" s="682"/>
      <c r="Q805" s="682"/>
      <c r="R805" s="682"/>
      <c r="S805" s="682"/>
      <c r="T805" s="682"/>
      <c r="U805" s="682"/>
      <c r="V805" s="682"/>
      <c r="W805" s="682"/>
      <c r="X805" s="682"/>
      <c r="Y805" s="682"/>
    </row>
    <row r="806" spans="1:25" ht="11.25" customHeight="1">
      <c r="A806" s="682"/>
      <c r="B806" s="682"/>
      <c r="C806" s="682"/>
      <c r="D806" s="683"/>
      <c r="E806" s="682"/>
      <c r="F806" s="682"/>
      <c r="G806" s="682"/>
      <c r="H806" s="682"/>
      <c r="I806" s="682"/>
      <c r="J806" s="682"/>
      <c r="P806" s="682"/>
      <c r="Q806" s="682"/>
      <c r="R806" s="682"/>
      <c r="S806" s="682"/>
      <c r="T806" s="682"/>
      <c r="U806" s="682"/>
      <c r="V806" s="682"/>
      <c r="W806" s="682"/>
      <c r="X806" s="682"/>
      <c r="Y806" s="682"/>
    </row>
    <row r="807" spans="1:25" ht="11.25" customHeight="1">
      <c r="A807" s="682"/>
      <c r="B807" s="682"/>
      <c r="C807" s="682"/>
      <c r="D807" s="683"/>
      <c r="E807" s="682"/>
      <c r="F807" s="682"/>
      <c r="G807" s="682"/>
      <c r="H807" s="682"/>
      <c r="I807" s="682"/>
      <c r="J807" s="682"/>
      <c r="P807" s="682"/>
      <c r="Q807" s="682"/>
      <c r="R807" s="682"/>
      <c r="S807" s="682"/>
      <c r="T807" s="682"/>
      <c r="U807" s="682"/>
      <c r="V807" s="682"/>
      <c r="W807" s="682"/>
      <c r="X807" s="682"/>
      <c r="Y807" s="682"/>
    </row>
    <row r="808" spans="1:25" ht="11.25" customHeight="1">
      <c r="A808" s="682"/>
      <c r="B808" s="682"/>
      <c r="C808" s="682"/>
      <c r="D808" s="683"/>
      <c r="E808" s="682"/>
      <c r="F808" s="682"/>
      <c r="G808" s="682"/>
      <c r="H808" s="682"/>
      <c r="I808" s="682"/>
      <c r="J808" s="682"/>
      <c r="P808" s="682"/>
      <c r="Q808" s="682"/>
      <c r="R808" s="682"/>
      <c r="S808" s="682"/>
      <c r="T808" s="682"/>
      <c r="U808" s="682"/>
      <c r="V808" s="682"/>
      <c r="W808" s="682"/>
      <c r="X808" s="682"/>
      <c r="Y808" s="682"/>
    </row>
    <row r="809" spans="1:25" ht="11.25" customHeight="1">
      <c r="A809" s="682"/>
      <c r="B809" s="682"/>
      <c r="C809" s="682"/>
      <c r="D809" s="683"/>
      <c r="E809" s="682"/>
      <c r="F809" s="682"/>
      <c r="G809" s="682"/>
      <c r="H809" s="682"/>
      <c r="I809" s="682"/>
      <c r="J809" s="682"/>
      <c r="P809" s="682"/>
      <c r="Q809" s="682"/>
      <c r="R809" s="682"/>
      <c r="S809" s="682"/>
      <c r="T809" s="682"/>
      <c r="U809" s="682"/>
      <c r="V809" s="682"/>
      <c r="W809" s="682"/>
      <c r="X809" s="682"/>
      <c r="Y809" s="682"/>
    </row>
    <row r="810" spans="1:25" ht="11.25" customHeight="1">
      <c r="A810" s="682"/>
      <c r="B810" s="682"/>
      <c r="C810" s="682"/>
      <c r="D810" s="683"/>
      <c r="E810" s="682"/>
      <c r="F810" s="682"/>
      <c r="G810" s="682"/>
      <c r="H810" s="682"/>
      <c r="I810" s="682"/>
      <c r="J810" s="682"/>
      <c r="P810" s="682"/>
      <c r="Q810" s="682"/>
      <c r="R810" s="682"/>
      <c r="S810" s="682"/>
      <c r="T810" s="682"/>
      <c r="U810" s="682"/>
      <c r="V810" s="682"/>
      <c r="W810" s="682"/>
      <c r="X810" s="682"/>
      <c r="Y810" s="682"/>
    </row>
    <row r="811" spans="1:25" ht="11.25" customHeight="1">
      <c r="A811" s="682"/>
      <c r="B811" s="682"/>
      <c r="C811" s="682"/>
      <c r="D811" s="683"/>
      <c r="E811" s="682"/>
      <c r="F811" s="682"/>
      <c r="G811" s="682"/>
      <c r="H811" s="682"/>
      <c r="I811" s="682"/>
      <c r="J811" s="682"/>
      <c r="P811" s="682"/>
      <c r="Q811" s="682"/>
      <c r="R811" s="682"/>
      <c r="S811" s="682"/>
      <c r="T811" s="682"/>
      <c r="U811" s="682"/>
      <c r="V811" s="682"/>
      <c r="W811" s="682"/>
      <c r="X811" s="682"/>
      <c r="Y811" s="682"/>
    </row>
    <row r="812" spans="1:25" ht="11.25" customHeight="1">
      <c r="A812" s="682"/>
      <c r="B812" s="682"/>
      <c r="C812" s="682"/>
      <c r="D812" s="683"/>
      <c r="E812" s="682"/>
      <c r="F812" s="682"/>
      <c r="G812" s="682"/>
      <c r="H812" s="682"/>
      <c r="I812" s="682"/>
      <c r="J812" s="682"/>
      <c r="P812" s="682"/>
      <c r="Q812" s="682"/>
      <c r="R812" s="682"/>
      <c r="S812" s="682"/>
      <c r="T812" s="682"/>
      <c r="U812" s="682"/>
      <c r="V812" s="682"/>
      <c r="W812" s="682"/>
      <c r="X812" s="682"/>
      <c r="Y812" s="682"/>
    </row>
    <row r="813" spans="1:25" ht="11.25" customHeight="1">
      <c r="A813" s="682"/>
      <c r="B813" s="682"/>
      <c r="C813" s="682"/>
      <c r="D813" s="683"/>
      <c r="E813" s="682"/>
      <c r="F813" s="682"/>
      <c r="G813" s="682"/>
      <c r="H813" s="682"/>
      <c r="I813" s="682"/>
      <c r="J813" s="682"/>
      <c r="P813" s="682"/>
      <c r="Q813" s="682"/>
      <c r="R813" s="682"/>
      <c r="S813" s="682"/>
      <c r="T813" s="682"/>
      <c r="U813" s="682"/>
      <c r="V813" s="682"/>
      <c r="W813" s="682"/>
      <c r="X813" s="682"/>
      <c r="Y813" s="682"/>
    </row>
    <row r="814" spans="1:25" ht="11.25" customHeight="1">
      <c r="A814" s="682"/>
      <c r="B814" s="682"/>
      <c r="C814" s="682"/>
      <c r="D814" s="683"/>
      <c r="E814" s="682"/>
      <c r="F814" s="682"/>
      <c r="G814" s="682"/>
      <c r="H814" s="682"/>
      <c r="I814" s="682"/>
      <c r="J814" s="682"/>
      <c r="P814" s="682"/>
      <c r="Q814" s="682"/>
      <c r="R814" s="682"/>
      <c r="S814" s="682"/>
      <c r="T814" s="682"/>
      <c r="U814" s="682"/>
      <c r="V814" s="682"/>
      <c r="W814" s="682"/>
      <c r="X814" s="682"/>
      <c r="Y814" s="682"/>
    </row>
    <row r="815" spans="1:25" ht="11.25" customHeight="1">
      <c r="A815" s="682"/>
      <c r="B815" s="682"/>
      <c r="C815" s="682"/>
      <c r="D815" s="683"/>
      <c r="E815" s="682"/>
      <c r="F815" s="682"/>
      <c r="G815" s="682"/>
      <c r="H815" s="682"/>
      <c r="I815" s="682"/>
      <c r="J815" s="682"/>
      <c r="P815" s="682"/>
      <c r="Q815" s="682"/>
      <c r="R815" s="682"/>
      <c r="S815" s="682"/>
      <c r="T815" s="682"/>
      <c r="U815" s="682"/>
      <c r="V815" s="682"/>
      <c r="W815" s="682"/>
      <c r="X815" s="682"/>
      <c r="Y815" s="682"/>
    </row>
    <row r="816" spans="1:25" ht="11.25" customHeight="1">
      <c r="A816" s="682"/>
      <c r="B816" s="682"/>
      <c r="C816" s="682"/>
      <c r="D816" s="683"/>
      <c r="E816" s="682"/>
      <c r="F816" s="682"/>
      <c r="G816" s="682"/>
      <c r="H816" s="682"/>
      <c r="I816" s="682"/>
      <c r="J816" s="682"/>
      <c r="P816" s="682"/>
      <c r="Q816" s="682"/>
      <c r="R816" s="682"/>
      <c r="S816" s="682"/>
      <c r="T816" s="682"/>
      <c r="U816" s="682"/>
      <c r="V816" s="682"/>
      <c r="W816" s="682"/>
      <c r="X816" s="682"/>
      <c r="Y816" s="682"/>
    </row>
    <row r="817" spans="1:25" ht="11.25" customHeight="1">
      <c r="A817" s="682"/>
      <c r="B817" s="682"/>
      <c r="C817" s="682"/>
      <c r="D817" s="683"/>
      <c r="E817" s="682"/>
      <c r="F817" s="682"/>
      <c r="G817" s="682"/>
      <c r="H817" s="682"/>
      <c r="I817" s="682"/>
      <c r="J817" s="682"/>
      <c r="P817" s="682"/>
      <c r="Q817" s="682"/>
      <c r="R817" s="682"/>
      <c r="S817" s="682"/>
      <c r="T817" s="682"/>
      <c r="U817" s="682"/>
      <c r="V817" s="682"/>
      <c r="W817" s="682"/>
      <c r="X817" s="682"/>
      <c r="Y817" s="682"/>
    </row>
    <row r="818" spans="1:25" ht="11.25" customHeight="1">
      <c r="A818" s="682"/>
      <c r="B818" s="682"/>
      <c r="C818" s="682"/>
      <c r="D818" s="683"/>
      <c r="E818" s="682"/>
      <c r="F818" s="682"/>
      <c r="G818" s="682"/>
      <c r="H818" s="682"/>
      <c r="I818" s="682"/>
      <c r="J818" s="682"/>
      <c r="P818" s="682"/>
      <c r="Q818" s="682"/>
      <c r="R818" s="682"/>
      <c r="S818" s="682"/>
      <c r="T818" s="682"/>
      <c r="U818" s="682"/>
      <c r="V818" s="682"/>
      <c r="W818" s="682"/>
      <c r="X818" s="682"/>
      <c r="Y818" s="682"/>
    </row>
    <row r="819" spans="1:25" ht="11.25" customHeight="1">
      <c r="A819" s="682"/>
      <c r="B819" s="682"/>
      <c r="C819" s="682"/>
      <c r="D819" s="683"/>
      <c r="E819" s="682"/>
      <c r="F819" s="682"/>
      <c r="G819" s="682"/>
      <c r="H819" s="682"/>
      <c r="I819" s="682"/>
      <c r="J819" s="682"/>
      <c r="P819" s="682"/>
      <c r="Q819" s="682"/>
      <c r="R819" s="682"/>
      <c r="S819" s="682"/>
      <c r="T819" s="682"/>
      <c r="U819" s="682"/>
      <c r="V819" s="682"/>
      <c r="W819" s="682"/>
      <c r="X819" s="682"/>
      <c r="Y819" s="682"/>
    </row>
    <row r="820" spans="1:25" ht="11.25" customHeight="1">
      <c r="A820" s="682"/>
      <c r="B820" s="682"/>
      <c r="C820" s="682"/>
      <c r="D820" s="683"/>
      <c r="E820" s="682"/>
      <c r="F820" s="682"/>
      <c r="G820" s="682"/>
      <c r="H820" s="682"/>
      <c r="I820" s="682"/>
      <c r="J820" s="682"/>
      <c r="P820" s="682"/>
      <c r="Q820" s="682"/>
      <c r="R820" s="682"/>
      <c r="S820" s="682"/>
      <c r="T820" s="682"/>
      <c r="U820" s="682"/>
      <c r="V820" s="682"/>
      <c r="W820" s="682"/>
      <c r="X820" s="682"/>
      <c r="Y820" s="682"/>
    </row>
    <row r="821" spans="1:25" ht="11.25" customHeight="1">
      <c r="A821" s="682"/>
      <c r="B821" s="682"/>
      <c r="C821" s="682"/>
      <c r="D821" s="683"/>
      <c r="E821" s="682"/>
      <c r="F821" s="682"/>
      <c r="G821" s="682"/>
      <c r="H821" s="682"/>
      <c r="I821" s="682"/>
      <c r="J821" s="682"/>
      <c r="P821" s="682"/>
      <c r="Q821" s="682"/>
      <c r="R821" s="682"/>
      <c r="S821" s="682"/>
      <c r="T821" s="682"/>
      <c r="U821" s="682"/>
      <c r="V821" s="682"/>
      <c r="W821" s="682"/>
      <c r="X821" s="682"/>
      <c r="Y821" s="682"/>
    </row>
    <row r="822" spans="1:25" ht="11.25" customHeight="1">
      <c r="A822" s="682"/>
      <c r="B822" s="682"/>
      <c r="C822" s="682"/>
      <c r="D822" s="683"/>
      <c r="E822" s="682"/>
      <c r="F822" s="682"/>
      <c r="G822" s="682"/>
      <c r="H822" s="682"/>
      <c r="I822" s="682"/>
      <c r="J822" s="682"/>
      <c r="P822" s="682"/>
      <c r="Q822" s="682"/>
      <c r="R822" s="682"/>
      <c r="S822" s="682"/>
      <c r="T822" s="682"/>
      <c r="U822" s="682"/>
      <c r="V822" s="682"/>
      <c r="W822" s="682"/>
      <c r="X822" s="682"/>
      <c r="Y822" s="682"/>
    </row>
    <row r="823" spans="1:25" ht="11.25" customHeight="1">
      <c r="A823" s="682"/>
      <c r="B823" s="682"/>
      <c r="C823" s="682"/>
      <c r="D823" s="683"/>
      <c r="E823" s="682"/>
      <c r="F823" s="682"/>
      <c r="G823" s="682"/>
      <c r="H823" s="682"/>
      <c r="I823" s="682"/>
      <c r="J823" s="682"/>
      <c r="P823" s="682"/>
      <c r="Q823" s="682"/>
      <c r="R823" s="682"/>
      <c r="S823" s="682"/>
      <c r="T823" s="682"/>
      <c r="U823" s="682"/>
      <c r="V823" s="682"/>
      <c r="W823" s="682"/>
      <c r="X823" s="682"/>
      <c r="Y823" s="682"/>
    </row>
    <row r="824" spans="1:25" ht="11.25" customHeight="1">
      <c r="A824" s="682"/>
      <c r="B824" s="682"/>
      <c r="C824" s="682"/>
      <c r="D824" s="683"/>
      <c r="E824" s="682"/>
      <c r="F824" s="682"/>
      <c r="G824" s="682"/>
      <c r="H824" s="682"/>
      <c r="I824" s="682"/>
      <c r="J824" s="682"/>
      <c r="P824" s="682"/>
      <c r="Q824" s="682"/>
      <c r="R824" s="682"/>
      <c r="S824" s="682"/>
      <c r="T824" s="682"/>
      <c r="U824" s="682"/>
      <c r="V824" s="682"/>
      <c r="W824" s="682"/>
      <c r="X824" s="682"/>
      <c r="Y824" s="682"/>
    </row>
    <row r="825" spans="1:25" ht="11.25" customHeight="1">
      <c r="A825" s="682"/>
      <c r="B825" s="682"/>
      <c r="C825" s="682"/>
      <c r="D825" s="683"/>
      <c r="E825" s="682"/>
      <c r="F825" s="682"/>
      <c r="G825" s="682"/>
      <c r="H825" s="682"/>
      <c r="I825" s="682"/>
      <c r="J825" s="682"/>
      <c r="P825" s="682"/>
      <c r="Q825" s="682"/>
      <c r="R825" s="682"/>
      <c r="S825" s="682"/>
      <c r="T825" s="682"/>
      <c r="U825" s="682"/>
      <c r="V825" s="682"/>
      <c r="W825" s="682"/>
      <c r="X825" s="682"/>
      <c r="Y825" s="682"/>
    </row>
    <row r="826" spans="1:25" ht="11.25" customHeight="1">
      <c r="A826" s="682"/>
      <c r="B826" s="682"/>
      <c r="C826" s="682"/>
      <c r="D826" s="683"/>
      <c r="E826" s="682"/>
      <c r="F826" s="682"/>
      <c r="G826" s="682"/>
      <c r="H826" s="682"/>
      <c r="I826" s="682"/>
      <c r="J826" s="682"/>
      <c r="P826" s="682"/>
      <c r="Q826" s="682"/>
      <c r="R826" s="682"/>
      <c r="S826" s="682"/>
      <c r="T826" s="682"/>
      <c r="U826" s="682"/>
      <c r="V826" s="682"/>
      <c r="W826" s="682"/>
      <c r="X826" s="682"/>
      <c r="Y826" s="682"/>
    </row>
    <row r="827" spans="1:25" ht="11.25" customHeight="1">
      <c r="A827" s="682"/>
      <c r="B827" s="682"/>
      <c r="C827" s="682"/>
      <c r="D827" s="683"/>
      <c r="E827" s="682"/>
      <c r="F827" s="682"/>
      <c r="G827" s="682"/>
      <c r="H827" s="682"/>
      <c r="I827" s="682"/>
      <c r="J827" s="682"/>
      <c r="P827" s="682"/>
      <c r="Q827" s="682"/>
      <c r="R827" s="682"/>
      <c r="S827" s="682"/>
      <c r="T827" s="682"/>
      <c r="U827" s="682"/>
      <c r="V827" s="682"/>
      <c r="W827" s="682"/>
      <c r="X827" s="682"/>
      <c r="Y827" s="682"/>
    </row>
    <row r="828" spans="1:25" ht="11.25" customHeight="1">
      <c r="A828" s="682"/>
      <c r="B828" s="682"/>
      <c r="C828" s="682"/>
      <c r="D828" s="683"/>
      <c r="E828" s="682"/>
      <c r="F828" s="682"/>
      <c r="G828" s="682"/>
      <c r="H828" s="682"/>
      <c r="I828" s="682"/>
      <c r="J828" s="682"/>
      <c r="P828" s="682"/>
      <c r="Q828" s="682"/>
      <c r="R828" s="682"/>
      <c r="S828" s="682"/>
      <c r="T828" s="682"/>
      <c r="U828" s="682"/>
      <c r="V828" s="682"/>
      <c r="W828" s="682"/>
      <c r="X828" s="682"/>
      <c r="Y828" s="682"/>
    </row>
    <row r="829" spans="1:25" ht="11.25" customHeight="1">
      <c r="A829" s="682"/>
      <c r="B829" s="682"/>
      <c r="C829" s="682"/>
      <c r="D829" s="683"/>
      <c r="E829" s="682"/>
      <c r="F829" s="682"/>
      <c r="G829" s="682"/>
      <c r="H829" s="682"/>
      <c r="I829" s="682"/>
      <c r="J829" s="682"/>
      <c r="P829" s="682"/>
      <c r="Q829" s="682"/>
      <c r="R829" s="682"/>
      <c r="S829" s="682"/>
      <c r="T829" s="682"/>
      <c r="U829" s="682"/>
      <c r="V829" s="682"/>
      <c r="W829" s="682"/>
      <c r="X829" s="682"/>
      <c r="Y829" s="682"/>
    </row>
    <row r="830" spans="1:25" ht="11.25" customHeight="1">
      <c r="A830" s="682"/>
      <c r="B830" s="682"/>
      <c r="C830" s="682"/>
      <c r="D830" s="683"/>
      <c r="E830" s="682"/>
      <c r="F830" s="682"/>
      <c r="G830" s="682"/>
      <c r="H830" s="682"/>
      <c r="I830" s="682"/>
      <c r="J830" s="682"/>
      <c r="P830" s="682"/>
      <c r="Q830" s="682"/>
      <c r="R830" s="682"/>
      <c r="S830" s="682"/>
      <c r="T830" s="682"/>
      <c r="U830" s="682"/>
      <c r="V830" s="682"/>
      <c r="W830" s="682"/>
      <c r="X830" s="682"/>
      <c r="Y830" s="682"/>
    </row>
    <row r="831" spans="1:25" ht="11.25" customHeight="1">
      <c r="A831" s="682"/>
      <c r="B831" s="682"/>
      <c r="C831" s="682"/>
      <c r="D831" s="683"/>
      <c r="E831" s="682"/>
      <c r="F831" s="682"/>
      <c r="G831" s="682"/>
      <c r="H831" s="682"/>
      <c r="I831" s="682"/>
      <c r="J831" s="682"/>
      <c r="P831" s="682"/>
      <c r="Q831" s="682"/>
      <c r="R831" s="682"/>
      <c r="S831" s="682"/>
      <c r="T831" s="682"/>
      <c r="U831" s="682"/>
      <c r="V831" s="682"/>
      <c r="W831" s="682"/>
      <c r="X831" s="682"/>
      <c r="Y831" s="682"/>
    </row>
    <row r="832" spans="1:25" ht="11.25" customHeight="1">
      <c r="A832" s="682"/>
      <c r="B832" s="682"/>
      <c r="C832" s="682"/>
      <c r="D832" s="683"/>
      <c r="E832" s="682"/>
      <c r="F832" s="682"/>
      <c r="G832" s="682"/>
      <c r="H832" s="682"/>
      <c r="I832" s="682"/>
      <c r="J832" s="682"/>
      <c r="P832" s="682"/>
      <c r="Q832" s="682"/>
      <c r="R832" s="682"/>
      <c r="S832" s="682"/>
      <c r="T832" s="682"/>
      <c r="U832" s="682"/>
      <c r="V832" s="682"/>
      <c r="W832" s="682"/>
      <c r="X832" s="682"/>
      <c r="Y832" s="682"/>
    </row>
    <row r="833" spans="1:25" ht="11.25" customHeight="1">
      <c r="A833" s="682"/>
      <c r="B833" s="682"/>
      <c r="C833" s="682"/>
      <c r="D833" s="683"/>
      <c r="E833" s="682"/>
      <c r="F833" s="682"/>
      <c r="G833" s="682"/>
      <c r="H833" s="682"/>
      <c r="I833" s="682"/>
      <c r="J833" s="682"/>
      <c r="P833" s="682"/>
      <c r="Q833" s="682"/>
      <c r="R833" s="682"/>
      <c r="S833" s="682"/>
      <c r="T833" s="682"/>
      <c r="U833" s="682"/>
      <c r="V833" s="682"/>
      <c r="W833" s="682"/>
      <c r="X833" s="682"/>
      <c r="Y833" s="682"/>
    </row>
    <row r="834" spans="1:25" ht="11.25" customHeight="1">
      <c r="A834" s="682"/>
      <c r="B834" s="682"/>
      <c r="C834" s="682"/>
      <c r="D834" s="683"/>
      <c r="E834" s="682"/>
      <c r="F834" s="682"/>
      <c r="G834" s="682"/>
      <c r="H834" s="682"/>
      <c r="I834" s="682"/>
      <c r="J834" s="682"/>
      <c r="P834" s="682"/>
      <c r="Q834" s="682"/>
      <c r="R834" s="682"/>
      <c r="S834" s="682"/>
      <c r="T834" s="682"/>
      <c r="U834" s="682"/>
      <c r="V834" s="682"/>
      <c r="W834" s="682"/>
      <c r="X834" s="682"/>
      <c r="Y834" s="682"/>
    </row>
    <row r="835" spans="1:25" ht="11.25" customHeight="1">
      <c r="A835" s="682"/>
      <c r="B835" s="682"/>
      <c r="C835" s="682"/>
      <c r="D835" s="683"/>
      <c r="E835" s="682"/>
      <c r="F835" s="682"/>
      <c r="G835" s="682"/>
      <c r="H835" s="682"/>
      <c r="I835" s="682"/>
      <c r="J835" s="682"/>
      <c r="P835" s="682"/>
      <c r="Q835" s="682"/>
      <c r="R835" s="682"/>
      <c r="S835" s="682"/>
      <c r="T835" s="682"/>
      <c r="U835" s="682"/>
      <c r="V835" s="682"/>
      <c r="W835" s="682"/>
      <c r="X835" s="682"/>
      <c r="Y835" s="682"/>
    </row>
    <row r="836" spans="1:25" ht="11.25" customHeight="1">
      <c r="A836" s="682"/>
      <c r="B836" s="682"/>
      <c r="C836" s="682"/>
      <c r="D836" s="683"/>
      <c r="E836" s="682"/>
      <c r="F836" s="682"/>
      <c r="G836" s="682"/>
      <c r="H836" s="682"/>
      <c r="I836" s="682"/>
      <c r="J836" s="682"/>
      <c r="P836" s="682"/>
      <c r="Q836" s="682"/>
      <c r="R836" s="682"/>
      <c r="S836" s="682"/>
      <c r="T836" s="682"/>
      <c r="U836" s="682"/>
      <c r="V836" s="682"/>
      <c r="W836" s="682"/>
      <c r="X836" s="682"/>
      <c r="Y836" s="682"/>
    </row>
    <row r="837" spans="1:25" ht="11.25" customHeight="1">
      <c r="A837" s="682"/>
      <c r="B837" s="682"/>
      <c r="C837" s="682"/>
      <c r="D837" s="683"/>
      <c r="E837" s="682"/>
      <c r="F837" s="682"/>
      <c r="G837" s="682"/>
      <c r="H837" s="682"/>
      <c r="I837" s="682"/>
      <c r="J837" s="682"/>
      <c r="P837" s="682"/>
      <c r="Q837" s="682"/>
      <c r="R837" s="682"/>
      <c r="S837" s="682"/>
      <c r="T837" s="682"/>
      <c r="U837" s="682"/>
      <c r="V837" s="682"/>
      <c r="W837" s="682"/>
      <c r="X837" s="682"/>
      <c r="Y837" s="682"/>
    </row>
    <row r="838" spans="1:25" ht="11.25" customHeight="1">
      <c r="A838" s="682"/>
      <c r="B838" s="682"/>
      <c r="C838" s="682"/>
      <c r="D838" s="683"/>
      <c r="E838" s="682"/>
      <c r="F838" s="682"/>
      <c r="G838" s="682"/>
      <c r="H838" s="682"/>
      <c r="I838" s="682"/>
      <c r="J838" s="682"/>
      <c r="P838" s="682"/>
      <c r="Q838" s="682"/>
      <c r="R838" s="682"/>
      <c r="S838" s="682"/>
      <c r="T838" s="682"/>
      <c r="U838" s="682"/>
      <c r="V838" s="682"/>
      <c r="W838" s="682"/>
      <c r="X838" s="682"/>
      <c r="Y838" s="682"/>
    </row>
    <row r="839" spans="1:25" ht="11.25" customHeight="1">
      <c r="A839" s="682"/>
      <c r="B839" s="682"/>
      <c r="C839" s="682"/>
      <c r="D839" s="683"/>
      <c r="E839" s="682"/>
      <c r="F839" s="682"/>
      <c r="G839" s="682"/>
      <c r="H839" s="682"/>
      <c r="I839" s="682"/>
      <c r="J839" s="682"/>
      <c r="P839" s="682"/>
      <c r="Q839" s="682"/>
      <c r="R839" s="682"/>
      <c r="S839" s="682"/>
      <c r="T839" s="682"/>
      <c r="U839" s="682"/>
      <c r="V839" s="682"/>
      <c r="W839" s="682"/>
      <c r="X839" s="682"/>
      <c r="Y839" s="682"/>
    </row>
    <row r="840" spans="1:25" ht="11.25" customHeight="1">
      <c r="A840" s="682"/>
      <c r="B840" s="682"/>
      <c r="C840" s="682"/>
      <c r="D840" s="683"/>
      <c r="E840" s="682"/>
      <c r="F840" s="682"/>
      <c r="G840" s="682"/>
      <c r="H840" s="682"/>
      <c r="I840" s="682"/>
      <c r="J840" s="682"/>
      <c r="P840" s="682"/>
      <c r="Q840" s="682"/>
      <c r="R840" s="682"/>
      <c r="S840" s="682"/>
      <c r="T840" s="682"/>
      <c r="U840" s="682"/>
      <c r="V840" s="682"/>
      <c r="W840" s="682"/>
      <c r="X840" s="682"/>
      <c r="Y840" s="682"/>
    </row>
    <row r="841" spans="1:25" ht="11.25" customHeight="1">
      <c r="A841" s="682"/>
      <c r="B841" s="682"/>
      <c r="C841" s="682"/>
      <c r="D841" s="683"/>
      <c r="E841" s="682"/>
      <c r="F841" s="682"/>
      <c r="G841" s="682"/>
      <c r="H841" s="682"/>
      <c r="I841" s="682"/>
      <c r="J841" s="682"/>
      <c r="P841" s="682"/>
      <c r="Q841" s="682"/>
      <c r="R841" s="682"/>
      <c r="S841" s="682"/>
      <c r="T841" s="682"/>
      <c r="U841" s="682"/>
      <c r="V841" s="682"/>
      <c r="W841" s="682"/>
      <c r="X841" s="682"/>
      <c r="Y841" s="682"/>
    </row>
    <row r="842" spans="1:25" ht="11.25" customHeight="1">
      <c r="A842" s="682"/>
      <c r="B842" s="682"/>
      <c r="C842" s="682"/>
      <c r="D842" s="683"/>
      <c r="E842" s="682"/>
      <c r="F842" s="682"/>
      <c r="G842" s="682"/>
      <c r="H842" s="682"/>
      <c r="I842" s="682"/>
      <c r="J842" s="682"/>
      <c r="P842" s="682"/>
      <c r="Q842" s="682"/>
      <c r="R842" s="682"/>
      <c r="S842" s="682"/>
      <c r="T842" s="682"/>
      <c r="U842" s="682"/>
      <c r="V842" s="682"/>
      <c r="W842" s="682"/>
      <c r="X842" s="682"/>
      <c r="Y842" s="682"/>
    </row>
    <row r="843" spans="1:25" ht="11.25" customHeight="1">
      <c r="A843" s="682"/>
      <c r="B843" s="682"/>
      <c r="C843" s="682"/>
      <c r="D843" s="683"/>
      <c r="E843" s="682"/>
      <c r="F843" s="682"/>
      <c r="G843" s="682"/>
      <c r="H843" s="682"/>
      <c r="I843" s="682"/>
      <c r="J843" s="682"/>
      <c r="P843" s="682"/>
      <c r="Q843" s="682"/>
      <c r="R843" s="682"/>
      <c r="S843" s="682"/>
      <c r="T843" s="682"/>
      <c r="U843" s="682"/>
      <c r="V843" s="682"/>
      <c r="W843" s="682"/>
      <c r="X843" s="682"/>
      <c r="Y843" s="682"/>
    </row>
    <row r="844" spans="1:25" ht="11.25" customHeight="1">
      <c r="A844" s="682"/>
      <c r="B844" s="682"/>
      <c r="C844" s="682"/>
      <c r="D844" s="683"/>
      <c r="E844" s="682"/>
      <c r="F844" s="682"/>
      <c r="G844" s="682"/>
      <c r="H844" s="682"/>
      <c r="I844" s="682"/>
      <c r="J844" s="682"/>
      <c r="P844" s="682"/>
      <c r="Q844" s="682"/>
      <c r="R844" s="682"/>
      <c r="S844" s="682"/>
      <c r="T844" s="682"/>
      <c r="U844" s="682"/>
      <c r="V844" s="682"/>
      <c r="W844" s="682"/>
      <c r="X844" s="682"/>
      <c r="Y844" s="682"/>
    </row>
    <row r="845" spans="1:25" ht="11.25" customHeight="1">
      <c r="A845" s="682"/>
      <c r="B845" s="682"/>
      <c r="C845" s="682"/>
      <c r="D845" s="683"/>
      <c r="E845" s="682"/>
      <c r="F845" s="682"/>
      <c r="G845" s="682"/>
      <c r="H845" s="682"/>
      <c r="I845" s="682"/>
      <c r="J845" s="682"/>
      <c r="P845" s="682"/>
      <c r="Q845" s="682"/>
      <c r="R845" s="682"/>
      <c r="S845" s="682"/>
      <c r="T845" s="682"/>
      <c r="U845" s="682"/>
      <c r="V845" s="682"/>
      <c r="W845" s="682"/>
      <c r="X845" s="682"/>
      <c r="Y845" s="682"/>
    </row>
    <row r="846" spans="1:25" ht="11.25" customHeight="1">
      <c r="A846" s="682"/>
      <c r="B846" s="682"/>
      <c r="C846" s="682"/>
      <c r="D846" s="683"/>
      <c r="E846" s="682"/>
      <c r="F846" s="682"/>
      <c r="G846" s="682"/>
      <c r="H846" s="682"/>
      <c r="I846" s="682"/>
      <c r="J846" s="682"/>
      <c r="P846" s="682"/>
      <c r="Q846" s="682"/>
      <c r="R846" s="682"/>
      <c r="S846" s="682"/>
      <c r="T846" s="682"/>
      <c r="U846" s="682"/>
      <c r="V846" s="682"/>
      <c r="W846" s="682"/>
      <c r="X846" s="682"/>
      <c r="Y846" s="682"/>
    </row>
    <row r="847" spans="1:25" ht="11.25" customHeight="1">
      <c r="A847" s="682"/>
      <c r="B847" s="682"/>
      <c r="C847" s="682"/>
      <c r="D847" s="683"/>
      <c r="E847" s="682"/>
      <c r="F847" s="682"/>
      <c r="G847" s="682"/>
      <c r="H847" s="682"/>
      <c r="I847" s="682"/>
      <c r="J847" s="682"/>
      <c r="P847" s="682"/>
      <c r="Q847" s="682"/>
      <c r="R847" s="682"/>
      <c r="S847" s="682"/>
      <c r="T847" s="682"/>
      <c r="U847" s="682"/>
      <c r="V847" s="682"/>
      <c r="W847" s="682"/>
      <c r="X847" s="682"/>
      <c r="Y847" s="682"/>
    </row>
    <row r="848" spans="1:25" ht="11.25" customHeight="1">
      <c r="A848" s="682"/>
      <c r="B848" s="682"/>
      <c r="C848" s="682"/>
      <c r="D848" s="683"/>
      <c r="E848" s="682"/>
      <c r="F848" s="682"/>
      <c r="G848" s="682"/>
      <c r="H848" s="682"/>
      <c r="I848" s="682"/>
      <c r="J848" s="682"/>
      <c r="P848" s="682"/>
      <c r="Q848" s="682"/>
      <c r="R848" s="682"/>
      <c r="S848" s="682"/>
      <c r="T848" s="682"/>
      <c r="U848" s="682"/>
      <c r="V848" s="682"/>
      <c r="W848" s="682"/>
      <c r="X848" s="682"/>
      <c r="Y848" s="682"/>
    </row>
    <row r="849" spans="1:25" ht="11.25" customHeight="1">
      <c r="A849" s="682"/>
      <c r="B849" s="682"/>
      <c r="C849" s="682"/>
      <c r="D849" s="683"/>
      <c r="E849" s="682"/>
      <c r="F849" s="682"/>
      <c r="G849" s="682"/>
      <c r="H849" s="682"/>
      <c r="I849" s="682"/>
      <c r="J849" s="682"/>
      <c r="P849" s="682"/>
      <c r="Q849" s="682"/>
      <c r="R849" s="682"/>
      <c r="S849" s="682"/>
      <c r="T849" s="682"/>
      <c r="U849" s="682"/>
      <c r="V849" s="682"/>
      <c r="W849" s="682"/>
      <c r="X849" s="682"/>
      <c r="Y849" s="682"/>
    </row>
    <row r="850" spans="1:25" ht="11.25" customHeight="1">
      <c r="A850" s="682"/>
      <c r="B850" s="682"/>
      <c r="C850" s="682"/>
      <c r="D850" s="683"/>
      <c r="E850" s="682"/>
      <c r="F850" s="682"/>
      <c r="G850" s="682"/>
      <c r="H850" s="682"/>
      <c r="I850" s="682"/>
      <c r="J850" s="682"/>
      <c r="P850" s="682"/>
      <c r="Q850" s="682"/>
      <c r="R850" s="682"/>
      <c r="S850" s="682"/>
      <c r="T850" s="682"/>
      <c r="U850" s="682"/>
      <c r="V850" s="682"/>
      <c r="W850" s="682"/>
      <c r="X850" s="682"/>
      <c r="Y850" s="682"/>
    </row>
    <row r="851" spans="1:25" ht="11.25" customHeight="1">
      <c r="A851" s="682"/>
      <c r="B851" s="682"/>
      <c r="C851" s="682"/>
      <c r="D851" s="683"/>
      <c r="E851" s="682"/>
      <c r="F851" s="682"/>
      <c r="G851" s="682"/>
      <c r="H851" s="682"/>
      <c r="I851" s="682"/>
      <c r="J851" s="682"/>
      <c r="P851" s="682"/>
      <c r="Q851" s="682"/>
      <c r="R851" s="682"/>
      <c r="S851" s="682"/>
      <c r="T851" s="682"/>
      <c r="U851" s="682"/>
      <c r="V851" s="682"/>
      <c r="W851" s="682"/>
      <c r="X851" s="682"/>
      <c r="Y851" s="682"/>
    </row>
    <row r="852" spans="1:25" ht="11.25" customHeight="1">
      <c r="A852" s="682"/>
      <c r="B852" s="682"/>
      <c r="C852" s="682"/>
      <c r="D852" s="683"/>
      <c r="E852" s="682"/>
      <c r="F852" s="682"/>
      <c r="G852" s="682"/>
      <c r="H852" s="682"/>
      <c r="I852" s="682"/>
      <c r="J852" s="682"/>
      <c r="P852" s="682"/>
      <c r="Q852" s="682"/>
      <c r="R852" s="682"/>
      <c r="S852" s="682"/>
      <c r="T852" s="682"/>
      <c r="U852" s="682"/>
      <c r="V852" s="682"/>
      <c r="W852" s="682"/>
      <c r="X852" s="682"/>
      <c r="Y852" s="682"/>
    </row>
    <row r="853" spans="1:25" ht="11.25" customHeight="1">
      <c r="A853" s="682"/>
      <c r="B853" s="682"/>
      <c r="C853" s="682"/>
      <c r="D853" s="683"/>
      <c r="E853" s="682"/>
      <c r="F853" s="682"/>
      <c r="G853" s="682"/>
      <c r="H853" s="682"/>
      <c r="I853" s="682"/>
      <c r="J853" s="682"/>
      <c r="P853" s="682"/>
      <c r="Q853" s="682"/>
      <c r="R853" s="682"/>
      <c r="S853" s="682"/>
      <c r="T853" s="682"/>
      <c r="U853" s="682"/>
      <c r="V853" s="682"/>
      <c r="W853" s="682"/>
      <c r="X853" s="682"/>
      <c r="Y853" s="682"/>
    </row>
    <row r="854" spans="1:25" ht="11.25" customHeight="1">
      <c r="A854" s="682"/>
      <c r="B854" s="682"/>
      <c r="C854" s="682"/>
      <c r="D854" s="683"/>
      <c r="E854" s="682"/>
      <c r="F854" s="682"/>
      <c r="G854" s="682"/>
      <c r="H854" s="682"/>
      <c r="I854" s="682"/>
      <c r="J854" s="682"/>
      <c r="P854" s="682"/>
      <c r="Q854" s="682"/>
      <c r="R854" s="682"/>
      <c r="S854" s="682"/>
      <c r="T854" s="682"/>
      <c r="U854" s="682"/>
      <c r="V854" s="682"/>
      <c r="W854" s="682"/>
      <c r="X854" s="682"/>
      <c r="Y854" s="682"/>
    </row>
    <row r="855" spans="1:25" ht="11.25" customHeight="1">
      <c r="A855" s="682"/>
      <c r="B855" s="682"/>
      <c r="C855" s="682"/>
      <c r="D855" s="683"/>
      <c r="E855" s="682"/>
      <c r="F855" s="682"/>
      <c r="G855" s="682"/>
      <c r="H855" s="682"/>
      <c r="I855" s="682"/>
      <c r="J855" s="682"/>
      <c r="P855" s="682"/>
      <c r="Q855" s="682"/>
      <c r="R855" s="682"/>
      <c r="S855" s="682"/>
      <c r="T855" s="682"/>
      <c r="U855" s="682"/>
      <c r="V855" s="682"/>
      <c r="W855" s="682"/>
      <c r="X855" s="682"/>
      <c r="Y855" s="682"/>
    </row>
    <row r="856" spans="1:25" ht="11.25" customHeight="1">
      <c r="A856" s="682"/>
      <c r="B856" s="682"/>
      <c r="C856" s="682"/>
      <c r="D856" s="683"/>
      <c r="E856" s="682"/>
      <c r="F856" s="682"/>
      <c r="G856" s="682"/>
      <c r="H856" s="682"/>
      <c r="I856" s="682"/>
      <c r="J856" s="682"/>
      <c r="P856" s="682"/>
      <c r="Q856" s="682"/>
      <c r="R856" s="682"/>
      <c r="S856" s="682"/>
      <c r="T856" s="682"/>
      <c r="U856" s="682"/>
      <c r="V856" s="682"/>
      <c r="W856" s="682"/>
      <c r="X856" s="682"/>
      <c r="Y856" s="682"/>
    </row>
    <row r="857" spans="1:25" ht="11.25" customHeight="1">
      <c r="A857" s="682"/>
      <c r="B857" s="682"/>
      <c r="C857" s="682"/>
      <c r="D857" s="683"/>
      <c r="E857" s="682"/>
      <c r="F857" s="682"/>
      <c r="G857" s="682"/>
      <c r="H857" s="682"/>
      <c r="I857" s="682"/>
      <c r="J857" s="682"/>
      <c r="P857" s="682"/>
      <c r="Q857" s="682"/>
      <c r="R857" s="682"/>
      <c r="S857" s="682"/>
      <c r="T857" s="682"/>
      <c r="U857" s="682"/>
      <c r="V857" s="682"/>
      <c r="W857" s="682"/>
      <c r="X857" s="682"/>
      <c r="Y857" s="682"/>
    </row>
    <row r="858" spans="1:25" ht="11.25" customHeight="1">
      <c r="A858" s="682"/>
      <c r="B858" s="682"/>
      <c r="C858" s="682"/>
      <c r="D858" s="683"/>
      <c r="E858" s="682"/>
      <c r="F858" s="682"/>
      <c r="G858" s="682"/>
      <c r="H858" s="682"/>
      <c r="I858" s="682"/>
      <c r="J858" s="682"/>
      <c r="P858" s="682"/>
      <c r="Q858" s="682"/>
      <c r="R858" s="682"/>
      <c r="S858" s="682"/>
      <c r="T858" s="682"/>
      <c r="U858" s="682"/>
      <c r="V858" s="682"/>
      <c r="W858" s="682"/>
      <c r="X858" s="682"/>
      <c r="Y858" s="682"/>
    </row>
    <row r="859" spans="1:25" ht="11.25" customHeight="1">
      <c r="A859" s="682"/>
      <c r="B859" s="682"/>
      <c r="C859" s="682"/>
      <c r="D859" s="683"/>
      <c r="E859" s="682"/>
      <c r="F859" s="682"/>
      <c r="G859" s="682"/>
      <c r="H859" s="682"/>
      <c r="I859" s="682"/>
      <c r="J859" s="682"/>
      <c r="P859" s="682"/>
      <c r="Q859" s="682"/>
      <c r="R859" s="682"/>
      <c r="S859" s="682"/>
      <c r="T859" s="682"/>
      <c r="U859" s="682"/>
      <c r="V859" s="682"/>
      <c r="W859" s="682"/>
      <c r="X859" s="682"/>
      <c r="Y859" s="682"/>
    </row>
    <row r="860" spans="1:25" ht="11.25" customHeight="1">
      <c r="A860" s="682"/>
      <c r="B860" s="682"/>
      <c r="C860" s="682"/>
      <c r="D860" s="683"/>
      <c r="E860" s="682"/>
      <c r="F860" s="682"/>
      <c r="G860" s="682"/>
      <c r="H860" s="682"/>
      <c r="I860" s="682"/>
      <c r="J860" s="682"/>
      <c r="P860" s="682"/>
      <c r="Q860" s="682"/>
      <c r="R860" s="682"/>
      <c r="S860" s="682"/>
      <c r="T860" s="682"/>
      <c r="U860" s="682"/>
      <c r="V860" s="682"/>
      <c r="W860" s="682"/>
      <c r="X860" s="682"/>
      <c r="Y860" s="682"/>
    </row>
    <row r="861" spans="1:25" ht="11.25" customHeight="1">
      <c r="A861" s="682"/>
      <c r="B861" s="682"/>
      <c r="C861" s="682"/>
      <c r="D861" s="683"/>
      <c r="E861" s="682"/>
      <c r="F861" s="682"/>
      <c r="G861" s="682"/>
      <c r="H861" s="682"/>
      <c r="I861" s="682"/>
      <c r="J861" s="682"/>
      <c r="P861" s="682"/>
      <c r="Q861" s="682"/>
      <c r="R861" s="682"/>
      <c r="S861" s="682"/>
      <c r="T861" s="682"/>
      <c r="U861" s="682"/>
      <c r="V861" s="682"/>
      <c r="W861" s="682"/>
      <c r="X861" s="682"/>
      <c r="Y861" s="682"/>
    </row>
    <row r="862" spans="1:25" ht="11.25" customHeight="1">
      <c r="A862" s="682"/>
      <c r="B862" s="682"/>
      <c r="C862" s="682"/>
      <c r="D862" s="683"/>
      <c r="E862" s="682"/>
      <c r="F862" s="682"/>
      <c r="G862" s="682"/>
      <c r="H862" s="682"/>
      <c r="I862" s="682"/>
      <c r="J862" s="682"/>
      <c r="P862" s="682"/>
      <c r="Q862" s="682"/>
      <c r="R862" s="682"/>
      <c r="S862" s="682"/>
      <c r="T862" s="682"/>
      <c r="U862" s="682"/>
      <c r="V862" s="682"/>
      <c r="W862" s="682"/>
      <c r="X862" s="682"/>
      <c r="Y862" s="682"/>
    </row>
    <row r="863" spans="1:25" ht="11.25" customHeight="1">
      <c r="A863" s="682"/>
      <c r="B863" s="682"/>
      <c r="C863" s="682"/>
      <c r="D863" s="683"/>
      <c r="E863" s="682"/>
      <c r="F863" s="682"/>
      <c r="G863" s="682"/>
      <c r="H863" s="682"/>
      <c r="I863" s="682"/>
      <c r="J863" s="682"/>
      <c r="P863" s="682"/>
      <c r="Q863" s="682"/>
      <c r="R863" s="682"/>
      <c r="S863" s="682"/>
      <c r="T863" s="682"/>
      <c r="U863" s="682"/>
      <c r="V863" s="682"/>
      <c r="W863" s="682"/>
      <c r="X863" s="682"/>
      <c r="Y863" s="682"/>
    </row>
    <row r="864" spans="1:25" ht="11.25" customHeight="1">
      <c r="A864" s="682"/>
      <c r="B864" s="682"/>
      <c r="C864" s="682"/>
      <c r="D864" s="683"/>
      <c r="E864" s="682"/>
      <c r="F864" s="682"/>
      <c r="G864" s="682"/>
      <c r="H864" s="682"/>
      <c r="I864" s="682"/>
      <c r="J864" s="682"/>
      <c r="P864" s="682"/>
      <c r="Q864" s="682"/>
      <c r="R864" s="682"/>
      <c r="S864" s="682"/>
      <c r="T864" s="682"/>
      <c r="U864" s="682"/>
      <c r="V864" s="682"/>
      <c r="W864" s="682"/>
      <c r="X864" s="682"/>
      <c r="Y864" s="682"/>
    </row>
    <row r="865" spans="1:25" ht="11.25" customHeight="1">
      <c r="A865" s="682"/>
      <c r="B865" s="682"/>
      <c r="C865" s="682"/>
      <c r="D865" s="683"/>
      <c r="E865" s="682"/>
      <c r="F865" s="682"/>
      <c r="G865" s="682"/>
      <c r="H865" s="682"/>
      <c r="I865" s="682"/>
      <c r="J865" s="682"/>
      <c r="P865" s="682"/>
      <c r="Q865" s="682"/>
      <c r="R865" s="682"/>
      <c r="S865" s="682"/>
      <c r="T865" s="682"/>
      <c r="U865" s="682"/>
      <c r="V865" s="682"/>
      <c r="W865" s="682"/>
      <c r="X865" s="682"/>
      <c r="Y865" s="682"/>
    </row>
    <row r="866" spans="1:25" ht="11.25" customHeight="1">
      <c r="A866" s="682"/>
      <c r="B866" s="682"/>
      <c r="C866" s="682"/>
      <c r="D866" s="683"/>
      <c r="E866" s="682"/>
      <c r="F866" s="682"/>
      <c r="G866" s="682"/>
      <c r="H866" s="682"/>
      <c r="I866" s="682"/>
      <c r="J866" s="682"/>
      <c r="P866" s="682"/>
      <c r="Q866" s="682"/>
      <c r="R866" s="682"/>
      <c r="S866" s="682"/>
      <c r="T866" s="682"/>
      <c r="U866" s="682"/>
      <c r="V866" s="682"/>
      <c r="W866" s="682"/>
      <c r="X866" s="682"/>
      <c r="Y866" s="682"/>
    </row>
    <row r="867" spans="1:25" ht="11.25" customHeight="1">
      <c r="A867" s="682"/>
      <c r="B867" s="682"/>
      <c r="C867" s="682"/>
      <c r="D867" s="683"/>
      <c r="E867" s="682"/>
      <c r="F867" s="682"/>
      <c r="G867" s="682"/>
      <c r="H867" s="682"/>
      <c r="I867" s="682"/>
      <c r="J867" s="682"/>
      <c r="P867" s="682"/>
      <c r="Q867" s="682"/>
      <c r="R867" s="682"/>
      <c r="S867" s="682"/>
      <c r="T867" s="682"/>
      <c r="U867" s="682"/>
      <c r="V867" s="682"/>
      <c r="W867" s="682"/>
      <c r="X867" s="682"/>
      <c r="Y867" s="682"/>
    </row>
    <row r="868" spans="1:25" ht="11.25" customHeight="1">
      <c r="A868" s="682"/>
      <c r="B868" s="682"/>
      <c r="C868" s="682"/>
      <c r="D868" s="683"/>
      <c r="E868" s="682"/>
      <c r="F868" s="682"/>
      <c r="G868" s="682"/>
      <c r="H868" s="682"/>
      <c r="I868" s="682"/>
      <c r="J868" s="682"/>
      <c r="P868" s="682"/>
      <c r="Q868" s="682"/>
      <c r="R868" s="682"/>
      <c r="S868" s="682"/>
      <c r="T868" s="682"/>
      <c r="U868" s="682"/>
      <c r="V868" s="682"/>
      <c r="W868" s="682"/>
      <c r="X868" s="682"/>
      <c r="Y868" s="682"/>
    </row>
    <row r="869" spans="1:25" ht="11.25" customHeight="1">
      <c r="A869" s="682"/>
      <c r="B869" s="682"/>
      <c r="C869" s="682"/>
      <c r="D869" s="683"/>
      <c r="E869" s="682"/>
      <c r="F869" s="682"/>
      <c r="G869" s="682"/>
      <c r="H869" s="682"/>
      <c r="I869" s="682"/>
      <c r="J869" s="682"/>
      <c r="P869" s="682"/>
      <c r="Q869" s="682"/>
      <c r="R869" s="682"/>
      <c r="S869" s="682"/>
      <c r="T869" s="682"/>
      <c r="U869" s="682"/>
      <c r="V869" s="682"/>
      <c r="W869" s="682"/>
      <c r="X869" s="682"/>
      <c r="Y869" s="682"/>
    </row>
    <row r="870" spans="1:25" ht="11.25" customHeight="1">
      <c r="A870" s="682"/>
      <c r="B870" s="682"/>
      <c r="C870" s="682"/>
      <c r="D870" s="683"/>
      <c r="E870" s="682"/>
      <c r="F870" s="682"/>
      <c r="G870" s="682"/>
      <c r="H870" s="682"/>
      <c r="I870" s="682"/>
      <c r="J870" s="682"/>
      <c r="P870" s="682"/>
      <c r="Q870" s="682"/>
      <c r="R870" s="682"/>
      <c r="S870" s="682"/>
      <c r="T870" s="682"/>
      <c r="U870" s="682"/>
      <c r="V870" s="682"/>
      <c r="W870" s="682"/>
      <c r="X870" s="682"/>
      <c r="Y870" s="682"/>
    </row>
    <row r="871" spans="1:25" ht="11.25" customHeight="1">
      <c r="A871" s="682"/>
      <c r="B871" s="682"/>
      <c r="C871" s="682"/>
      <c r="D871" s="683"/>
      <c r="E871" s="682"/>
      <c r="F871" s="682"/>
      <c r="G871" s="682"/>
      <c r="H871" s="682"/>
      <c r="I871" s="682"/>
      <c r="J871" s="682"/>
      <c r="P871" s="682"/>
      <c r="Q871" s="682"/>
      <c r="R871" s="682"/>
      <c r="S871" s="682"/>
      <c r="T871" s="682"/>
      <c r="U871" s="682"/>
      <c r="V871" s="682"/>
      <c r="W871" s="682"/>
      <c r="X871" s="682"/>
      <c r="Y871" s="682"/>
    </row>
    <row r="872" spans="1:25" ht="11.25" customHeight="1">
      <c r="A872" s="682"/>
      <c r="B872" s="682"/>
      <c r="C872" s="682"/>
      <c r="D872" s="683"/>
      <c r="E872" s="682"/>
      <c r="F872" s="682"/>
      <c r="G872" s="682"/>
      <c r="H872" s="682"/>
      <c r="I872" s="682"/>
      <c r="J872" s="682"/>
      <c r="P872" s="682"/>
      <c r="Q872" s="682"/>
      <c r="R872" s="682"/>
      <c r="S872" s="682"/>
      <c r="T872" s="682"/>
      <c r="U872" s="682"/>
      <c r="V872" s="682"/>
      <c r="W872" s="682"/>
      <c r="X872" s="682"/>
      <c r="Y872" s="682"/>
    </row>
    <row r="873" spans="1:25" ht="11.25" customHeight="1">
      <c r="A873" s="682"/>
      <c r="B873" s="682"/>
      <c r="C873" s="682"/>
      <c r="D873" s="683"/>
      <c r="E873" s="682"/>
      <c r="F873" s="682"/>
      <c r="G873" s="682"/>
      <c r="H873" s="682"/>
      <c r="I873" s="682"/>
      <c r="J873" s="682"/>
      <c r="P873" s="682"/>
      <c r="Q873" s="682"/>
      <c r="R873" s="682"/>
      <c r="S873" s="682"/>
      <c r="T873" s="682"/>
      <c r="U873" s="682"/>
      <c r="V873" s="682"/>
      <c r="W873" s="682"/>
      <c r="X873" s="682"/>
      <c r="Y873" s="682"/>
    </row>
    <row r="874" spans="1:25" ht="11.25" customHeight="1">
      <c r="A874" s="682"/>
      <c r="B874" s="682"/>
      <c r="C874" s="682"/>
      <c r="D874" s="683"/>
      <c r="E874" s="682"/>
      <c r="F874" s="682"/>
      <c r="G874" s="682"/>
      <c r="H874" s="682"/>
      <c r="I874" s="682"/>
      <c r="J874" s="682"/>
      <c r="P874" s="682"/>
      <c r="Q874" s="682"/>
      <c r="R874" s="682"/>
      <c r="S874" s="682"/>
      <c r="T874" s="682"/>
      <c r="U874" s="682"/>
      <c r="V874" s="682"/>
      <c r="W874" s="682"/>
      <c r="X874" s="682"/>
      <c r="Y874" s="682"/>
    </row>
    <row r="875" spans="1:25" ht="11.25" customHeight="1">
      <c r="A875" s="682"/>
      <c r="B875" s="682"/>
      <c r="C875" s="682"/>
      <c r="D875" s="683"/>
      <c r="E875" s="682"/>
      <c r="F875" s="682"/>
      <c r="G875" s="682"/>
      <c r="H875" s="682"/>
      <c r="I875" s="682"/>
      <c r="J875" s="682"/>
      <c r="P875" s="682"/>
      <c r="Q875" s="682"/>
      <c r="R875" s="682"/>
      <c r="S875" s="682"/>
      <c r="T875" s="682"/>
      <c r="U875" s="682"/>
      <c r="V875" s="682"/>
      <c r="W875" s="682"/>
      <c r="X875" s="682"/>
      <c r="Y875" s="682"/>
    </row>
    <row r="876" spans="1:25" ht="11.25" customHeight="1">
      <c r="A876" s="682"/>
      <c r="B876" s="682"/>
      <c r="C876" s="682"/>
      <c r="D876" s="683"/>
      <c r="E876" s="682"/>
      <c r="F876" s="682"/>
      <c r="G876" s="682"/>
      <c r="H876" s="682"/>
      <c r="I876" s="682"/>
      <c r="J876" s="682"/>
      <c r="P876" s="682"/>
      <c r="Q876" s="682"/>
      <c r="R876" s="682"/>
      <c r="S876" s="682"/>
      <c r="T876" s="682"/>
      <c r="U876" s="682"/>
      <c r="V876" s="682"/>
      <c r="W876" s="682"/>
      <c r="X876" s="682"/>
      <c r="Y876" s="682"/>
    </row>
    <row r="877" spans="1:25" ht="11.25" customHeight="1">
      <c r="A877" s="682"/>
      <c r="B877" s="682"/>
      <c r="C877" s="682"/>
      <c r="D877" s="683"/>
      <c r="E877" s="682"/>
      <c r="F877" s="682"/>
      <c r="G877" s="682"/>
      <c r="H877" s="682"/>
      <c r="I877" s="682"/>
      <c r="J877" s="682"/>
      <c r="P877" s="682"/>
      <c r="Q877" s="682"/>
      <c r="R877" s="682"/>
      <c r="S877" s="682"/>
      <c r="T877" s="682"/>
      <c r="U877" s="682"/>
      <c r="V877" s="682"/>
      <c r="W877" s="682"/>
      <c r="X877" s="682"/>
      <c r="Y877" s="682"/>
    </row>
    <row r="878" spans="1:25" ht="11.25" customHeight="1">
      <c r="A878" s="682"/>
      <c r="B878" s="682"/>
      <c r="C878" s="682"/>
      <c r="D878" s="683"/>
      <c r="E878" s="682"/>
      <c r="F878" s="682"/>
      <c r="G878" s="682"/>
      <c r="H878" s="682"/>
      <c r="I878" s="682"/>
      <c r="J878" s="682"/>
      <c r="P878" s="682"/>
      <c r="Q878" s="682"/>
      <c r="R878" s="682"/>
      <c r="S878" s="682"/>
      <c r="T878" s="682"/>
      <c r="U878" s="682"/>
      <c r="V878" s="682"/>
      <c r="W878" s="682"/>
      <c r="X878" s="682"/>
      <c r="Y878" s="682"/>
    </row>
    <row r="879" spans="1:25" ht="11.25" customHeight="1">
      <c r="A879" s="682"/>
      <c r="B879" s="682"/>
      <c r="C879" s="682"/>
      <c r="D879" s="683"/>
      <c r="E879" s="682"/>
      <c r="F879" s="682"/>
      <c r="G879" s="682"/>
      <c r="H879" s="682"/>
      <c r="I879" s="682"/>
      <c r="J879" s="682"/>
      <c r="P879" s="682"/>
      <c r="Q879" s="682"/>
      <c r="R879" s="682"/>
      <c r="S879" s="682"/>
      <c r="T879" s="682"/>
      <c r="U879" s="682"/>
      <c r="V879" s="682"/>
      <c r="W879" s="682"/>
      <c r="X879" s="682"/>
      <c r="Y879" s="682"/>
    </row>
    <row r="880" spans="1:25" ht="11.25" customHeight="1">
      <c r="A880" s="682"/>
      <c r="B880" s="682"/>
      <c r="C880" s="682"/>
      <c r="D880" s="683"/>
      <c r="E880" s="682"/>
      <c r="F880" s="682"/>
      <c r="G880" s="682"/>
      <c r="H880" s="682"/>
      <c r="I880" s="682"/>
      <c r="J880" s="682"/>
      <c r="P880" s="682"/>
      <c r="Q880" s="682"/>
      <c r="R880" s="682"/>
      <c r="S880" s="682"/>
      <c r="T880" s="682"/>
      <c r="U880" s="682"/>
      <c r="V880" s="682"/>
      <c r="W880" s="682"/>
      <c r="X880" s="682"/>
      <c r="Y880" s="682"/>
    </row>
    <row r="881" spans="1:25" ht="11.25" customHeight="1">
      <c r="A881" s="682"/>
      <c r="B881" s="682"/>
      <c r="C881" s="682"/>
      <c r="D881" s="683"/>
      <c r="E881" s="682"/>
      <c r="F881" s="682"/>
      <c r="G881" s="682"/>
      <c r="H881" s="682"/>
      <c r="I881" s="682"/>
      <c r="J881" s="682"/>
      <c r="P881" s="682"/>
      <c r="Q881" s="682"/>
      <c r="R881" s="682"/>
      <c r="S881" s="682"/>
      <c r="T881" s="682"/>
      <c r="U881" s="682"/>
      <c r="V881" s="682"/>
      <c r="W881" s="682"/>
      <c r="X881" s="682"/>
      <c r="Y881" s="682"/>
    </row>
    <row r="882" spans="1:25" ht="11.25" customHeight="1">
      <c r="A882" s="682"/>
      <c r="B882" s="682"/>
      <c r="C882" s="682"/>
      <c r="D882" s="683"/>
      <c r="E882" s="682"/>
      <c r="F882" s="682"/>
      <c r="G882" s="682"/>
      <c r="H882" s="682"/>
      <c r="I882" s="682"/>
      <c r="J882" s="682"/>
      <c r="P882" s="682"/>
      <c r="Q882" s="682"/>
      <c r="R882" s="682"/>
      <c r="S882" s="682"/>
      <c r="T882" s="682"/>
      <c r="U882" s="682"/>
      <c r="V882" s="682"/>
      <c r="W882" s="682"/>
      <c r="X882" s="682"/>
      <c r="Y882" s="682"/>
    </row>
    <row r="883" spans="1:25" ht="11.25" customHeight="1">
      <c r="A883" s="682"/>
      <c r="B883" s="682"/>
      <c r="C883" s="682"/>
      <c r="D883" s="683"/>
      <c r="E883" s="682"/>
      <c r="F883" s="682"/>
      <c r="G883" s="682"/>
      <c r="H883" s="682"/>
      <c r="I883" s="682"/>
      <c r="J883" s="682"/>
      <c r="P883" s="682"/>
      <c r="Q883" s="682"/>
      <c r="R883" s="682"/>
      <c r="S883" s="682"/>
      <c r="T883" s="682"/>
      <c r="U883" s="682"/>
      <c r="V883" s="682"/>
      <c r="W883" s="682"/>
      <c r="X883" s="682"/>
      <c r="Y883" s="682"/>
    </row>
    <row r="884" spans="1:25" ht="11.25" customHeight="1">
      <c r="A884" s="682"/>
      <c r="B884" s="682"/>
      <c r="C884" s="682"/>
      <c r="D884" s="683"/>
      <c r="E884" s="682"/>
      <c r="F884" s="682"/>
      <c r="G884" s="682"/>
      <c r="H884" s="682"/>
      <c r="I884" s="682"/>
      <c r="J884" s="682"/>
      <c r="P884" s="682"/>
      <c r="Q884" s="682"/>
      <c r="R884" s="682"/>
      <c r="S884" s="682"/>
      <c r="T884" s="682"/>
      <c r="U884" s="682"/>
      <c r="V884" s="682"/>
      <c r="W884" s="682"/>
      <c r="X884" s="682"/>
      <c r="Y884" s="682"/>
    </row>
    <row r="885" spans="1:25" ht="11.25" customHeight="1">
      <c r="A885" s="682"/>
      <c r="B885" s="682"/>
      <c r="C885" s="682"/>
      <c r="D885" s="683"/>
      <c r="E885" s="682"/>
      <c r="F885" s="682"/>
      <c r="G885" s="682"/>
      <c r="H885" s="682"/>
      <c r="I885" s="682"/>
      <c r="J885" s="682"/>
      <c r="P885" s="682"/>
      <c r="Q885" s="682"/>
      <c r="R885" s="682"/>
      <c r="S885" s="682"/>
      <c r="T885" s="682"/>
      <c r="U885" s="682"/>
      <c r="V885" s="682"/>
      <c r="W885" s="682"/>
      <c r="X885" s="682"/>
      <c r="Y885" s="682"/>
    </row>
    <row r="886" spans="1:25" ht="11.25" customHeight="1">
      <c r="A886" s="682"/>
      <c r="B886" s="682"/>
      <c r="C886" s="682"/>
      <c r="D886" s="683"/>
      <c r="E886" s="682"/>
      <c r="F886" s="682"/>
      <c r="G886" s="682"/>
      <c r="H886" s="682"/>
      <c r="I886" s="682"/>
      <c r="J886" s="682"/>
      <c r="P886" s="682"/>
      <c r="Q886" s="682"/>
      <c r="R886" s="682"/>
      <c r="S886" s="682"/>
      <c r="T886" s="682"/>
      <c r="U886" s="682"/>
      <c r="V886" s="682"/>
      <c r="W886" s="682"/>
      <c r="X886" s="682"/>
      <c r="Y886" s="682"/>
    </row>
    <row r="887" spans="1:25" ht="11.25" customHeight="1">
      <c r="A887" s="682"/>
      <c r="B887" s="682"/>
      <c r="C887" s="682"/>
      <c r="D887" s="683"/>
      <c r="E887" s="682"/>
      <c r="F887" s="682"/>
      <c r="G887" s="682"/>
      <c r="H887" s="682"/>
      <c r="I887" s="682"/>
      <c r="J887" s="682"/>
      <c r="P887" s="682"/>
      <c r="Q887" s="682"/>
      <c r="R887" s="682"/>
      <c r="S887" s="682"/>
      <c r="T887" s="682"/>
      <c r="U887" s="682"/>
      <c r="V887" s="682"/>
      <c r="W887" s="682"/>
      <c r="X887" s="682"/>
      <c r="Y887" s="682"/>
    </row>
    <row r="888" spans="1:25" ht="11.25" customHeight="1">
      <c r="A888" s="682"/>
      <c r="B888" s="682"/>
      <c r="C888" s="682"/>
      <c r="D888" s="683"/>
      <c r="E888" s="682"/>
      <c r="F888" s="682"/>
      <c r="G888" s="682"/>
      <c r="H888" s="682"/>
      <c r="I888" s="682"/>
      <c r="J888" s="682"/>
      <c r="P888" s="682"/>
      <c r="Q888" s="682"/>
      <c r="R888" s="682"/>
      <c r="S888" s="682"/>
      <c r="T888" s="682"/>
      <c r="U888" s="682"/>
      <c r="V888" s="682"/>
      <c r="W888" s="682"/>
      <c r="X888" s="682"/>
      <c r="Y888" s="682"/>
    </row>
    <row r="889" spans="1:25" ht="11.25" customHeight="1">
      <c r="A889" s="682"/>
      <c r="B889" s="682"/>
      <c r="C889" s="682"/>
      <c r="D889" s="683"/>
      <c r="E889" s="682"/>
      <c r="F889" s="682"/>
      <c r="G889" s="682"/>
      <c r="H889" s="682"/>
      <c r="I889" s="682"/>
      <c r="J889" s="682"/>
      <c r="P889" s="682"/>
      <c r="Q889" s="682"/>
      <c r="R889" s="682"/>
      <c r="S889" s="682"/>
      <c r="T889" s="682"/>
      <c r="U889" s="682"/>
      <c r="V889" s="682"/>
      <c r="W889" s="682"/>
      <c r="X889" s="682"/>
      <c r="Y889" s="682"/>
    </row>
    <row r="890" spans="1:25" ht="11.25" customHeight="1">
      <c r="A890" s="682"/>
      <c r="B890" s="682"/>
      <c r="C890" s="682"/>
      <c r="D890" s="683"/>
      <c r="E890" s="682"/>
      <c r="F890" s="682"/>
      <c r="G890" s="682"/>
      <c r="H890" s="682"/>
      <c r="I890" s="682"/>
      <c r="J890" s="682"/>
      <c r="P890" s="682"/>
      <c r="Q890" s="682"/>
      <c r="R890" s="682"/>
      <c r="S890" s="682"/>
      <c r="T890" s="682"/>
      <c r="U890" s="682"/>
      <c r="V890" s="682"/>
      <c r="W890" s="682"/>
      <c r="X890" s="682"/>
      <c r="Y890" s="682"/>
    </row>
    <row r="891" spans="1:25" ht="11.25" customHeight="1">
      <c r="A891" s="682"/>
      <c r="B891" s="682"/>
      <c r="C891" s="682"/>
      <c r="D891" s="683"/>
      <c r="E891" s="682"/>
      <c r="F891" s="682"/>
      <c r="G891" s="682"/>
      <c r="H891" s="682"/>
      <c r="I891" s="682"/>
      <c r="J891" s="682"/>
      <c r="P891" s="682"/>
      <c r="Q891" s="682"/>
      <c r="R891" s="682"/>
      <c r="S891" s="682"/>
      <c r="T891" s="682"/>
      <c r="U891" s="682"/>
      <c r="V891" s="682"/>
      <c r="W891" s="682"/>
      <c r="X891" s="682"/>
      <c r="Y891" s="682"/>
    </row>
    <row r="892" spans="1:25" ht="11.25" customHeight="1">
      <c r="A892" s="682"/>
      <c r="B892" s="682"/>
      <c r="C892" s="682"/>
      <c r="D892" s="683"/>
      <c r="E892" s="682"/>
      <c r="F892" s="682"/>
      <c r="G892" s="682"/>
      <c r="H892" s="682"/>
      <c r="I892" s="682"/>
      <c r="J892" s="682"/>
      <c r="P892" s="682"/>
      <c r="Q892" s="682"/>
      <c r="R892" s="682"/>
      <c r="S892" s="682"/>
      <c r="T892" s="682"/>
      <c r="U892" s="682"/>
      <c r="V892" s="682"/>
      <c r="W892" s="682"/>
      <c r="X892" s="682"/>
      <c r="Y892" s="682"/>
    </row>
    <row r="893" spans="1:25" ht="11.25" customHeight="1">
      <c r="A893" s="682"/>
      <c r="B893" s="682"/>
      <c r="C893" s="682"/>
      <c r="D893" s="683"/>
      <c r="E893" s="682"/>
      <c r="F893" s="682"/>
      <c r="G893" s="682"/>
      <c r="H893" s="682"/>
      <c r="I893" s="682"/>
      <c r="J893" s="682"/>
      <c r="P893" s="682"/>
      <c r="Q893" s="682"/>
      <c r="R893" s="682"/>
      <c r="S893" s="682"/>
      <c r="T893" s="682"/>
      <c r="U893" s="682"/>
      <c r="V893" s="682"/>
      <c r="W893" s="682"/>
      <c r="X893" s="682"/>
      <c r="Y893" s="682"/>
    </row>
    <row r="894" spans="1:25" ht="11.25" customHeight="1">
      <c r="A894" s="682"/>
      <c r="B894" s="682"/>
      <c r="C894" s="682"/>
      <c r="D894" s="683"/>
      <c r="E894" s="682"/>
      <c r="F894" s="682"/>
      <c r="G894" s="682"/>
      <c r="H894" s="682"/>
      <c r="I894" s="682"/>
      <c r="J894" s="682"/>
      <c r="P894" s="682"/>
      <c r="Q894" s="682"/>
      <c r="R894" s="682"/>
      <c r="S894" s="682"/>
      <c r="T894" s="682"/>
      <c r="U894" s="682"/>
      <c r="V894" s="682"/>
      <c r="W894" s="682"/>
      <c r="X894" s="682"/>
      <c r="Y894" s="682"/>
    </row>
    <row r="895" spans="1:25" ht="11.25" customHeight="1">
      <c r="A895" s="682"/>
      <c r="B895" s="682"/>
      <c r="C895" s="682"/>
      <c r="D895" s="683"/>
      <c r="E895" s="682"/>
      <c r="F895" s="682"/>
      <c r="G895" s="682"/>
      <c r="H895" s="682"/>
      <c r="I895" s="682"/>
      <c r="J895" s="682"/>
      <c r="P895" s="682"/>
      <c r="Q895" s="682"/>
      <c r="R895" s="682"/>
      <c r="S895" s="682"/>
      <c r="T895" s="682"/>
      <c r="U895" s="682"/>
      <c r="V895" s="682"/>
      <c r="W895" s="682"/>
      <c r="X895" s="682"/>
      <c r="Y895" s="682"/>
    </row>
    <row r="896" spans="1:25" ht="11.25" customHeight="1">
      <c r="A896" s="682"/>
      <c r="B896" s="682"/>
      <c r="C896" s="682"/>
      <c r="D896" s="683"/>
      <c r="E896" s="682"/>
      <c r="F896" s="682"/>
      <c r="G896" s="682"/>
      <c r="H896" s="682"/>
      <c r="I896" s="682"/>
      <c r="J896" s="682"/>
      <c r="P896" s="682"/>
      <c r="Q896" s="682"/>
      <c r="R896" s="682"/>
      <c r="S896" s="682"/>
      <c r="T896" s="682"/>
      <c r="U896" s="682"/>
      <c r="V896" s="682"/>
      <c r="W896" s="682"/>
      <c r="X896" s="682"/>
      <c r="Y896" s="682"/>
    </row>
    <row r="897" spans="1:25" ht="11.25" customHeight="1">
      <c r="A897" s="682"/>
      <c r="B897" s="682"/>
      <c r="C897" s="682"/>
      <c r="D897" s="683"/>
      <c r="E897" s="682"/>
      <c r="F897" s="682"/>
      <c r="G897" s="682"/>
      <c r="H897" s="682"/>
      <c r="I897" s="682"/>
      <c r="J897" s="682"/>
      <c r="P897" s="682"/>
      <c r="Q897" s="682"/>
      <c r="R897" s="682"/>
      <c r="S897" s="682"/>
      <c r="T897" s="682"/>
      <c r="U897" s="682"/>
      <c r="V897" s="682"/>
      <c r="W897" s="682"/>
      <c r="X897" s="682"/>
      <c r="Y897" s="682"/>
    </row>
    <row r="898" spans="1:25" ht="11.25" customHeight="1">
      <c r="A898" s="682"/>
      <c r="B898" s="682"/>
      <c r="C898" s="682"/>
      <c r="D898" s="683"/>
      <c r="E898" s="682"/>
      <c r="F898" s="682"/>
      <c r="G898" s="682"/>
      <c r="H898" s="682"/>
      <c r="I898" s="682"/>
      <c r="J898" s="682"/>
      <c r="P898" s="682"/>
      <c r="Q898" s="682"/>
      <c r="R898" s="682"/>
      <c r="S898" s="682"/>
      <c r="T898" s="682"/>
      <c r="U898" s="682"/>
      <c r="V898" s="682"/>
      <c r="W898" s="682"/>
      <c r="X898" s="682"/>
      <c r="Y898" s="682"/>
    </row>
    <row r="899" spans="1:25" ht="11.25" customHeight="1">
      <c r="A899" s="682"/>
      <c r="B899" s="682"/>
      <c r="C899" s="682"/>
      <c r="D899" s="683"/>
      <c r="E899" s="682"/>
      <c r="F899" s="682"/>
      <c r="G899" s="682"/>
      <c r="H899" s="682"/>
      <c r="I899" s="682"/>
      <c r="J899" s="682"/>
      <c r="P899" s="682"/>
      <c r="Q899" s="682"/>
      <c r="R899" s="682"/>
      <c r="S899" s="682"/>
      <c r="T899" s="682"/>
      <c r="U899" s="682"/>
      <c r="V899" s="682"/>
      <c r="W899" s="682"/>
      <c r="X899" s="682"/>
      <c r="Y899" s="682"/>
    </row>
    <row r="900" spans="1:25" ht="11.25" customHeight="1">
      <c r="A900" s="682"/>
      <c r="B900" s="682"/>
      <c r="C900" s="682"/>
      <c r="D900" s="683"/>
      <c r="E900" s="682"/>
      <c r="F900" s="682"/>
      <c r="G900" s="682"/>
      <c r="H900" s="682"/>
      <c r="I900" s="682"/>
      <c r="J900" s="682"/>
      <c r="P900" s="682"/>
      <c r="Q900" s="682"/>
      <c r="R900" s="682"/>
      <c r="S900" s="682"/>
      <c r="T900" s="682"/>
      <c r="U900" s="682"/>
      <c r="V900" s="682"/>
      <c r="W900" s="682"/>
      <c r="X900" s="682"/>
      <c r="Y900" s="682"/>
    </row>
    <row r="901" spans="1:25" ht="11.25" customHeight="1">
      <c r="A901" s="682"/>
      <c r="B901" s="682"/>
      <c r="C901" s="682"/>
      <c r="D901" s="683"/>
      <c r="E901" s="682"/>
      <c r="F901" s="682"/>
      <c r="G901" s="682"/>
      <c r="H901" s="682"/>
      <c r="I901" s="682"/>
      <c r="J901" s="682"/>
      <c r="P901" s="682"/>
      <c r="Q901" s="682"/>
      <c r="R901" s="682"/>
      <c r="S901" s="682"/>
      <c r="T901" s="682"/>
      <c r="U901" s="682"/>
      <c r="V901" s="682"/>
      <c r="W901" s="682"/>
      <c r="X901" s="682"/>
      <c r="Y901" s="682"/>
    </row>
    <row r="902" spans="1:25" ht="11.25" customHeight="1">
      <c r="A902" s="682"/>
      <c r="B902" s="682"/>
      <c r="C902" s="682"/>
      <c r="D902" s="683"/>
      <c r="E902" s="682"/>
      <c r="F902" s="682"/>
      <c r="G902" s="682"/>
      <c r="H902" s="682"/>
      <c r="I902" s="682"/>
      <c r="J902" s="682"/>
      <c r="P902" s="682"/>
      <c r="Q902" s="682"/>
      <c r="R902" s="682"/>
      <c r="S902" s="682"/>
      <c r="T902" s="682"/>
      <c r="U902" s="682"/>
      <c r="V902" s="682"/>
      <c r="W902" s="682"/>
      <c r="X902" s="682"/>
      <c r="Y902" s="682"/>
    </row>
    <row r="903" spans="1:25" ht="11.25" customHeight="1">
      <c r="A903" s="682"/>
      <c r="B903" s="682"/>
      <c r="C903" s="682"/>
      <c r="D903" s="683"/>
      <c r="E903" s="682"/>
      <c r="F903" s="682"/>
      <c r="G903" s="682"/>
      <c r="H903" s="682"/>
      <c r="I903" s="682"/>
      <c r="J903" s="682"/>
      <c r="P903" s="682"/>
      <c r="Q903" s="682"/>
      <c r="R903" s="682"/>
      <c r="S903" s="682"/>
      <c r="T903" s="682"/>
      <c r="U903" s="682"/>
      <c r="V903" s="682"/>
      <c r="W903" s="682"/>
      <c r="X903" s="682"/>
      <c r="Y903" s="682"/>
    </row>
    <row r="904" spans="1:25" ht="11.25" customHeight="1">
      <c r="A904" s="682"/>
      <c r="B904" s="682"/>
      <c r="C904" s="682"/>
      <c r="D904" s="683"/>
      <c r="E904" s="682"/>
      <c r="F904" s="682"/>
      <c r="G904" s="682"/>
      <c r="H904" s="682"/>
      <c r="I904" s="682"/>
      <c r="J904" s="682"/>
      <c r="P904" s="682"/>
      <c r="Q904" s="682"/>
      <c r="R904" s="682"/>
      <c r="S904" s="682"/>
      <c r="T904" s="682"/>
      <c r="U904" s="682"/>
      <c r="V904" s="682"/>
      <c r="W904" s="682"/>
      <c r="X904" s="682"/>
      <c r="Y904" s="682"/>
    </row>
    <row r="905" spans="1:25" ht="11.25" customHeight="1">
      <c r="A905" s="682"/>
      <c r="B905" s="682"/>
      <c r="C905" s="682"/>
      <c r="D905" s="683"/>
      <c r="E905" s="682"/>
      <c r="F905" s="682"/>
      <c r="G905" s="682"/>
      <c r="H905" s="682"/>
      <c r="I905" s="682"/>
      <c r="J905" s="682"/>
      <c r="P905" s="682"/>
      <c r="Q905" s="682"/>
      <c r="R905" s="682"/>
      <c r="S905" s="682"/>
      <c r="T905" s="682"/>
      <c r="U905" s="682"/>
      <c r="V905" s="682"/>
      <c r="W905" s="682"/>
      <c r="X905" s="682"/>
      <c r="Y905" s="682"/>
    </row>
    <row r="906" spans="1:25" ht="11.25" customHeight="1">
      <c r="A906" s="682"/>
      <c r="B906" s="682"/>
      <c r="C906" s="682"/>
      <c r="D906" s="683"/>
      <c r="E906" s="682"/>
      <c r="F906" s="682"/>
      <c r="G906" s="682"/>
      <c r="H906" s="682"/>
      <c r="I906" s="682"/>
      <c r="J906" s="682"/>
      <c r="P906" s="682"/>
      <c r="Q906" s="682"/>
      <c r="R906" s="682"/>
      <c r="S906" s="682"/>
      <c r="T906" s="682"/>
      <c r="U906" s="682"/>
      <c r="V906" s="682"/>
      <c r="W906" s="682"/>
      <c r="X906" s="682"/>
      <c r="Y906" s="682"/>
    </row>
    <row r="907" spans="1:25" ht="11.25" customHeight="1">
      <c r="A907" s="682"/>
      <c r="B907" s="682"/>
      <c r="C907" s="682"/>
      <c r="D907" s="683"/>
      <c r="E907" s="682"/>
      <c r="F907" s="682"/>
      <c r="G907" s="682"/>
      <c r="H907" s="682"/>
      <c r="I907" s="682"/>
      <c r="J907" s="682"/>
      <c r="P907" s="682"/>
      <c r="Q907" s="682"/>
      <c r="R907" s="682"/>
      <c r="S907" s="682"/>
      <c r="T907" s="682"/>
      <c r="U907" s="682"/>
      <c r="V907" s="682"/>
      <c r="W907" s="682"/>
      <c r="X907" s="682"/>
      <c r="Y907" s="682"/>
    </row>
    <row r="908" spans="1:25" ht="11.25" customHeight="1">
      <c r="A908" s="682"/>
      <c r="B908" s="682"/>
      <c r="C908" s="682"/>
      <c r="D908" s="683"/>
      <c r="E908" s="682"/>
      <c r="F908" s="682"/>
      <c r="G908" s="682"/>
      <c r="H908" s="682"/>
      <c r="I908" s="682"/>
      <c r="J908" s="682"/>
      <c r="P908" s="682"/>
      <c r="Q908" s="682"/>
      <c r="R908" s="682"/>
      <c r="S908" s="682"/>
      <c r="T908" s="682"/>
      <c r="U908" s="682"/>
      <c r="V908" s="682"/>
      <c r="W908" s="682"/>
      <c r="X908" s="682"/>
      <c r="Y908" s="682"/>
    </row>
    <row r="909" spans="1:25" ht="11.25" customHeight="1">
      <c r="A909" s="682"/>
      <c r="B909" s="682"/>
      <c r="C909" s="682"/>
      <c r="D909" s="683"/>
      <c r="E909" s="682"/>
      <c r="F909" s="682"/>
      <c r="G909" s="682"/>
      <c r="H909" s="682"/>
      <c r="I909" s="682"/>
      <c r="J909" s="682"/>
      <c r="P909" s="682"/>
      <c r="Q909" s="682"/>
      <c r="R909" s="682"/>
      <c r="S909" s="682"/>
      <c r="T909" s="682"/>
      <c r="U909" s="682"/>
      <c r="V909" s="682"/>
      <c r="W909" s="682"/>
      <c r="X909" s="682"/>
      <c r="Y909" s="682"/>
    </row>
    <row r="910" spans="1:25" ht="11.25" customHeight="1">
      <c r="A910" s="682"/>
      <c r="B910" s="682"/>
      <c r="C910" s="682"/>
      <c r="D910" s="683"/>
      <c r="E910" s="682"/>
      <c r="F910" s="682"/>
      <c r="G910" s="682"/>
      <c r="H910" s="682"/>
      <c r="I910" s="682"/>
      <c r="J910" s="682"/>
      <c r="P910" s="682"/>
      <c r="Q910" s="682"/>
      <c r="R910" s="682"/>
      <c r="S910" s="682"/>
      <c r="T910" s="682"/>
      <c r="U910" s="682"/>
      <c r="V910" s="682"/>
      <c r="W910" s="682"/>
      <c r="X910" s="682"/>
      <c r="Y910" s="682"/>
    </row>
    <row r="911" spans="1:25" ht="11.25" customHeight="1">
      <c r="A911" s="682"/>
      <c r="B911" s="682"/>
      <c r="C911" s="682"/>
      <c r="D911" s="683"/>
      <c r="E911" s="682"/>
      <c r="F911" s="682"/>
      <c r="G911" s="682"/>
      <c r="H911" s="682"/>
      <c r="I911" s="682"/>
      <c r="J911" s="682"/>
      <c r="P911" s="682"/>
      <c r="Q911" s="682"/>
      <c r="R911" s="682"/>
      <c r="S911" s="682"/>
      <c r="T911" s="682"/>
      <c r="U911" s="682"/>
      <c r="V911" s="682"/>
      <c r="W911" s="682"/>
      <c r="X911" s="682"/>
      <c r="Y911" s="682"/>
    </row>
    <row r="912" spans="1:25" ht="11.25" customHeight="1">
      <c r="A912" s="682"/>
      <c r="B912" s="682"/>
      <c r="C912" s="682"/>
      <c r="D912" s="683"/>
      <c r="E912" s="682"/>
      <c r="F912" s="682"/>
      <c r="G912" s="682"/>
      <c r="H912" s="682"/>
      <c r="I912" s="682"/>
      <c r="J912" s="682"/>
      <c r="P912" s="682"/>
      <c r="Q912" s="682"/>
      <c r="R912" s="682"/>
      <c r="S912" s="682"/>
      <c r="T912" s="682"/>
      <c r="U912" s="682"/>
      <c r="V912" s="682"/>
      <c r="W912" s="682"/>
      <c r="X912" s="682"/>
      <c r="Y912" s="682"/>
    </row>
    <row r="913" spans="1:25" ht="11.25" customHeight="1">
      <c r="A913" s="682"/>
      <c r="B913" s="682"/>
      <c r="C913" s="682"/>
      <c r="D913" s="683"/>
      <c r="E913" s="682"/>
      <c r="F913" s="682"/>
      <c r="G913" s="682"/>
      <c r="H913" s="682"/>
      <c r="I913" s="682"/>
      <c r="J913" s="682"/>
      <c r="P913" s="682"/>
      <c r="Q913" s="682"/>
      <c r="R913" s="682"/>
      <c r="S913" s="682"/>
      <c r="T913" s="682"/>
      <c r="U913" s="682"/>
      <c r="V913" s="682"/>
      <c r="W913" s="682"/>
      <c r="X913" s="682"/>
      <c r="Y913" s="682"/>
    </row>
    <row r="914" spans="1:25" ht="11.25" customHeight="1">
      <c r="A914" s="682"/>
      <c r="B914" s="682"/>
      <c r="C914" s="682"/>
      <c r="D914" s="683"/>
      <c r="E914" s="682"/>
      <c r="F914" s="682"/>
      <c r="G914" s="682"/>
      <c r="H914" s="682"/>
      <c r="I914" s="682"/>
      <c r="J914" s="682"/>
      <c r="P914" s="682"/>
      <c r="Q914" s="682"/>
      <c r="R914" s="682"/>
      <c r="S914" s="682"/>
      <c r="T914" s="682"/>
      <c r="U914" s="682"/>
      <c r="V914" s="682"/>
      <c r="W914" s="682"/>
      <c r="X914" s="682"/>
      <c r="Y914" s="682"/>
    </row>
    <row r="915" spans="1:25" ht="11.25" customHeight="1">
      <c r="A915" s="682"/>
      <c r="B915" s="682"/>
      <c r="C915" s="682"/>
      <c r="D915" s="683"/>
      <c r="E915" s="682"/>
      <c r="F915" s="682"/>
      <c r="G915" s="682"/>
      <c r="H915" s="682"/>
      <c r="I915" s="682"/>
      <c r="J915" s="682"/>
      <c r="P915" s="682"/>
      <c r="Q915" s="682"/>
      <c r="R915" s="682"/>
      <c r="S915" s="682"/>
      <c r="T915" s="682"/>
      <c r="U915" s="682"/>
      <c r="V915" s="682"/>
      <c r="W915" s="682"/>
      <c r="X915" s="682"/>
      <c r="Y915" s="682"/>
    </row>
    <row r="916" spans="1:25" ht="11.25" customHeight="1">
      <c r="A916" s="682"/>
      <c r="B916" s="682"/>
      <c r="C916" s="682"/>
      <c r="D916" s="683"/>
      <c r="E916" s="682"/>
      <c r="F916" s="682"/>
      <c r="G916" s="682"/>
      <c r="H916" s="682"/>
      <c r="I916" s="682"/>
      <c r="J916" s="682"/>
      <c r="P916" s="682"/>
      <c r="Q916" s="682"/>
      <c r="R916" s="682"/>
      <c r="S916" s="682"/>
      <c r="T916" s="682"/>
      <c r="U916" s="682"/>
      <c r="V916" s="682"/>
      <c r="W916" s="682"/>
      <c r="X916" s="682"/>
      <c r="Y916" s="682"/>
    </row>
    <row r="917" spans="1:25" ht="11.25" customHeight="1">
      <c r="A917" s="682"/>
      <c r="B917" s="682"/>
      <c r="C917" s="682"/>
      <c r="D917" s="683"/>
      <c r="E917" s="682"/>
      <c r="F917" s="682"/>
      <c r="G917" s="682"/>
      <c r="H917" s="682"/>
      <c r="I917" s="682"/>
      <c r="J917" s="682"/>
      <c r="P917" s="682"/>
      <c r="Q917" s="682"/>
      <c r="R917" s="682"/>
      <c r="S917" s="682"/>
      <c r="T917" s="682"/>
      <c r="U917" s="682"/>
      <c r="V917" s="682"/>
      <c r="W917" s="682"/>
      <c r="X917" s="682"/>
      <c r="Y917" s="682"/>
    </row>
    <row r="918" spans="1:25" ht="11.25" customHeight="1">
      <c r="A918" s="682"/>
      <c r="B918" s="682"/>
      <c r="C918" s="682"/>
      <c r="D918" s="683"/>
      <c r="E918" s="682"/>
      <c r="F918" s="682"/>
      <c r="G918" s="682"/>
      <c r="H918" s="682"/>
      <c r="I918" s="682"/>
      <c r="J918" s="682"/>
      <c r="P918" s="682"/>
      <c r="Q918" s="682"/>
      <c r="R918" s="682"/>
      <c r="S918" s="682"/>
      <c r="T918" s="682"/>
      <c r="U918" s="682"/>
      <c r="V918" s="682"/>
      <c r="W918" s="682"/>
      <c r="X918" s="682"/>
      <c r="Y918" s="682"/>
    </row>
    <row r="919" spans="1:25" ht="11.25" customHeight="1">
      <c r="A919" s="682"/>
      <c r="B919" s="682"/>
      <c r="C919" s="682"/>
      <c r="D919" s="683"/>
      <c r="E919" s="682"/>
      <c r="F919" s="682"/>
      <c r="G919" s="682"/>
      <c r="H919" s="682"/>
      <c r="I919" s="682"/>
      <c r="J919" s="682"/>
      <c r="P919" s="682"/>
      <c r="Q919" s="682"/>
      <c r="R919" s="682"/>
      <c r="S919" s="682"/>
      <c r="T919" s="682"/>
      <c r="U919" s="682"/>
      <c r="V919" s="682"/>
      <c r="W919" s="682"/>
      <c r="X919" s="682"/>
      <c r="Y919" s="682"/>
    </row>
    <row r="920" spans="1:25" ht="11.25" customHeight="1">
      <c r="A920" s="682"/>
      <c r="B920" s="682"/>
      <c r="C920" s="682"/>
      <c r="D920" s="683"/>
      <c r="E920" s="682"/>
      <c r="F920" s="682"/>
      <c r="G920" s="682"/>
      <c r="H920" s="682"/>
      <c r="I920" s="682"/>
      <c r="J920" s="682"/>
      <c r="P920" s="682"/>
      <c r="Q920" s="682"/>
      <c r="R920" s="682"/>
      <c r="S920" s="682"/>
      <c r="T920" s="682"/>
      <c r="U920" s="682"/>
      <c r="V920" s="682"/>
      <c r="W920" s="682"/>
      <c r="X920" s="682"/>
      <c r="Y920" s="682"/>
    </row>
    <row r="921" spans="1:25" ht="11.25" customHeight="1">
      <c r="A921" s="682"/>
      <c r="B921" s="682"/>
      <c r="C921" s="682"/>
      <c r="D921" s="683"/>
      <c r="E921" s="682"/>
      <c r="F921" s="682"/>
      <c r="G921" s="682"/>
      <c r="H921" s="682"/>
      <c r="I921" s="682"/>
      <c r="J921" s="682"/>
      <c r="P921" s="682"/>
      <c r="Q921" s="682"/>
      <c r="R921" s="682"/>
      <c r="S921" s="682"/>
      <c r="T921" s="682"/>
      <c r="U921" s="682"/>
      <c r="V921" s="682"/>
      <c r="W921" s="682"/>
      <c r="X921" s="682"/>
      <c r="Y921" s="682"/>
    </row>
    <row r="922" spans="1:25" ht="11.25" customHeight="1">
      <c r="A922" s="682"/>
      <c r="B922" s="682"/>
      <c r="C922" s="682"/>
      <c r="D922" s="683"/>
      <c r="E922" s="682"/>
      <c r="F922" s="682"/>
      <c r="G922" s="682"/>
      <c r="H922" s="682"/>
      <c r="I922" s="682"/>
      <c r="J922" s="682"/>
      <c r="P922" s="682"/>
      <c r="Q922" s="682"/>
      <c r="R922" s="682"/>
      <c r="S922" s="682"/>
      <c r="T922" s="682"/>
      <c r="U922" s="682"/>
      <c r="V922" s="682"/>
      <c r="W922" s="682"/>
      <c r="X922" s="682"/>
      <c r="Y922" s="682"/>
    </row>
    <row r="923" spans="1:25" ht="11.25" customHeight="1">
      <c r="A923" s="682"/>
      <c r="B923" s="682"/>
      <c r="C923" s="682"/>
      <c r="D923" s="683"/>
      <c r="E923" s="682"/>
      <c r="F923" s="682"/>
      <c r="G923" s="682"/>
      <c r="H923" s="682"/>
      <c r="I923" s="682"/>
      <c r="J923" s="682"/>
      <c r="P923" s="682"/>
      <c r="Q923" s="682"/>
      <c r="R923" s="682"/>
      <c r="S923" s="682"/>
      <c r="T923" s="682"/>
      <c r="U923" s="682"/>
      <c r="V923" s="682"/>
      <c r="W923" s="682"/>
      <c r="X923" s="682"/>
      <c r="Y923" s="682"/>
    </row>
    <row r="924" spans="1:25" ht="11.25" customHeight="1">
      <c r="A924" s="682"/>
      <c r="B924" s="682"/>
      <c r="C924" s="682"/>
      <c r="D924" s="683"/>
      <c r="E924" s="682"/>
      <c r="F924" s="682"/>
      <c r="G924" s="682"/>
      <c r="H924" s="682"/>
      <c r="I924" s="682"/>
      <c r="J924" s="682"/>
      <c r="P924" s="682"/>
      <c r="Q924" s="682"/>
      <c r="R924" s="682"/>
      <c r="S924" s="682"/>
      <c r="T924" s="682"/>
      <c r="U924" s="682"/>
      <c r="V924" s="682"/>
      <c r="W924" s="682"/>
      <c r="X924" s="682"/>
      <c r="Y924" s="682"/>
    </row>
    <row r="925" spans="1:25" ht="11.25" customHeight="1">
      <c r="A925" s="682"/>
      <c r="B925" s="682"/>
      <c r="C925" s="682"/>
      <c r="D925" s="683"/>
      <c r="E925" s="682"/>
      <c r="F925" s="682"/>
      <c r="G925" s="682"/>
      <c r="H925" s="682"/>
      <c r="I925" s="682"/>
      <c r="J925" s="682"/>
      <c r="P925" s="682"/>
      <c r="Q925" s="682"/>
      <c r="R925" s="682"/>
      <c r="S925" s="682"/>
      <c r="T925" s="682"/>
      <c r="U925" s="682"/>
      <c r="V925" s="682"/>
      <c r="W925" s="682"/>
      <c r="X925" s="682"/>
      <c r="Y925" s="682"/>
    </row>
    <row r="926" spans="1:25" ht="11.25" customHeight="1">
      <c r="A926" s="682"/>
      <c r="B926" s="682"/>
      <c r="C926" s="682"/>
      <c r="D926" s="683"/>
      <c r="E926" s="682"/>
      <c r="F926" s="682"/>
      <c r="G926" s="682"/>
      <c r="H926" s="682"/>
      <c r="I926" s="682"/>
      <c r="J926" s="682"/>
      <c r="P926" s="682"/>
      <c r="Q926" s="682"/>
      <c r="R926" s="682"/>
      <c r="S926" s="682"/>
      <c r="T926" s="682"/>
      <c r="U926" s="682"/>
      <c r="V926" s="682"/>
      <c r="W926" s="682"/>
      <c r="X926" s="682"/>
      <c r="Y926" s="682"/>
    </row>
    <row r="927" spans="1:25" ht="11.25" customHeight="1">
      <c r="A927" s="682"/>
      <c r="B927" s="682"/>
      <c r="C927" s="682"/>
      <c r="D927" s="683"/>
      <c r="E927" s="682"/>
      <c r="F927" s="682"/>
      <c r="G927" s="682"/>
      <c r="H927" s="682"/>
      <c r="I927" s="682"/>
      <c r="J927" s="682"/>
      <c r="P927" s="682"/>
      <c r="Q927" s="682"/>
      <c r="R927" s="682"/>
      <c r="S927" s="682"/>
      <c r="T927" s="682"/>
      <c r="U927" s="682"/>
      <c r="V927" s="682"/>
      <c r="W927" s="682"/>
      <c r="X927" s="682"/>
      <c r="Y927" s="682"/>
    </row>
    <row r="928" spans="1:25" ht="11.25" customHeight="1">
      <c r="A928" s="682"/>
      <c r="B928" s="682"/>
      <c r="C928" s="682"/>
      <c r="D928" s="683"/>
      <c r="E928" s="682"/>
      <c r="F928" s="682"/>
      <c r="G928" s="682"/>
      <c r="H928" s="682"/>
      <c r="I928" s="682"/>
      <c r="J928" s="682"/>
      <c r="P928" s="682"/>
      <c r="Q928" s="682"/>
      <c r="R928" s="682"/>
      <c r="S928" s="682"/>
      <c r="T928" s="682"/>
      <c r="U928" s="682"/>
      <c r="V928" s="682"/>
      <c r="W928" s="682"/>
      <c r="X928" s="682"/>
      <c r="Y928" s="682"/>
    </row>
    <row r="929" spans="1:25" ht="11.25" customHeight="1">
      <c r="A929" s="682"/>
      <c r="B929" s="682"/>
      <c r="C929" s="682"/>
      <c r="D929" s="683"/>
      <c r="E929" s="682"/>
      <c r="F929" s="682"/>
      <c r="G929" s="682"/>
      <c r="H929" s="682"/>
      <c r="I929" s="682"/>
      <c r="J929" s="682"/>
      <c r="P929" s="682"/>
      <c r="Q929" s="682"/>
      <c r="R929" s="682"/>
      <c r="S929" s="682"/>
      <c r="T929" s="682"/>
      <c r="U929" s="682"/>
      <c r="V929" s="682"/>
      <c r="W929" s="682"/>
      <c r="X929" s="682"/>
      <c r="Y929" s="682"/>
    </row>
    <row r="930" spans="1:25" ht="11.25" customHeight="1">
      <c r="A930" s="682"/>
      <c r="B930" s="682"/>
      <c r="C930" s="682"/>
      <c r="D930" s="683"/>
      <c r="E930" s="682"/>
      <c r="F930" s="682"/>
      <c r="G930" s="682"/>
      <c r="H930" s="682"/>
      <c r="I930" s="682"/>
      <c r="J930" s="682"/>
      <c r="P930" s="682"/>
      <c r="Q930" s="682"/>
      <c r="R930" s="682"/>
      <c r="S930" s="682"/>
      <c r="T930" s="682"/>
      <c r="U930" s="682"/>
      <c r="V930" s="682"/>
      <c r="W930" s="682"/>
      <c r="X930" s="682"/>
      <c r="Y930" s="682"/>
    </row>
    <row r="931" spans="1:25" ht="11.25" customHeight="1">
      <c r="A931" s="682"/>
      <c r="B931" s="682"/>
      <c r="C931" s="682"/>
      <c r="D931" s="683"/>
      <c r="E931" s="682"/>
      <c r="F931" s="682"/>
      <c r="G931" s="682"/>
      <c r="H931" s="682"/>
      <c r="I931" s="682"/>
      <c r="J931" s="682"/>
      <c r="P931" s="682"/>
      <c r="Q931" s="682"/>
      <c r="R931" s="682"/>
      <c r="S931" s="682"/>
      <c r="T931" s="682"/>
      <c r="U931" s="682"/>
      <c r="V931" s="682"/>
      <c r="W931" s="682"/>
      <c r="X931" s="682"/>
      <c r="Y931" s="682"/>
    </row>
    <row r="932" spans="1:25" ht="11.25" customHeight="1">
      <c r="A932" s="682"/>
      <c r="B932" s="682"/>
      <c r="C932" s="682"/>
      <c r="D932" s="683"/>
      <c r="E932" s="682"/>
      <c r="F932" s="682"/>
      <c r="G932" s="682"/>
      <c r="H932" s="682"/>
      <c r="I932" s="682"/>
      <c r="J932" s="682"/>
      <c r="P932" s="682"/>
      <c r="Q932" s="682"/>
      <c r="R932" s="682"/>
      <c r="S932" s="682"/>
      <c r="T932" s="682"/>
      <c r="U932" s="682"/>
      <c r="V932" s="682"/>
      <c r="W932" s="682"/>
      <c r="X932" s="682"/>
      <c r="Y932" s="682"/>
    </row>
    <row r="933" spans="1:25" ht="11.25" customHeight="1">
      <c r="A933" s="682"/>
      <c r="B933" s="682"/>
      <c r="C933" s="682"/>
      <c r="D933" s="683"/>
      <c r="E933" s="682"/>
      <c r="F933" s="682"/>
      <c r="G933" s="682"/>
      <c r="H933" s="682"/>
      <c r="I933" s="682"/>
      <c r="J933" s="682"/>
      <c r="P933" s="682"/>
      <c r="Q933" s="682"/>
      <c r="R933" s="682"/>
      <c r="S933" s="682"/>
      <c r="T933" s="682"/>
      <c r="U933" s="682"/>
      <c r="V933" s="682"/>
      <c r="W933" s="682"/>
      <c r="X933" s="682"/>
      <c r="Y933" s="682"/>
    </row>
    <row r="934" spans="1:25" ht="11.25" customHeight="1">
      <c r="A934" s="682"/>
      <c r="B934" s="682"/>
      <c r="C934" s="682"/>
      <c r="D934" s="683"/>
      <c r="E934" s="682"/>
      <c r="F934" s="682"/>
      <c r="G934" s="682"/>
      <c r="H934" s="682"/>
      <c r="I934" s="682"/>
      <c r="J934" s="682"/>
      <c r="P934" s="682"/>
      <c r="Q934" s="682"/>
      <c r="R934" s="682"/>
      <c r="S934" s="682"/>
      <c r="T934" s="682"/>
      <c r="U934" s="682"/>
      <c r="V934" s="682"/>
      <c r="W934" s="682"/>
      <c r="X934" s="682"/>
      <c r="Y934" s="682"/>
    </row>
    <row r="935" spans="1:25" ht="11.25" customHeight="1">
      <c r="A935" s="682"/>
      <c r="B935" s="682"/>
      <c r="C935" s="682"/>
      <c r="D935" s="683"/>
      <c r="E935" s="682"/>
      <c r="F935" s="682"/>
      <c r="G935" s="682"/>
      <c r="H935" s="682"/>
      <c r="I935" s="682"/>
      <c r="J935" s="682"/>
      <c r="P935" s="682"/>
      <c r="Q935" s="682"/>
      <c r="R935" s="682"/>
      <c r="S935" s="682"/>
      <c r="T935" s="682"/>
      <c r="U935" s="682"/>
      <c r="V935" s="682"/>
      <c r="W935" s="682"/>
      <c r="X935" s="682"/>
      <c r="Y935" s="682"/>
    </row>
    <row r="936" spans="1:25" ht="11.25" customHeight="1">
      <c r="A936" s="682"/>
      <c r="B936" s="682"/>
      <c r="C936" s="682"/>
      <c r="D936" s="683"/>
      <c r="E936" s="682"/>
      <c r="F936" s="682"/>
      <c r="G936" s="682"/>
      <c r="H936" s="682"/>
      <c r="I936" s="682"/>
      <c r="J936" s="682"/>
      <c r="P936" s="682"/>
      <c r="Q936" s="682"/>
      <c r="R936" s="682"/>
      <c r="S936" s="682"/>
      <c r="T936" s="682"/>
      <c r="U936" s="682"/>
      <c r="V936" s="682"/>
      <c r="W936" s="682"/>
      <c r="X936" s="682"/>
      <c r="Y936" s="682"/>
    </row>
    <row r="937" spans="1:25" ht="11.25" customHeight="1">
      <c r="A937" s="682"/>
      <c r="B937" s="682"/>
      <c r="C937" s="682"/>
      <c r="D937" s="683"/>
      <c r="E937" s="682"/>
      <c r="F937" s="682"/>
      <c r="G937" s="682"/>
      <c r="H937" s="682"/>
      <c r="I937" s="682"/>
      <c r="J937" s="682"/>
      <c r="P937" s="682"/>
      <c r="Q937" s="682"/>
      <c r="R937" s="682"/>
      <c r="S937" s="682"/>
      <c r="T937" s="682"/>
      <c r="U937" s="682"/>
      <c r="V937" s="682"/>
      <c r="W937" s="682"/>
      <c r="X937" s="682"/>
      <c r="Y937" s="682"/>
    </row>
    <row r="938" spans="1:25" ht="11.25" customHeight="1">
      <c r="A938" s="682"/>
      <c r="B938" s="682"/>
      <c r="C938" s="682"/>
      <c r="D938" s="683"/>
      <c r="E938" s="682"/>
      <c r="F938" s="682"/>
      <c r="G938" s="682"/>
      <c r="H938" s="682"/>
      <c r="I938" s="682"/>
      <c r="J938" s="682"/>
      <c r="P938" s="682"/>
      <c r="Q938" s="682"/>
      <c r="R938" s="682"/>
      <c r="S938" s="682"/>
      <c r="T938" s="682"/>
      <c r="U938" s="682"/>
      <c r="V938" s="682"/>
      <c r="W938" s="682"/>
      <c r="X938" s="682"/>
      <c r="Y938" s="682"/>
    </row>
    <row r="939" spans="1:25" ht="11.25" customHeight="1">
      <c r="A939" s="682"/>
      <c r="B939" s="682"/>
      <c r="C939" s="682"/>
      <c r="D939" s="683"/>
      <c r="E939" s="682"/>
      <c r="F939" s="682"/>
      <c r="G939" s="682"/>
      <c r="H939" s="682"/>
      <c r="I939" s="682"/>
      <c r="J939" s="682"/>
      <c r="P939" s="682"/>
      <c r="Q939" s="682"/>
      <c r="R939" s="682"/>
      <c r="S939" s="682"/>
      <c r="T939" s="682"/>
      <c r="U939" s="682"/>
      <c r="V939" s="682"/>
      <c r="W939" s="682"/>
      <c r="X939" s="682"/>
      <c r="Y939" s="682"/>
    </row>
    <row r="940" spans="1:25" ht="11.25" customHeight="1">
      <c r="A940" s="682"/>
      <c r="B940" s="682"/>
      <c r="C940" s="682"/>
      <c r="D940" s="683"/>
      <c r="E940" s="682"/>
      <c r="F940" s="682"/>
      <c r="G940" s="682"/>
      <c r="H940" s="682"/>
      <c r="I940" s="682"/>
      <c r="J940" s="682"/>
      <c r="P940" s="682"/>
      <c r="Q940" s="682"/>
      <c r="R940" s="682"/>
      <c r="S940" s="682"/>
      <c r="T940" s="682"/>
      <c r="U940" s="682"/>
      <c r="V940" s="682"/>
      <c r="W940" s="682"/>
      <c r="X940" s="682"/>
      <c r="Y940" s="682"/>
    </row>
    <row r="941" spans="1:25" ht="11.25" customHeight="1">
      <c r="A941" s="682"/>
      <c r="B941" s="682"/>
      <c r="C941" s="682"/>
      <c r="D941" s="683"/>
      <c r="E941" s="682"/>
      <c r="F941" s="682"/>
      <c r="G941" s="682"/>
      <c r="H941" s="682"/>
      <c r="I941" s="682"/>
      <c r="J941" s="682"/>
      <c r="P941" s="682"/>
      <c r="Q941" s="682"/>
      <c r="R941" s="682"/>
      <c r="S941" s="682"/>
      <c r="T941" s="682"/>
      <c r="U941" s="682"/>
      <c r="V941" s="682"/>
      <c r="W941" s="682"/>
      <c r="X941" s="682"/>
      <c r="Y941" s="682"/>
    </row>
    <row r="942" spans="1:25" ht="11.25" customHeight="1">
      <c r="A942" s="682"/>
      <c r="B942" s="682"/>
      <c r="C942" s="682"/>
      <c r="D942" s="683"/>
      <c r="E942" s="682"/>
      <c r="F942" s="682"/>
      <c r="G942" s="682"/>
      <c r="H942" s="682"/>
      <c r="I942" s="682"/>
      <c r="J942" s="682"/>
      <c r="P942" s="682"/>
      <c r="Q942" s="682"/>
      <c r="R942" s="682"/>
      <c r="S942" s="682"/>
      <c r="T942" s="682"/>
      <c r="U942" s="682"/>
      <c r="V942" s="682"/>
      <c r="W942" s="682"/>
      <c r="X942" s="682"/>
      <c r="Y942" s="682"/>
    </row>
    <row r="943" spans="1:25" ht="11.25" customHeight="1">
      <c r="A943" s="682"/>
      <c r="B943" s="682"/>
      <c r="C943" s="682"/>
      <c r="D943" s="683"/>
      <c r="E943" s="682"/>
      <c r="F943" s="682"/>
      <c r="G943" s="682"/>
      <c r="H943" s="682"/>
      <c r="I943" s="682"/>
      <c r="J943" s="682"/>
      <c r="P943" s="682"/>
      <c r="Q943" s="682"/>
      <c r="R943" s="682"/>
      <c r="S943" s="682"/>
      <c r="T943" s="682"/>
      <c r="U943" s="682"/>
      <c r="V943" s="682"/>
      <c r="W943" s="682"/>
      <c r="X943" s="682"/>
      <c r="Y943" s="682"/>
    </row>
    <row r="944" spans="1:25" ht="11.25" customHeight="1">
      <c r="A944" s="682"/>
      <c r="B944" s="682"/>
      <c r="C944" s="682"/>
      <c r="D944" s="683"/>
      <c r="E944" s="682"/>
      <c r="F944" s="682"/>
      <c r="G944" s="682"/>
      <c r="H944" s="682"/>
      <c r="I944" s="682"/>
      <c r="J944" s="682"/>
      <c r="P944" s="682"/>
      <c r="Q944" s="682"/>
      <c r="R944" s="682"/>
      <c r="S944" s="682"/>
      <c r="T944" s="682"/>
      <c r="U944" s="682"/>
      <c r="V944" s="682"/>
      <c r="W944" s="682"/>
      <c r="X944" s="682"/>
      <c r="Y944" s="682"/>
    </row>
    <row r="945" spans="1:25" ht="11.25" customHeight="1">
      <c r="A945" s="682"/>
      <c r="B945" s="682"/>
      <c r="C945" s="682"/>
      <c r="D945" s="683"/>
      <c r="E945" s="682"/>
      <c r="F945" s="682"/>
      <c r="G945" s="682"/>
      <c r="H945" s="682"/>
      <c r="I945" s="682"/>
      <c r="J945" s="682"/>
      <c r="P945" s="682"/>
      <c r="Q945" s="682"/>
      <c r="R945" s="682"/>
      <c r="S945" s="682"/>
      <c r="T945" s="682"/>
      <c r="U945" s="682"/>
      <c r="V945" s="682"/>
      <c r="W945" s="682"/>
      <c r="X945" s="682"/>
      <c r="Y945" s="682"/>
    </row>
    <row r="946" spans="1:25" ht="11.25" customHeight="1">
      <c r="A946" s="682"/>
      <c r="B946" s="682"/>
      <c r="C946" s="682"/>
      <c r="D946" s="683"/>
      <c r="E946" s="682"/>
      <c r="F946" s="682"/>
      <c r="G946" s="682"/>
      <c r="H946" s="682"/>
      <c r="I946" s="682"/>
      <c r="J946" s="682"/>
      <c r="P946" s="682"/>
      <c r="Q946" s="682"/>
      <c r="R946" s="682"/>
      <c r="S946" s="682"/>
      <c r="T946" s="682"/>
      <c r="U946" s="682"/>
      <c r="V946" s="682"/>
      <c r="W946" s="682"/>
      <c r="X946" s="682"/>
      <c r="Y946" s="682"/>
    </row>
    <row r="947" spans="1:25" ht="11.25" customHeight="1">
      <c r="A947" s="682"/>
      <c r="B947" s="682"/>
      <c r="C947" s="682"/>
      <c r="D947" s="683"/>
      <c r="E947" s="682"/>
      <c r="F947" s="682"/>
      <c r="G947" s="682"/>
      <c r="H947" s="682"/>
      <c r="I947" s="682"/>
      <c r="J947" s="682"/>
      <c r="P947" s="682"/>
      <c r="Q947" s="682"/>
      <c r="R947" s="682"/>
      <c r="S947" s="682"/>
      <c r="T947" s="682"/>
      <c r="U947" s="682"/>
      <c r="V947" s="682"/>
      <c r="W947" s="682"/>
      <c r="X947" s="682"/>
      <c r="Y947" s="682"/>
    </row>
    <row r="948" spans="1:25" ht="11.25" customHeight="1">
      <c r="A948" s="682"/>
      <c r="B948" s="682"/>
      <c r="C948" s="682"/>
      <c r="D948" s="683"/>
      <c r="E948" s="682"/>
      <c r="F948" s="682"/>
      <c r="G948" s="682"/>
      <c r="H948" s="682"/>
      <c r="I948" s="682"/>
      <c r="J948" s="682"/>
      <c r="P948" s="682"/>
      <c r="Q948" s="682"/>
      <c r="R948" s="682"/>
      <c r="S948" s="682"/>
      <c r="T948" s="682"/>
      <c r="U948" s="682"/>
      <c r="V948" s="682"/>
      <c r="W948" s="682"/>
      <c r="X948" s="682"/>
      <c r="Y948" s="682"/>
    </row>
    <row r="949" spans="1:25" ht="11.25" customHeight="1">
      <c r="A949" s="682"/>
      <c r="B949" s="682"/>
      <c r="C949" s="682"/>
      <c r="D949" s="683"/>
      <c r="E949" s="682"/>
      <c r="F949" s="682"/>
      <c r="G949" s="682"/>
      <c r="H949" s="682"/>
      <c r="I949" s="682"/>
      <c r="J949" s="682"/>
      <c r="P949" s="682"/>
      <c r="Q949" s="682"/>
      <c r="R949" s="682"/>
      <c r="S949" s="682"/>
      <c r="T949" s="682"/>
      <c r="U949" s="682"/>
      <c r="V949" s="682"/>
      <c r="W949" s="682"/>
      <c r="X949" s="682"/>
      <c r="Y949" s="682"/>
    </row>
    <row r="950" spans="1:25" ht="11.25" customHeight="1">
      <c r="A950" s="682"/>
      <c r="B950" s="682"/>
      <c r="C950" s="682"/>
      <c r="D950" s="683"/>
      <c r="E950" s="682"/>
      <c r="F950" s="682"/>
      <c r="G950" s="682"/>
      <c r="H950" s="682"/>
      <c r="I950" s="682"/>
      <c r="J950" s="682"/>
      <c r="P950" s="682"/>
      <c r="Q950" s="682"/>
      <c r="R950" s="682"/>
      <c r="S950" s="682"/>
      <c r="T950" s="682"/>
      <c r="U950" s="682"/>
      <c r="V950" s="682"/>
      <c r="W950" s="682"/>
      <c r="X950" s="682"/>
      <c r="Y950" s="682"/>
    </row>
    <row r="951" spans="1:25" ht="11.25" customHeight="1">
      <c r="A951" s="682"/>
      <c r="B951" s="682"/>
      <c r="C951" s="682"/>
      <c r="D951" s="683"/>
      <c r="E951" s="682"/>
      <c r="F951" s="682"/>
      <c r="G951" s="682"/>
      <c r="H951" s="682"/>
      <c r="I951" s="682"/>
      <c r="J951" s="682"/>
      <c r="P951" s="682"/>
      <c r="Q951" s="682"/>
      <c r="R951" s="682"/>
      <c r="S951" s="682"/>
      <c r="T951" s="682"/>
      <c r="U951" s="682"/>
      <c r="V951" s="682"/>
      <c r="W951" s="682"/>
      <c r="X951" s="682"/>
      <c r="Y951" s="682"/>
    </row>
    <row r="952" spans="1:25" ht="11.25" customHeight="1">
      <c r="A952" s="682"/>
      <c r="B952" s="682"/>
      <c r="C952" s="682"/>
      <c r="D952" s="683"/>
      <c r="E952" s="682"/>
      <c r="F952" s="682"/>
      <c r="G952" s="682"/>
      <c r="H952" s="682"/>
      <c r="I952" s="682"/>
      <c r="J952" s="682"/>
      <c r="P952" s="682"/>
      <c r="Q952" s="682"/>
      <c r="R952" s="682"/>
      <c r="S952" s="682"/>
      <c r="T952" s="682"/>
      <c r="U952" s="682"/>
      <c r="V952" s="682"/>
      <c r="W952" s="682"/>
      <c r="X952" s="682"/>
      <c r="Y952" s="682"/>
    </row>
    <row r="953" spans="1:25" ht="11.25" customHeight="1">
      <c r="A953" s="682"/>
      <c r="B953" s="682"/>
      <c r="C953" s="682"/>
      <c r="D953" s="683"/>
      <c r="E953" s="682"/>
      <c r="F953" s="682"/>
      <c r="G953" s="682"/>
      <c r="H953" s="682"/>
      <c r="I953" s="682"/>
      <c r="J953" s="682"/>
      <c r="P953" s="682"/>
      <c r="Q953" s="682"/>
      <c r="R953" s="682"/>
      <c r="S953" s="682"/>
      <c r="T953" s="682"/>
      <c r="U953" s="682"/>
      <c r="V953" s="682"/>
      <c r="W953" s="682"/>
      <c r="X953" s="682"/>
      <c r="Y953" s="682"/>
    </row>
    <row r="954" spans="1:25" ht="11.25" customHeight="1">
      <c r="A954" s="682"/>
      <c r="B954" s="682"/>
      <c r="C954" s="682"/>
      <c r="D954" s="683"/>
      <c r="E954" s="682"/>
      <c r="F954" s="682"/>
      <c r="G954" s="682"/>
      <c r="H954" s="682"/>
      <c r="I954" s="682"/>
      <c r="J954" s="682"/>
      <c r="P954" s="682"/>
      <c r="Q954" s="682"/>
      <c r="R954" s="682"/>
      <c r="S954" s="682"/>
      <c r="T954" s="682"/>
      <c r="U954" s="682"/>
      <c r="V954" s="682"/>
      <c r="W954" s="682"/>
      <c r="X954" s="682"/>
      <c r="Y954" s="682"/>
    </row>
    <row r="955" spans="1:25" ht="11.25" customHeight="1">
      <c r="A955" s="682"/>
      <c r="B955" s="682"/>
      <c r="C955" s="682"/>
      <c r="D955" s="683"/>
      <c r="E955" s="682"/>
      <c r="F955" s="682"/>
      <c r="G955" s="682"/>
      <c r="H955" s="682"/>
      <c r="I955" s="682"/>
      <c r="J955" s="682"/>
      <c r="P955" s="682"/>
      <c r="Q955" s="682"/>
      <c r="R955" s="682"/>
      <c r="S955" s="682"/>
      <c r="T955" s="682"/>
      <c r="U955" s="682"/>
      <c r="V955" s="682"/>
      <c r="W955" s="682"/>
      <c r="X955" s="682"/>
      <c r="Y955" s="682"/>
    </row>
    <row r="956" spans="1:25" ht="11.25" customHeight="1">
      <c r="A956" s="682"/>
      <c r="B956" s="682"/>
      <c r="C956" s="682"/>
      <c r="D956" s="683"/>
      <c r="E956" s="682"/>
      <c r="F956" s="682"/>
      <c r="G956" s="682"/>
      <c r="H956" s="682"/>
      <c r="I956" s="682"/>
      <c r="J956" s="682"/>
      <c r="P956" s="682"/>
      <c r="Q956" s="682"/>
      <c r="R956" s="682"/>
      <c r="S956" s="682"/>
      <c r="T956" s="682"/>
      <c r="U956" s="682"/>
      <c r="V956" s="682"/>
      <c r="W956" s="682"/>
      <c r="X956" s="682"/>
      <c r="Y956" s="682"/>
    </row>
    <row r="957" spans="1:25" ht="11.25" customHeight="1">
      <c r="A957" s="682"/>
      <c r="B957" s="682"/>
      <c r="C957" s="682"/>
      <c r="D957" s="683"/>
      <c r="E957" s="682"/>
      <c r="F957" s="682"/>
      <c r="G957" s="682"/>
      <c r="H957" s="682"/>
      <c r="I957" s="682"/>
      <c r="J957" s="682"/>
      <c r="P957" s="682"/>
      <c r="Q957" s="682"/>
      <c r="R957" s="682"/>
      <c r="S957" s="682"/>
      <c r="T957" s="682"/>
      <c r="U957" s="682"/>
      <c r="V957" s="682"/>
      <c r="W957" s="682"/>
      <c r="X957" s="682"/>
      <c r="Y957" s="682"/>
    </row>
    <row r="958" spans="1:25" ht="11.25" customHeight="1">
      <c r="A958" s="682"/>
      <c r="B958" s="682"/>
      <c r="C958" s="682"/>
      <c r="D958" s="683"/>
      <c r="E958" s="682"/>
      <c r="F958" s="682"/>
      <c r="G958" s="682"/>
      <c r="H958" s="682"/>
      <c r="I958" s="682"/>
      <c r="J958" s="682"/>
      <c r="P958" s="682"/>
      <c r="Q958" s="682"/>
      <c r="R958" s="682"/>
      <c r="S958" s="682"/>
      <c r="T958" s="682"/>
      <c r="U958" s="682"/>
      <c r="V958" s="682"/>
      <c r="W958" s="682"/>
      <c r="X958" s="682"/>
      <c r="Y958" s="682"/>
    </row>
    <row r="959" spans="1:25" ht="11.25" customHeight="1">
      <c r="A959" s="682"/>
      <c r="B959" s="682"/>
      <c r="C959" s="682"/>
      <c r="D959" s="683"/>
      <c r="E959" s="682"/>
      <c r="F959" s="682"/>
      <c r="G959" s="682"/>
      <c r="H959" s="682"/>
      <c r="I959" s="682"/>
      <c r="J959" s="682"/>
      <c r="P959" s="682"/>
      <c r="Q959" s="682"/>
      <c r="R959" s="682"/>
      <c r="S959" s="682"/>
      <c r="T959" s="682"/>
      <c r="U959" s="682"/>
      <c r="V959" s="682"/>
      <c r="W959" s="682"/>
      <c r="X959" s="682"/>
      <c r="Y959" s="682"/>
    </row>
    <row r="960" spans="1:25" ht="11.25" customHeight="1">
      <c r="A960" s="682"/>
      <c r="B960" s="682"/>
      <c r="C960" s="682"/>
      <c r="D960" s="683"/>
      <c r="E960" s="682"/>
      <c r="F960" s="682"/>
      <c r="G960" s="682"/>
      <c r="H960" s="682"/>
      <c r="I960" s="682"/>
      <c r="J960" s="682"/>
      <c r="P960" s="682"/>
      <c r="Q960" s="682"/>
      <c r="R960" s="682"/>
      <c r="S960" s="682"/>
      <c r="T960" s="682"/>
      <c r="U960" s="682"/>
      <c r="V960" s="682"/>
      <c r="W960" s="682"/>
      <c r="X960" s="682"/>
      <c r="Y960" s="682"/>
    </row>
    <row r="961" spans="1:25" ht="11.25" customHeight="1">
      <c r="A961" s="682"/>
      <c r="B961" s="682"/>
      <c r="C961" s="682"/>
      <c r="D961" s="683"/>
      <c r="E961" s="682"/>
      <c r="F961" s="682"/>
      <c r="G961" s="682"/>
      <c r="H961" s="682"/>
      <c r="I961" s="682"/>
      <c r="J961" s="682"/>
      <c r="P961" s="682"/>
      <c r="Q961" s="682"/>
      <c r="R961" s="682"/>
      <c r="S961" s="682"/>
      <c r="T961" s="682"/>
      <c r="U961" s="682"/>
      <c r="V961" s="682"/>
      <c r="W961" s="682"/>
      <c r="X961" s="682"/>
      <c r="Y961" s="682"/>
    </row>
    <row r="962" spans="1:25" ht="11.25" customHeight="1">
      <c r="A962" s="682"/>
      <c r="B962" s="682"/>
      <c r="C962" s="682"/>
      <c r="D962" s="683"/>
      <c r="E962" s="682"/>
      <c r="F962" s="682"/>
      <c r="G962" s="682"/>
      <c r="H962" s="682"/>
      <c r="I962" s="682"/>
      <c r="J962" s="682"/>
      <c r="P962" s="682"/>
      <c r="Q962" s="682"/>
      <c r="R962" s="682"/>
      <c r="S962" s="682"/>
      <c r="T962" s="682"/>
      <c r="U962" s="682"/>
      <c r="V962" s="682"/>
      <c r="W962" s="682"/>
      <c r="X962" s="682"/>
      <c r="Y962" s="682"/>
    </row>
    <row r="963" spans="1:25" ht="11.25" customHeight="1">
      <c r="A963" s="682"/>
      <c r="B963" s="682"/>
      <c r="C963" s="682"/>
      <c r="D963" s="683"/>
      <c r="E963" s="682"/>
      <c r="F963" s="682"/>
      <c r="G963" s="682"/>
      <c r="H963" s="682"/>
      <c r="I963" s="682"/>
      <c r="J963" s="682"/>
      <c r="P963" s="682"/>
      <c r="Q963" s="682"/>
      <c r="R963" s="682"/>
      <c r="S963" s="682"/>
      <c r="T963" s="682"/>
      <c r="U963" s="682"/>
      <c r="V963" s="682"/>
      <c r="W963" s="682"/>
      <c r="X963" s="682"/>
      <c r="Y963" s="682"/>
    </row>
    <row r="964" spans="1:25" ht="11.25" customHeight="1">
      <c r="A964" s="682"/>
      <c r="B964" s="682"/>
      <c r="C964" s="682"/>
      <c r="D964" s="683"/>
      <c r="E964" s="682"/>
      <c r="F964" s="682"/>
      <c r="G964" s="682"/>
      <c r="H964" s="682"/>
      <c r="I964" s="682"/>
      <c r="J964" s="682"/>
      <c r="P964" s="682"/>
      <c r="Q964" s="682"/>
      <c r="R964" s="682"/>
      <c r="S964" s="682"/>
      <c r="T964" s="682"/>
      <c r="U964" s="682"/>
      <c r="V964" s="682"/>
      <c r="W964" s="682"/>
      <c r="X964" s="682"/>
      <c r="Y964" s="682"/>
    </row>
    <row r="965" spans="1:25" ht="11.25" customHeight="1">
      <c r="A965" s="682"/>
      <c r="B965" s="682"/>
      <c r="C965" s="682"/>
      <c r="D965" s="683"/>
      <c r="E965" s="682"/>
      <c r="F965" s="682"/>
      <c r="G965" s="682"/>
      <c r="H965" s="682"/>
      <c r="I965" s="682"/>
      <c r="J965" s="682"/>
      <c r="P965" s="682"/>
      <c r="Q965" s="682"/>
      <c r="R965" s="682"/>
      <c r="S965" s="682"/>
      <c r="T965" s="682"/>
      <c r="U965" s="682"/>
      <c r="V965" s="682"/>
      <c r="W965" s="682"/>
      <c r="X965" s="682"/>
      <c r="Y965" s="682"/>
    </row>
    <row r="966" spans="1:25" ht="11.25" customHeight="1">
      <c r="A966" s="682"/>
      <c r="B966" s="682"/>
      <c r="C966" s="682"/>
      <c r="D966" s="683"/>
      <c r="E966" s="682"/>
      <c r="F966" s="682"/>
      <c r="G966" s="682"/>
      <c r="H966" s="682"/>
      <c r="I966" s="682"/>
      <c r="J966" s="682"/>
      <c r="P966" s="682"/>
      <c r="Q966" s="682"/>
      <c r="R966" s="682"/>
      <c r="S966" s="682"/>
      <c r="T966" s="682"/>
      <c r="U966" s="682"/>
      <c r="V966" s="682"/>
      <c r="W966" s="682"/>
      <c r="X966" s="682"/>
      <c r="Y966" s="682"/>
    </row>
    <row r="967" spans="1:25" ht="11.25" customHeight="1">
      <c r="A967" s="682"/>
      <c r="B967" s="682"/>
      <c r="C967" s="682"/>
      <c r="D967" s="683"/>
      <c r="E967" s="682"/>
      <c r="F967" s="682"/>
      <c r="G967" s="682"/>
      <c r="H967" s="682"/>
      <c r="I967" s="682"/>
      <c r="J967" s="682"/>
      <c r="P967" s="682"/>
      <c r="Q967" s="682"/>
      <c r="R967" s="682"/>
      <c r="S967" s="682"/>
      <c r="T967" s="682"/>
      <c r="U967" s="682"/>
      <c r="V967" s="682"/>
      <c r="W967" s="682"/>
      <c r="X967" s="682"/>
      <c r="Y967" s="682"/>
    </row>
    <row r="968" spans="1:25" ht="11.25" customHeight="1">
      <c r="A968" s="682"/>
      <c r="B968" s="682"/>
      <c r="C968" s="682"/>
      <c r="D968" s="683"/>
      <c r="E968" s="682"/>
      <c r="F968" s="682"/>
      <c r="G968" s="682"/>
      <c r="H968" s="682"/>
      <c r="I968" s="682"/>
      <c r="J968" s="682"/>
      <c r="P968" s="682"/>
      <c r="Q968" s="682"/>
      <c r="R968" s="682"/>
      <c r="S968" s="682"/>
      <c r="T968" s="682"/>
      <c r="U968" s="682"/>
      <c r="V968" s="682"/>
      <c r="W968" s="682"/>
      <c r="X968" s="682"/>
      <c r="Y968" s="682"/>
    </row>
    <row r="969" spans="1:25" ht="11.25" customHeight="1">
      <c r="A969" s="682"/>
      <c r="B969" s="682"/>
      <c r="C969" s="682"/>
      <c r="D969" s="683"/>
      <c r="E969" s="682"/>
      <c r="F969" s="682"/>
      <c r="G969" s="682"/>
      <c r="H969" s="682"/>
      <c r="I969" s="682"/>
      <c r="J969" s="682"/>
      <c r="P969" s="682"/>
      <c r="Q969" s="682"/>
      <c r="R969" s="682"/>
      <c r="S969" s="682"/>
      <c r="T969" s="682"/>
      <c r="U969" s="682"/>
      <c r="V969" s="682"/>
      <c r="W969" s="682"/>
      <c r="X969" s="682"/>
      <c r="Y969" s="682"/>
    </row>
    <row r="970" spans="1:25" ht="11.25" customHeight="1">
      <c r="A970" s="682"/>
      <c r="B970" s="682"/>
      <c r="C970" s="682"/>
      <c r="D970" s="683"/>
      <c r="E970" s="682"/>
      <c r="F970" s="682"/>
      <c r="G970" s="682"/>
      <c r="H970" s="682"/>
      <c r="I970" s="682"/>
      <c r="J970" s="682"/>
      <c r="P970" s="682"/>
      <c r="Q970" s="682"/>
      <c r="R970" s="682"/>
      <c r="S970" s="682"/>
      <c r="T970" s="682"/>
      <c r="U970" s="682"/>
      <c r="V970" s="682"/>
      <c r="W970" s="682"/>
      <c r="X970" s="682"/>
      <c r="Y970" s="682"/>
    </row>
    <row r="971" spans="1:25" ht="11.25" customHeight="1">
      <c r="A971" s="682"/>
      <c r="B971" s="682"/>
      <c r="C971" s="682"/>
      <c r="D971" s="683"/>
      <c r="E971" s="682"/>
      <c r="F971" s="682"/>
      <c r="G971" s="682"/>
      <c r="H971" s="682"/>
      <c r="I971" s="682"/>
      <c r="J971" s="682"/>
      <c r="P971" s="682"/>
      <c r="Q971" s="682"/>
      <c r="R971" s="682"/>
      <c r="S971" s="682"/>
      <c r="T971" s="682"/>
      <c r="U971" s="682"/>
      <c r="V971" s="682"/>
      <c r="W971" s="682"/>
      <c r="X971" s="682"/>
      <c r="Y971" s="682"/>
    </row>
    <row r="972" spans="1:25" ht="11.25" customHeight="1">
      <c r="A972" s="682"/>
      <c r="B972" s="682"/>
      <c r="C972" s="682"/>
      <c r="D972" s="683"/>
      <c r="E972" s="682"/>
      <c r="F972" s="682"/>
      <c r="G972" s="682"/>
      <c r="H972" s="682"/>
      <c r="I972" s="682"/>
      <c r="J972" s="682"/>
      <c r="P972" s="682"/>
      <c r="Q972" s="682"/>
      <c r="R972" s="682"/>
      <c r="S972" s="682"/>
      <c r="T972" s="682"/>
      <c r="U972" s="682"/>
      <c r="V972" s="682"/>
      <c r="W972" s="682"/>
      <c r="X972" s="682"/>
      <c r="Y972" s="682"/>
    </row>
    <row r="973" spans="1:25" ht="11.25" customHeight="1">
      <c r="A973" s="682"/>
      <c r="B973" s="682"/>
      <c r="C973" s="682"/>
      <c r="D973" s="683"/>
      <c r="E973" s="682"/>
      <c r="F973" s="682"/>
      <c r="G973" s="682"/>
      <c r="H973" s="682"/>
      <c r="I973" s="682"/>
      <c r="J973" s="682"/>
      <c r="P973" s="682"/>
      <c r="Q973" s="682"/>
      <c r="R973" s="682"/>
      <c r="S973" s="682"/>
      <c r="T973" s="682"/>
      <c r="U973" s="682"/>
      <c r="V973" s="682"/>
      <c r="W973" s="682"/>
      <c r="X973" s="682"/>
      <c r="Y973" s="682"/>
    </row>
    <row r="974" spans="1:25" ht="11.25" customHeight="1">
      <c r="A974" s="682"/>
      <c r="B974" s="682"/>
      <c r="C974" s="682"/>
      <c r="D974" s="683"/>
      <c r="E974" s="682"/>
      <c r="F974" s="682"/>
      <c r="G974" s="682"/>
      <c r="H974" s="682"/>
      <c r="I974" s="682"/>
      <c r="J974" s="682"/>
      <c r="P974" s="682"/>
      <c r="Q974" s="682"/>
      <c r="R974" s="682"/>
      <c r="S974" s="682"/>
      <c r="T974" s="682"/>
      <c r="U974" s="682"/>
      <c r="V974" s="682"/>
      <c r="W974" s="682"/>
      <c r="X974" s="682"/>
      <c r="Y974" s="682"/>
    </row>
    <row r="975" spans="1:25" ht="11.25" customHeight="1">
      <c r="A975" s="682"/>
      <c r="B975" s="682"/>
      <c r="C975" s="682"/>
      <c r="D975" s="683"/>
      <c r="E975" s="682"/>
      <c r="F975" s="682"/>
      <c r="G975" s="682"/>
      <c r="H975" s="682"/>
      <c r="I975" s="682"/>
      <c r="J975" s="682"/>
      <c r="P975" s="682"/>
      <c r="Q975" s="682"/>
      <c r="R975" s="682"/>
      <c r="S975" s="682"/>
      <c r="T975" s="682"/>
      <c r="U975" s="682"/>
      <c r="V975" s="682"/>
      <c r="W975" s="682"/>
      <c r="X975" s="682"/>
      <c r="Y975" s="682"/>
    </row>
    <row r="976" spans="1:25" ht="11.25" customHeight="1">
      <c r="A976" s="682"/>
      <c r="B976" s="682"/>
      <c r="C976" s="682"/>
      <c r="D976" s="683"/>
      <c r="E976" s="682"/>
      <c r="F976" s="682"/>
      <c r="G976" s="682"/>
      <c r="H976" s="682"/>
      <c r="I976" s="682"/>
      <c r="J976" s="682"/>
      <c r="P976" s="682"/>
      <c r="Q976" s="682"/>
      <c r="R976" s="682"/>
      <c r="S976" s="682"/>
      <c r="T976" s="682"/>
      <c r="U976" s="682"/>
      <c r="V976" s="682"/>
      <c r="W976" s="682"/>
      <c r="X976" s="682"/>
      <c r="Y976" s="682"/>
    </row>
    <row r="977" spans="1:25" ht="11.25" customHeight="1">
      <c r="A977" s="682"/>
      <c r="B977" s="682"/>
      <c r="C977" s="682"/>
      <c r="D977" s="683"/>
      <c r="E977" s="682"/>
      <c r="F977" s="682"/>
      <c r="G977" s="682"/>
      <c r="H977" s="682"/>
      <c r="I977" s="682"/>
      <c r="J977" s="682"/>
      <c r="P977" s="682"/>
      <c r="Q977" s="682"/>
      <c r="R977" s="682"/>
      <c r="S977" s="682"/>
      <c r="T977" s="682"/>
      <c r="U977" s="682"/>
      <c r="V977" s="682"/>
      <c r="W977" s="682"/>
      <c r="X977" s="682"/>
      <c r="Y977" s="682"/>
    </row>
    <row r="978" spans="1:25" ht="11.25" customHeight="1">
      <c r="A978" s="682"/>
      <c r="B978" s="682"/>
      <c r="C978" s="682"/>
      <c r="D978" s="683"/>
      <c r="E978" s="682"/>
      <c r="F978" s="682"/>
      <c r="G978" s="682"/>
      <c r="H978" s="682"/>
      <c r="I978" s="682"/>
      <c r="J978" s="682"/>
      <c r="P978" s="682"/>
      <c r="Q978" s="682"/>
      <c r="R978" s="682"/>
      <c r="S978" s="682"/>
      <c r="T978" s="682"/>
      <c r="U978" s="682"/>
      <c r="V978" s="682"/>
      <c r="W978" s="682"/>
      <c r="X978" s="682"/>
      <c r="Y978" s="682"/>
    </row>
    <row r="979" spans="1:25" ht="11.25" customHeight="1">
      <c r="A979" s="682"/>
      <c r="B979" s="682"/>
      <c r="C979" s="682"/>
      <c r="D979" s="683"/>
      <c r="E979" s="682"/>
      <c r="F979" s="682"/>
      <c r="G979" s="682"/>
      <c r="H979" s="682"/>
      <c r="I979" s="682"/>
      <c r="J979" s="682"/>
      <c r="P979" s="682"/>
      <c r="Q979" s="682"/>
      <c r="R979" s="682"/>
      <c r="S979" s="682"/>
      <c r="T979" s="682"/>
      <c r="U979" s="682"/>
      <c r="V979" s="682"/>
      <c r="W979" s="682"/>
      <c r="X979" s="682"/>
      <c r="Y979" s="682"/>
    </row>
    <row r="980" spans="1:25" ht="11.25" customHeight="1">
      <c r="A980" s="682"/>
      <c r="B980" s="682"/>
      <c r="C980" s="682"/>
      <c r="D980" s="683"/>
      <c r="E980" s="682"/>
      <c r="F980" s="682"/>
      <c r="G980" s="682"/>
      <c r="H980" s="682"/>
      <c r="I980" s="682"/>
      <c r="J980" s="682"/>
      <c r="P980" s="682"/>
      <c r="Q980" s="682"/>
      <c r="R980" s="682"/>
      <c r="S980" s="682"/>
      <c r="T980" s="682"/>
      <c r="U980" s="682"/>
      <c r="V980" s="682"/>
      <c r="W980" s="682"/>
      <c r="X980" s="682"/>
      <c r="Y980" s="682"/>
    </row>
    <row r="981" spans="1:25" ht="11.25" customHeight="1">
      <c r="A981" s="682"/>
      <c r="B981" s="682"/>
      <c r="C981" s="682"/>
      <c r="D981" s="683"/>
      <c r="E981" s="682"/>
      <c r="F981" s="682"/>
      <c r="G981" s="682"/>
      <c r="H981" s="682"/>
      <c r="I981" s="682"/>
      <c r="J981" s="682"/>
      <c r="P981" s="682"/>
      <c r="Q981" s="682"/>
      <c r="R981" s="682"/>
      <c r="S981" s="682"/>
      <c r="T981" s="682"/>
      <c r="U981" s="682"/>
      <c r="V981" s="682"/>
      <c r="W981" s="682"/>
      <c r="X981" s="682"/>
      <c r="Y981" s="682"/>
    </row>
    <row r="982" spans="1:25" ht="11.25" customHeight="1">
      <c r="A982" s="682"/>
      <c r="B982" s="682"/>
      <c r="C982" s="682"/>
      <c r="D982" s="683"/>
      <c r="E982" s="682"/>
      <c r="F982" s="682"/>
      <c r="G982" s="682"/>
      <c r="H982" s="682"/>
      <c r="I982" s="682"/>
      <c r="J982" s="682"/>
      <c r="P982" s="682"/>
      <c r="Q982" s="682"/>
      <c r="R982" s="682"/>
      <c r="S982" s="682"/>
      <c r="T982" s="682"/>
      <c r="U982" s="682"/>
      <c r="V982" s="682"/>
      <c r="W982" s="682"/>
      <c r="X982" s="682"/>
      <c r="Y982" s="682"/>
    </row>
    <row r="983" spans="1:25" ht="11.25" customHeight="1">
      <c r="A983" s="682"/>
      <c r="B983" s="682"/>
      <c r="C983" s="682"/>
      <c r="D983" s="683"/>
      <c r="E983" s="682"/>
      <c r="F983" s="682"/>
      <c r="G983" s="682"/>
      <c r="H983" s="682"/>
      <c r="I983" s="682"/>
      <c r="J983" s="682"/>
      <c r="P983" s="682"/>
      <c r="Q983" s="682"/>
      <c r="R983" s="682"/>
      <c r="S983" s="682"/>
      <c r="T983" s="682"/>
      <c r="U983" s="682"/>
      <c r="V983" s="682"/>
      <c r="W983" s="682"/>
      <c r="X983" s="682"/>
      <c r="Y983" s="682"/>
    </row>
    <row r="984" spans="1:25" ht="11.25" customHeight="1">
      <c r="A984" s="682"/>
      <c r="B984" s="682"/>
      <c r="C984" s="682"/>
      <c r="D984" s="683"/>
      <c r="E984" s="682"/>
      <c r="F984" s="682"/>
      <c r="G984" s="682"/>
      <c r="H984" s="682"/>
      <c r="I984" s="682"/>
      <c r="J984" s="682"/>
      <c r="P984" s="682"/>
      <c r="Q984" s="682"/>
      <c r="R984" s="682"/>
      <c r="S984" s="682"/>
      <c r="T984" s="682"/>
      <c r="U984" s="682"/>
      <c r="V984" s="682"/>
      <c r="W984" s="682"/>
      <c r="X984" s="682"/>
      <c r="Y984" s="682"/>
    </row>
    <row r="985" spans="1:25" ht="11.25" customHeight="1">
      <c r="A985" s="682"/>
      <c r="B985" s="682"/>
      <c r="C985" s="682"/>
      <c r="D985" s="683"/>
      <c r="E985" s="682"/>
      <c r="F985" s="682"/>
      <c r="G985" s="682"/>
      <c r="H985" s="682"/>
      <c r="I985" s="682"/>
      <c r="J985" s="682"/>
      <c r="P985" s="682"/>
      <c r="Q985" s="682"/>
      <c r="R985" s="682"/>
      <c r="S985" s="682"/>
      <c r="T985" s="682"/>
      <c r="U985" s="682"/>
      <c r="V985" s="682"/>
      <c r="W985" s="682"/>
      <c r="X985" s="682"/>
      <c r="Y985" s="682"/>
    </row>
    <row r="986" spans="1:25" ht="11.25" customHeight="1">
      <c r="A986" s="682"/>
      <c r="B986" s="682"/>
      <c r="C986" s="682"/>
      <c r="D986" s="683"/>
      <c r="E986" s="682"/>
      <c r="F986" s="682"/>
      <c r="G986" s="682"/>
      <c r="H986" s="682"/>
      <c r="I986" s="682"/>
      <c r="J986" s="682"/>
      <c r="P986" s="682"/>
      <c r="Q986" s="682"/>
      <c r="R986" s="682"/>
      <c r="S986" s="682"/>
      <c r="T986" s="682"/>
      <c r="U986" s="682"/>
      <c r="V986" s="682"/>
      <c r="W986" s="682"/>
      <c r="X986" s="682"/>
      <c r="Y986" s="682"/>
    </row>
    <row r="987" spans="1:25" ht="11.25" customHeight="1">
      <c r="A987" s="682"/>
      <c r="B987" s="682"/>
      <c r="C987" s="682"/>
      <c r="D987" s="683"/>
      <c r="E987" s="682"/>
      <c r="F987" s="682"/>
      <c r="G987" s="682"/>
      <c r="H987" s="682"/>
      <c r="I987" s="682"/>
      <c r="J987" s="682"/>
      <c r="P987" s="682"/>
      <c r="Q987" s="682"/>
      <c r="R987" s="682"/>
      <c r="S987" s="682"/>
      <c r="T987" s="682"/>
      <c r="U987" s="682"/>
      <c r="V987" s="682"/>
      <c r="W987" s="682"/>
      <c r="X987" s="682"/>
      <c r="Y987" s="682"/>
    </row>
    <row r="988" spans="1:25" ht="11.25" customHeight="1">
      <c r="A988" s="682"/>
      <c r="B988" s="682"/>
      <c r="C988" s="682"/>
      <c r="D988" s="683"/>
      <c r="E988" s="682"/>
      <c r="F988" s="682"/>
      <c r="G988" s="682"/>
      <c r="H988" s="682"/>
      <c r="I988" s="682"/>
      <c r="J988" s="682"/>
      <c r="P988" s="682"/>
      <c r="Q988" s="682"/>
      <c r="R988" s="682"/>
      <c r="S988" s="682"/>
      <c r="T988" s="682"/>
      <c r="U988" s="682"/>
      <c r="V988" s="682"/>
      <c r="W988" s="682"/>
      <c r="X988" s="682"/>
      <c r="Y988" s="682"/>
    </row>
    <row r="989" spans="1:25" ht="11.25" customHeight="1">
      <c r="A989" s="682"/>
      <c r="B989" s="682"/>
      <c r="C989" s="682"/>
      <c r="D989" s="683"/>
      <c r="E989" s="682"/>
      <c r="F989" s="682"/>
      <c r="G989" s="682"/>
      <c r="H989" s="682"/>
      <c r="I989" s="682"/>
      <c r="J989" s="682"/>
      <c r="P989" s="682"/>
      <c r="Q989" s="682"/>
      <c r="R989" s="682"/>
      <c r="S989" s="682"/>
      <c r="T989" s="682"/>
      <c r="U989" s="682"/>
      <c r="V989" s="682"/>
      <c r="W989" s="682"/>
      <c r="X989" s="682"/>
      <c r="Y989" s="682"/>
    </row>
    <row r="990" spans="1:25" ht="11.25" customHeight="1">
      <c r="A990" s="682"/>
      <c r="B990" s="682"/>
      <c r="C990" s="682"/>
      <c r="D990" s="683"/>
      <c r="E990" s="682"/>
      <c r="F990" s="682"/>
      <c r="G990" s="682"/>
      <c r="H990" s="682"/>
      <c r="I990" s="682"/>
      <c r="J990" s="682"/>
      <c r="P990" s="682"/>
      <c r="Q990" s="682"/>
      <c r="R990" s="682"/>
      <c r="S990" s="682"/>
      <c r="T990" s="682"/>
      <c r="U990" s="682"/>
      <c r="V990" s="682"/>
      <c r="W990" s="682"/>
      <c r="X990" s="682"/>
      <c r="Y990" s="682"/>
    </row>
    <row r="991" spans="1:25" ht="11.25" customHeight="1">
      <c r="A991" s="682"/>
      <c r="B991" s="682"/>
      <c r="C991" s="682"/>
      <c r="D991" s="683"/>
      <c r="E991" s="682"/>
      <c r="F991" s="682"/>
      <c r="G991" s="682"/>
      <c r="H991" s="682"/>
      <c r="I991" s="682"/>
      <c r="J991" s="682"/>
      <c r="P991" s="682"/>
      <c r="Q991" s="682"/>
      <c r="R991" s="682"/>
      <c r="S991" s="682"/>
      <c r="T991" s="682"/>
      <c r="U991" s="682"/>
      <c r="V991" s="682"/>
      <c r="W991" s="682"/>
      <c r="X991" s="682"/>
      <c r="Y991" s="682"/>
    </row>
    <row r="992" spans="1:25" ht="11.25" customHeight="1">
      <c r="A992" s="682"/>
      <c r="B992" s="682"/>
      <c r="C992" s="682"/>
      <c r="D992" s="683"/>
      <c r="E992" s="682"/>
      <c r="F992" s="682"/>
      <c r="G992" s="682"/>
      <c r="H992" s="682"/>
      <c r="I992" s="682"/>
      <c r="J992" s="682"/>
      <c r="P992" s="682"/>
      <c r="Q992" s="682"/>
      <c r="R992" s="682"/>
      <c r="S992" s="682"/>
      <c r="T992" s="682"/>
      <c r="U992" s="682"/>
      <c r="V992" s="682"/>
      <c r="W992" s="682"/>
      <c r="X992" s="682"/>
      <c r="Y992" s="682"/>
    </row>
    <row r="993" spans="1:25" ht="11.25" customHeight="1">
      <c r="A993" s="682"/>
      <c r="B993" s="682"/>
      <c r="C993" s="682"/>
      <c r="D993" s="683"/>
      <c r="E993" s="682"/>
      <c r="F993" s="682"/>
      <c r="G993" s="682"/>
      <c r="H993" s="682"/>
      <c r="I993" s="682"/>
      <c r="J993" s="682"/>
      <c r="P993" s="682"/>
      <c r="Q993" s="682"/>
      <c r="R993" s="682"/>
      <c r="S993" s="682"/>
      <c r="T993" s="682"/>
      <c r="U993" s="682"/>
      <c r="V993" s="682"/>
      <c r="W993" s="682"/>
      <c r="X993" s="682"/>
      <c r="Y993" s="682"/>
    </row>
    <row r="994" spans="1:25" ht="11.25" customHeight="1">
      <c r="A994" s="682"/>
      <c r="B994" s="682"/>
      <c r="C994" s="682"/>
      <c r="D994" s="683"/>
      <c r="E994" s="682"/>
      <c r="F994" s="682"/>
      <c r="G994" s="682"/>
      <c r="H994" s="682"/>
      <c r="I994" s="682"/>
      <c r="J994" s="682"/>
      <c r="P994" s="682"/>
      <c r="Q994" s="682"/>
      <c r="R994" s="682"/>
      <c r="S994" s="682"/>
      <c r="T994" s="682"/>
      <c r="U994" s="682"/>
      <c r="V994" s="682"/>
      <c r="W994" s="682"/>
      <c r="X994" s="682"/>
      <c r="Y994" s="682"/>
    </row>
    <row r="995" spans="1:25" ht="11.25" customHeight="1">
      <c r="A995" s="682"/>
      <c r="B995" s="682"/>
      <c r="C995" s="682"/>
      <c r="D995" s="683"/>
      <c r="E995" s="682"/>
      <c r="F995" s="682"/>
      <c r="G995" s="682"/>
      <c r="H995" s="682"/>
      <c r="I995" s="682"/>
      <c r="J995" s="682"/>
      <c r="P995" s="682"/>
      <c r="Q995" s="682"/>
      <c r="R995" s="682"/>
      <c r="S995" s="682"/>
      <c r="T995" s="682"/>
      <c r="U995" s="682"/>
      <c r="V995" s="682"/>
      <c r="W995" s="682"/>
      <c r="X995" s="682"/>
      <c r="Y995" s="682"/>
    </row>
    <row r="996" spans="1:25" ht="11.25" customHeight="1">
      <c r="A996" s="682"/>
      <c r="B996" s="682"/>
      <c r="C996" s="682"/>
      <c r="D996" s="683"/>
      <c r="E996" s="682"/>
      <c r="F996" s="682"/>
      <c r="G996" s="682"/>
      <c r="H996" s="682"/>
      <c r="I996" s="682"/>
      <c r="J996" s="682"/>
      <c r="P996" s="682"/>
      <c r="Q996" s="682"/>
      <c r="R996" s="682"/>
      <c r="S996" s="682"/>
      <c r="T996" s="682"/>
      <c r="U996" s="682"/>
      <c r="V996" s="682"/>
      <c r="W996" s="682"/>
      <c r="X996" s="682"/>
      <c r="Y996" s="682"/>
    </row>
    <row r="997" spans="1:25" ht="11.25" customHeight="1">
      <c r="A997" s="682"/>
      <c r="B997" s="682"/>
      <c r="C997" s="682"/>
      <c r="D997" s="683"/>
      <c r="E997" s="682"/>
      <c r="F997" s="682"/>
      <c r="G997" s="682"/>
      <c r="H997" s="682"/>
      <c r="I997" s="682"/>
      <c r="J997" s="682"/>
      <c r="P997" s="682"/>
      <c r="Q997" s="682"/>
      <c r="R997" s="682"/>
      <c r="S997" s="682"/>
      <c r="T997" s="682"/>
      <c r="U997" s="682"/>
      <c r="V997" s="682"/>
      <c r="W997" s="682"/>
      <c r="X997" s="682"/>
      <c r="Y997" s="682"/>
    </row>
    <row r="998" spans="1:25" ht="11.25" customHeight="1">
      <c r="A998" s="682"/>
      <c r="B998" s="682"/>
      <c r="C998" s="682"/>
      <c r="D998" s="683"/>
      <c r="E998" s="682"/>
      <c r="F998" s="682"/>
      <c r="G998" s="682"/>
      <c r="H998" s="682"/>
      <c r="I998" s="682"/>
      <c r="J998" s="682"/>
      <c r="P998" s="682"/>
      <c r="Q998" s="682"/>
      <c r="R998" s="682"/>
      <c r="S998" s="682"/>
      <c r="T998" s="682"/>
      <c r="U998" s="682"/>
      <c r="V998" s="682"/>
      <c r="W998" s="682"/>
      <c r="X998" s="682"/>
      <c r="Y998" s="682"/>
    </row>
    <row r="999" spans="1:25" ht="11.25" customHeight="1">
      <c r="A999" s="682"/>
      <c r="B999" s="682"/>
      <c r="C999" s="682"/>
      <c r="D999" s="683"/>
      <c r="E999" s="682"/>
      <c r="F999" s="682"/>
      <c r="G999" s="682"/>
      <c r="H999" s="682"/>
      <c r="I999" s="682"/>
      <c r="J999" s="682"/>
      <c r="P999" s="682"/>
      <c r="Q999" s="682"/>
      <c r="R999" s="682"/>
      <c r="S999" s="682"/>
      <c r="T999" s="682"/>
      <c r="U999" s="682"/>
      <c r="V999" s="682"/>
      <c r="W999" s="682"/>
      <c r="X999" s="682"/>
      <c r="Y999" s="682"/>
    </row>
    <row r="1000" spans="1:25" ht="11.25" customHeight="1">
      <c r="A1000" s="682"/>
      <c r="B1000" s="682"/>
      <c r="C1000" s="682"/>
      <c r="D1000" s="683"/>
      <c r="E1000" s="682"/>
      <c r="F1000" s="682"/>
      <c r="G1000" s="682"/>
      <c r="H1000" s="682"/>
      <c r="I1000" s="682"/>
      <c r="J1000" s="682"/>
      <c r="P1000" s="682"/>
      <c r="Q1000" s="682"/>
      <c r="R1000" s="682"/>
      <c r="S1000" s="682"/>
      <c r="T1000" s="682"/>
      <c r="U1000" s="682"/>
      <c r="V1000" s="682"/>
      <c r="W1000" s="682"/>
      <c r="X1000" s="682"/>
      <c r="Y1000" s="682"/>
    </row>
    <row r="1001" spans="1:25" ht="11.25" customHeight="1">
      <c r="A1001" s="682"/>
      <c r="B1001" s="682"/>
      <c r="C1001" s="682"/>
      <c r="D1001" s="683"/>
      <c r="E1001" s="682"/>
      <c r="F1001" s="682"/>
      <c r="G1001" s="682"/>
      <c r="H1001" s="682"/>
      <c r="I1001" s="682"/>
      <c r="J1001" s="682"/>
      <c r="P1001" s="682"/>
      <c r="Q1001" s="682"/>
      <c r="R1001" s="682"/>
      <c r="S1001" s="682"/>
      <c r="T1001" s="682"/>
      <c r="U1001" s="682"/>
      <c r="V1001" s="682"/>
      <c r="W1001" s="682"/>
      <c r="X1001" s="682"/>
      <c r="Y1001" s="682"/>
    </row>
    <row r="1002" spans="1:25" ht="11.25" customHeight="1">
      <c r="A1002" s="682"/>
      <c r="B1002" s="682"/>
      <c r="C1002" s="682"/>
      <c r="D1002" s="683"/>
      <c r="E1002" s="682"/>
      <c r="F1002" s="682"/>
      <c r="G1002" s="682"/>
      <c r="H1002" s="682"/>
      <c r="I1002" s="682"/>
      <c r="J1002" s="682"/>
      <c r="P1002" s="682"/>
      <c r="Q1002" s="682"/>
      <c r="R1002" s="682"/>
      <c r="S1002" s="682"/>
      <c r="T1002" s="682"/>
      <c r="U1002" s="682"/>
      <c r="V1002" s="682"/>
      <c r="W1002" s="682"/>
      <c r="X1002" s="682"/>
      <c r="Y1002" s="682"/>
    </row>
    <row r="1003" spans="1:25" ht="11.25" customHeight="1">
      <c r="A1003" s="682"/>
      <c r="B1003" s="682"/>
      <c r="C1003" s="682"/>
      <c r="D1003" s="683"/>
      <c r="E1003" s="682"/>
      <c r="F1003" s="682"/>
      <c r="G1003" s="682"/>
      <c r="H1003" s="682"/>
      <c r="I1003" s="682"/>
      <c r="J1003" s="682"/>
      <c r="P1003" s="682"/>
      <c r="Q1003" s="682"/>
      <c r="R1003" s="682"/>
      <c r="S1003" s="682"/>
      <c r="T1003" s="682"/>
      <c r="U1003" s="682"/>
      <c r="V1003" s="682"/>
      <c r="W1003" s="682"/>
      <c r="X1003" s="682"/>
      <c r="Y1003" s="682"/>
    </row>
    <row r="1004" spans="1:25" ht="11.25" customHeight="1">
      <c r="A1004" s="682"/>
      <c r="B1004" s="682"/>
      <c r="C1004" s="682"/>
      <c r="D1004" s="683"/>
      <c r="E1004" s="682"/>
      <c r="F1004" s="682"/>
      <c r="G1004" s="682"/>
      <c r="H1004" s="682"/>
      <c r="I1004" s="682"/>
      <c r="J1004" s="682"/>
      <c r="P1004" s="682"/>
      <c r="Q1004" s="682"/>
      <c r="R1004" s="682"/>
      <c r="S1004" s="682"/>
      <c r="T1004" s="682"/>
      <c r="U1004" s="682"/>
      <c r="V1004" s="682"/>
      <c r="W1004" s="682"/>
      <c r="X1004" s="682"/>
      <c r="Y1004" s="682"/>
    </row>
    <row r="1005" spans="1:25" ht="11.25" customHeight="1">
      <c r="A1005" s="682"/>
      <c r="B1005" s="682"/>
      <c r="C1005" s="682"/>
      <c r="D1005" s="683"/>
      <c r="E1005" s="682"/>
      <c r="F1005" s="682"/>
      <c r="G1005" s="682"/>
      <c r="H1005" s="682"/>
      <c r="I1005" s="682"/>
      <c r="J1005" s="682"/>
      <c r="P1005" s="682"/>
      <c r="Q1005" s="682"/>
      <c r="R1005" s="682"/>
      <c r="S1005" s="682"/>
      <c r="T1005" s="682"/>
      <c r="U1005" s="682"/>
      <c r="V1005" s="682"/>
      <c r="W1005" s="682"/>
      <c r="X1005" s="682"/>
      <c r="Y1005" s="682"/>
    </row>
    <row r="1006" spans="1:25" ht="11.25" customHeight="1">
      <c r="A1006" s="682"/>
      <c r="B1006" s="682"/>
      <c r="C1006" s="682"/>
      <c r="D1006" s="683"/>
      <c r="E1006" s="682"/>
      <c r="F1006" s="682"/>
      <c r="G1006" s="682"/>
      <c r="H1006" s="682"/>
      <c r="I1006" s="682"/>
      <c r="J1006" s="682"/>
      <c r="P1006" s="682"/>
      <c r="Q1006" s="682"/>
      <c r="R1006" s="682"/>
      <c r="S1006" s="682"/>
      <c r="T1006" s="682"/>
      <c r="U1006" s="682"/>
      <c r="V1006" s="682"/>
      <c r="W1006" s="682"/>
      <c r="X1006" s="682"/>
      <c r="Y1006" s="682"/>
    </row>
    <row r="1007" spans="1:25" ht="11.25" customHeight="1">
      <c r="A1007" s="682"/>
      <c r="B1007" s="682"/>
      <c r="C1007" s="682"/>
      <c r="D1007" s="683"/>
      <c r="E1007" s="682"/>
      <c r="F1007" s="682"/>
      <c r="G1007" s="682"/>
      <c r="H1007" s="682"/>
      <c r="I1007" s="682"/>
      <c r="J1007" s="682"/>
      <c r="P1007" s="682"/>
      <c r="Q1007" s="682"/>
      <c r="R1007" s="682"/>
      <c r="S1007" s="682"/>
      <c r="T1007" s="682"/>
      <c r="U1007" s="682"/>
      <c r="V1007" s="682"/>
      <c r="W1007" s="682"/>
      <c r="X1007" s="682"/>
      <c r="Y1007" s="682"/>
    </row>
    <row r="1008" spans="1:25" ht="11.25" customHeight="1">
      <c r="A1008" s="682"/>
      <c r="B1008" s="682"/>
      <c r="C1008" s="682"/>
      <c r="D1008" s="683"/>
      <c r="E1008" s="682"/>
      <c r="F1008" s="682"/>
      <c r="G1008" s="682"/>
      <c r="H1008" s="682"/>
      <c r="I1008" s="682"/>
      <c r="J1008" s="682"/>
      <c r="P1008" s="682"/>
      <c r="Q1008" s="682"/>
      <c r="R1008" s="682"/>
      <c r="S1008" s="682"/>
      <c r="T1008" s="682"/>
      <c r="U1008" s="682"/>
      <c r="V1008" s="682"/>
      <c r="W1008" s="682"/>
      <c r="X1008" s="682"/>
      <c r="Y1008" s="682"/>
    </row>
    <row r="1009" spans="1:25" ht="11.25" customHeight="1">
      <c r="A1009" s="682"/>
      <c r="B1009" s="682"/>
      <c r="C1009" s="682"/>
      <c r="D1009" s="683"/>
      <c r="E1009" s="682"/>
      <c r="F1009" s="682"/>
      <c r="G1009" s="682"/>
      <c r="H1009" s="682"/>
      <c r="I1009" s="682"/>
      <c r="J1009" s="682"/>
      <c r="P1009" s="682"/>
      <c r="Q1009" s="682"/>
      <c r="R1009" s="682"/>
      <c r="S1009" s="682"/>
      <c r="T1009" s="682"/>
      <c r="U1009" s="682"/>
      <c r="V1009" s="682"/>
      <c r="W1009" s="682"/>
      <c r="X1009" s="682"/>
      <c r="Y1009" s="682"/>
    </row>
    <row r="1010" spans="1:25" ht="11.25" customHeight="1">
      <c r="A1010" s="682"/>
      <c r="B1010" s="682"/>
      <c r="C1010" s="682"/>
      <c r="D1010" s="683"/>
      <c r="E1010" s="682"/>
      <c r="F1010" s="682"/>
      <c r="G1010" s="682"/>
      <c r="H1010" s="682"/>
      <c r="I1010" s="682"/>
      <c r="J1010" s="682"/>
      <c r="P1010" s="682"/>
      <c r="Q1010" s="682"/>
      <c r="R1010" s="682"/>
      <c r="S1010" s="682"/>
      <c r="T1010" s="682"/>
      <c r="U1010" s="682"/>
      <c r="V1010" s="682"/>
      <c r="W1010" s="682"/>
      <c r="X1010" s="682"/>
      <c r="Y1010" s="682"/>
    </row>
    <row r="1011" spans="1:25" ht="11.25" customHeight="1">
      <c r="A1011" s="682"/>
      <c r="B1011" s="682"/>
      <c r="C1011" s="682"/>
      <c r="D1011" s="683"/>
      <c r="E1011" s="682"/>
      <c r="F1011" s="682"/>
      <c r="G1011" s="682"/>
      <c r="H1011" s="682"/>
      <c r="I1011" s="682"/>
      <c r="J1011" s="682"/>
      <c r="P1011" s="682"/>
      <c r="Q1011" s="682"/>
      <c r="R1011" s="682"/>
      <c r="S1011" s="682"/>
      <c r="T1011" s="682"/>
      <c r="U1011" s="682"/>
      <c r="V1011" s="682"/>
      <c r="W1011" s="682"/>
      <c r="X1011" s="682"/>
      <c r="Y1011" s="682"/>
    </row>
    <row r="1012" spans="1:25" ht="11.25" customHeight="1">
      <c r="A1012" s="682"/>
      <c r="B1012" s="682"/>
      <c r="C1012" s="682"/>
      <c r="D1012" s="683"/>
      <c r="E1012" s="682"/>
      <c r="F1012" s="682"/>
      <c r="G1012" s="682"/>
      <c r="H1012" s="682"/>
      <c r="I1012" s="682"/>
      <c r="J1012" s="682"/>
      <c r="P1012" s="682"/>
      <c r="Q1012" s="682"/>
      <c r="R1012" s="682"/>
      <c r="S1012" s="682"/>
      <c r="T1012" s="682"/>
      <c r="U1012" s="682"/>
      <c r="V1012" s="682"/>
      <c r="W1012" s="682"/>
      <c r="X1012" s="682"/>
      <c r="Y1012" s="68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7DCC-0FEF-44D4-85DC-FE8658487C9D}">
  <dimension ref="A1:AP1009"/>
  <sheetViews>
    <sheetView showGridLines="0" workbookViewId="0">
      <pane xSplit="2" ySplit="8" topLeftCell="C51" activePane="bottomRight" state="frozen"/>
      <selection pane="topRight" activeCell="C1" sqref="C1"/>
      <selection pane="bottomLeft" activeCell="A9" sqref="A9"/>
      <selection pane="bottomRight" activeCell="B63" sqref="B63"/>
    </sheetView>
  </sheetViews>
  <sheetFormatPr defaultColWidth="14.453125" defaultRowHeight="12.5"/>
  <cols>
    <col min="1" max="1" width="35.1796875" style="742" customWidth="1"/>
    <col min="2" max="2" width="17.81640625" style="742" customWidth="1"/>
    <col min="3" max="38" width="15.54296875" style="742" customWidth="1"/>
    <col min="39" max="39" width="16.1796875" style="742" customWidth="1"/>
    <col min="40" max="40" width="15.54296875" style="742" customWidth="1"/>
    <col min="41" max="41" width="13.54296875" style="742" bestFit="1" customWidth="1"/>
    <col min="42" max="42" width="13.81640625" style="742" bestFit="1" customWidth="1"/>
    <col min="43" max="16384" width="14.453125" style="742"/>
  </cols>
  <sheetData>
    <row r="1" spans="1:42" ht="12.75" customHeight="1">
      <c r="A1" s="738"/>
      <c r="B1" s="739"/>
      <c r="C1" s="740">
        <f>SUM(C7:L7)</f>
        <v>301143928978.03204</v>
      </c>
      <c r="D1" s="740"/>
      <c r="E1" s="740"/>
      <c r="F1" s="740">
        <v>153903160236</v>
      </c>
      <c r="G1" s="740"/>
      <c r="H1" s="740"/>
      <c r="I1" s="740"/>
      <c r="J1" s="740"/>
      <c r="K1" s="740"/>
      <c r="L1" s="740"/>
      <c r="M1" s="740"/>
      <c r="N1" s="740"/>
      <c r="O1" s="740"/>
      <c r="P1" s="740"/>
      <c r="Q1" s="740"/>
      <c r="R1" s="740"/>
      <c r="S1" s="740"/>
      <c r="T1" s="740"/>
      <c r="U1" s="740"/>
      <c r="V1" s="740"/>
      <c r="W1" s="740"/>
      <c r="X1" s="740"/>
      <c r="Y1" s="740"/>
      <c r="Z1" s="740"/>
      <c r="AA1" s="740"/>
      <c r="AB1" s="740"/>
      <c r="AC1" s="740"/>
      <c r="AD1" s="740"/>
      <c r="AE1" s="740"/>
      <c r="AF1" s="740"/>
      <c r="AG1" s="740"/>
      <c r="AH1" s="740"/>
      <c r="AI1" s="740"/>
      <c r="AJ1" s="740"/>
      <c r="AK1" s="740"/>
      <c r="AL1" s="740"/>
      <c r="AM1" s="740"/>
      <c r="AN1" s="741"/>
      <c r="AO1" s="741"/>
      <c r="AP1" s="741"/>
    </row>
    <row r="2" spans="1:42" ht="12.75" customHeight="1">
      <c r="A2" s="743"/>
      <c r="B2" s="738"/>
      <c r="C2" s="740">
        <f>SUM(N7:AD7)</f>
        <v>-301143928978.03754</v>
      </c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  <c r="T2" s="740"/>
      <c r="U2" s="740"/>
      <c r="V2" s="740"/>
      <c r="W2" s="740"/>
      <c r="X2" s="740"/>
      <c r="Y2" s="740"/>
      <c r="Z2" s="740"/>
      <c r="AA2" s="740"/>
      <c r="AB2" s="740"/>
      <c r="AC2" s="740"/>
      <c r="AD2" s="740"/>
      <c r="AE2" s="740"/>
      <c r="AF2" s="740"/>
      <c r="AG2" s="740"/>
      <c r="AH2" s="740"/>
      <c r="AI2" s="740"/>
      <c r="AJ2" s="740"/>
      <c r="AK2" s="740"/>
      <c r="AL2" s="740"/>
      <c r="AM2" s="740"/>
      <c r="AN2" s="741"/>
      <c r="AO2" s="741"/>
      <c r="AP2" s="741"/>
    </row>
    <row r="3" spans="1:42" ht="12.75" customHeight="1">
      <c r="A3" s="738"/>
      <c r="B3" s="741"/>
      <c r="C3" s="744">
        <f>C1+C2</f>
        <v>-5.4931640625E-3</v>
      </c>
      <c r="D3" s="744"/>
      <c r="E3" s="744"/>
      <c r="F3" s="744"/>
      <c r="G3" s="740"/>
      <c r="H3" s="740"/>
      <c r="I3" s="740"/>
      <c r="J3" s="740"/>
      <c r="K3" s="740"/>
      <c r="L3" s="740"/>
      <c r="M3" s="740"/>
      <c r="N3" s="740"/>
      <c r="O3" s="740"/>
      <c r="P3" s="740"/>
      <c r="Q3" s="740"/>
      <c r="R3" s="740"/>
      <c r="S3" s="740"/>
      <c r="T3" s="740"/>
      <c r="U3" s="740"/>
      <c r="V3" s="740"/>
      <c r="W3" s="740"/>
      <c r="X3" s="740"/>
      <c r="Y3" s="740"/>
      <c r="Z3" s="740"/>
      <c r="AA3" s="740"/>
      <c r="AB3" s="740"/>
      <c r="AC3" s="740"/>
      <c r="AD3" s="740"/>
      <c r="AE3" s="740"/>
      <c r="AF3" s="740"/>
      <c r="AG3" s="740"/>
      <c r="AH3" s="740"/>
      <c r="AI3" s="740"/>
      <c r="AJ3" s="740"/>
      <c r="AK3" s="740"/>
      <c r="AL3" s="740"/>
      <c r="AM3" s="740"/>
      <c r="AN3" s="741"/>
      <c r="AO3" s="741"/>
      <c r="AP3" s="741"/>
    </row>
    <row r="4" spans="1:42" ht="12.75" customHeight="1">
      <c r="A4" s="745"/>
      <c r="B4" s="745"/>
      <c r="C4" s="977" t="s">
        <v>421</v>
      </c>
      <c r="D4" s="977" t="s">
        <v>1145</v>
      </c>
      <c r="E4" s="977" t="s">
        <v>1146</v>
      </c>
      <c r="F4" s="982" t="s">
        <v>1147</v>
      </c>
      <c r="G4" s="977" t="s">
        <v>431</v>
      </c>
      <c r="H4" s="977" t="s">
        <v>72</v>
      </c>
      <c r="I4" s="982" t="s">
        <v>1148</v>
      </c>
      <c r="J4" s="982" t="s">
        <v>1149</v>
      </c>
      <c r="K4" s="977" t="s">
        <v>442</v>
      </c>
      <c r="L4" s="977" t="s">
        <v>453</v>
      </c>
      <c r="M4" s="982" t="s">
        <v>1150</v>
      </c>
      <c r="N4" s="977" t="s">
        <v>1151</v>
      </c>
      <c r="O4" s="977" t="s">
        <v>1152</v>
      </c>
      <c r="P4" s="977" t="s">
        <v>1153</v>
      </c>
      <c r="Q4" s="977" t="s">
        <v>1154</v>
      </c>
      <c r="R4" s="977" t="s">
        <v>1155</v>
      </c>
      <c r="S4" s="977" t="s">
        <v>1156</v>
      </c>
      <c r="T4" s="977" t="s">
        <v>1157</v>
      </c>
      <c r="U4" s="977" t="s">
        <v>1158</v>
      </c>
      <c r="V4" s="977" t="s">
        <v>473</v>
      </c>
      <c r="W4" s="977" t="s">
        <v>346</v>
      </c>
      <c r="X4" s="981" t="s">
        <v>1159</v>
      </c>
      <c r="Y4" s="981" t="s">
        <v>503</v>
      </c>
      <c r="Z4" s="983" t="s">
        <v>1281</v>
      </c>
      <c r="AA4" s="983" t="s">
        <v>1282</v>
      </c>
      <c r="AB4" s="983" t="s">
        <v>998</v>
      </c>
      <c r="AC4" s="981" t="s">
        <v>1160</v>
      </c>
      <c r="AD4" s="975" t="s">
        <v>507</v>
      </c>
      <c r="AE4" s="977" t="s">
        <v>1161</v>
      </c>
      <c r="AF4" s="978" t="s">
        <v>1162</v>
      </c>
      <c r="AG4" s="978" t="s">
        <v>526</v>
      </c>
      <c r="AH4" s="979" t="s">
        <v>318</v>
      </c>
      <c r="AI4" s="980" t="s">
        <v>1163</v>
      </c>
      <c r="AJ4" s="970" t="s">
        <v>532</v>
      </c>
      <c r="AK4" s="972" t="s">
        <v>1164</v>
      </c>
      <c r="AL4" s="972" t="s">
        <v>1164</v>
      </c>
      <c r="AM4" s="974" t="s">
        <v>1165</v>
      </c>
      <c r="AN4" s="746">
        <v>17999087818</v>
      </c>
      <c r="AO4" s="747">
        <f>AN4-AN6</f>
        <v>17999087817.515564</v>
      </c>
      <c r="AP4" s="741"/>
    </row>
    <row r="5" spans="1:42" ht="12.75" customHeight="1">
      <c r="A5" s="748"/>
      <c r="B5" s="748"/>
      <c r="C5" s="973"/>
      <c r="D5" s="973"/>
      <c r="E5" s="973"/>
      <c r="F5" s="985"/>
      <c r="G5" s="973"/>
      <c r="H5" s="982"/>
      <c r="I5" s="985"/>
      <c r="J5" s="986"/>
      <c r="K5" s="973"/>
      <c r="L5" s="973"/>
      <c r="M5" s="982"/>
      <c r="N5" s="982"/>
      <c r="O5" s="982"/>
      <c r="P5" s="973"/>
      <c r="Q5" s="973"/>
      <c r="R5" s="973"/>
      <c r="S5" s="973"/>
      <c r="T5" s="973"/>
      <c r="U5" s="973"/>
      <c r="V5" s="973"/>
      <c r="W5" s="973"/>
      <c r="X5" s="976"/>
      <c r="Y5" s="976"/>
      <c r="Z5" s="984"/>
      <c r="AA5" s="984"/>
      <c r="AB5" s="984"/>
      <c r="AC5" s="976"/>
      <c r="AD5" s="976"/>
      <c r="AE5" s="973"/>
      <c r="AF5" s="973"/>
      <c r="AG5" s="973"/>
      <c r="AH5" s="973"/>
      <c r="AI5" s="973"/>
      <c r="AJ5" s="971"/>
      <c r="AK5" s="973"/>
      <c r="AL5" s="973"/>
      <c r="AM5" s="973"/>
      <c r="AN5" s="741"/>
      <c r="AO5" s="741"/>
      <c r="AP5" s="738"/>
    </row>
    <row r="6" spans="1:42" ht="12.75" customHeight="1">
      <c r="A6" s="748"/>
      <c r="B6" s="749" t="s">
        <v>1200</v>
      </c>
      <c r="C6" s="750">
        <f>BS!H14</f>
        <v>420682221.70998776</v>
      </c>
      <c r="D6" s="750">
        <f>BS!H17</f>
        <v>44619751805.917015</v>
      </c>
      <c r="E6" s="750">
        <f>BS!H16</f>
        <v>8079657361</v>
      </c>
      <c r="F6" s="750">
        <f>BS!H18</f>
        <v>91174796671</v>
      </c>
      <c r="G6" s="750">
        <f>BS!H19</f>
        <v>117254789147</v>
      </c>
      <c r="H6" s="750">
        <f>BS!H20</f>
        <v>8388948819.9099998</v>
      </c>
      <c r="I6" s="750">
        <f>BS!H21</f>
        <v>29458465566.379997</v>
      </c>
      <c r="J6" s="750">
        <f>BS!H34</f>
        <v>1050000000</v>
      </c>
      <c r="K6" s="750">
        <f>BS!H33</f>
        <v>25023282848.023956</v>
      </c>
      <c r="L6" s="750">
        <f>BS!H35</f>
        <v>242569785.03203309</v>
      </c>
      <c r="M6" s="750">
        <v>0</v>
      </c>
      <c r="N6" s="750">
        <f>-BS!H53</f>
        <v>-126612232871</v>
      </c>
      <c r="O6" s="750">
        <v>0</v>
      </c>
      <c r="P6" s="750">
        <f>-BS!H48</f>
        <v>-33114818396.509995</v>
      </c>
      <c r="Q6" s="750">
        <f>-(BS!H49+BS!H51)</f>
        <v>-4291735758.2199998</v>
      </c>
      <c r="R6" s="750">
        <f>-BS!H54</f>
        <v>-1563952385.3499997</v>
      </c>
      <c r="S6" s="750">
        <f>-BS!H52</f>
        <v>0</v>
      </c>
      <c r="T6" s="750">
        <f>-BS!H59</f>
        <v>0</v>
      </c>
      <c r="U6" s="750">
        <v>0</v>
      </c>
      <c r="V6" s="750">
        <f>-BS!H55</f>
        <v>-731397456.79999995</v>
      </c>
      <c r="W6" s="750">
        <f>-BS!H70</f>
        <v>-2647745936</v>
      </c>
      <c r="X6" s="750">
        <f>-BS!H86+(WS!J310)</f>
        <v>-55000000000</v>
      </c>
      <c r="Y6" s="750">
        <f>Y7</f>
        <v>-25871690669</v>
      </c>
      <c r="Z6" s="750">
        <f>-WS!J310</f>
        <v>-14500000000</v>
      </c>
      <c r="AA6" s="750">
        <f>-WS!J312</f>
        <v>-58000000000</v>
      </c>
      <c r="AB6" s="750">
        <f>-WS!J313</f>
        <v>3115944915</v>
      </c>
      <c r="AC6" s="750">
        <f>-BS!H89</f>
        <v>482786190.74000001</v>
      </c>
      <c r="AD6" s="750">
        <f>AD7+WS!D316</f>
        <v>-5037443173.9075432</v>
      </c>
      <c r="AE6" s="750">
        <f>-PL!F10</f>
        <v>-182493349323.69</v>
      </c>
      <c r="AF6" s="750">
        <f>-PL!F11</f>
        <v>139384865618.99603</v>
      </c>
      <c r="AG6" s="750">
        <f>-PL!F14</f>
        <v>14110743992.24</v>
      </c>
      <c r="AH6" s="750">
        <f>-PL!F15</f>
        <v>14884751795.15</v>
      </c>
      <c r="AI6" s="750">
        <f>-PL!F16</f>
        <v>1612506037.4100001</v>
      </c>
      <c r="AJ6" s="750">
        <f>-PL!F17</f>
        <v>9424292095.4529915</v>
      </c>
      <c r="AK6" s="750">
        <f>-PL!F24</f>
        <v>0</v>
      </c>
      <c r="AL6" s="750">
        <f>-PL!F23</f>
        <v>1135531100</v>
      </c>
      <c r="AM6" s="750">
        <v>0</v>
      </c>
      <c r="AN6" s="738">
        <f>SUM(C6:AM6)</f>
        <v>0.48443412780761719</v>
      </c>
      <c r="AO6" s="741"/>
      <c r="AP6" s="741"/>
    </row>
    <row r="7" spans="1:42" ht="12.75" customHeight="1">
      <c r="A7" s="751"/>
      <c r="B7" s="749">
        <v>45291</v>
      </c>
      <c r="C7" s="750">
        <f>BS!L14</f>
        <v>2159354956</v>
      </c>
      <c r="D7" s="750">
        <f>BS!L17</f>
        <v>13123277095</v>
      </c>
      <c r="E7" s="750">
        <f>BS!L16</f>
        <v>8079657361</v>
      </c>
      <c r="F7" s="750">
        <f>BS!L18</f>
        <v>133158984576</v>
      </c>
      <c r="G7" s="750">
        <f>BS!L19</f>
        <v>108322822660</v>
      </c>
      <c r="H7" s="750">
        <f>BS!L20</f>
        <v>6807425746</v>
      </c>
      <c r="I7" s="750">
        <f>BS!L21</f>
        <v>897473228</v>
      </c>
      <c r="J7" s="750">
        <f>BS!L34</f>
        <v>1050000000</v>
      </c>
      <c r="K7" s="750">
        <f>BS!L33</f>
        <v>27302363571</v>
      </c>
      <c r="L7" s="750">
        <f>BS!L35</f>
        <v>242569785.03203309</v>
      </c>
      <c r="M7" s="750">
        <v>0</v>
      </c>
      <c r="N7" s="750">
        <f>-BS!L53</f>
        <v>-135768265866</v>
      </c>
      <c r="O7" s="750">
        <v>0</v>
      </c>
      <c r="P7" s="750">
        <f>-BS!L48</f>
        <v>-62518053072</v>
      </c>
      <c r="Q7" s="750">
        <f>-(BS!L49+BS!L51)</f>
        <v>-12029137713</v>
      </c>
      <c r="R7" s="750">
        <f>-BS!L54</f>
        <v>-937337041</v>
      </c>
      <c r="S7" s="750">
        <f>-BS!L52</f>
        <v>-41000000</v>
      </c>
      <c r="T7" s="750">
        <f>-BS!L59</f>
        <v>-76360023</v>
      </c>
      <c r="U7" s="750">
        <v>0</v>
      </c>
      <c r="V7" s="750">
        <f>-BS!L55</f>
        <v>-1699681674.8699999</v>
      </c>
      <c r="W7" s="750">
        <f>-BS!L70</f>
        <v>-2647745936</v>
      </c>
      <c r="X7" s="750">
        <f>-BS!L86</f>
        <v>-40000000000</v>
      </c>
      <c r="Y7" s="750">
        <f>-BS!L87</f>
        <v>-25871690669</v>
      </c>
      <c r="Z7" s="750"/>
      <c r="AA7" s="750"/>
      <c r="AB7" s="750"/>
      <c r="AC7" s="750">
        <f>-BS!L89</f>
        <v>482786190.74000001</v>
      </c>
      <c r="AD7" s="750">
        <f>-(BS!L92+BS!L93+BS!L91)</f>
        <v>-20037443173.907543</v>
      </c>
      <c r="AE7" s="750"/>
      <c r="AF7" s="750"/>
      <c r="AG7" s="750"/>
      <c r="AH7" s="750"/>
      <c r="AI7" s="750"/>
      <c r="AJ7" s="750"/>
      <c r="AK7" s="750"/>
      <c r="AL7" s="750"/>
      <c r="AM7" s="750"/>
      <c r="AN7" s="738">
        <f>SUM(C7:AM7)</f>
        <v>-5.4931640625E-3</v>
      </c>
      <c r="AO7" s="753">
        <f>AN7/2</f>
        <v>-2.74658203125E-3</v>
      </c>
      <c r="AP7" s="754"/>
    </row>
    <row r="8" spans="1:42" ht="12.75" customHeight="1">
      <c r="A8" s="748"/>
      <c r="B8" s="755" t="s">
        <v>1167</v>
      </c>
      <c r="C8" s="756">
        <f>C6-C7</f>
        <v>-1738672734.2900124</v>
      </c>
      <c r="D8" s="756">
        <f t="shared" ref="D8:AM8" si="0">D6-D7</f>
        <v>31496474710.917015</v>
      </c>
      <c r="E8" s="756">
        <f t="shared" si="0"/>
        <v>0</v>
      </c>
      <c r="F8" s="756">
        <f t="shared" si="0"/>
        <v>-41984187905</v>
      </c>
      <c r="G8" s="756">
        <f t="shared" si="0"/>
        <v>8931966487</v>
      </c>
      <c r="H8" s="756">
        <f t="shared" si="0"/>
        <v>1581523073.9099998</v>
      </c>
      <c r="I8" s="756">
        <f t="shared" si="0"/>
        <v>28560992338.379997</v>
      </c>
      <c r="J8" s="756">
        <f t="shared" si="0"/>
        <v>0</v>
      </c>
      <c r="K8" s="756">
        <f t="shared" si="0"/>
        <v>-2279080722.9760437</v>
      </c>
      <c r="L8" s="756">
        <f t="shared" si="0"/>
        <v>0</v>
      </c>
      <c r="M8" s="756">
        <f t="shared" si="0"/>
        <v>0</v>
      </c>
      <c r="N8" s="756">
        <f t="shared" si="0"/>
        <v>9156032995</v>
      </c>
      <c r="O8" s="756">
        <f t="shared" si="0"/>
        <v>0</v>
      </c>
      <c r="P8" s="756">
        <f t="shared" si="0"/>
        <v>29403234675.490005</v>
      </c>
      <c r="Q8" s="756">
        <f t="shared" si="0"/>
        <v>7737401954.7800007</v>
      </c>
      <c r="R8" s="756">
        <f t="shared" si="0"/>
        <v>-626615344.34999967</v>
      </c>
      <c r="S8" s="756">
        <f t="shared" si="0"/>
        <v>41000000</v>
      </c>
      <c r="T8" s="756">
        <f t="shared" si="0"/>
        <v>76360023</v>
      </c>
      <c r="U8" s="756">
        <f t="shared" si="0"/>
        <v>0</v>
      </c>
      <c r="V8" s="756">
        <f t="shared" si="0"/>
        <v>968284218.06999993</v>
      </c>
      <c r="W8" s="756">
        <f t="shared" si="0"/>
        <v>0</v>
      </c>
      <c r="X8" s="756">
        <f t="shared" si="0"/>
        <v>-15000000000</v>
      </c>
      <c r="Y8" s="756">
        <f t="shared" si="0"/>
        <v>0</v>
      </c>
      <c r="Z8" s="756">
        <f t="shared" si="0"/>
        <v>-14500000000</v>
      </c>
      <c r="AA8" s="756">
        <f t="shared" si="0"/>
        <v>-58000000000</v>
      </c>
      <c r="AB8" s="756">
        <f t="shared" si="0"/>
        <v>3115944915</v>
      </c>
      <c r="AC8" s="756">
        <f t="shared" si="0"/>
        <v>0</v>
      </c>
      <c r="AD8" s="756">
        <f t="shared" si="0"/>
        <v>15000000000</v>
      </c>
      <c r="AE8" s="756">
        <f t="shared" si="0"/>
        <v>-182493349323.69</v>
      </c>
      <c r="AF8" s="756">
        <f t="shared" si="0"/>
        <v>139384865618.99603</v>
      </c>
      <c r="AG8" s="756">
        <f t="shared" si="0"/>
        <v>14110743992.24</v>
      </c>
      <c r="AH8" s="756">
        <f t="shared" si="0"/>
        <v>14884751795.15</v>
      </c>
      <c r="AI8" s="756">
        <f t="shared" si="0"/>
        <v>1612506037.4100001</v>
      </c>
      <c r="AJ8" s="756">
        <f t="shared" si="0"/>
        <v>9424292095.4529915</v>
      </c>
      <c r="AK8" s="756">
        <f t="shared" si="0"/>
        <v>0</v>
      </c>
      <c r="AL8" s="756">
        <f t="shared" si="0"/>
        <v>1135531100</v>
      </c>
      <c r="AM8" s="756">
        <f t="shared" si="0"/>
        <v>0</v>
      </c>
      <c r="AN8" s="738">
        <f>SUM(C8:AM8)</f>
        <v>0.48998832702636719</v>
      </c>
      <c r="AO8" s="757">
        <f>AN8/2</f>
        <v>0.24499416351318359</v>
      </c>
      <c r="AP8" s="743">
        <f>AO8/2</f>
        <v>0.1224970817565918</v>
      </c>
    </row>
    <row r="9" spans="1:42" ht="12.75" customHeight="1">
      <c r="A9" s="758"/>
      <c r="B9" s="759" t="s">
        <v>1168</v>
      </c>
      <c r="C9" s="741"/>
      <c r="D9" s="741"/>
      <c r="E9" s="741"/>
      <c r="F9" s="741"/>
      <c r="G9" s="741"/>
      <c r="H9" s="741"/>
      <c r="I9" s="741"/>
      <c r="J9" s="741"/>
      <c r="K9" s="741"/>
      <c r="L9" s="741"/>
      <c r="M9" s="741"/>
      <c r="N9" s="741"/>
      <c r="O9" s="741"/>
      <c r="P9" s="741"/>
      <c r="Q9" s="741"/>
      <c r="R9" s="741"/>
      <c r="S9" s="741"/>
      <c r="T9" s="741"/>
      <c r="U9" s="741"/>
      <c r="V9" s="741"/>
      <c r="W9" s="741"/>
      <c r="X9" s="741"/>
      <c r="Y9" s="741"/>
      <c r="Z9" s="741"/>
      <c r="AA9" s="741"/>
      <c r="AB9" s="741"/>
      <c r="AC9" s="738"/>
      <c r="AD9" s="741"/>
      <c r="AE9" s="741"/>
      <c r="AF9" s="741"/>
      <c r="AG9" s="741"/>
      <c r="AH9" s="741"/>
      <c r="AI9" s="741"/>
      <c r="AJ9" s="741"/>
      <c r="AK9" s="741"/>
      <c r="AL9" s="741"/>
      <c r="AM9" s="741"/>
      <c r="AN9" s="741"/>
      <c r="AO9" s="741"/>
      <c r="AP9" s="741"/>
    </row>
    <row r="10" spans="1:42" ht="12.75" customHeight="1">
      <c r="A10" s="760" t="s">
        <v>1169</v>
      </c>
      <c r="B10" s="761"/>
      <c r="C10" s="741"/>
      <c r="D10" s="738"/>
      <c r="E10" s="738"/>
      <c r="F10" s="738"/>
      <c r="G10" s="738"/>
      <c r="H10" s="738"/>
      <c r="I10" s="738"/>
      <c r="J10" s="738"/>
      <c r="K10" s="741"/>
      <c r="L10" s="741"/>
      <c r="M10" s="741"/>
      <c r="N10" s="741"/>
      <c r="O10" s="741"/>
      <c r="P10" s="741"/>
      <c r="Q10" s="741"/>
      <c r="R10" s="741"/>
      <c r="S10" s="741"/>
      <c r="T10" s="741"/>
      <c r="U10" s="741"/>
      <c r="V10" s="741"/>
      <c r="W10" s="741"/>
      <c r="X10" s="741"/>
      <c r="Y10" s="741"/>
      <c r="Z10" s="741"/>
      <c r="AA10" s="741"/>
      <c r="AB10" s="741"/>
      <c r="AC10" s="738"/>
      <c r="AD10" s="738"/>
      <c r="AE10" s="741"/>
      <c r="AF10" s="741"/>
      <c r="AG10" s="741"/>
      <c r="AH10" s="741"/>
      <c r="AI10" s="741"/>
      <c r="AJ10" s="741"/>
      <c r="AK10" s="741"/>
      <c r="AL10" s="741"/>
      <c r="AM10" s="741"/>
      <c r="AN10" s="741"/>
      <c r="AO10" s="741"/>
      <c r="AP10" s="741"/>
    </row>
    <row r="11" spans="1:42" ht="12.75" customHeight="1">
      <c r="A11" s="762" t="s">
        <v>1076</v>
      </c>
      <c r="B11" s="763">
        <f>ROUND(SUM(D11:AM11),0)</f>
        <v>150996874613</v>
      </c>
      <c r="C11" s="741"/>
      <c r="D11" s="738">
        <f>-D8</f>
        <v>-31496474710.917015</v>
      </c>
      <c r="E11" s="738">
        <f>-E8</f>
        <v>0</v>
      </c>
      <c r="F11" s="738"/>
      <c r="G11" s="738"/>
      <c r="H11" s="738"/>
      <c r="I11" s="738"/>
      <c r="J11" s="738"/>
      <c r="K11" s="741"/>
      <c r="L11" s="741"/>
      <c r="M11" s="741"/>
      <c r="N11" s="741"/>
      <c r="O11" s="741"/>
      <c r="P11" s="741"/>
      <c r="Q11" s="741"/>
      <c r="R11" s="738"/>
      <c r="S11" s="738"/>
      <c r="T11" s="738"/>
      <c r="U11" s="738"/>
      <c r="V11" s="741"/>
      <c r="W11" s="741"/>
      <c r="X11" s="738"/>
      <c r="Y11" s="741"/>
      <c r="Z11" s="741"/>
      <c r="AA11" s="741"/>
      <c r="AB11" s="741"/>
      <c r="AC11" s="741"/>
      <c r="AD11" s="741"/>
      <c r="AE11" s="738">
        <f>-AE8</f>
        <v>182493349323.69</v>
      </c>
      <c r="AF11" s="741"/>
      <c r="AG11" s="741"/>
      <c r="AH11" s="741"/>
      <c r="AI11" s="738"/>
      <c r="AJ11" s="738"/>
      <c r="AK11" s="738"/>
      <c r="AL11" s="738"/>
      <c r="AM11" s="741"/>
      <c r="AN11" s="764"/>
      <c r="AO11" s="741"/>
      <c r="AP11" s="741"/>
    </row>
    <row r="12" spans="1:42" ht="12.75" customHeight="1">
      <c r="A12" s="762" t="s">
        <v>1079</v>
      </c>
      <c r="B12" s="763">
        <f>ROUND(SUM(D12:AM12),0)</f>
        <v>-181964095253</v>
      </c>
      <c r="C12" s="741"/>
      <c r="D12" s="741"/>
      <c r="E12" s="741"/>
      <c r="F12" s="738">
        <f>-F8</f>
        <v>41984187905</v>
      </c>
      <c r="G12" s="738">
        <f>-G8</f>
        <v>-8931966487</v>
      </c>
      <c r="H12" s="738">
        <f t="shared" ref="H12" si="1">-H8</f>
        <v>-1581523073.9099998</v>
      </c>
      <c r="I12" s="738">
        <f>-I8</f>
        <v>-28560992338.379997</v>
      </c>
      <c r="J12" s="738"/>
      <c r="K12" s="738">
        <f>-K8-K27</f>
        <v>2279080722.9760437</v>
      </c>
      <c r="L12" s="738"/>
      <c r="M12" s="738">
        <f>-M8</f>
        <v>0</v>
      </c>
      <c r="N12" s="738"/>
      <c r="O12" s="738"/>
      <c r="P12" s="738">
        <f>-P8</f>
        <v>-29403234675.490005</v>
      </c>
      <c r="Q12" s="738">
        <f>-Q8</f>
        <v>-7737401954.7800007</v>
      </c>
      <c r="R12" s="738">
        <f>-R8</f>
        <v>626615344.34999967</v>
      </c>
      <c r="T12" s="738"/>
      <c r="U12" s="738"/>
      <c r="V12" s="738"/>
      <c r="W12" s="738"/>
      <c r="X12" s="738"/>
      <c r="Y12" s="738"/>
      <c r="Z12" s="738"/>
      <c r="AA12" s="738"/>
      <c r="AB12" s="738"/>
      <c r="AC12" s="738">
        <f>-AC8-AC28</f>
        <v>0</v>
      </c>
      <c r="AD12" s="738"/>
      <c r="AE12" s="738"/>
      <c r="AF12" s="738">
        <f>-AF8-AF13</f>
        <v>-139143403335.99603</v>
      </c>
      <c r="AG12" s="738"/>
      <c r="AH12" s="738">
        <f>-AH8-AH13-AH14</f>
        <v>-9882951322.1499996</v>
      </c>
      <c r="AI12" s="738">
        <f>-(AI8+AI14+AI19)</f>
        <v>-1612506037.4100001</v>
      </c>
      <c r="AJ12" s="738"/>
      <c r="AK12" s="764">
        <f>-(AK8-AL16)</f>
        <v>0</v>
      </c>
      <c r="AL12" s="764"/>
      <c r="AM12" s="764">
        <f>-AM20-AM8</f>
        <v>0</v>
      </c>
      <c r="AN12" s="764"/>
      <c r="AO12" s="741"/>
      <c r="AP12" s="741"/>
    </row>
    <row r="13" spans="1:42" ht="12.75" customHeight="1">
      <c r="A13" s="762" t="s">
        <v>1082</v>
      </c>
      <c r="B13" s="763">
        <f>SUM(D13:AM13)</f>
        <v>-5127549818</v>
      </c>
      <c r="C13" s="738"/>
      <c r="D13" s="741"/>
      <c r="E13" s="741"/>
      <c r="F13" s="738"/>
      <c r="G13" s="741"/>
      <c r="H13" s="741"/>
      <c r="I13" s="741"/>
      <c r="J13" s="741"/>
      <c r="K13" s="738"/>
      <c r="L13" s="738"/>
      <c r="M13" s="738"/>
      <c r="N13" s="738"/>
      <c r="O13" s="738"/>
      <c r="P13" s="738"/>
      <c r="Q13" s="738"/>
      <c r="R13" s="738"/>
      <c r="S13" s="741"/>
      <c r="T13" s="741"/>
      <c r="U13" s="738"/>
      <c r="V13" s="738"/>
      <c r="W13" s="738"/>
      <c r="X13" s="738"/>
      <c r="Y13" s="738"/>
      <c r="Z13" s="738"/>
      <c r="AA13" s="738"/>
      <c r="AB13" s="738"/>
      <c r="AC13" s="738"/>
      <c r="AD13" s="738"/>
      <c r="AE13" s="738"/>
      <c r="AF13" s="873">
        <v>-241462283</v>
      </c>
      <c r="AG13" s="738"/>
      <c r="AH13" s="873">
        <v>-4886087535</v>
      </c>
      <c r="AI13" s="738"/>
      <c r="AJ13" s="738"/>
      <c r="AK13" s="741"/>
      <c r="AL13" s="741"/>
      <c r="AM13" s="741"/>
      <c r="AN13" s="764"/>
      <c r="AO13" s="741"/>
      <c r="AP13" s="741"/>
    </row>
    <row r="14" spans="1:42" ht="12.75" customHeight="1">
      <c r="A14" s="762" t="s">
        <v>1084</v>
      </c>
      <c r="B14" s="763">
        <f>ROUND(SUM(D14:AM14),0)</f>
        <v>-15194741148</v>
      </c>
      <c r="C14" s="738"/>
      <c r="D14" s="741"/>
      <c r="E14" s="741"/>
      <c r="F14" s="738"/>
      <c r="G14" s="741"/>
      <c r="H14" s="741"/>
      <c r="I14" s="741"/>
      <c r="J14" s="738"/>
      <c r="K14" s="738"/>
      <c r="L14" s="738">
        <f>-L8</f>
        <v>0</v>
      </c>
      <c r="M14" s="738"/>
      <c r="N14" s="738"/>
      <c r="O14" s="738"/>
      <c r="P14" s="738"/>
      <c r="Q14" s="738"/>
      <c r="R14" s="738"/>
      <c r="S14" s="741"/>
      <c r="T14" s="741"/>
      <c r="U14" s="738"/>
      <c r="V14" s="738">
        <f>-V8</f>
        <v>-968284218.06999993</v>
      </c>
      <c r="W14" s="738">
        <f>-W8</f>
        <v>0</v>
      </c>
      <c r="X14" s="738"/>
      <c r="Y14" s="738"/>
      <c r="Z14" s="738"/>
      <c r="AA14" s="738"/>
      <c r="AB14" s="738"/>
      <c r="AC14" s="738"/>
      <c r="AD14" s="738"/>
      <c r="AE14" s="738"/>
      <c r="AF14" s="738"/>
      <c r="AG14" s="738">
        <f>-AG8</f>
        <v>-14110743992.24</v>
      </c>
      <c r="AH14" s="873">
        <v>-115712938</v>
      </c>
      <c r="AI14" s="738"/>
      <c r="AJ14" s="738"/>
      <c r="AK14" s="741"/>
      <c r="AL14" s="741"/>
      <c r="AM14" s="741"/>
      <c r="AN14" s="764"/>
      <c r="AO14" s="741"/>
      <c r="AP14" s="741"/>
    </row>
    <row r="15" spans="1:42" ht="12.75" customHeight="1">
      <c r="A15" s="762" t="s">
        <v>1170</v>
      </c>
      <c r="B15" s="763">
        <f t="shared" ref="B15:B20" si="2">SUM(D15:AM15)</f>
        <v>0</v>
      </c>
      <c r="C15" s="741"/>
      <c r="D15" s="741"/>
      <c r="E15" s="741"/>
      <c r="F15" s="741"/>
      <c r="G15" s="741"/>
      <c r="H15" s="741"/>
      <c r="I15" s="741"/>
      <c r="J15" s="741"/>
      <c r="K15" s="738"/>
      <c r="L15" s="738"/>
      <c r="M15" s="738"/>
      <c r="N15" s="738"/>
      <c r="O15" s="738"/>
      <c r="P15" s="738"/>
      <c r="Q15" s="738"/>
      <c r="R15" s="738"/>
      <c r="S15" s="741"/>
      <c r="T15" s="741"/>
      <c r="U15" s="738"/>
      <c r="V15" s="738"/>
      <c r="W15" s="738"/>
      <c r="X15" s="738"/>
      <c r="Y15" s="738"/>
      <c r="Z15" s="738"/>
      <c r="AA15" s="738"/>
      <c r="AB15" s="738"/>
      <c r="AC15" s="738"/>
      <c r="AD15" s="738"/>
      <c r="AE15" s="738"/>
      <c r="AF15" s="738"/>
      <c r="AG15" s="738"/>
      <c r="AJ15" s="738"/>
      <c r="AK15" s="741"/>
      <c r="AL15" s="741"/>
      <c r="AM15" s="741"/>
      <c r="AN15" s="764"/>
      <c r="AO15" s="741"/>
      <c r="AP15" s="741"/>
    </row>
    <row r="16" spans="1:42" ht="12.75" customHeight="1">
      <c r="A16" s="765" t="s">
        <v>1171</v>
      </c>
      <c r="B16" s="763">
        <f t="shared" si="2"/>
        <v>0</v>
      </c>
      <c r="C16" s="741"/>
      <c r="D16" s="741"/>
      <c r="E16" s="741"/>
      <c r="F16" s="741"/>
      <c r="G16" s="741"/>
      <c r="H16" s="741"/>
      <c r="I16" s="741"/>
      <c r="J16" s="741"/>
      <c r="K16" s="738"/>
      <c r="M16" s="738"/>
      <c r="N16" s="738"/>
      <c r="O16" s="738"/>
      <c r="P16" s="738"/>
      <c r="Q16" s="738"/>
      <c r="R16" s="738"/>
      <c r="S16" s="741"/>
      <c r="T16" s="741"/>
      <c r="U16" s="738"/>
      <c r="V16" s="738"/>
      <c r="W16" s="738"/>
      <c r="X16" s="738"/>
      <c r="Y16" s="738"/>
      <c r="Z16" s="738"/>
      <c r="AA16" s="738"/>
      <c r="AB16" s="738"/>
      <c r="AC16" s="738"/>
      <c r="AD16" s="738"/>
      <c r="AE16" s="738"/>
      <c r="AF16" s="738"/>
      <c r="AG16" s="738"/>
      <c r="AH16" s="738"/>
      <c r="AI16" s="738"/>
      <c r="AJ16" s="738"/>
      <c r="AK16" s="741"/>
      <c r="AL16" s="741"/>
      <c r="AM16" s="754">
        <v>0</v>
      </c>
      <c r="AN16" s="764"/>
      <c r="AO16" s="741"/>
      <c r="AP16" s="741"/>
    </row>
    <row r="17" spans="1:42" ht="12.75" customHeight="1">
      <c r="A17" s="765" t="s">
        <v>1172</v>
      </c>
      <c r="B17" s="763">
        <f t="shared" si="2"/>
        <v>0</v>
      </c>
      <c r="C17" s="741"/>
      <c r="D17" s="741"/>
      <c r="E17" s="741"/>
      <c r="F17" s="741"/>
      <c r="G17" s="741"/>
      <c r="H17" s="741"/>
      <c r="I17" s="741"/>
      <c r="J17" s="741"/>
      <c r="K17" s="738"/>
      <c r="L17" s="738"/>
      <c r="M17" s="738"/>
      <c r="N17" s="738"/>
      <c r="O17" s="738"/>
      <c r="P17" s="738"/>
      <c r="Q17" s="738"/>
      <c r="R17" s="738"/>
      <c r="S17" s="741"/>
      <c r="T17" s="741"/>
      <c r="U17" s="738"/>
      <c r="V17" s="738"/>
      <c r="X17" s="738"/>
      <c r="Y17" s="738"/>
      <c r="Z17" s="738"/>
      <c r="AA17" s="738"/>
      <c r="AB17" s="738"/>
      <c r="AC17" s="738"/>
      <c r="AD17" s="738"/>
      <c r="AE17" s="738"/>
      <c r="AF17" s="738"/>
      <c r="AG17" s="738"/>
      <c r="AH17" s="738"/>
      <c r="AI17" s="738"/>
      <c r="AJ17" s="738"/>
      <c r="AK17" s="741"/>
      <c r="AL17" s="741"/>
      <c r="AM17" s="754"/>
      <c r="AN17" s="764"/>
      <c r="AO17" s="741"/>
      <c r="AP17" s="741"/>
    </row>
    <row r="18" spans="1:42" ht="12.75" customHeight="1">
      <c r="A18" s="762" t="s">
        <v>1173</v>
      </c>
      <c r="B18" s="763">
        <f t="shared" si="2"/>
        <v>0</v>
      </c>
      <c r="C18" s="741"/>
      <c r="D18" s="741"/>
      <c r="E18" s="741"/>
      <c r="F18" s="741"/>
      <c r="G18" s="741"/>
      <c r="H18" s="741"/>
      <c r="I18" s="741"/>
      <c r="J18" s="741"/>
      <c r="K18" s="738"/>
      <c r="L18" s="738"/>
      <c r="M18" s="738"/>
      <c r="N18" s="738"/>
      <c r="O18" s="738"/>
      <c r="P18" s="738"/>
      <c r="Q18" s="738"/>
      <c r="R18" s="738"/>
      <c r="S18" s="741"/>
      <c r="T18" s="741"/>
      <c r="U18" s="738"/>
      <c r="V18" s="738"/>
      <c r="W18" s="738"/>
      <c r="X18" s="738"/>
      <c r="Y18" s="738"/>
      <c r="Z18" s="738"/>
      <c r="AA18" s="738"/>
      <c r="AB18" s="738"/>
      <c r="AC18" s="738"/>
      <c r="AD18" s="738"/>
      <c r="AE18" s="738"/>
      <c r="AF18" s="738"/>
      <c r="AG18" s="738"/>
      <c r="AH18" s="738"/>
      <c r="AI18" s="738"/>
      <c r="AJ18" s="738"/>
      <c r="AK18" s="741"/>
      <c r="AL18" s="741"/>
      <c r="AM18" s="741"/>
      <c r="AN18" s="764"/>
      <c r="AO18" s="741"/>
      <c r="AP18" s="741"/>
    </row>
    <row r="19" spans="1:42" ht="12.75" customHeight="1">
      <c r="A19" s="762" t="s">
        <v>1174</v>
      </c>
      <c r="B19" s="763">
        <f>ROUND(SUM(D19:AM19),0)</f>
        <v>-9424292095</v>
      </c>
      <c r="C19" s="741"/>
      <c r="D19" s="741"/>
      <c r="E19" s="741"/>
      <c r="F19" s="741"/>
      <c r="G19" s="741"/>
      <c r="H19" s="741"/>
      <c r="I19" s="741"/>
      <c r="J19" s="741"/>
      <c r="K19" s="738"/>
      <c r="L19" s="738"/>
      <c r="M19" s="738"/>
      <c r="N19" s="738"/>
      <c r="O19" s="738"/>
      <c r="P19" s="738"/>
      <c r="Q19" s="738"/>
      <c r="R19" s="738"/>
      <c r="S19" s="741"/>
      <c r="T19" s="741"/>
      <c r="U19" s="738"/>
      <c r="V19" s="738"/>
      <c r="W19" s="738"/>
      <c r="X19" s="738"/>
      <c r="Y19" s="738"/>
      <c r="Z19" s="738"/>
      <c r="AA19" s="738"/>
      <c r="AB19" s="738"/>
      <c r="AC19" s="738"/>
      <c r="AD19" s="738"/>
      <c r="AE19" s="738"/>
      <c r="AF19" s="738"/>
      <c r="AG19" s="738"/>
      <c r="AH19" s="738"/>
      <c r="AI19" s="738"/>
      <c r="AJ19" s="738">
        <f>-AJ8</f>
        <v>-9424292095.4529915</v>
      </c>
      <c r="AK19" s="741"/>
      <c r="AL19" s="741"/>
      <c r="AM19" s="738"/>
      <c r="AN19" s="764"/>
      <c r="AO19" s="741"/>
      <c r="AP19" s="741"/>
    </row>
    <row r="20" spans="1:42" ht="12.75" customHeight="1">
      <c r="A20" s="762" t="s">
        <v>1093</v>
      </c>
      <c r="B20" s="763">
        <f t="shared" si="2"/>
        <v>-1135531100</v>
      </c>
      <c r="C20" s="741"/>
      <c r="D20" s="741"/>
      <c r="E20" s="741"/>
      <c r="F20" s="741"/>
      <c r="G20" s="741"/>
      <c r="H20" s="741"/>
      <c r="I20" s="741"/>
      <c r="J20" s="741"/>
      <c r="K20" s="741"/>
      <c r="L20" s="741"/>
      <c r="M20" s="741"/>
      <c r="N20" s="741"/>
      <c r="O20" s="741"/>
      <c r="P20" s="741"/>
      <c r="Q20" s="741"/>
      <c r="R20" s="738"/>
      <c r="S20" s="741"/>
      <c r="T20" s="741"/>
      <c r="U20" s="741"/>
      <c r="W20" s="764"/>
      <c r="X20" s="741"/>
      <c r="Y20" s="741"/>
      <c r="Z20" s="741"/>
      <c r="AA20" s="741"/>
      <c r="AB20" s="741"/>
      <c r="AC20" s="741"/>
      <c r="AD20" s="741"/>
      <c r="AE20" s="741"/>
      <c r="AF20" s="741"/>
      <c r="AG20" s="741"/>
      <c r="AH20" s="766"/>
      <c r="AI20" s="741"/>
      <c r="AL20" s="764">
        <f>-AL8</f>
        <v>-1135531100</v>
      </c>
      <c r="AM20" s="738"/>
      <c r="AN20" s="738"/>
      <c r="AO20" s="741"/>
      <c r="AP20" s="741"/>
    </row>
    <row r="21" spans="1:42" ht="12.75" customHeight="1">
      <c r="A21" s="767" t="s">
        <v>1175</v>
      </c>
      <c r="B21" s="768">
        <f>SUM(B11:B20)</f>
        <v>-61849334801</v>
      </c>
      <c r="C21" s="741"/>
      <c r="D21" s="741"/>
      <c r="E21" s="741"/>
      <c r="F21" s="741"/>
      <c r="G21" s="741"/>
      <c r="H21" s="741"/>
      <c r="I21" s="741"/>
      <c r="J21" s="741"/>
      <c r="K21" s="741"/>
      <c r="L21" s="741"/>
      <c r="M21" s="741"/>
      <c r="N21" s="741"/>
      <c r="O21" s="741"/>
      <c r="P21" s="741"/>
      <c r="Q21" s="741"/>
      <c r="R21" s="741"/>
      <c r="S21" s="741"/>
      <c r="T21" s="741"/>
      <c r="U21" s="741"/>
      <c r="V21" s="741"/>
      <c r="W21" s="741"/>
      <c r="X21" s="741"/>
      <c r="Y21" s="741"/>
      <c r="Z21" s="741"/>
      <c r="AA21" s="741"/>
      <c r="AB21" s="741"/>
      <c r="AC21" s="741"/>
      <c r="AD21" s="741"/>
      <c r="AE21" s="741"/>
      <c r="AF21" s="741"/>
      <c r="AG21" s="741"/>
      <c r="AH21" s="741"/>
      <c r="AI21" s="741"/>
      <c r="AJ21" s="741"/>
      <c r="AK21" s="741"/>
      <c r="AL21" s="741"/>
      <c r="AM21" s="741"/>
      <c r="AN21" s="741"/>
      <c r="AO21" s="741"/>
      <c r="AP21" s="741"/>
    </row>
    <row r="22" spans="1:42" ht="12.75" customHeight="1">
      <c r="A22" s="769"/>
      <c r="B22" s="770"/>
      <c r="C22" s="741"/>
      <c r="D22" s="741"/>
      <c r="E22" s="741"/>
      <c r="F22" s="741"/>
      <c r="G22" s="741"/>
      <c r="H22" s="741"/>
      <c r="I22" s="741"/>
      <c r="J22" s="741"/>
      <c r="K22" s="741"/>
      <c r="L22" s="741"/>
      <c r="M22" s="741"/>
      <c r="N22" s="741"/>
      <c r="O22" s="741"/>
      <c r="P22" s="741"/>
      <c r="Q22" s="741"/>
      <c r="R22" s="741"/>
      <c r="S22" s="741"/>
      <c r="T22" s="741"/>
      <c r="U22" s="741"/>
      <c r="V22" s="741"/>
      <c r="W22" s="741"/>
      <c r="X22" s="741"/>
      <c r="Y22" s="741"/>
      <c r="Z22" s="741"/>
      <c r="AA22" s="741"/>
      <c r="AB22" s="741"/>
      <c r="AC22" s="741"/>
      <c r="AD22" s="741"/>
      <c r="AE22" s="741"/>
      <c r="AF22" s="741"/>
      <c r="AG22" s="741"/>
      <c r="AH22" s="741"/>
      <c r="AI22" s="741"/>
      <c r="AJ22" s="741"/>
      <c r="AK22" s="741"/>
      <c r="AL22" s="741"/>
      <c r="AM22" s="741"/>
      <c r="AN22" s="741"/>
      <c r="AO22" s="741"/>
      <c r="AP22" s="741"/>
    </row>
    <row r="23" spans="1:42" ht="12.75" customHeight="1">
      <c r="A23" s="762"/>
      <c r="B23" s="770"/>
      <c r="C23" s="741"/>
      <c r="D23" s="741"/>
      <c r="E23" s="741"/>
      <c r="F23" s="741"/>
      <c r="G23" s="741"/>
      <c r="H23" s="741"/>
      <c r="I23" s="741"/>
      <c r="J23" s="741"/>
      <c r="K23" s="741"/>
      <c r="L23" s="741"/>
      <c r="M23" s="741"/>
      <c r="N23" s="741"/>
      <c r="O23" s="741"/>
      <c r="P23" s="741"/>
      <c r="Q23" s="741"/>
      <c r="R23" s="741"/>
      <c r="S23" s="741"/>
      <c r="T23" s="741"/>
      <c r="U23" s="741"/>
      <c r="V23" s="741"/>
      <c r="W23" s="741"/>
      <c r="X23" s="741"/>
      <c r="Y23" s="741"/>
      <c r="Z23" s="741"/>
      <c r="AA23" s="741"/>
      <c r="AB23" s="741"/>
      <c r="AC23" s="741"/>
      <c r="AD23" s="741"/>
      <c r="AE23" s="741"/>
      <c r="AF23" s="741"/>
      <c r="AG23" s="741"/>
      <c r="AH23" s="741"/>
      <c r="AI23" s="741"/>
      <c r="AJ23" s="741"/>
      <c r="AK23" s="741"/>
      <c r="AL23" s="741"/>
      <c r="AM23" s="741"/>
      <c r="AN23" s="741"/>
      <c r="AO23" s="741"/>
      <c r="AP23" s="741"/>
    </row>
    <row r="24" spans="1:42" ht="12.75" customHeight="1">
      <c r="A24" s="771" t="s">
        <v>1176</v>
      </c>
      <c r="B24" s="770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1"/>
      <c r="P24" s="741"/>
      <c r="Q24" s="741"/>
      <c r="R24" s="741"/>
      <c r="S24" s="741"/>
      <c r="T24" s="741"/>
      <c r="U24" s="741"/>
      <c r="V24" s="741"/>
      <c r="W24" s="741"/>
      <c r="X24" s="741"/>
      <c r="Y24" s="741"/>
      <c r="Z24" s="741"/>
      <c r="AA24" s="741"/>
      <c r="AB24" s="741"/>
      <c r="AC24" s="741"/>
      <c r="AD24" s="741"/>
      <c r="AE24" s="741"/>
      <c r="AF24" s="741"/>
      <c r="AG24" s="741"/>
      <c r="AH24" s="741"/>
      <c r="AI24" s="741"/>
      <c r="AJ24" s="741"/>
      <c r="AK24" s="741"/>
      <c r="AL24" s="741"/>
      <c r="AM24" s="741"/>
      <c r="AN24" s="741"/>
      <c r="AO24" s="741"/>
      <c r="AP24" s="741"/>
    </row>
    <row r="25" spans="1:42" ht="12.75" customHeight="1">
      <c r="A25" s="762"/>
      <c r="B25" s="770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41"/>
      <c r="N25" s="741"/>
      <c r="O25" s="741"/>
      <c r="P25" s="741"/>
      <c r="Q25" s="741"/>
      <c r="R25" s="741"/>
      <c r="S25" s="741"/>
      <c r="T25" s="741"/>
      <c r="U25" s="741"/>
      <c r="V25" s="741"/>
      <c r="W25" s="741"/>
      <c r="X25" s="741"/>
      <c r="Y25" s="741"/>
      <c r="Z25" s="741"/>
      <c r="AA25" s="741"/>
      <c r="AB25" s="741"/>
      <c r="AC25" s="741"/>
      <c r="AD25" s="741"/>
      <c r="AE25" s="741"/>
      <c r="AF25" s="741"/>
      <c r="AG25" s="741"/>
      <c r="AH25" s="741"/>
      <c r="AI25" s="741"/>
      <c r="AJ25" s="741"/>
      <c r="AK25" s="741"/>
      <c r="AL25" s="741"/>
      <c r="AM25" s="741"/>
      <c r="AN25" s="741"/>
      <c r="AO25" s="741"/>
      <c r="AP25" s="741"/>
    </row>
    <row r="26" spans="1:42" ht="12.75" customHeight="1">
      <c r="A26" s="771" t="s">
        <v>1177</v>
      </c>
      <c r="B26" s="770"/>
      <c r="C26" s="741"/>
      <c r="D26" s="741"/>
      <c r="E26" s="741"/>
      <c r="F26" s="741"/>
      <c r="G26" s="741"/>
      <c r="H26" s="741"/>
      <c r="I26" s="741"/>
      <c r="J26" s="741"/>
      <c r="K26" s="741"/>
      <c r="L26" s="741"/>
      <c r="M26" s="741"/>
      <c r="N26" s="741"/>
      <c r="O26" s="741"/>
      <c r="P26" s="741"/>
      <c r="Q26" s="741"/>
      <c r="R26" s="741"/>
      <c r="S26" s="741"/>
      <c r="T26" s="741"/>
      <c r="U26" s="741"/>
      <c r="V26" s="741"/>
      <c r="W26" s="741"/>
      <c r="X26" s="741"/>
      <c r="Y26" s="741"/>
      <c r="Z26" s="741"/>
      <c r="AA26" s="741"/>
      <c r="AB26" s="741"/>
      <c r="AC26" s="741"/>
      <c r="AD26" s="741"/>
      <c r="AE26" s="741"/>
      <c r="AF26" s="741"/>
      <c r="AG26" s="741"/>
      <c r="AH26" s="741"/>
      <c r="AI26" s="741"/>
      <c r="AJ26" s="741"/>
      <c r="AK26" s="741"/>
      <c r="AL26" s="741"/>
      <c r="AM26" s="741"/>
      <c r="AN26" s="741"/>
      <c r="AO26" s="741"/>
      <c r="AP26" s="741"/>
    </row>
    <row r="27" spans="1:42" ht="12.75" customHeight="1">
      <c r="A27" s="772" t="s">
        <v>1107</v>
      </c>
      <c r="B27" s="763">
        <f t="shared" ref="B27:B32" si="3">SUM(D27:AM27)</f>
        <v>0</v>
      </c>
      <c r="C27" s="741"/>
      <c r="D27" s="741"/>
      <c r="E27" s="741"/>
      <c r="F27" s="741"/>
      <c r="G27" s="741"/>
      <c r="H27" s="741"/>
      <c r="I27" s="741"/>
      <c r="J27" s="741"/>
      <c r="K27" s="738"/>
      <c r="L27" s="738"/>
      <c r="M27" s="738"/>
      <c r="N27" s="738"/>
      <c r="O27" s="738"/>
      <c r="P27" s="741"/>
      <c r="Q27" s="741"/>
      <c r="R27" s="741"/>
      <c r="S27" s="741"/>
      <c r="T27" s="741"/>
      <c r="U27" s="741"/>
      <c r="V27" s="741"/>
      <c r="W27" s="741"/>
      <c r="X27" s="741"/>
      <c r="Y27" s="741"/>
      <c r="Z27" s="741"/>
      <c r="AA27" s="741"/>
      <c r="AB27" s="741"/>
      <c r="AC27" s="741"/>
      <c r="AD27" s="738"/>
      <c r="AE27" s="741"/>
      <c r="AF27" s="741"/>
      <c r="AG27" s="741"/>
      <c r="AH27" s="764"/>
      <c r="AI27" s="764"/>
      <c r="AJ27" s="764"/>
      <c r="AK27" s="741"/>
      <c r="AL27" s="741"/>
      <c r="AM27" s="741"/>
      <c r="AN27" s="741"/>
      <c r="AO27" s="741"/>
      <c r="AP27" s="741"/>
    </row>
    <row r="28" spans="1:42" ht="12.75" customHeight="1">
      <c r="A28" s="762" t="s">
        <v>1178</v>
      </c>
      <c r="B28" s="773">
        <f t="shared" si="3"/>
        <v>0</v>
      </c>
      <c r="C28" s="741"/>
      <c r="D28" s="741"/>
      <c r="E28" s="741"/>
      <c r="F28" s="741"/>
      <c r="G28" s="741"/>
      <c r="H28" s="741"/>
      <c r="I28" s="741"/>
      <c r="J28" s="738">
        <f>-J8</f>
        <v>0</v>
      </c>
      <c r="K28" s="738"/>
      <c r="L28" s="738"/>
      <c r="M28" s="738"/>
      <c r="N28" s="738"/>
      <c r="O28" s="738"/>
      <c r="P28" s="741"/>
      <c r="Q28" s="741"/>
      <c r="R28" s="741"/>
      <c r="S28" s="741"/>
      <c r="T28" s="741"/>
      <c r="U28" s="741"/>
      <c r="V28" s="741"/>
      <c r="W28" s="741"/>
      <c r="X28" s="741"/>
      <c r="Y28" s="741"/>
      <c r="Z28" s="741"/>
      <c r="AA28" s="741"/>
      <c r="AB28" s="741"/>
      <c r="AC28" s="741"/>
      <c r="AD28" s="741"/>
      <c r="AE28" s="741"/>
      <c r="AF28" s="741"/>
      <c r="AG28" s="741"/>
      <c r="AH28" s="764"/>
      <c r="AI28" s="764"/>
      <c r="AJ28" s="764"/>
      <c r="AK28" s="741"/>
      <c r="AL28" s="741"/>
      <c r="AM28" s="741"/>
      <c r="AN28" s="741"/>
      <c r="AO28" s="741"/>
      <c r="AP28" s="738"/>
    </row>
    <row r="29" spans="1:42" ht="12.75" customHeight="1">
      <c r="A29" s="762" t="s">
        <v>1179</v>
      </c>
      <c r="B29" s="773">
        <f t="shared" si="3"/>
        <v>0</v>
      </c>
      <c r="C29" s="741"/>
      <c r="D29" s="741"/>
      <c r="E29" s="741"/>
      <c r="F29" s="741"/>
      <c r="G29" s="741"/>
      <c r="H29" s="741"/>
      <c r="I29" s="741"/>
      <c r="J29" s="741"/>
      <c r="K29" s="738"/>
      <c r="L29" s="738"/>
      <c r="M29" s="738"/>
      <c r="N29" s="738"/>
      <c r="O29" s="738"/>
      <c r="P29" s="741"/>
      <c r="Q29" s="741"/>
      <c r="R29" s="741"/>
      <c r="S29" s="741"/>
      <c r="T29" s="741"/>
      <c r="U29" s="741"/>
      <c r="V29" s="741"/>
      <c r="W29" s="741"/>
      <c r="X29" s="741"/>
      <c r="Y29" s="741"/>
      <c r="Z29" s="741"/>
      <c r="AA29" s="741"/>
      <c r="AB29" s="741"/>
      <c r="AC29" s="741"/>
      <c r="AD29" s="741"/>
      <c r="AE29" s="741"/>
      <c r="AF29" s="741"/>
      <c r="AG29" s="741"/>
      <c r="AH29" s="764"/>
      <c r="AI29" s="764"/>
      <c r="AJ29" s="764"/>
      <c r="AK29" s="741"/>
      <c r="AL29" s="741"/>
      <c r="AM29" s="741"/>
      <c r="AN29" s="741"/>
      <c r="AO29" s="741"/>
      <c r="AP29" s="764"/>
    </row>
    <row r="30" spans="1:42" ht="12.75" customHeight="1">
      <c r="A30" s="762" t="s">
        <v>1180</v>
      </c>
      <c r="B30" s="773">
        <f t="shared" si="3"/>
        <v>0</v>
      </c>
      <c r="C30" s="741"/>
      <c r="D30" s="741"/>
      <c r="E30" s="741"/>
      <c r="F30" s="741"/>
      <c r="G30" s="741"/>
      <c r="H30" s="741"/>
      <c r="I30" s="741"/>
      <c r="J30" s="741"/>
      <c r="K30" s="738"/>
      <c r="L30" s="738"/>
      <c r="M30" s="738"/>
      <c r="N30" s="738"/>
      <c r="O30" s="738"/>
      <c r="P30" s="741"/>
      <c r="Q30" s="741"/>
      <c r="R30" s="741"/>
      <c r="S30" s="741"/>
      <c r="T30" s="741"/>
      <c r="U30" s="741"/>
      <c r="V30" s="741"/>
      <c r="W30" s="741"/>
      <c r="X30" s="741"/>
      <c r="Y30" s="741"/>
      <c r="Z30" s="741"/>
      <c r="AA30" s="741"/>
      <c r="AB30" s="741"/>
      <c r="AC30" s="741"/>
      <c r="AD30" s="741"/>
      <c r="AE30" s="741"/>
      <c r="AF30" s="741"/>
      <c r="AG30" s="741"/>
      <c r="AH30" s="764"/>
      <c r="AI30" s="738"/>
      <c r="AJ30" s="738"/>
      <c r="AK30" s="741"/>
      <c r="AL30" s="741"/>
      <c r="AM30" s="741"/>
      <c r="AN30" s="741"/>
      <c r="AO30" s="741"/>
      <c r="AP30" s="764"/>
    </row>
    <row r="31" spans="1:42" ht="12.75" customHeight="1">
      <c r="A31" s="762" t="s">
        <v>1181</v>
      </c>
      <c r="B31" s="773">
        <f t="shared" si="3"/>
        <v>0</v>
      </c>
      <c r="C31" s="741"/>
      <c r="D31" s="741"/>
      <c r="E31" s="741"/>
      <c r="F31" s="741"/>
      <c r="G31" s="741"/>
      <c r="H31" s="741"/>
      <c r="I31" s="741"/>
      <c r="J31" s="741"/>
      <c r="K31" s="738"/>
      <c r="L31" s="738"/>
      <c r="M31" s="738"/>
      <c r="N31" s="738"/>
      <c r="O31" s="738"/>
      <c r="P31" s="741"/>
      <c r="Q31" s="741"/>
      <c r="R31" s="741"/>
      <c r="S31" s="741"/>
      <c r="T31" s="741"/>
      <c r="U31" s="741"/>
      <c r="V31" s="741"/>
      <c r="W31" s="741"/>
      <c r="X31" s="741"/>
      <c r="Y31" s="741"/>
      <c r="Z31" s="741"/>
      <c r="AA31" s="741"/>
      <c r="AB31" s="741"/>
      <c r="AC31" s="741"/>
      <c r="AD31" s="741"/>
      <c r="AE31" s="741"/>
      <c r="AF31" s="741"/>
      <c r="AG31" s="741"/>
      <c r="AH31" s="764"/>
      <c r="AI31" s="738"/>
      <c r="AJ31" s="738"/>
      <c r="AK31" s="741"/>
      <c r="AL31" s="741"/>
      <c r="AM31" s="741"/>
      <c r="AN31" s="741"/>
      <c r="AO31" s="741"/>
      <c r="AP31" s="741"/>
    </row>
    <row r="32" spans="1:42" ht="12.75" customHeight="1">
      <c r="A32" s="762" t="s">
        <v>1182</v>
      </c>
      <c r="B32" s="773">
        <f t="shared" si="3"/>
        <v>0</v>
      </c>
      <c r="C32" s="741"/>
      <c r="D32" s="738"/>
      <c r="E32" s="738"/>
      <c r="F32" s="738"/>
      <c r="G32" s="738"/>
      <c r="H32" s="738"/>
      <c r="I32" s="738"/>
      <c r="J32" s="738"/>
      <c r="K32" s="738"/>
      <c r="L32" s="738"/>
      <c r="M32" s="738"/>
      <c r="N32" s="738"/>
      <c r="O32" s="738"/>
      <c r="P32" s="741"/>
      <c r="Q32" s="741"/>
      <c r="R32" s="741"/>
      <c r="S32" s="738"/>
      <c r="T32" s="738"/>
      <c r="U32" s="741"/>
      <c r="V32" s="741"/>
      <c r="W32" s="741"/>
      <c r="X32" s="741"/>
      <c r="Y32" s="741"/>
      <c r="Z32" s="741"/>
      <c r="AA32" s="741"/>
      <c r="AB32" s="741"/>
      <c r="AC32" s="741"/>
      <c r="AD32" s="741"/>
      <c r="AE32" s="741"/>
      <c r="AF32" s="741"/>
      <c r="AG32" s="741"/>
      <c r="AH32" s="764"/>
      <c r="AI32" s="764"/>
      <c r="AJ32" s="764"/>
      <c r="AK32" s="741"/>
      <c r="AL32" s="741"/>
      <c r="AM32" s="741"/>
      <c r="AN32" s="741"/>
      <c r="AO32" s="741"/>
      <c r="AP32" s="741"/>
    </row>
    <row r="33" spans="1:42" ht="12.75" customHeight="1">
      <c r="A33" s="762" t="s">
        <v>1183</v>
      </c>
      <c r="B33" s="784">
        <f>SUM(B27:B32)</f>
        <v>0</v>
      </c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1"/>
      <c r="P33" s="741"/>
      <c r="Q33" s="741"/>
      <c r="R33" s="741"/>
      <c r="S33" s="741"/>
      <c r="T33" s="741"/>
      <c r="U33" s="741"/>
      <c r="V33" s="741"/>
      <c r="W33" s="741"/>
      <c r="X33" s="741"/>
      <c r="Y33" s="741"/>
      <c r="Z33" s="741"/>
      <c r="AA33" s="741"/>
      <c r="AB33" s="741"/>
      <c r="AC33" s="741"/>
      <c r="AD33" s="741"/>
      <c r="AE33" s="741"/>
      <c r="AF33" s="741"/>
      <c r="AG33" s="741"/>
      <c r="AH33" s="741"/>
      <c r="AI33" s="741"/>
      <c r="AJ33" s="741"/>
      <c r="AK33" s="741"/>
      <c r="AL33" s="741"/>
      <c r="AM33" s="741"/>
      <c r="AN33" s="741"/>
      <c r="AO33" s="741"/>
      <c r="AP33" s="741"/>
    </row>
    <row r="34" spans="1:42" ht="12.75" customHeight="1">
      <c r="A34" s="762"/>
      <c r="B34" s="773"/>
      <c r="C34" s="741"/>
      <c r="D34" s="741"/>
      <c r="E34" s="741"/>
      <c r="F34" s="741"/>
      <c r="G34" s="741"/>
      <c r="H34" s="741"/>
      <c r="I34" s="741"/>
      <c r="J34" s="741"/>
      <c r="K34" s="741"/>
      <c r="L34" s="741"/>
      <c r="M34" s="741"/>
      <c r="N34" s="741"/>
      <c r="O34" s="741"/>
      <c r="P34" s="741"/>
      <c r="Q34" s="741"/>
      <c r="R34" s="741"/>
      <c r="S34" s="741"/>
      <c r="T34" s="741"/>
      <c r="U34" s="741"/>
      <c r="V34" s="741"/>
      <c r="W34" s="741"/>
      <c r="X34" s="741"/>
      <c r="Y34" s="741"/>
      <c r="Z34" s="741"/>
      <c r="AA34" s="741"/>
      <c r="AB34" s="741"/>
      <c r="AC34" s="741"/>
      <c r="AD34" s="741"/>
      <c r="AE34" s="741"/>
      <c r="AF34" s="741"/>
      <c r="AG34" s="741"/>
      <c r="AH34" s="741"/>
      <c r="AI34" s="741"/>
      <c r="AJ34" s="741"/>
      <c r="AK34" s="741"/>
      <c r="AL34" s="741"/>
      <c r="AM34" s="741"/>
      <c r="AN34" s="741"/>
      <c r="AO34" s="741"/>
      <c r="AP34" s="741"/>
    </row>
    <row r="35" spans="1:42" ht="12.75" customHeight="1">
      <c r="A35" s="771" t="s">
        <v>1184</v>
      </c>
      <c r="B35" s="774"/>
      <c r="C35" s="741"/>
      <c r="D35" s="741"/>
      <c r="E35" s="741"/>
      <c r="F35" s="741"/>
      <c r="G35" s="741"/>
      <c r="H35" s="741"/>
      <c r="I35" s="741"/>
      <c r="J35" s="741"/>
      <c r="K35" s="741"/>
      <c r="L35" s="741"/>
      <c r="M35" s="741"/>
      <c r="N35" s="741"/>
      <c r="O35" s="741"/>
      <c r="P35" s="741"/>
      <c r="Q35" s="741"/>
      <c r="R35" s="741"/>
      <c r="S35" s="741"/>
      <c r="T35" s="741"/>
      <c r="U35" s="741"/>
      <c r="V35" s="741"/>
      <c r="W35" s="741"/>
      <c r="X35" s="741"/>
      <c r="Y35" s="741"/>
      <c r="Z35" s="741"/>
      <c r="AA35" s="741"/>
      <c r="AB35" s="741"/>
      <c r="AC35" s="741"/>
      <c r="AD35" s="741"/>
      <c r="AE35" s="741"/>
      <c r="AF35" s="741"/>
      <c r="AG35" s="741"/>
      <c r="AH35" s="741"/>
      <c r="AI35" s="741"/>
      <c r="AJ35" s="741"/>
      <c r="AK35" s="741"/>
      <c r="AL35" s="741"/>
      <c r="AM35" s="741"/>
      <c r="AN35" s="741"/>
      <c r="AO35" s="741"/>
      <c r="AP35" s="741"/>
    </row>
    <row r="36" spans="1:42" ht="12.75" customHeight="1">
      <c r="A36" s="762" t="s">
        <v>1185</v>
      </c>
      <c r="B36" s="763">
        <f t="shared" ref="B36:B47" si="4">SUM(D36:AM36)</f>
        <v>-9156032995</v>
      </c>
      <c r="C36" s="741"/>
      <c r="D36" s="741"/>
      <c r="E36" s="741"/>
      <c r="F36" s="741"/>
      <c r="G36" s="741"/>
      <c r="H36" s="741"/>
      <c r="I36" s="741"/>
      <c r="J36" s="741"/>
      <c r="K36" s="741"/>
      <c r="L36" s="741"/>
      <c r="M36" s="741"/>
      <c r="N36" s="738">
        <f>-N8</f>
        <v>-9156032995</v>
      </c>
      <c r="O36" s="738">
        <f>-O8</f>
        <v>0</v>
      </c>
      <c r="P36" s="741"/>
      <c r="Q36" s="741"/>
      <c r="R36" s="764"/>
      <c r="S36" s="738"/>
      <c r="T36" s="738"/>
      <c r="U36" s="738"/>
      <c r="V36" s="741"/>
      <c r="W36" s="738"/>
      <c r="X36" s="741"/>
      <c r="Y36" s="741"/>
      <c r="Z36" s="741"/>
      <c r="AA36" s="741"/>
      <c r="AB36" s="741"/>
      <c r="AC36" s="741"/>
      <c r="AD36" s="741"/>
      <c r="AE36" s="741"/>
      <c r="AF36" s="741"/>
      <c r="AG36" s="741"/>
      <c r="AH36" s="741"/>
      <c r="AI36" s="741"/>
      <c r="AJ36" s="741"/>
      <c r="AK36" s="741"/>
      <c r="AL36" s="741"/>
      <c r="AM36" s="741"/>
      <c r="AN36" s="741"/>
      <c r="AO36" s="741"/>
      <c r="AP36" s="741"/>
    </row>
    <row r="37" spans="1:42" ht="12.75" customHeight="1">
      <c r="A37" s="762" t="s">
        <v>1186</v>
      </c>
      <c r="B37" s="763">
        <f t="shared" si="4"/>
        <v>0</v>
      </c>
      <c r="C37" s="741"/>
      <c r="D37" s="741"/>
      <c r="E37" s="741"/>
      <c r="F37" s="741"/>
      <c r="G37" s="741"/>
      <c r="H37" s="741"/>
      <c r="I37" s="741"/>
      <c r="J37" s="741"/>
      <c r="K37" s="741"/>
      <c r="L37" s="741"/>
      <c r="M37" s="741"/>
      <c r="N37" s="741"/>
      <c r="O37" s="741"/>
      <c r="P37" s="741"/>
      <c r="Q37" s="741"/>
      <c r="R37" s="764"/>
      <c r="S37" s="738"/>
      <c r="T37" s="738"/>
      <c r="U37" s="738">
        <f>-U8</f>
        <v>0</v>
      </c>
      <c r="V37" s="741"/>
      <c r="W37" s="738"/>
      <c r="X37" s="741"/>
      <c r="Y37" s="741"/>
      <c r="Z37" s="741"/>
      <c r="AA37" s="741"/>
      <c r="AB37" s="741"/>
      <c r="AC37" s="741"/>
      <c r="AD37" s="741"/>
      <c r="AE37" s="741"/>
      <c r="AF37" s="741"/>
      <c r="AG37" s="741"/>
      <c r="AH37" s="741"/>
      <c r="AI37" s="741"/>
      <c r="AJ37" s="741"/>
      <c r="AK37" s="741"/>
      <c r="AL37" s="741"/>
      <c r="AM37" s="741"/>
      <c r="AN37" s="741"/>
      <c r="AO37" s="741"/>
      <c r="AP37" s="741"/>
    </row>
    <row r="38" spans="1:42" ht="12.75" customHeight="1">
      <c r="A38" s="762" t="s">
        <v>1187</v>
      </c>
      <c r="B38" s="763">
        <f t="shared" si="4"/>
        <v>0</v>
      </c>
      <c r="C38" s="741"/>
      <c r="D38" s="741"/>
      <c r="E38" s="741"/>
      <c r="F38" s="741"/>
      <c r="G38" s="741"/>
      <c r="H38" s="741"/>
      <c r="I38" s="741"/>
      <c r="J38" s="741"/>
      <c r="K38" s="741"/>
      <c r="L38" s="741"/>
      <c r="M38" s="741"/>
      <c r="N38" s="741"/>
      <c r="O38" s="741"/>
      <c r="P38" s="741"/>
      <c r="Q38" s="741"/>
      <c r="R38" s="764"/>
      <c r="S38" s="738"/>
      <c r="T38" s="738"/>
      <c r="U38" s="738"/>
      <c r="V38" s="741"/>
      <c r="W38" s="738"/>
      <c r="X38" s="741"/>
      <c r="Y38" s="741"/>
      <c r="Z38" s="741"/>
      <c r="AA38" s="741"/>
      <c r="AB38" s="741"/>
      <c r="AC38" s="741"/>
      <c r="AD38" s="741"/>
      <c r="AE38" s="741"/>
      <c r="AF38" s="741"/>
      <c r="AG38" s="741"/>
      <c r="AH38" s="741"/>
      <c r="AI38" s="741"/>
      <c r="AJ38" s="741"/>
      <c r="AK38" s="741"/>
      <c r="AL38" s="741"/>
      <c r="AM38" s="741"/>
      <c r="AN38" s="741"/>
      <c r="AO38" s="741"/>
      <c r="AP38" s="741"/>
    </row>
    <row r="39" spans="1:42" ht="12.75" customHeight="1">
      <c r="A39" s="762" t="s">
        <v>1188</v>
      </c>
      <c r="B39" s="763">
        <f t="shared" si="4"/>
        <v>-76360023</v>
      </c>
      <c r="C39" s="741"/>
      <c r="D39" s="741"/>
      <c r="E39" s="741"/>
      <c r="F39" s="741"/>
      <c r="G39" s="741"/>
      <c r="H39" s="741"/>
      <c r="I39" s="741"/>
      <c r="J39" s="741"/>
      <c r="K39" s="741"/>
      <c r="L39" s="741"/>
      <c r="M39" s="741"/>
      <c r="N39" s="741"/>
      <c r="O39" s="741"/>
      <c r="P39" s="741"/>
      <c r="Q39" s="741"/>
      <c r="R39" s="764"/>
      <c r="S39" s="738"/>
      <c r="T39" s="738">
        <f>-T8</f>
        <v>-76360023</v>
      </c>
      <c r="U39" s="738"/>
      <c r="V39" s="741"/>
      <c r="W39" s="738"/>
      <c r="X39" s="741"/>
      <c r="Y39" s="741"/>
      <c r="Z39" s="741"/>
      <c r="AA39" s="741"/>
      <c r="AB39" s="741"/>
      <c r="AC39" s="741"/>
      <c r="AD39" s="741"/>
      <c r="AE39" s="741"/>
      <c r="AF39" s="741"/>
      <c r="AG39" s="741"/>
      <c r="AH39" s="741"/>
      <c r="AI39" s="741"/>
      <c r="AJ39" s="741"/>
      <c r="AK39" s="741"/>
      <c r="AL39" s="741"/>
      <c r="AM39" s="741"/>
      <c r="AN39" s="741"/>
      <c r="AO39" s="741"/>
      <c r="AP39" s="741"/>
    </row>
    <row r="40" spans="1:42" ht="12.75" customHeight="1">
      <c r="A40" s="762" t="s">
        <v>1283</v>
      </c>
      <c r="B40" s="763">
        <f t="shared" si="4"/>
        <v>0</v>
      </c>
      <c r="C40" s="741"/>
      <c r="D40" s="741"/>
      <c r="E40" s="741"/>
      <c r="F40" s="741"/>
      <c r="G40" s="741"/>
      <c r="H40" s="741"/>
      <c r="I40" s="741"/>
      <c r="J40" s="741"/>
      <c r="K40" s="741"/>
      <c r="L40" s="741"/>
      <c r="M40" s="741"/>
      <c r="N40" s="741"/>
      <c r="O40" s="741"/>
      <c r="P40" s="741"/>
      <c r="Q40" s="741"/>
      <c r="R40" s="764"/>
      <c r="S40" s="738"/>
      <c r="T40" s="738"/>
      <c r="U40" s="738"/>
      <c r="V40" s="741"/>
      <c r="W40" s="738"/>
      <c r="X40" s="738">
        <f>-X8</f>
        <v>15000000000</v>
      </c>
      <c r="Y40" s="741"/>
      <c r="Z40" s="741"/>
      <c r="AA40" s="741"/>
      <c r="AB40" s="741"/>
      <c r="AC40" s="741"/>
      <c r="AD40" s="738">
        <f>-AD8</f>
        <v>-15000000000</v>
      </c>
      <c r="AE40" s="741"/>
      <c r="AF40" s="741"/>
      <c r="AG40" s="741"/>
      <c r="AH40" s="741"/>
      <c r="AI40" s="741"/>
      <c r="AJ40" s="741"/>
      <c r="AK40" s="741"/>
      <c r="AL40" s="741"/>
      <c r="AM40" s="741"/>
      <c r="AN40" s="741"/>
      <c r="AO40" s="741"/>
      <c r="AP40" s="741"/>
    </row>
    <row r="41" spans="1:42" ht="12.75" customHeight="1">
      <c r="A41" s="762" t="s">
        <v>1189</v>
      </c>
      <c r="B41" s="763">
        <f t="shared" si="4"/>
        <v>0</v>
      </c>
      <c r="C41" s="741"/>
      <c r="D41" s="741"/>
      <c r="E41" s="741"/>
      <c r="F41" s="741"/>
      <c r="G41" s="741"/>
      <c r="H41" s="741"/>
      <c r="I41" s="741"/>
      <c r="J41" s="741"/>
      <c r="K41" s="741"/>
      <c r="L41" s="741"/>
      <c r="M41" s="741"/>
      <c r="N41" s="741"/>
      <c r="O41" s="741"/>
      <c r="P41" s="741"/>
      <c r="Q41" s="741"/>
      <c r="R41" s="764"/>
      <c r="S41" s="738"/>
      <c r="T41" s="738"/>
      <c r="U41" s="741"/>
      <c r="V41" s="741"/>
      <c r="W41" s="738"/>
      <c r="X41" s="741"/>
      <c r="Y41" s="741"/>
      <c r="Z41" s="741"/>
      <c r="AA41" s="741"/>
      <c r="AB41" s="741"/>
      <c r="AC41" s="741"/>
      <c r="AD41" s="741"/>
      <c r="AE41" s="741"/>
      <c r="AF41" s="741"/>
      <c r="AG41" s="741"/>
      <c r="AH41" s="741"/>
      <c r="AI41" s="741"/>
      <c r="AJ41" s="741"/>
      <c r="AK41" s="741"/>
      <c r="AL41" s="741"/>
      <c r="AM41" s="741"/>
      <c r="AN41" s="741"/>
      <c r="AO41" s="741"/>
      <c r="AP41" s="741"/>
    </row>
    <row r="42" spans="1:42" ht="12.75" customHeight="1">
      <c r="A42" s="762" t="s">
        <v>1190</v>
      </c>
      <c r="B42" s="763">
        <f t="shared" si="4"/>
        <v>0</v>
      </c>
      <c r="C42" s="741"/>
      <c r="D42" s="741"/>
      <c r="E42" s="741"/>
      <c r="F42" s="741"/>
      <c r="G42" s="741"/>
      <c r="H42" s="741"/>
      <c r="I42" s="741"/>
      <c r="J42" s="741"/>
      <c r="K42" s="741"/>
      <c r="L42" s="741"/>
      <c r="M42" s="741"/>
      <c r="N42" s="741"/>
      <c r="O42" s="741"/>
      <c r="P42" s="741"/>
      <c r="Q42" s="741"/>
      <c r="R42" s="764"/>
      <c r="S42" s="738"/>
      <c r="T42" s="738"/>
      <c r="U42" s="741"/>
      <c r="V42" s="741"/>
      <c r="W42" s="738"/>
      <c r="X42" s="741"/>
      <c r="Y42" s="741"/>
      <c r="Z42" s="741"/>
      <c r="AA42" s="741"/>
      <c r="AB42" s="741"/>
      <c r="AC42" s="741"/>
      <c r="AD42" s="741"/>
      <c r="AE42" s="741"/>
      <c r="AF42" s="741"/>
      <c r="AG42" s="741"/>
      <c r="AH42" s="741"/>
      <c r="AI42" s="741"/>
      <c r="AJ42" s="741"/>
      <c r="AK42" s="741"/>
      <c r="AL42" s="741"/>
      <c r="AM42" s="741"/>
      <c r="AN42" s="741"/>
      <c r="AO42" s="741"/>
      <c r="AP42" s="741"/>
    </row>
    <row r="43" spans="1:42" ht="12.75" customHeight="1">
      <c r="A43" s="948" t="s">
        <v>1284</v>
      </c>
      <c r="B43" s="763">
        <f t="shared" si="4"/>
        <v>14500000000</v>
      </c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1"/>
      <c r="P43" s="741"/>
      <c r="Q43" s="741"/>
      <c r="R43" s="764"/>
      <c r="S43" s="738"/>
      <c r="T43" s="738"/>
      <c r="U43" s="741"/>
      <c r="V43" s="741"/>
      <c r="W43" s="738"/>
      <c r="X43" s="741"/>
      <c r="Y43" s="741"/>
      <c r="Z43" s="738">
        <f>-Z8</f>
        <v>14500000000</v>
      </c>
      <c r="AA43" s="741"/>
      <c r="AB43" s="741"/>
      <c r="AC43" s="741"/>
      <c r="AD43" s="741"/>
      <c r="AE43" s="741"/>
      <c r="AF43" s="741"/>
      <c r="AG43" s="741"/>
      <c r="AH43" s="741"/>
      <c r="AI43" s="741"/>
      <c r="AJ43" s="741"/>
      <c r="AK43" s="741"/>
      <c r="AL43" s="741"/>
      <c r="AM43" s="741"/>
      <c r="AN43" s="741"/>
      <c r="AO43" s="741"/>
      <c r="AP43" s="741"/>
    </row>
    <row r="44" spans="1:42" ht="12.75" customHeight="1">
      <c r="A44" s="948" t="s">
        <v>1285</v>
      </c>
      <c r="B44" s="763">
        <f t="shared" si="4"/>
        <v>58000000000</v>
      </c>
      <c r="C44" s="741"/>
      <c r="D44" s="741"/>
      <c r="E44" s="741"/>
      <c r="F44" s="741"/>
      <c r="G44" s="741"/>
      <c r="H44" s="741"/>
      <c r="I44" s="741"/>
      <c r="J44" s="741"/>
      <c r="K44" s="741"/>
      <c r="L44" s="741"/>
      <c r="M44" s="741"/>
      <c r="N44" s="741"/>
      <c r="O44" s="741"/>
      <c r="P44" s="741"/>
      <c r="Q44" s="741"/>
      <c r="R44" s="764"/>
      <c r="S44" s="738"/>
      <c r="T44" s="738"/>
      <c r="U44" s="741"/>
      <c r="V44" s="741"/>
      <c r="W44" s="738"/>
      <c r="X44" s="741"/>
      <c r="Y44" s="741"/>
      <c r="Z44" s="741"/>
      <c r="AA44" s="738">
        <f>-AA8</f>
        <v>58000000000</v>
      </c>
      <c r="AB44" s="741"/>
      <c r="AC44" s="741"/>
      <c r="AD44" s="741"/>
      <c r="AE44" s="741"/>
      <c r="AF44" s="741"/>
      <c r="AG44" s="741"/>
      <c r="AH44" s="741"/>
      <c r="AI44" s="741"/>
      <c r="AJ44" s="741"/>
      <c r="AK44" s="741"/>
      <c r="AL44" s="741"/>
      <c r="AM44" s="741"/>
      <c r="AN44" s="741"/>
      <c r="AO44" s="741"/>
      <c r="AP44" s="741"/>
    </row>
    <row r="45" spans="1:42" ht="12.75" customHeight="1">
      <c r="A45" s="948" t="s">
        <v>1286</v>
      </c>
      <c r="B45" s="763">
        <f t="shared" si="4"/>
        <v>-3115944915</v>
      </c>
      <c r="C45" s="741"/>
      <c r="D45" s="741"/>
      <c r="E45" s="741"/>
      <c r="F45" s="741"/>
      <c r="G45" s="741"/>
      <c r="H45" s="741"/>
      <c r="I45" s="741"/>
      <c r="J45" s="741"/>
      <c r="K45" s="741"/>
      <c r="L45" s="741"/>
      <c r="M45" s="741"/>
      <c r="N45" s="741"/>
      <c r="O45" s="741"/>
      <c r="P45" s="741"/>
      <c r="Q45" s="741"/>
      <c r="R45" s="764"/>
      <c r="S45" s="738"/>
      <c r="T45" s="738"/>
      <c r="U45" s="741"/>
      <c r="V45" s="741"/>
      <c r="W45" s="738"/>
      <c r="X45" s="741"/>
      <c r="Y45" s="741"/>
      <c r="Z45" s="741"/>
      <c r="AA45" s="741"/>
      <c r="AB45" s="738">
        <f>-AB8</f>
        <v>-3115944915</v>
      </c>
      <c r="AC45" s="741"/>
      <c r="AD45" s="741"/>
      <c r="AE45" s="741"/>
      <c r="AF45" s="741"/>
      <c r="AG45" s="741"/>
      <c r="AH45" s="741"/>
      <c r="AI45" s="741"/>
      <c r="AJ45" s="741"/>
      <c r="AK45" s="741"/>
      <c r="AL45" s="741"/>
      <c r="AM45" s="741"/>
      <c r="AN45" s="741"/>
      <c r="AO45" s="741"/>
      <c r="AP45" s="741"/>
    </row>
    <row r="46" spans="1:42" ht="12.75" customHeight="1">
      <c r="A46" s="948" t="s">
        <v>1191</v>
      </c>
      <c r="B46" s="763">
        <f t="shared" si="4"/>
        <v>0</v>
      </c>
      <c r="C46" s="741"/>
      <c r="D46" s="741"/>
      <c r="E46" s="741"/>
      <c r="F46" s="741"/>
      <c r="G46" s="741"/>
      <c r="H46" s="741"/>
      <c r="I46" s="741"/>
      <c r="J46" s="741"/>
      <c r="K46" s="741"/>
      <c r="L46" s="741"/>
      <c r="M46" s="741"/>
      <c r="N46" s="741"/>
      <c r="O46" s="741"/>
      <c r="P46" s="741"/>
      <c r="Q46" s="741"/>
      <c r="R46" s="764"/>
      <c r="S46" s="738"/>
      <c r="T46" s="738"/>
      <c r="U46" s="741"/>
      <c r="V46" s="741"/>
      <c r="W46" s="738"/>
      <c r="X46" s="741"/>
      <c r="Y46" s="741"/>
      <c r="Z46" s="741"/>
      <c r="AA46" s="741"/>
      <c r="AB46" s="741"/>
      <c r="AC46" s="741"/>
      <c r="AD46" s="741"/>
      <c r="AE46" s="741"/>
      <c r="AF46" s="741"/>
      <c r="AG46" s="741"/>
      <c r="AH46" s="741"/>
      <c r="AI46" s="741"/>
      <c r="AJ46" s="741"/>
      <c r="AK46" s="741"/>
      <c r="AL46" s="741"/>
      <c r="AM46" s="741"/>
      <c r="AN46" s="741"/>
      <c r="AO46" s="741"/>
      <c r="AP46" s="741"/>
    </row>
    <row r="47" spans="1:42" ht="12.75" customHeight="1">
      <c r="A47" s="762" t="s">
        <v>1191</v>
      </c>
      <c r="B47" s="763">
        <f t="shared" si="4"/>
        <v>-41000000</v>
      </c>
      <c r="C47" s="741"/>
      <c r="D47" s="741"/>
      <c r="E47" s="741"/>
      <c r="F47" s="741"/>
      <c r="G47" s="741"/>
      <c r="H47" s="741"/>
      <c r="I47" s="741"/>
      <c r="J47" s="741"/>
      <c r="K47" s="741"/>
      <c r="L47" s="741"/>
      <c r="M47" s="741"/>
      <c r="N47" s="741"/>
      <c r="O47" s="741"/>
      <c r="P47" s="738"/>
      <c r="Q47" s="738"/>
      <c r="R47" s="738"/>
      <c r="S47" s="738">
        <f>-S8</f>
        <v>-41000000</v>
      </c>
      <c r="T47" s="741"/>
      <c r="U47" s="741"/>
      <c r="V47" s="741"/>
      <c r="W47" s="741"/>
      <c r="X47" s="738"/>
      <c r="Y47" s="738"/>
      <c r="Z47" s="738"/>
      <c r="AA47" s="738"/>
      <c r="AB47" s="738"/>
      <c r="AC47" s="738"/>
      <c r="AD47" s="741"/>
      <c r="AE47" s="741"/>
      <c r="AF47" s="741"/>
      <c r="AG47" s="741"/>
      <c r="AH47" s="741"/>
      <c r="AI47" s="741"/>
      <c r="AJ47" s="741"/>
      <c r="AK47" s="741"/>
      <c r="AL47" s="741"/>
      <c r="AM47" s="741"/>
      <c r="AN47" s="741"/>
      <c r="AO47" s="741"/>
      <c r="AP47" s="741"/>
    </row>
    <row r="48" spans="1:42" ht="12.75" customHeight="1">
      <c r="A48" s="775" t="s">
        <v>1192</v>
      </c>
      <c r="B48" s="783">
        <f>SUM(B36:B47)</f>
        <v>60110662067</v>
      </c>
      <c r="C48" s="741"/>
      <c r="D48" s="741"/>
      <c r="E48" s="741"/>
      <c r="F48" s="741"/>
      <c r="G48" s="741"/>
      <c r="H48" s="741"/>
      <c r="I48" s="741"/>
      <c r="J48" s="741"/>
      <c r="K48" s="741"/>
      <c r="L48" s="741"/>
      <c r="M48" s="741"/>
      <c r="N48" s="741"/>
      <c r="O48" s="741"/>
      <c r="P48" s="741"/>
      <c r="Q48" s="741"/>
      <c r="R48" s="741"/>
      <c r="S48" s="741"/>
      <c r="T48" s="741"/>
      <c r="U48" s="741"/>
      <c r="V48" s="741"/>
      <c r="W48" s="741"/>
      <c r="X48" s="741"/>
      <c r="Y48" s="741"/>
      <c r="Z48" s="741"/>
      <c r="AA48" s="741"/>
      <c r="AB48" s="741"/>
      <c r="AC48" s="741"/>
      <c r="AD48" s="741"/>
      <c r="AE48" s="741"/>
      <c r="AF48" s="741"/>
      <c r="AG48" s="741"/>
      <c r="AH48" s="741"/>
      <c r="AI48" s="741"/>
      <c r="AJ48" s="741"/>
      <c r="AK48" s="741"/>
      <c r="AL48" s="741"/>
      <c r="AM48" s="741"/>
      <c r="AN48" s="741"/>
      <c r="AO48" s="741"/>
      <c r="AP48" s="741"/>
    </row>
    <row r="49" spans="1:42" ht="12.75" customHeight="1">
      <c r="A49" s="775"/>
      <c r="B49" s="770"/>
      <c r="C49" s="741"/>
      <c r="D49" s="741"/>
      <c r="E49" s="741"/>
      <c r="F49" s="741"/>
      <c r="G49" s="741"/>
      <c r="H49" s="741"/>
      <c r="I49" s="741"/>
      <c r="J49" s="741"/>
      <c r="K49" s="741"/>
      <c r="L49" s="741"/>
      <c r="M49" s="741"/>
      <c r="N49" s="741"/>
      <c r="O49" s="741"/>
      <c r="P49" s="741"/>
      <c r="Q49" s="741"/>
      <c r="R49" s="741"/>
      <c r="S49" s="741"/>
      <c r="T49" s="741"/>
      <c r="U49" s="741"/>
      <c r="V49" s="741"/>
      <c r="W49" s="741"/>
      <c r="X49" s="741"/>
      <c r="Y49" s="741"/>
      <c r="Z49" s="741"/>
      <c r="AA49" s="741"/>
      <c r="AB49" s="741"/>
      <c r="AC49" s="741"/>
      <c r="AD49" s="741"/>
      <c r="AE49" s="741"/>
      <c r="AF49" s="741"/>
      <c r="AG49" s="741"/>
      <c r="AH49" s="741"/>
      <c r="AI49" s="741"/>
      <c r="AJ49" s="741"/>
      <c r="AK49" s="741"/>
      <c r="AL49" s="741"/>
      <c r="AM49" s="741"/>
      <c r="AN49" s="741"/>
      <c r="AO49" s="741"/>
      <c r="AP49" s="741"/>
    </row>
    <row r="50" spans="1:42" ht="12.75" customHeight="1">
      <c r="A50" s="775" t="s">
        <v>1193</v>
      </c>
      <c r="B50" s="770"/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1"/>
      <c r="S50" s="741"/>
      <c r="T50" s="741"/>
      <c r="U50" s="741"/>
      <c r="V50" s="741"/>
      <c r="W50" s="741"/>
      <c r="X50" s="741"/>
      <c r="Y50" s="741"/>
      <c r="Z50" s="741"/>
      <c r="AA50" s="741"/>
      <c r="AB50" s="741"/>
      <c r="AC50" s="741"/>
      <c r="AD50" s="741"/>
      <c r="AE50" s="741"/>
      <c r="AF50" s="741"/>
      <c r="AG50" s="741"/>
      <c r="AH50" s="741"/>
      <c r="AI50" s="741"/>
      <c r="AJ50" s="741"/>
      <c r="AK50" s="741"/>
      <c r="AL50" s="741"/>
      <c r="AM50" s="741"/>
      <c r="AN50" s="741"/>
      <c r="AO50" s="741"/>
      <c r="AP50" s="741"/>
    </row>
    <row r="51" spans="1:42" ht="12.75" customHeight="1">
      <c r="A51" s="775"/>
      <c r="B51" s="770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1"/>
      <c r="P51" s="741"/>
      <c r="Q51" s="741"/>
      <c r="R51" s="741"/>
      <c r="S51" s="741"/>
      <c r="T51" s="741"/>
      <c r="U51" s="741"/>
      <c r="V51" s="741"/>
      <c r="W51" s="741"/>
      <c r="X51" s="741"/>
      <c r="Y51" s="741"/>
      <c r="Z51" s="741"/>
      <c r="AA51" s="741"/>
      <c r="AB51" s="741"/>
      <c r="AC51" s="741"/>
      <c r="AD51" s="741"/>
      <c r="AE51" s="741"/>
      <c r="AF51" s="741"/>
      <c r="AG51" s="741"/>
      <c r="AH51" s="741"/>
      <c r="AI51" s="741"/>
      <c r="AJ51" s="741"/>
      <c r="AK51" s="741"/>
      <c r="AL51" s="741"/>
      <c r="AM51" s="741"/>
      <c r="AN51" s="741"/>
      <c r="AO51" s="741"/>
      <c r="AP51" s="741"/>
    </row>
    <row r="52" spans="1:42" ht="12.75" customHeight="1">
      <c r="A52" s="762"/>
      <c r="B52" s="770"/>
      <c r="C52" s="741"/>
      <c r="D52" s="741"/>
      <c r="E52" s="741"/>
      <c r="F52" s="741"/>
      <c r="G52" s="741"/>
      <c r="H52" s="741"/>
      <c r="I52" s="741"/>
      <c r="J52" s="741"/>
      <c r="K52" s="741"/>
      <c r="L52" s="741"/>
      <c r="M52" s="741"/>
      <c r="N52" s="741"/>
      <c r="O52" s="741"/>
      <c r="P52" s="741"/>
      <c r="Q52" s="741"/>
      <c r="R52" s="741"/>
      <c r="S52" s="741"/>
      <c r="T52" s="741"/>
      <c r="U52" s="741"/>
      <c r="V52" s="741"/>
      <c r="W52" s="741"/>
      <c r="X52" s="741"/>
      <c r="Y52" s="741"/>
      <c r="Z52" s="741"/>
      <c r="AA52" s="741"/>
      <c r="AB52" s="741"/>
      <c r="AC52" s="741"/>
      <c r="AD52" s="741"/>
      <c r="AE52" s="741"/>
      <c r="AF52" s="741"/>
      <c r="AG52" s="741"/>
      <c r="AH52" s="741"/>
      <c r="AI52" s="741"/>
      <c r="AJ52" s="741"/>
      <c r="AK52" s="741"/>
      <c r="AL52" s="741"/>
      <c r="AM52" s="741"/>
      <c r="AN52" s="741"/>
      <c r="AO52" s="741"/>
      <c r="AP52" s="741"/>
    </row>
    <row r="53" spans="1:42" ht="12.75" customHeight="1">
      <c r="A53" s="771" t="s">
        <v>1194</v>
      </c>
      <c r="B53" s="770">
        <f>B48+B33+B21</f>
        <v>-1738672734</v>
      </c>
      <c r="C53" s="738"/>
      <c r="D53" s="741"/>
      <c r="E53" s="741"/>
      <c r="F53" s="741"/>
      <c r="G53" s="741"/>
      <c r="H53" s="741"/>
      <c r="I53" s="741"/>
      <c r="J53" s="741"/>
      <c r="K53" s="741"/>
      <c r="L53" s="741"/>
      <c r="M53" s="741"/>
      <c r="N53" s="741"/>
      <c r="O53" s="741"/>
      <c r="P53" s="741"/>
      <c r="Q53" s="741"/>
      <c r="R53" s="741"/>
      <c r="S53" s="741"/>
      <c r="T53" s="741"/>
      <c r="U53" s="741"/>
      <c r="V53" s="741"/>
      <c r="W53" s="741"/>
      <c r="X53" s="741"/>
      <c r="Y53" s="741"/>
      <c r="Z53" s="741"/>
      <c r="AA53" s="741"/>
      <c r="AB53" s="741"/>
      <c r="AC53" s="741"/>
      <c r="AD53" s="741"/>
      <c r="AE53" s="741"/>
      <c r="AF53" s="741"/>
      <c r="AG53" s="741"/>
      <c r="AH53" s="741"/>
      <c r="AI53" s="741"/>
      <c r="AJ53" s="741"/>
      <c r="AK53" s="741"/>
      <c r="AL53" s="741"/>
      <c r="AM53" s="741"/>
      <c r="AN53" s="741"/>
      <c r="AO53" s="741"/>
      <c r="AP53" s="741"/>
    </row>
    <row r="54" spans="1:42" ht="12.75" customHeight="1">
      <c r="A54" s="771"/>
      <c r="B54" s="770"/>
      <c r="C54" s="741"/>
      <c r="D54" s="741"/>
      <c r="E54" s="741"/>
      <c r="F54" s="741"/>
      <c r="G54" s="741"/>
      <c r="H54" s="741"/>
      <c r="I54" s="741"/>
      <c r="J54" s="741"/>
      <c r="K54" s="741"/>
      <c r="L54" s="741"/>
      <c r="M54" s="741"/>
      <c r="N54" s="741"/>
      <c r="O54" s="741"/>
      <c r="P54" s="741"/>
      <c r="Q54" s="741"/>
      <c r="R54" s="741"/>
      <c r="S54" s="741"/>
      <c r="T54" s="741"/>
      <c r="U54" s="741"/>
      <c r="V54" s="741"/>
      <c r="W54" s="741"/>
      <c r="X54" s="741"/>
      <c r="Y54" s="741"/>
      <c r="Z54" s="741"/>
      <c r="AA54" s="741"/>
      <c r="AB54" s="741"/>
      <c r="AC54" s="741"/>
      <c r="AD54" s="741"/>
      <c r="AE54" s="741"/>
      <c r="AF54" s="741"/>
      <c r="AG54" s="741"/>
      <c r="AH54" s="741"/>
      <c r="AI54" s="741"/>
      <c r="AJ54" s="741"/>
      <c r="AK54" s="741"/>
      <c r="AL54" s="741"/>
      <c r="AM54" s="741"/>
      <c r="AN54" s="741"/>
      <c r="AO54" s="741"/>
      <c r="AP54" s="741"/>
    </row>
    <row r="55" spans="1:42" ht="12.75" customHeight="1">
      <c r="A55" s="771" t="s">
        <v>1195</v>
      </c>
      <c r="B55" s="770">
        <f>C7</f>
        <v>2159354956</v>
      </c>
      <c r="C55" s="741"/>
      <c r="D55" s="741"/>
      <c r="E55" s="741"/>
      <c r="F55" s="741"/>
      <c r="G55" s="741"/>
      <c r="H55" s="741"/>
      <c r="I55" s="741"/>
      <c r="J55" s="741"/>
      <c r="K55" s="741"/>
      <c r="L55" s="741"/>
      <c r="M55" s="741"/>
      <c r="N55" s="741"/>
      <c r="O55" s="741"/>
      <c r="P55" s="741"/>
      <c r="Q55" s="741"/>
      <c r="R55" s="741"/>
      <c r="S55" s="741"/>
      <c r="T55" s="741"/>
      <c r="U55" s="741"/>
      <c r="V55" s="741"/>
      <c r="W55" s="741"/>
      <c r="X55" s="741"/>
      <c r="Y55" s="741"/>
      <c r="Z55" s="741"/>
      <c r="AA55" s="741"/>
      <c r="AB55" s="741"/>
      <c r="AC55" s="741"/>
      <c r="AD55" s="741"/>
      <c r="AE55" s="741"/>
      <c r="AF55" s="741"/>
      <c r="AG55" s="741"/>
      <c r="AH55" s="741"/>
      <c r="AI55" s="741"/>
      <c r="AJ55" s="741"/>
      <c r="AK55" s="741"/>
      <c r="AL55" s="741"/>
      <c r="AM55" s="741"/>
      <c r="AN55" s="741"/>
      <c r="AO55" s="741"/>
      <c r="AP55" s="741"/>
    </row>
    <row r="56" spans="1:42" ht="12.75" customHeight="1">
      <c r="A56" s="771"/>
      <c r="B56" s="770"/>
      <c r="C56" s="741"/>
      <c r="D56" s="741"/>
      <c r="E56" s="741"/>
      <c r="F56" s="741"/>
      <c r="G56" s="741"/>
      <c r="H56" s="741"/>
      <c r="I56" s="741"/>
      <c r="J56" s="741"/>
      <c r="K56" s="741"/>
      <c r="L56" s="741"/>
      <c r="M56" s="741"/>
      <c r="N56" s="741"/>
      <c r="O56" s="741"/>
      <c r="P56" s="741"/>
      <c r="Q56" s="741"/>
      <c r="R56" s="741"/>
      <c r="S56" s="741"/>
      <c r="T56" s="741"/>
      <c r="U56" s="741"/>
      <c r="V56" s="741"/>
      <c r="W56" s="741"/>
      <c r="X56" s="741"/>
      <c r="Y56" s="741"/>
      <c r="Z56" s="741"/>
      <c r="AA56" s="741"/>
      <c r="AB56" s="741"/>
      <c r="AC56" s="741"/>
      <c r="AD56" s="741"/>
      <c r="AE56" s="741"/>
      <c r="AF56" s="741"/>
      <c r="AG56" s="741"/>
      <c r="AH56" s="741"/>
      <c r="AI56" s="741"/>
      <c r="AJ56" s="741"/>
      <c r="AK56" s="741"/>
      <c r="AL56" s="741"/>
      <c r="AM56" s="741"/>
      <c r="AN56" s="741"/>
      <c r="AO56" s="741"/>
      <c r="AP56" s="741"/>
    </row>
    <row r="57" spans="1:42" ht="12.75" customHeight="1">
      <c r="A57" s="777" t="s">
        <v>1196</v>
      </c>
      <c r="B57" s="778">
        <f>B53+B55</f>
        <v>420682222</v>
      </c>
      <c r="C57" s="779"/>
      <c r="D57" s="779"/>
      <c r="E57" s="779"/>
      <c r="F57" s="779"/>
      <c r="G57" s="779"/>
      <c r="H57" s="779"/>
      <c r="I57" s="779"/>
      <c r="J57" s="779"/>
      <c r="K57" s="779"/>
      <c r="L57" s="779"/>
      <c r="M57" s="779"/>
      <c r="N57" s="779"/>
      <c r="O57" s="779"/>
      <c r="P57" s="779"/>
      <c r="Q57" s="779"/>
      <c r="R57" s="779"/>
      <c r="S57" s="779"/>
      <c r="T57" s="779"/>
      <c r="U57" s="779"/>
      <c r="V57" s="779"/>
      <c r="W57" s="779"/>
      <c r="X57" s="779"/>
      <c r="Y57" s="779"/>
      <c r="Z57" s="779"/>
      <c r="AA57" s="779"/>
      <c r="AB57" s="779"/>
      <c r="AC57" s="779"/>
      <c r="AD57" s="779"/>
      <c r="AE57" s="779"/>
      <c r="AF57" s="779"/>
      <c r="AG57" s="741"/>
      <c r="AH57" s="741"/>
      <c r="AI57" s="741"/>
      <c r="AJ57" s="741"/>
      <c r="AK57" s="741"/>
      <c r="AL57" s="741"/>
      <c r="AM57" s="741"/>
      <c r="AN57" s="741"/>
      <c r="AO57" s="741"/>
      <c r="AP57" s="741"/>
    </row>
    <row r="58" spans="1:42" ht="12.75" customHeight="1">
      <c r="A58" s="780"/>
      <c r="B58" s="738"/>
      <c r="C58" s="781">
        <f>SUM(C8:C57)</f>
        <v>-1738672734.2900124</v>
      </c>
      <c r="D58" s="781">
        <f t="shared" ref="D58:N58" si="5">SUM(D8:D57)</f>
        <v>0</v>
      </c>
      <c r="E58" s="781">
        <f t="shared" si="5"/>
        <v>0</v>
      </c>
      <c r="F58" s="781">
        <f t="shared" si="5"/>
        <v>0</v>
      </c>
      <c r="G58" s="781">
        <f t="shared" si="5"/>
        <v>0</v>
      </c>
      <c r="H58" s="781">
        <f t="shared" si="5"/>
        <v>0</v>
      </c>
      <c r="I58" s="781">
        <f t="shared" si="5"/>
        <v>0</v>
      </c>
      <c r="J58" s="781"/>
      <c r="K58" s="781">
        <f t="shared" si="5"/>
        <v>0</v>
      </c>
      <c r="L58" s="781">
        <f t="shared" si="5"/>
        <v>0</v>
      </c>
      <c r="M58" s="781">
        <f t="shared" si="5"/>
        <v>0</v>
      </c>
      <c r="N58" s="781">
        <f t="shared" si="5"/>
        <v>0</v>
      </c>
      <c r="O58" s="781"/>
      <c r="P58" s="781">
        <f t="shared" ref="P58:AM58" si="6">SUM(P8:P57)</f>
        <v>0</v>
      </c>
      <c r="Q58" s="781">
        <f t="shared" si="6"/>
        <v>0</v>
      </c>
      <c r="R58" s="781">
        <f t="shared" si="6"/>
        <v>0</v>
      </c>
      <c r="S58" s="781">
        <f t="shared" si="6"/>
        <v>0</v>
      </c>
      <c r="T58" s="781">
        <f t="shared" si="6"/>
        <v>0</v>
      </c>
      <c r="U58" s="781">
        <f t="shared" si="6"/>
        <v>0</v>
      </c>
      <c r="V58" s="781">
        <f t="shared" si="6"/>
        <v>0</v>
      </c>
      <c r="W58" s="781">
        <f t="shared" si="6"/>
        <v>0</v>
      </c>
      <c r="X58" s="781">
        <f t="shared" si="6"/>
        <v>0</v>
      </c>
      <c r="Y58" s="781">
        <f t="shared" si="6"/>
        <v>0</v>
      </c>
      <c r="Z58" s="781"/>
      <c r="AA58" s="781"/>
      <c r="AB58" s="781"/>
      <c r="AC58" s="781">
        <f t="shared" si="6"/>
        <v>0</v>
      </c>
      <c r="AD58" s="781">
        <f t="shared" si="6"/>
        <v>0</v>
      </c>
      <c r="AE58" s="781">
        <f t="shared" si="6"/>
        <v>0</v>
      </c>
      <c r="AF58" s="781">
        <f t="shared" si="6"/>
        <v>0</v>
      </c>
      <c r="AG58" s="781"/>
      <c r="AH58" s="781">
        <f>SUM(AH8:AH57)</f>
        <v>0</v>
      </c>
      <c r="AI58" s="781">
        <f>SUM(AI8:AI57)</f>
        <v>0</v>
      </c>
      <c r="AJ58" s="781"/>
      <c r="AK58" s="781">
        <f>SUM(AK8:AK57)</f>
        <v>0</v>
      </c>
      <c r="AL58" s="781">
        <f>SUM(AL8:AL57)</f>
        <v>0</v>
      </c>
      <c r="AM58" s="781">
        <f t="shared" si="6"/>
        <v>0</v>
      </c>
      <c r="AN58" s="738">
        <f>SUM(D58:AM58)</f>
        <v>0</v>
      </c>
      <c r="AO58" s="741"/>
      <c r="AP58" s="741"/>
    </row>
    <row r="59" spans="1:42" ht="12.75" customHeight="1">
      <c r="A59" s="741"/>
      <c r="B59" s="738"/>
      <c r="C59" s="741"/>
      <c r="D59" s="741"/>
      <c r="E59" s="741"/>
      <c r="F59" s="741"/>
      <c r="G59" s="741"/>
      <c r="H59" s="741"/>
      <c r="I59" s="741"/>
      <c r="J59" s="741"/>
      <c r="K59" s="741"/>
      <c r="L59" s="741"/>
      <c r="M59" s="741"/>
      <c r="N59" s="741"/>
      <c r="O59" s="741"/>
      <c r="P59" s="741"/>
      <c r="Q59" s="741"/>
      <c r="R59" s="741"/>
      <c r="S59" s="741"/>
      <c r="T59" s="741"/>
      <c r="U59" s="741"/>
      <c r="V59" s="741"/>
      <c r="W59" s="741"/>
      <c r="X59" s="741"/>
      <c r="Y59" s="741"/>
      <c r="Z59" s="741"/>
      <c r="AA59" s="741"/>
      <c r="AB59" s="741"/>
      <c r="AC59" s="741"/>
      <c r="AD59" s="741"/>
      <c r="AE59" s="741"/>
      <c r="AF59" s="741"/>
      <c r="AG59" s="741"/>
      <c r="AH59" s="741"/>
      <c r="AI59" s="741"/>
      <c r="AJ59" s="741"/>
      <c r="AK59" s="741"/>
      <c r="AL59" s="741"/>
      <c r="AM59" s="741"/>
      <c r="AN59" s="741"/>
      <c r="AO59" s="741"/>
      <c r="AP59" s="741"/>
    </row>
    <row r="60" spans="1:42" ht="12.75" customHeight="1">
      <c r="A60" s="741"/>
      <c r="B60" s="738"/>
      <c r="C60" s="741"/>
      <c r="D60" s="741"/>
      <c r="E60" s="741"/>
      <c r="F60" s="741"/>
      <c r="G60" s="741"/>
      <c r="H60" s="741"/>
      <c r="I60" s="741"/>
      <c r="J60" s="741"/>
      <c r="K60" s="741"/>
      <c r="L60" s="741"/>
      <c r="M60" s="741"/>
      <c r="N60" s="741"/>
      <c r="O60" s="741"/>
      <c r="P60" s="741"/>
      <c r="Q60" s="741"/>
      <c r="R60" s="741"/>
      <c r="S60" s="741"/>
      <c r="T60" s="741"/>
      <c r="U60" s="741"/>
      <c r="V60" s="741"/>
      <c r="W60" s="741"/>
      <c r="X60" s="741"/>
      <c r="Y60" s="741"/>
      <c r="Z60" s="741"/>
      <c r="AA60" s="741"/>
      <c r="AB60" s="741"/>
      <c r="AC60" s="741"/>
      <c r="AD60" s="741"/>
      <c r="AE60" s="741"/>
      <c r="AF60" s="741"/>
      <c r="AG60" s="741"/>
      <c r="AH60" s="741"/>
      <c r="AI60" s="741"/>
      <c r="AJ60" s="741"/>
      <c r="AK60" s="741"/>
      <c r="AL60" s="741"/>
      <c r="AM60" s="741"/>
      <c r="AN60" s="741"/>
      <c r="AO60" s="741"/>
      <c r="AP60" s="741"/>
    </row>
    <row r="61" spans="1:42" ht="12.75" customHeight="1">
      <c r="A61" s="741"/>
      <c r="B61" s="782">
        <f>ROUND(C6,0)</f>
        <v>420682222</v>
      </c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1"/>
      <c r="P61" s="741"/>
      <c r="Q61" s="741"/>
      <c r="R61" s="741"/>
      <c r="S61" s="741"/>
      <c r="T61" s="741"/>
      <c r="U61" s="741"/>
      <c r="V61" s="741"/>
      <c r="W61" s="741"/>
      <c r="X61" s="741"/>
      <c r="Y61" s="741"/>
      <c r="Z61" s="741"/>
      <c r="AA61" s="741"/>
      <c r="AB61" s="741"/>
      <c r="AC61" s="741"/>
      <c r="AD61" s="741"/>
      <c r="AE61" s="741"/>
      <c r="AF61" s="741"/>
      <c r="AG61" s="741"/>
      <c r="AH61" s="741"/>
      <c r="AI61" s="741"/>
      <c r="AJ61" s="741"/>
      <c r="AK61" s="741"/>
      <c r="AL61" s="741"/>
      <c r="AM61" s="741"/>
      <c r="AN61" s="741"/>
      <c r="AO61" s="741"/>
      <c r="AP61" s="741"/>
    </row>
    <row r="62" spans="1:42" ht="12.75" customHeight="1">
      <c r="A62" s="741" t="s">
        <v>1197</v>
      </c>
      <c r="B62" s="949">
        <f>B61-B57</f>
        <v>0</v>
      </c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41"/>
      <c r="N62" s="741"/>
      <c r="O62" s="741"/>
      <c r="P62" s="741"/>
      <c r="Q62" s="741"/>
      <c r="R62" s="741"/>
      <c r="S62" s="741"/>
      <c r="T62" s="741"/>
      <c r="U62" s="741"/>
      <c r="V62" s="741"/>
      <c r="W62" s="741"/>
      <c r="X62" s="741"/>
      <c r="Y62" s="741"/>
      <c r="Z62" s="741"/>
      <c r="AA62" s="741"/>
      <c r="AB62" s="741"/>
      <c r="AC62" s="741"/>
      <c r="AD62" s="741"/>
      <c r="AE62" s="741"/>
      <c r="AF62" s="741"/>
      <c r="AG62" s="741"/>
      <c r="AH62" s="741"/>
      <c r="AI62" s="741"/>
      <c r="AJ62" s="741"/>
      <c r="AK62" s="741"/>
      <c r="AL62" s="741"/>
      <c r="AM62" s="741"/>
      <c r="AN62" s="741"/>
      <c r="AO62" s="741"/>
      <c r="AP62" s="741"/>
    </row>
    <row r="63" spans="1:42" ht="12.75" customHeight="1">
      <c r="A63" s="741"/>
      <c r="B63" s="738"/>
      <c r="C63" s="741"/>
      <c r="D63" s="741"/>
      <c r="E63" s="741"/>
      <c r="F63" s="741"/>
      <c r="G63" s="741"/>
      <c r="H63" s="741"/>
      <c r="I63" s="741"/>
      <c r="J63" s="741"/>
      <c r="K63" s="741"/>
      <c r="L63" s="741"/>
      <c r="M63" s="741"/>
      <c r="N63" s="741"/>
      <c r="O63" s="741"/>
      <c r="P63" s="741"/>
      <c r="Q63" s="741"/>
      <c r="R63" s="741"/>
      <c r="S63" s="741"/>
      <c r="T63" s="741"/>
      <c r="U63" s="741"/>
      <c r="V63" s="741"/>
      <c r="W63" s="741"/>
      <c r="X63" s="741"/>
      <c r="Y63" s="741"/>
      <c r="Z63" s="741"/>
      <c r="AA63" s="741"/>
      <c r="AB63" s="741"/>
      <c r="AC63" s="741"/>
      <c r="AD63" s="741"/>
      <c r="AE63" s="741"/>
      <c r="AF63" s="741"/>
      <c r="AG63" s="741"/>
      <c r="AH63" s="741"/>
      <c r="AI63" s="741"/>
      <c r="AJ63" s="741"/>
      <c r="AK63" s="741"/>
      <c r="AL63" s="741"/>
      <c r="AM63" s="741"/>
      <c r="AN63" s="741"/>
      <c r="AO63" s="741"/>
      <c r="AP63" s="741"/>
    </row>
    <row r="64" spans="1:42" ht="12.75" customHeight="1">
      <c r="A64" s="741"/>
      <c r="B64" s="738"/>
      <c r="C64" s="741"/>
      <c r="D64" s="741"/>
      <c r="E64" s="741"/>
      <c r="F64" s="741"/>
      <c r="G64" s="741"/>
      <c r="H64" s="741"/>
      <c r="I64" s="741"/>
      <c r="J64" s="741"/>
      <c r="K64" s="741"/>
      <c r="L64" s="741"/>
      <c r="M64" s="741"/>
      <c r="N64" s="741"/>
      <c r="O64" s="741"/>
      <c r="P64" s="741"/>
      <c r="Q64" s="741"/>
      <c r="R64" s="741"/>
      <c r="S64" s="741"/>
      <c r="T64" s="741"/>
      <c r="U64" s="741"/>
      <c r="V64" s="741"/>
      <c r="W64" s="741"/>
      <c r="X64" s="741"/>
      <c r="Y64" s="741"/>
      <c r="Z64" s="741"/>
      <c r="AA64" s="741"/>
      <c r="AB64" s="741"/>
      <c r="AC64" s="741"/>
      <c r="AD64" s="741"/>
      <c r="AE64" s="741"/>
      <c r="AF64" s="741"/>
      <c r="AG64" s="741"/>
      <c r="AH64" s="741"/>
      <c r="AI64" s="741"/>
      <c r="AJ64" s="741"/>
      <c r="AK64" s="741"/>
      <c r="AL64" s="741"/>
      <c r="AM64" s="741"/>
      <c r="AN64" s="741"/>
      <c r="AO64" s="741"/>
      <c r="AP64" s="741"/>
    </row>
    <row r="65" spans="1:42" ht="12.75" customHeight="1">
      <c r="A65" s="741"/>
      <c r="B65" s="738"/>
      <c r="C65" s="741"/>
      <c r="D65" s="741"/>
      <c r="E65" s="741"/>
      <c r="F65" s="741"/>
      <c r="G65" s="741"/>
      <c r="H65" s="741"/>
      <c r="I65" s="741"/>
      <c r="J65" s="741"/>
      <c r="K65" s="741"/>
      <c r="L65" s="741"/>
      <c r="M65" s="741"/>
      <c r="N65" s="741"/>
      <c r="O65" s="741"/>
      <c r="P65" s="741"/>
      <c r="Q65" s="741"/>
      <c r="R65" s="741"/>
      <c r="S65" s="741"/>
      <c r="T65" s="741"/>
      <c r="U65" s="741"/>
      <c r="V65" s="741"/>
      <c r="W65" s="741"/>
      <c r="X65" s="741"/>
      <c r="Y65" s="741"/>
      <c r="Z65" s="741"/>
      <c r="AA65" s="741"/>
      <c r="AB65" s="741"/>
      <c r="AC65" s="741"/>
      <c r="AD65" s="741"/>
      <c r="AE65" s="741"/>
      <c r="AF65" s="741"/>
      <c r="AG65" s="741"/>
      <c r="AH65" s="741"/>
      <c r="AI65" s="741"/>
      <c r="AJ65" s="741"/>
      <c r="AK65" s="741"/>
      <c r="AL65" s="741"/>
      <c r="AM65" s="741"/>
      <c r="AN65" s="741"/>
      <c r="AO65" s="741"/>
      <c r="AP65" s="741"/>
    </row>
    <row r="66" spans="1:42" ht="12.75" customHeight="1">
      <c r="A66" s="741"/>
      <c r="B66" s="738"/>
      <c r="C66" s="741"/>
      <c r="D66" s="741"/>
      <c r="E66" s="741"/>
      <c r="F66" s="741"/>
      <c r="G66" s="741"/>
      <c r="H66" s="741"/>
      <c r="I66" s="741"/>
      <c r="J66" s="741"/>
      <c r="K66" s="741"/>
      <c r="L66" s="741"/>
      <c r="M66" s="741"/>
      <c r="N66" s="741"/>
      <c r="O66" s="741"/>
      <c r="P66" s="741"/>
      <c r="Q66" s="741"/>
      <c r="R66" s="741"/>
      <c r="S66" s="741"/>
      <c r="T66" s="741"/>
      <c r="U66" s="741"/>
      <c r="V66" s="741"/>
      <c r="W66" s="741"/>
      <c r="X66" s="741"/>
      <c r="Y66" s="741"/>
      <c r="Z66" s="741"/>
      <c r="AA66" s="741"/>
      <c r="AB66" s="741"/>
      <c r="AC66" s="741"/>
      <c r="AD66" s="741"/>
      <c r="AE66" s="741"/>
      <c r="AF66" s="741"/>
      <c r="AG66" s="741"/>
      <c r="AH66" s="741"/>
      <c r="AI66" s="741"/>
      <c r="AJ66" s="741"/>
      <c r="AK66" s="741"/>
      <c r="AL66" s="741"/>
      <c r="AM66" s="741"/>
      <c r="AN66" s="741"/>
      <c r="AO66" s="741"/>
      <c r="AP66" s="741"/>
    </row>
    <row r="67" spans="1:42" ht="12.75" customHeight="1">
      <c r="A67" s="741"/>
      <c r="B67" s="738"/>
      <c r="C67" s="741"/>
      <c r="D67" s="741"/>
      <c r="E67" s="741"/>
      <c r="F67" s="741"/>
      <c r="G67" s="741"/>
      <c r="H67" s="741"/>
      <c r="I67" s="741"/>
      <c r="J67" s="741"/>
      <c r="K67" s="741"/>
      <c r="L67" s="741"/>
      <c r="M67" s="741"/>
      <c r="N67" s="741"/>
      <c r="O67" s="741"/>
      <c r="P67" s="741"/>
      <c r="Q67" s="741"/>
      <c r="R67" s="741"/>
      <c r="S67" s="741"/>
      <c r="T67" s="741"/>
      <c r="U67" s="741"/>
      <c r="V67" s="741"/>
      <c r="W67" s="741"/>
      <c r="X67" s="741"/>
      <c r="Y67" s="741"/>
      <c r="Z67" s="741"/>
      <c r="AA67" s="741"/>
      <c r="AB67" s="741"/>
      <c r="AC67" s="741"/>
      <c r="AD67" s="741"/>
      <c r="AE67" s="741"/>
      <c r="AF67" s="741"/>
      <c r="AG67" s="741"/>
      <c r="AH67" s="741"/>
      <c r="AI67" s="741"/>
      <c r="AJ67" s="741"/>
      <c r="AK67" s="741"/>
      <c r="AL67" s="741"/>
      <c r="AM67" s="741"/>
      <c r="AN67" s="741"/>
      <c r="AO67" s="741"/>
      <c r="AP67" s="741"/>
    </row>
    <row r="68" spans="1:42" ht="12.75" customHeight="1">
      <c r="A68" s="741"/>
      <c r="B68" s="738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1"/>
      <c r="P68" s="741"/>
      <c r="Q68" s="741"/>
      <c r="R68" s="741"/>
      <c r="S68" s="741"/>
      <c r="T68" s="741"/>
      <c r="U68" s="741"/>
      <c r="V68" s="741"/>
      <c r="W68" s="741"/>
      <c r="X68" s="741"/>
      <c r="Y68" s="741"/>
      <c r="Z68" s="741"/>
      <c r="AA68" s="741"/>
      <c r="AB68" s="741"/>
      <c r="AC68" s="741"/>
      <c r="AD68" s="741"/>
      <c r="AE68" s="741"/>
      <c r="AF68" s="741"/>
      <c r="AG68" s="741"/>
      <c r="AH68" s="741"/>
      <c r="AI68" s="741"/>
      <c r="AJ68" s="741"/>
      <c r="AK68" s="741"/>
      <c r="AL68" s="741"/>
      <c r="AM68" s="741"/>
      <c r="AN68" s="741"/>
      <c r="AO68" s="741"/>
      <c r="AP68" s="741"/>
    </row>
    <row r="69" spans="1:42" ht="12.75" customHeight="1">
      <c r="A69" s="741"/>
      <c r="B69" s="738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41"/>
      <c r="N69" s="741"/>
      <c r="O69" s="741"/>
      <c r="P69" s="741"/>
      <c r="Q69" s="741"/>
      <c r="R69" s="741"/>
      <c r="S69" s="741"/>
      <c r="T69" s="741"/>
      <c r="U69" s="741"/>
      <c r="V69" s="741"/>
      <c r="W69" s="741"/>
      <c r="X69" s="741"/>
      <c r="Y69" s="741"/>
      <c r="Z69" s="741"/>
      <c r="AA69" s="741"/>
      <c r="AB69" s="741"/>
      <c r="AC69" s="741"/>
      <c r="AD69" s="741"/>
      <c r="AE69" s="741"/>
      <c r="AF69" s="741"/>
      <c r="AG69" s="741"/>
      <c r="AH69" s="741"/>
      <c r="AI69" s="741"/>
      <c r="AJ69" s="741"/>
      <c r="AK69" s="741"/>
      <c r="AL69" s="741"/>
      <c r="AM69" s="741"/>
      <c r="AN69" s="741"/>
      <c r="AO69" s="741"/>
      <c r="AP69" s="741"/>
    </row>
    <row r="70" spans="1:42" ht="12.75" customHeight="1">
      <c r="A70" s="741"/>
      <c r="B70" s="738"/>
      <c r="C70" s="741"/>
      <c r="D70" s="741"/>
      <c r="E70" s="741"/>
      <c r="F70" s="741"/>
      <c r="G70" s="741"/>
      <c r="H70" s="741"/>
      <c r="I70" s="741"/>
      <c r="J70" s="741"/>
      <c r="K70" s="741"/>
      <c r="L70" s="741"/>
      <c r="M70" s="741"/>
      <c r="N70" s="741"/>
      <c r="O70" s="741"/>
      <c r="P70" s="741"/>
      <c r="Q70" s="741"/>
      <c r="R70" s="741"/>
      <c r="S70" s="741"/>
      <c r="T70" s="741"/>
      <c r="U70" s="741"/>
      <c r="V70" s="741"/>
      <c r="W70" s="741"/>
      <c r="X70" s="741"/>
      <c r="Y70" s="741"/>
      <c r="Z70" s="741"/>
      <c r="AA70" s="741"/>
      <c r="AB70" s="741"/>
      <c r="AC70" s="741"/>
      <c r="AD70" s="741"/>
      <c r="AE70" s="741"/>
      <c r="AF70" s="741"/>
      <c r="AG70" s="741"/>
      <c r="AH70" s="741"/>
      <c r="AI70" s="741"/>
      <c r="AJ70" s="741"/>
      <c r="AK70" s="741"/>
      <c r="AL70" s="741"/>
      <c r="AM70" s="741"/>
      <c r="AN70" s="741"/>
      <c r="AO70" s="741"/>
      <c r="AP70" s="741"/>
    </row>
    <row r="71" spans="1:42" ht="12.75" customHeight="1">
      <c r="A71" s="741"/>
      <c r="B71" s="741"/>
      <c r="C71" s="741"/>
      <c r="D71" s="741"/>
      <c r="E71" s="741"/>
      <c r="F71" s="741"/>
      <c r="G71" s="741"/>
      <c r="H71" s="741"/>
      <c r="I71" s="741"/>
      <c r="J71" s="741"/>
      <c r="K71" s="741"/>
      <c r="L71" s="741"/>
      <c r="M71" s="741"/>
      <c r="N71" s="741"/>
      <c r="O71" s="741"/>
      <c r="P71" s="741"/>
      <c r="Q71" s="741"/>
      <c r="R71" s="741"/>
      <c r="S71" s="741"/>
      <c r="T71" s="741"/>
      <c r="U71" s="741"/>
      <c r="V71" s="741"/>
      <c r="W71" s="741"/>
      <c r="X71" s="741"/>
      <c r="Y71" s="741"/>
      <c r="Z71" s="741"/>
      <c r="AA71" s="741"/>
      <c r="AB71" s="741"/>
      <c r="AC71" s="741"/>
      <c r="AD71" s="741"/>
      <c r="AE71" s="741"/>
      <c r="AF71" s="741"/>
      <c r="AG71" s="741"/>
      <c r="AH71" s="741"/>
      <c r="AI71" s="741"/>
      <c r="AJ71" s="741"/>
      <c r="AK71" s="741"/>
      <c r="AL71" s="741"/>
      <c r="AM71" s="741"/>
      <c r="AN71" s="741"/>
      <c r="AO71" s="741"/>
      <c r="AP71" s="741"/>
    </row>
    <row r="72" spans="1:42" ht="12.75" customHeight="1">
      <c r="A72" s="741"/>
      <c r="B72" s="741"/>
      <c r="C72" s="741"/>
      <c r="D72" s="741"/>
      <c r="E72" s="741"/>
      <c r="F72" s="741"/>
      <c r="G72" s="741"/>
      <c r="H72" s="741"/>
      <c r="I72" s="741"/>
      <c r="J72" s="741"/>
      <c r="K72" s="741"/>
      <c r="L72" s="741"/>
      <c r="M72" s="741"/>
      <c r="N72" s="741"/>
      <c r="O72" s="741"/>
      <c r="P72" s="741"/>
      <c r="Q72" s="741"/>
      <c r="R72" s="741"/>
      <c r="S72" s="741"/>
      <c r="T72" s="741"/>
      <c r="U72" s="741"/>
      <c r="V72" s="741"/>
      <c r="W72" s="741"/>
      <c r="X72" s="741"/>
      <c r="Y72" s="741"/>
      <c r="Z72" s="741"/>
      <c r="AA72" s="741"/>
      <c r="AB72" s="741"/>
      <c r="AC72" s="741"/>
      <c r="AD72" s="741"/>
      <c r="AE72" s="741"/>
      <c r="AF72" s="741"/>
      <c r="AG72" s="741"/>
      <c r="AH72" s="741"/>
      <c r="AI72" s="741"/>
      <c r="AJ72" s="741"/>
      <c r="AK72" s="741"/>
      <c r="AL72" s="741"/>
      <c r="AM72" s="741"/>
      <c r="AN72" s="741"/>
      <c r="AO72" s="741"/>
      <c r="AP72" s="741"/>
    </row>
    <row r="73" spans="1:42" ht="12.75" customHeight="1">
      <c r="A73" s="741"/>
      <c r="B73" s="741"/>
      <c r="C73" s="741"/>
      <c r="D73" s="741"/>
      <c r="E73" s="741"/>
      <c r="F73" s="741"/>
      <c r="G73" s="741"/>
      <c r="H73" s="741"/>
      <c r="I73" s="741"/>
      <c r="J73" s="741"/>
      <c r="K73" s="741"/>
      <c r="L73" s="741"/>
      <c r="M73" s="741"/>
      <c r="N73" s="741"/>
      <c r="O73" s="741"/>
      <c r="P73" s="741"/>
      <c r="Q73" s="741"/>
      <c r="R73" s="741"/>
      <c r="S73" s="741"/>
      <c r="T73" s="741"/>
      <c r="U73" s="741"/>
      <c r="V73" s="741"/>
      <c r="W73" s="741"/>
      <c r="X73" s="741"/>
      <c r="Y73" s="741"/>
      <c r="Z73" s="741"/>
      <c r="AA73" s="741"/>
      <c r="AB73" s="741"/>
      <c r="AC73" s="741"/>
      <c r="AD73" s="741"/>
      <c r="AE73" s="741"/>
      <c r="AF73" s="741"/>
      <c r="AG73" s="741"/>
      <c r="AH73" s="741"/>
      <c r="AI73" s="741"/>
      <c r="AJ73" s="741"/>
      <c r="AK73" s="741"/>
      <c r="AL73" s="741"/>
      <c r="AM73" s="741"/>
      <c r="AN73" s="741"/>
      <c r="AO73" s="741"/>
      <c r="AP73" s="741"/>
    </row>
    <row r="74" spans="1:42" ht="12.75" customHeight="1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  <c r="N74" s="741"/>
      <c r="O74" s="741"/>
      <c r="P74" s="741"/>
      <c r="Q74" s="741"/>
      <c r="R74" s="741"/>
      <c r="S74" s="741"/>
      <c r="T74" s="741"/>
      <c r="U74" s="741"/>
      <c r="V74" s="741"/>
      <c r="W74" s="741"/>
      <c r="X74" s="741"/>
      <c r="Y74" s="741"/>
      <c r="Z74" s="741"/>
      <c r="AA74" s="741"/>
      <c r="AB74" s="741"/>
      <c r="AC74" s="741"/>
      <c r="AD74" s="741"/>
      <c r="AE74" s="741"/>
      <c r="AF74" s="741"/>
      <c r="AG74" s="741"/>
      <c r="AH74" s="741"/>
      <c r="AI74" s="741"/>
      <c r="AJ74" s="741"/>
      <c r="AK74" s="741"/>
      <c r="AL74" s="741"/>
      <c r="AM74" s="741"/>
      <c r="AN74" s="741"/>
      <c r="AO74" s="741"/>
      <c r="AP74" s="741"/>
    </row>
    <row r="75" spans="1:42" ht="12.75" customHeight="1">
      <c r="A75" s="741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1"/>
      <c r="P75" s="741"/>
      <c r="Q75" s="741"/>
      <c r="R75" s="741"/>
      <c r="S75" s="741"/>
      <c r="T75" s="741"/>
      <c r="U75" s="741"/>
      <c r="V75" s="741"/>
      <c r="W75" s="741"/>
      <c r="X75" s="741"/>
      <c r="Y75" s="741"/>
      <c r="Z75" s="741"/>
      <c r="AA75" s="741"/>
      <c r="AB75" s="741"/>
      <c r="AC75" s="741"/>
      <c r="AD75" s="741"/>
      <c r="AE75" s="741"/>
      <c r="AF75" s="741"/>
      <c r="AG75" s="741"/>
      <c r="AH75" s="741"/>
      <c r="AI75" s="741"/>
      <c r="AJ75" s="741"/>
      <c r="AK75" s="741"/>
      <c r="AL75" s="741"/>
      <c r="AM75" s="741"/>
      <c r="AN75" s="741"/>
      <c r="AO75" s="741"/>
      <c r="AP75" s="741"/>
    </row>
    <row r="76" spans="1:42" ht="12.75" customHeight="1">
      <c r="A76" s="741"/>
      <c r="B76" s="741"/>
      <c r="C76" s="741"/>
      <c r="D76" s="741"/>
      <c r="E76" s="741"/>
      <c r="F76" s="741"/>
      <c r="G76" s="741"/>
      <c r="H76" s="741"/>
      <c r="I76" s="741"/>
      <c r="J76" s="741"/>
      <c r="K76" s="741"/>
      <c r="L76" s="741"/>
      <c r="M76" s="741"/>
      <c r="N76" s="741"/>
      <c r="O76" s="741"/>
      <c r="P76" s="741"/>
      <c r="Q76" s="741"/>
      <c r="R76" s="741"/>
      <c r="S76" s="741"/>
      <c r="T76" s="741"/>
      <c r="U76" s="741"/>
      <c r="V76" s="741"/>
      <c r="W76" s="741"/>
      <c r="X76" s="741"/>
      <c r="Y76" s="741"/>
      <c r="Z76" s="741"/>
      <c r="AA76" s="741"/>
      <c r="AB76" s="741"/>
      <c r="AC76" s="741"/>
      <c r="AD76" s="741"/>
      <c r="AE76" s="741"/>
      <c r="AF76" s="741"/>
      <c r="AG76" s="741"/>
      <c r="AH76" s="741"/>
      <c r="AI76" s="741"/>
      <c r="AJ76" s="741"/>
      <c r="AK76" s="741"/>
      <c r="AL76" s="741"/>
      <c r="AM76" s="741"/>
      <c r="AN76" s="741"/>
      <c r="AO76" s="741"/>
      <c r="AP76" s="741"/>
    </row>
    <row r="77" spans="1:42" ht="12.75" customHeight="1">
      <c r="A77" s="741"/>
      <c r="B77" s="741"/>
      <c r="C77" s="741"/>
      <c r="D77" s="741"/>
      <c r="E77" s="741"/>
      <c r="F77" s="741"/>
      <c r="G77" s="741"/>
      <c r="H77" s="741"/>
      <c r="I77" s="741"/>
      <c r="J77" s="741"/>
      <c r="K77" s="741"/>
      <c r="L77" s="741"/>
      <c r="M77" s="741"/>
      <c r="N77" s="741"/>
      <c r="O77" s="741"/>
      <c r="P77" s="741"/>
      <c r="Q77" s="741"/>
      <c r="R77" s="741"/>
      <c r="S77" s="741"/>
      <c r="T77" s="741"/>
      <c r="U77" s="741"/>
      <c r="V77" s="741"/>
      <c r="W77" s="741"/>
      <c r="X77" s="741"/>
      <c r="Y77" s="741"/>
      <c r="Z77" s="741"/>
      <c r="AA77" s="741"/>
      <c r="AB77" s="741"/>
      <c r="AC77" s="741"/>
      <c r="AD77" s="741"/>
      <c r="AE77" s="741"/>
      <c r="AF77" s="741"/>
      <c r="AG77" s="741"/>
      <c r="AH77" s="741"/>
      <c r="AI77" s="741"/>
      <c r="AJ77" s="741"/>
      <c r="AK77" s="741"/>
      <c r="AL77" s="741"/>
      <c r="AM77" s="741"/>
      <c r="AN77" s="741"/>
      <c r="AO77" s="741"/>
      <c r="AP77" s="741"/>
    </row>
    <row r="78" spans="1:42" ht="12.75" customHeight="1">
      <c r="A78" s="741"/>
      <c r="B78" s="741"/>
      <c r="C78" s="741"/>
      <c r="D78" s="741"/>
      <c r="E78" s="741"/>
      <c r="F78" s="741"/>
      <c r="G78" s="741"/>
      <c r="H78" s="741"/>
      <c r="I78" s="741"/>
      <c r="J78" s="741"/>
      <c r="K78" s="741"/>
      <c r="L78" s="741"/>
      <c r="M78" s="741"/>
      <c r="N78" s="741"/>
      <c r="O78" s="741"/>
      <c r="P78" s="741"/>
      <c r="Q78" s="741"/>
      <c r="R78" s="741"/>
      <c r="S78" s="741"/>
      <c r="T78" s="741"/>
      <c r="U78" s="741"/>
      <c r="V78" s="741"/>
      <c r="W78" s="741"/>
      <c r="X78" s="741"/>
      <c r="Y78" s="741"/>
      <c r="Z78" s="741"/>
      <c r="AA78" s="741"/>
      <c r="AB78" s="741"/>
      <c r="AC78" s="741"/>
      <c r="AD78" s="741"/>
      <c r="AE78" s="741"/>
      <c r="AF78" s="741"/>
      <c r="AG78" s="741"/>
      <c r="AH78" s="741"/>
      <c r="AI78" s="741"/>
      <c r="AJ78" s="741"/>
      <c r="AK78" s="741"/>
      <c r="AL78" s="741"/>
      <c r="AM78" s="741"/>
      <c r="AN78" s="741"/>
      <c r="AO78" s="741"/>
      <c r="AP78" s="741"/>
    </row>
    <row r="79" spans="1:42" ht="12.75" customHeight="1">
      <c r="A79" s="741"/>
      <c r="B79" s="741"/>
      <c r="C79" s="741"/>
      <c r="D79" s="741"/>
      <c r="E79" s="741"/>
      <c r="F79" s="741"/>
      <c r="G79" s="741"/>
      <c r="H79" s="741"/>
      <c r="I79" s="741"/>
      <c r="J79" s="741"/>
      <c r="K79" s="741"/>
      <c r="L79" s="741"/>
      <c r="M79" s="741"/>
      <c r="N79" s="741"/>
      <c r="O79" s="741"/>
      <c r="P79" s="741"/>
      <c r="Q79" s="741"/>
      <c r="R79" s="741"/>
      <c r="S79" s="741"/>
      <c r="T79" s="741"/>
      <c r="U79" s="741"/>
      <c r="V79" s="741"/>
      <c r="W79" s="741"/>
      <c r="X79" s="741"/>
      <c r="Y79" s="741"/>
      <c r="Z79" s="741"/>
      <c r="AA79" s="741"/>
      <c r="AB79" s="741"/>
      <c r="AC79" s="741"/>
      <c r="AD79" s="741"/>
      <c r="AE79" s="741"/>
      <c r="AF79" s="741"/>
      <c r="AG79" s="741"/>
      <c r="AH79" s="741"/>
      <c r="AI79" s="741"/>
      <c r="AJ79" s="741"/>
      <c r="AK79" s="741"/>
      <c r="AL79" s="741"/>
      <c r="AM79" s="741"/>
      <c r="AN79" s="741"/>
      <c r="AO79" s="741"/>
      <c r="AP79" s="741"/>
    </row>
    <row r="80" spans="1:42" ht="12.75" customHeight="1">
      <c r="A80" s="741"/>
      <c r="B80" s="741"/>
      <c r="C80" s="741"/>
      <c r="D80" s="741"/>
      <c r="E80" s="741"/>
      <c r="F80" s="741"/>
      <c r="G80" s="741"/>
      <c r="H80" s="741"/>
      <c r="I80" s="741"/>
      <c r="J80" s="741"/>
      <c r="K80" s="741"/>
      <c r="L80" s="741"/>
      <c r="M80" s="741"/>
      <c r="N80" s="741"/>
      <c r="O80" s="741"/>
      <c r="P80" s="741"/>
      <c r="Q80" s="741"/>
      <c r="R80" s="741"/>
      <c r="S80" s="741"/>
      <c r="T80" s="741"/>
      <c r="U80" s="741"/>
      <c r="V80" s="741"/>
      <c r="W80" s="741"/>
      <c r="X80" s="741"/>
      <c r="Y80" s="741"/>
      <c r="Z80" s="741"/>
      <c r="AA80" s="741"/>
      <c r="AB80" s="741"/>
      <c r="AC80" s="741"/>
      <c r="AD80" s="741"/>
      <c r="AE80" s="741"/>
      <c r="AF80" s="741"/>
      <c r="AG80" s="741"/>
      <c r="AH80" s="741"/>
      <c r="AI80" s="741"/>
      <c r="AJ80" s="741"/>
      <c r="AK80" s="741"/>
      <c r="AL80" s="741"/>
      <c r="AM80" s="741"/>
      <c r="AN80" s="741"/>
      <c r="AO80" s="741"/>
      <c r="AP80" s="741"/>
    </row>
    <row r="81" spans="1:42" ht="12.75" customHeight="1">
      <c r="A81" s="741"/>
      <c r="B81" s="741"/>
      <c r="C81" s="741"/>
      <c r="D81" s="741"/>
      <c r="E81" s="741"/>
      <c r="F81" s="741"/>
      <c r="G81" s="741"/>
      <c r="H81" s="741"/>
      <c r="I81" s="741"/>
      <c r="J81" s="741"/>
      <c r="K81" s="741"/>
      <c r="L81" s="741"/>
      <c r="M81" s="741"/>
      <c r="N81" s="741"/>
      <c r="O81" s="741"/>
      <c r="P81" s="741"/>
      <c r="Q81" s="741"/>
      <c r="R81" s="741"/>
      <c r="S81" s="741"/>
      <c r="T81" s="741"/>
      <c r="U81" s="741"/>
      <c r="V81" s="741"/>
      <c r="W81" s="741"/>
      <c r="X81" s="741"/>
      <c r="Y81" s="741"/>
      <c r="Z81" s="741"/>
      <c r="AA81" s="741"/>
      <c r="AB81" s="741"/>
      <c r="AC81" s="741"/>
      <c r="AD81" s="741"/>
      <c r="AE81" s="741"/>
      <c r="AF81" s="741"/>
      <c r="AG81" s="741"/>
      <c r="AH81" s="741"/>
      <c r="AI81" s="741"/>
      <c r="AJ81" s="741"/>
      <c r="AK81" s="741"/>
      <c r="AL81" s="741"/>
      <c r="AM81" s="741"/>
      <c r="AN81" s="741"/>
      <c r="AO81" s="741"/>
      <c r="AP81" s="741"/>
    </row>
    <row r="82" spans="1:42" ht="12.75" customHeight="1">
      <c r="A82" s="741"/>
      <c r="B82" s="741"/>
      <c r="C82" s="741"/>
      <c r="D82" s="741"/>
      <c r="E82" s="741"/>
      <c r="F82" s="741"/>
      <c r="G82" s="741"/>
      <c r="H82" s="741"/>
      <c r="I82" s="741"/>
      <c r="J82" s="741"/>
      <c r="K82" s="741"/>
      <c r="L82" s="741"/>
      <c r="M82" s="741"/>
      <c r="N82" s="741"/>
      <c r="O82" s="741"/>
      <c r="P82" s="741"/>
      <c r="Q82" s="741"/>
      <c r="R82" s="741"/>
      <c r="S82" s="741"/>
      <c r="T82" s="741"/>
      <c r="U82" s="741"/>
      <c r="V82" s="741"/>
      <c r="W82" s="741"/>
      <c r="X82" s="741"/>
      <c r="Y82" s="741"/>
      <c r="Z82" s="741"/>
      <c r="AA82" s="741"/>
      <c r="AB82" s="741"/>
      <c r="AC82" s="741"/>
      <c r="AD82" s="741"/>
      <c r="AE82" s="741"/>
      <c r="AF82" s="741"/>
      <c r="AG82" s="741"/>
      <c r="AH82" s="741"/>
      <c r="AI82" s="741"/>
      <c r="AJ82" s="741"/>
      <c r="AK82" s="741"/>
      <c r="AL82" s="741"/>
      <c r="AM82" s="741"/>
      <c r="AN82" s="741"/>
      <c r="AO82" s="741"/>
      <c r="AP82" s="741"/>
    </row>
    <row r="83" spans="1:42" ht="12.75" customHeight="1">
      <c r="A83" s="741"/>
      <c r="B83" s="741"/>
      <c r="C83" s="741"/>
      <c r="D83" s="741"/>
      <c r="E83" s="741"/>
      <c r="F83" s="741"/>
      <c r="G83" s="741"/>
      <c r="H83" s="741"/>
      <c r="I83" s="741"/>
      <c r="J83" s="741"/>
      <c r="K83" s="741"/>
      <c r="L83" s="741"/>
      <c r="M83" s="741"/>
      <c r="N83" s="741"/>
      <c r="O83" s="741"/>
      <c r="P83" s="741"/>
      <c r="Q83" s="741"/>
      <c r="R83" s="741"/>
      <c r="S83" s="741"/>
      <c r="T83" s="741"/>
      <c r="U83" s="741"/>
      <c r="V83" s="741"/>
      <c r="W83" s="741"/>
      <c r="X83" s="741"/>
      <c r="Y83" s="741"/>
      <c r="Z83" s="741"/>
      <c r="AA83" s="741"/>
      <c r="AB83" s="741"/>
      <c r="AC83" s="741"/>
      <c r="AD83" s="741"/>
      <c r="AE83" s="741"/>
      <c r="AF83" s="741"/>
      <c r="AG83" s="741"/>
      <c r="AH83" s="741"/>
      <c r="AI83" s="741"/>
      <c r="AJ83" s="741"/>
      <c r="AK83" s="741"/>
      <c r="AL83" s="741"/>
      <c r="AM83" s="741"/>
      <c r="AN83" s="741"/>
      <c r="AO83" s="741"/>
      <c r="AP83" s="741"/>
    </row>
    <row r="84" spans="1:42" ht="12.75" customHeight="1">
      <c r="A84" s="741"/>
      <c r="B84" s="741"/>
      <c r="C84" s="741"/>
      <c r="D84" s="741"/>
      <c r="E84" s="741"/>
      <c r="F84" s="741"/>
      <c r="G84" s="741"/>
      <c r="H84" s="741"/>
      <c r="I84" s="741"/>
      <c r="J84" s="741"/>
      <c r="K84" s="741"/>
      <c r="L84" s="741"/>
      <c r="M84" s="741"/>
      <c r="N84" s="741"/>
      <c r="O84" s="741"/>
      <c r="P84" s="741"/>
      <c r="Q84" s="741"/>
      <c r="R84" s="741"/>
      <c r="S84" s="741"/>
      <c r="T84" s="741"/>
      <c r="U84" s="741"/>
      <c r="V84" s="741"/>
      <c r="W84" s="741"/>
      <c r="X84" s="741"/>
      <c r="Y84" s="741"/>
      <c r="Z84" s="741"/>
      <c r="AA84" s="741"/>
      <c r="AB84" s="741"/>
      <c r="AC84" s="741"/>
      <c r="AD84" s="741"/>
      <c r="AE84" s="741"/>
      <c r="AF84" s="741"/>
      <c r="AG84" s="741"/>
      <c r="AH84" s="741"/>
      <c r="AI84" s="741"/>
      <c r="AJ84" s="741"/>
      <c r="AK84" s="741"/>
      <c r="AL84" s="741"/>
      <c r="AM84" s="741"/>
      <c r="AN84" s="741"/>
      <c r="AO84" s="741"/>
      <c r="AP84" s="741"/>
    </row>
    <row r="85" spans="1:42" ht="12.75" customHeight="1">
      <c r="A85" s="741"/>
      <c r="B85" s="741"/>
      <c r="C85" s="741"/>
      <c r="D85" s="741"/>
      <c r="E85" s="741"/>
      <c r="F85" s="741"/>
      <c r="G85" s="741"/>
      <c r="H85" s="741"/>
      <c r="I85" s="741"/>
      <c r="J85" s="741"/>
      <c r="K85" s="741"/>
      <c r="L85" s="741"/>
      <c r="M85" s="741"/>
      <c r="N85" s="741"/>
      <c r="O85" s="741"/>
      <c r="P85" s="741"/>
      <c r="Q85" s="741"/>
      <c r="R85" s="741"/>
      <c r="S85" s="741"/>
      <c r="T85" s="741"/>
      <c r="U85" s="741"/>
      <c r="V85" s="741"/>
      <c r="W85" s="741"/>
      <c r="X85" s="741"/>
      <c r="Y85" s="741"/>
      <c r="Z85" s="741"/>
      <c r="AA85" s="741"/>
      <c r="AB85" s="741"/>
      <c r="AC85" s="741"/>
      <c r="AD85" s="741"/>
      <c r="AE85" s="741"/>
      <c r="AF85" s="741"/>
      <c r="AG85" s="741"/>
      <c r="AH85" s="741"/>
      <c r="AI85" s="741"/>
      <c r="AJ85" s="741"/>
      <c r="AK85" s="741"/>
      <c r="AL85" s="741"/>
      <c r="AM85" s="741"/>
      <c r="AN85" s="741"/>
      <c r="AO85" s="741"/>
      <c r="AP85" s="741"/>
    </row>
    <row r="86" spans="1:42" ht="12.75" customHeight="1">
      <c r="A86" s="741"/>
      <c r="B86" s="741"/>
      <c r="C86" s="741"/>
      <c r="D86" s="741"/>
      <c r="E86" s="741"/>
      <c r="F86" s="741"/>
      <c r="G86" s="741"/>
      <c r="H86" s="741"/>
      <c r="I86" s="741"/>
      <c r="J86" s="741"/>
      <c r="K86" s="741"/>
      <c r="L86" s="741"/>
      <c r="M86" s="741"/>
      <c r="N86" s="741"/>
      <c r="O86" s="741"/>
      <c r="P86" s="741"/>
      <c r="Q86" s="741"/>
      <c r="R86" s="741"/>
      <c r="S86" s="741"/>
      <c r="T86" s="741"/>
      <c r="U86" s="741"/>
      <c r="V86" s="741"/>
      <c r="W86" s="741"/>
      <c r="X86" s="741"/>
      <c r="Y86" s="741"/>
      <c r="Z86" s="741"/>
      <c r="AA86" s="741"/>
      <c r="AB86" s="741"/>
      <c r="AC86" s="741"/>
      <c r="AD86" s="741"/>
      <c r="AE86" s="741"/>
      <c r="AF86" s="741"/>
      <c r="AG86" s="741"/>
      <c r="AH86" s="741"/>
      <c r="AI86" s="741"/>
      <c r="AJ86" s="741"/>
      <c r="AK86" s="741"/>
      <c r="AL86" s="741"/>
      <c r="AM86" s="741"/>
      <c r="AN86" s="741"/>
      <c r="AO86" s="741"/>
      <c r="AP86" s="741"/>
    </row>
    <row r="87" spans="1:42" ht="12.75" customHeight="1">
      <c r="A87" s="741"/>
      <c r="B87" s="741"/>
      <c r="C87" s="741"/>
      <c r="D87" s="741"/>
      <c r="E87" s="741"/>
      <c r="F87" s="741"/>
      <c r="G87" s="741"/>
      <c r="H87" s="741"/>
      <c r="I87" s="741"/>
      <c r="J87" s="741"/>
      <c r="K87" s="741"/>
      <c r="L87" s="741"/>
      <c r="M87" s="741"/>
      <c r="N87" s="741"/>
      <c r="O87" s="741"/>
      <c r="P87" s="741"/>
      <c r="Q87" s="741"/>
      <c r="R87" s="741"/>
      <c r="S87" s="741"/>
      <c r="T87" s="741"/>
      <c r="U87" s="741"/>
      <c r="V87" s="741"/>
      <c r="W87" s="741"/>
      <c r="X87" s="741"/>
      <c r="Y87" s="741"/>
      <c r="Z87" s="741"/>
      <c r="AA87" s="741"/>
      <c r="AB87" s="741"/>
      <c r="AC87" s="741"/>
      <c r="AD87" s="741"/>
      <c r="AE87" s="741"/>
      <c r="AF87" s="741"/>
      <c r="AG87" s="741"/>
      <c r="AH87" s="741"/>
      <c r="AI87" s="741"/>
      <c r="AJ87" s="741"/>
      <c r="AK87" s="741"/>
      <c r="AL87" s="741"/>
      <c r="AM87" s="741"/>
      <c r="AN87" s="741"/>
      <c r="AO87" s="741"/>
      <c r="AP87" s="741"/>
    </row>
    <row r="88" spans="1:42" ht="12.75" customHeight="1">
      <c r="A88" s="741"/>
      <c r="B88" s="741"/>
      <c r="C88" s="741"/>
      <c r="D88" s="741"/>
      <c r="E88" s="741"/>
      <c r="F88" s="741"/>
      <c r="G88" s="741"/>
      <c r="H88" s="741"/>
      <c r="I88" s="741"/>
      <c r="J88" s="741"/>
      <c r="K88" s="741"/>
      <c r="L88" s="741"/>
      <c r="M88" s="741"/>
      <c r="N88" s="741"/>
      <c r="O88" s="741"/>
      <c r="P88" s="741"/>
      <c r="Q88" s="741"/>
      <c r="R88" s="741"/>
      <c r="S88" s="741"/>
      <c r="T88" s="741"/>
      <c r="U88" s="741"/>
      <c r="V88" s="741"/>
      <c r="W88" s="741"/>
      <c r="X88" s="741"/>
      <c r="Y88" s="741"/>
      <c r="Z88" s="741"/>
      <c r="AA88" s="741"/>
      <c r="AB88" s="741"/>
      <c r="AC88" s="741"/>
      <c r="AD88" s="741"/>
      <c r="AE88" s="741"/>
      <c r="AF88" s="741"/>
      <c r="AG88" s="741"/>
      <c r="AH88" s="741"/>
      <c r="AI88" s="741"/>
      <c r="AJ88" s="741"/>
      <c r="AK88" s="741"/>
      <c r="AL88" s="741"/>
      <c r="AM88" s="741"/>
      <c r="AN88" s="741"/>
      <c r="AO88" s="741"/>
      <c r="AP88" s="741"/>
    </row>
    <row r="89" spans="1:42" ht="12.75" customHeight="1">
      <c r="A89" s="741"/>
      <c r="B89" s="741"/>
      <c r="C89" s="741"/>
      <c r="D89" s="741"/>
      <c r="E89" s="741"/>
      <c r="F89" s="741"/>
      <c r="G89" s="741"/>
      <c r="H89" s="741"/>
      <c r="I89" s="741"/>
      <c r="J89" s="741"/>
      <c r="K89" s="741"/>
      <c r="L89" s="741"/>
      <c r="M89" s="741"/>
      <c r="N89" s="741"/>
      <c r="O89" s="741"/>
      <c r="P89" s="741"/>
      <c r="Q89" s="741"/>
      <c r="R89" s="741"/>
      <c r="S89" s="741"/>
      <c r="T89" s="741"/>
      <c r="U89" s="741"/>
      <c r="V89" s="741"/>
      <c r="W89" s="741"/>
      <c r="X89" s="741"/>
      <c r="Y89" s="741"/>
      <c r="Z89" s="741"/>
      <c r="AA89" s="741"/>
      <c r="AB89" s="741"/>
      <c r="AC89" s="741"/>
      <c r="AD89" s="741"/>
      <c r="AE89" s="741"/>
      <c r="AF89" s="741"/>
      <c r="AG89" s="741"/>
      <c r="AH89" s="741"/>
      <c r="AI89" s="741"/>
      <c r="AJ89" s="741"/>
      <c r="AK89" s="741"/>
      <c r="AL89" s="741"/>
      <c r="AM89" s="741"/>
      <c r="AN89" s="741"/>
      <c r="AO89" s="741"/>
      <c r="AP89" s="741"/>
    </row>
    <row r="90" spans="1:42" ht="12.75" customHeight="1">
      <c r="A90" s="741"/>
      <c r="B90" s="741"/>
      <c r="C90" s="741"/>
      <c r="D90" s="741"/>
      <c r="E90" s="741"/>
      <c r="F90" s="741"/>
      <c r="G90" s="741"/>
      <c r="H90" s="741"/>
      <c r="I90" s="741"/>
      <c r="J90" s="741"/>
      <c r="K90" s="741"/>
      <c r="L90" s="741"/>
      <c r="M90" s="741"/>
      <c r="N90" s="741"/>
      <c r="O90" s="741"/>
      <c r="P90" s="741"/>
      <c r="Q90" s="741"/>
      <c r="R90" s="741"/>
      <c r="S90" s="741"/>
      <c r="T90" s="741"/>
      <c r="U90" s="741"/>
      <c r="V90" s="741"/>
      <c r="W90" s="741"/>
      <c r="X90" s="741"/>
      <c r="Y90" s="741"/>
      <c r="Z90" s="741"/>
      <c r="AA90" s="741"/>
      <c r="AB90" s="741"/>
      <c r="AC90" s="741"/>
      <c r="AD90" s="741"/>
      <c r="AE90" s="741"/>
      <c r="AF90" s="741"/>
      <c r="AG90" s="741"/>
      <c r="AH90" s="741"/>
      <c r="AI90" s="741"/>
      <c r="AJ90" s="741"/>
      <c r="AK90" s="741"/>
      <c r="AL90" s="741"/>
      <c r="AM90" s="741"/>
      <c r="AN90" s="741"/>
      <c r="AO90" s="741"/>
      <c r="AP90" s="741"/>
    </row>
    <row r="91" spans="1:42" ht="12.75" customHeight="1">
      <c r="A91" s="741"/>
      <c r="B91" s="741"/>
      <c r="C91" s="741"/>
      <c r="D91" s="741"/>
      <c r="E91" s="741"/>
      <c r="F91" s="741"/>
      <c r="G91" s="741"/>
      <c r="H91" s="741"/>
      <c r="I91" s="741"/>
      <c r="J91" s="741"/>
      <c r="K91" s="741"/>
      <c r="L91" s="741"/>
      <c r="M91" s="741"/>
      <c r="N91" s="741"/>
      <c r="O91" s="741"/>
      <c r="P91" s="741"/>
      <c r="Q91" s="741"/>
      <c r="R91" s="741"/>
      <c r="S91" s="741"/>
      <c r="T91" s="741"/>
      <c r="U91" s="741"/>
      <c r="V91" s="741"/>
      <c r="W91" s="741"/>
      <c r="X91" s="741"/>
      <c r="Y91" s="741"/>
      <c r="Z91" s="741"/>
      <c r="AA91" s="741"/>
      <c r="AB91" s="741"/>
      <c r="AC91" s="741"/>
      <c r="AD91" s="741"/>
      <c r="AE91" s="741"/>
      <c r="AF91" s="741"/>
      <c r="AG91" s="741"/>
      <c r="AH91" s="741"/>
      <c r="AI91" s="741"/>
      <c r="AJ91" s="741"/>
      <c r="AK91" s="741"/>
      <c r="AL91" s="741"/>
      <c r="AM91" s="741"/>
      <c r="AN91" s="741"/>
      <c r="AO91" s="741"/>
      <c r="AP91" s="741"/>
    </row>
    <row r="92" spans="1:42" ht="12.75" customHeight="1">
      <c r="A92" s="741"/>
      <c r="B92" s="741"/>
      <c r="C92" s="741"/>
      <c r="D92" s="741"/>
      <c r="E92" s="741"/>
      <c r="F92" s="741"/>
      <c r="G92" s="741"/>
      <c r="H92" s="741"/>
      <c r="I92" s="741"/>
      <c r="J92" s="741"/>
      <c r="K92" s="741"/>
      <c r="L92" s="741"/>
      <c r="M92" s="741"/>
      <c r="N92" s="741"/>
      <c r="O92" s="741"/>
      <c r="P92" s="741"/>
      <c r="Q92" s="741"/>
      <c r="R92" s="741"/>
      <c r="S92" s="741"/>
      <c r="T92" s="741"/>
      <c r="U92" s="741"/>
      <c r="V92" s="741"/>
      <c r="W92" s="741"/>
      <c r="X92" s="741"/>
      <c r="Y92" s="741"/>
      <c r="Z92" s="741"/>
      <c r="AA92" s="741"/>
      <c r="AB92" s="741"/>
      <c r="AC92" s="741"/>
      <c r="AD92" s="741"/>
      <c r="AE92" s="741"/>
      <c r="AF92" s="741"/>
      <c r="AG92" s="741"/>
      <c r="AH92" s="741"/>
      <c r="AI92" s="741"/>
      <c r="AJ92" s="741"/>
      <c r="AK92" s="741"/>
      <c r="AL92" s="741"/>
      <c r="AM92" s="741"/>
      <c r="AN92" s="741"/>
      <c r="AO92" s="741"/>
      <c r="AP92" s="741"/>
    </row>
    <row r="93" spans="1:42" ht="12.75" customHeight="1">
      <c r="A93" s="741"/>
      <c r="B93" s="741"/>
      <c r="C93" s="741"/>
      <c r="D93" s="741"/>
      <c r="E93" s="741"/>
      <c r="F93" s="741"/>
      <c r="G93" s="741"/>
      <c r="H93" s="741"/>
      <c r="I93" s="741"/>
      <c r="J93" s="741"/>
      <c r="K93" s="741"/>
      <c r="L93" s="741"/>
      <c r="M93" s="741"/>
      <c r="N93" s="741"/>
      <c r="O93" s="741"/>
      <c r="P93" s="741"/>
      <c r="Q93" s="741"/>
      <c r="R93" s="741"/>
      <c r="S93" s="741"/>
      <c r="T93" s="741"/>
      <c r="U93" s="741"/>
      <c r="V93" s="741"/>
      <c r="W93" s="741"/>
      <c r="X93" s="741"/>
      <c r="Y93" s="741"/>
      <c r="Z93" s="741"/>
      <c r="AA93" s="741"/>
      <c r="AB93" s="741"/>
      <c r="AC93" s="741"/>
      <c r="AD93" s="741"/>
      <c r="AE93" s="741"/>
      <c r="AF93" s="741"/>
      <c r="AG93" s="741"/>
      <c r="AH93" s="741"/>
      <c r="AI93" s="741"/>
      <c r="AJ93" s="741"/>
      <c r="AK93" s="741"/>
      <c r="AL93" s="741"/>
      <c r="AM93" s="741"/>
      <c r="AN93" s="741"/>
      <c r="AO93" s="741"/>
      <c r="AP93" s="741"/>
    </row>
    <row r="94" spans="1:42" ht="12.75" customHeight="1">
      <c r="A94" s="741"/>
      <c r="B94" s="741"/>
      <c r="C94" s="741"/>
      <c r="D94" s="741"/>
      <c r="E94" s="741"/>
      <c r="F94" s="741"/>
      <c r="G94" s="741"/>
      <c r="H94" s="741"/>
      <c r="I94" s="741"/>
      <c r="J94" s="741"/>
      <c r="K94" s="741"/>
      <c r="L94" s="741"/>
      <c r="M94" s="741"/>
      <c r="N94" s="741"/>
      <c r="O94" s="741"/>
      <c r="P94" s="741"/>
      <c r="Q94" s="741"/>
      <c r="R94" s="741"/>
      <c r="S94" s="741"/>
      <c r="T94" s="741"/>
      <c r="U94" s="741"/>
      <c r="V94" s="741"/>
      <c r="W94" s="741"/>
      <c r="X94" s="741"/>
      <c r="Y94" s="741"/>
      <c r="Z94" s="741"/>
      <c r="AA94" s="741"/>
      <c r="AB94" s="741"/>
      <c r="AC94" s="741"/>
      <c r="AD94" s="741"/>
      <c r="AE94" s="741"/>
      <c r="AF94" s="741"/>
      <c r="AG94" s="741"/>
      <c r="AH94" s="741"/>
      <c r="AI94" s="741"/>
      <c r="AJ94" s="741"/>
      <c r="AK94" s="741"/>
      <c r="AL94" s="741"/>
      <c r="AM94" s="741"/>
      <c r="AN94" s="741"/>
      <c r="AO94" s="741"/>
      <c r="AP94" s="741"/>
    </row>
    <row r="95" spans="1:42" ht="12.75" customHeight="1">
      <c r="A95" s="741"/>
      <c r="B95" s="741"/>
      <c r="C95" s="741"/>
      <c r="D95" s="741"/>
      <c r="E95" s="741"/>
      <c r="F95" s="741"/>
      <c r="G95" s="741"/>
      <c r="H95" s="741"/>
      <c r="I95" s="741"/>
      <c r="J95" s="741"/>
      <c r="K95" s="741"/>
      <c r="L95" s="741"/>
      <c r="M95" s="741"/>
      <c r="N95" s="741"/>
      <c r="O95" s="741"/>
      <c r="P95" s="741"/>
      <c r="Q95" s="741"/>
      <c r="R95" s="741"/>
      <c r="S95" s="741"/>
      <c r="T95" s="741"/>
      <c r="U95" s="741"/>
      <c r="V95" s="741"/>
      <c r="W95" s="741"/>
      <c r="X95" s="741"/>
      <c r="Y95" s="741"/>
      <c r="Z95" s="741"/>
      <c r="AA95" s="741"/>
      <c r="AB95" s="741"/>
      <c r="AC95" s="741"/>
      <c r="AD95" s="741"/>
      <c r="AE95" s="741"/>
      <c r="AF95" s="741"/>
      <c r="AG95" s="741"/>
      <c r="AH95" s="741"/>
      <c r="AI95" s="741"/>
      <c r="AJ95" s="741"/>
      <c r="AK95" s="741"/>
      <c r="AL95" s="741"/>
      <c r="AM95" s="741"/>
      <c r="AN95" s="741"/>
      <c r="AO95" s="741"/>
      <c r="AP95" s="741"/>
    </row>
    <row r="96" spans="1:42" ht="12.75" customHeight="1">
      <c r="A96" s="741"/>
      <c r="B96" s="741"/>
      <c r="C96" s="741"/>
      <c r="D96" s="741"/>
      <c r="E96" s="741"/>
      <c r="F96" s="741"/>
      <c r="G96" s="741"/>
      <c r="H96" s="741"/>
      <c r="I96" s="741"/>
      <c r="J96" s="741"/>
      <c r="K96" s="741"/>
      <c r="L96" s="741"/>
      <c r="M96" s="741"/>
      <c r="N96" s="741"/>
      <c r="O96" s="741"/>
      <c r="P96" s="741"/>
      <c r="Q96" s="741"/>
      <c r="R96" s="741"/>
      <c r="S96" s="741"/>
      <c r="T96" s="741"/>
      <c r="U96" s="741"/>
      <c r="V96" s="741"/>
      <c r="W96" s="741"/>
      <c r="X96" s="741"/>
      <c r="Y96" s="741"/>
      <c r="Z96" s="741"/>
      <c r="AA96" s="741"/>
      <c r="AB96" s="741"/>
      <c r="AC96" s="741"/>
      <c r="AD96" s="741"/>
      <c r="AE96" s="741"/>
      <c r="AF96" s="741"/>
      <c r="AG96" s="741"/>
      <c r="AH96" s="741"/>
      <c r="AI96" s="741"/>
      <c r="AJ96" s="741"/>
      <c r="AK96" s="741"/>
      <c r="AL96" s="741"/>
      <c r="AM96" s="741"/>
      <c r="AN96" s="741"/>
      <c r="AO96" s="741"/>
      <c r="AP96" s="741"/>
    </row>
    <row r="97" spans="1:42" ht="12.75" customHeight="1">
      <c r="A97" s="741"/>
      <c r="B97" s="741"/>
      <c r="C97" s="741"/>
      <c r="D97" s="741"/>
      <c r="E97" s="741"/>
      <c r="F97" s="741"/>
      <c r="G97" s="741"/>
      <c r="H97" s="741"/>
      <c r="I97" s="741"/>
      <c r="J97" s="741"/>
      <c r="K97" s="741"/>
      <c r="L97" s="741"/>
      <c r="M97" s="741"/>
      <c r="N97" s="741"/>
      <c r="O97" s="741"/>
      <c r="P97" s="741"/>
      <c r="Q97" s="741"/>
      <c r="R97" s="741"/>
      <c r="S97" s="741"/>
      <c r="T97" s="741"/>
      <c r="U97" s="741"/>
      <c r="V97" s="741"/>
      <c r="W97" s="741"/>
      <c r="X97" s="741"/>
      <c r="Y97" s="741"/>
      <c r="Z97" s="741"/>
      <c r="AA97" s="741"/>
      <c r="AB97" s="741"/>
      <c r="AC97" s="741"/>
      <c r="AD97" s="741"/>
      <c r="AE97" s="741"/>
      <c r="AF97" s="741"/>
      <c r="AG97" s="741"/>
      <c r="AH97" s="741"/>
      <c r="AI97" s="741"/>
      <c r="AJ97" s="741"/>
      <c r="AK97" s="741"/>
      <c r="AL97" s="741"/>
      <c r="AM97" s="741"/>
      <c r="AN97" s="741"/>
      <c r="AO97" s="741"/>
      <c r="AP97" s="741"/>
    </row>
    <row r="98" spans="1:42" ht="12.75" customHeight="1">
      <c r="A98" s="741"/>
      <c r="B98" s="741"/>
      <c r="C98" s="741"/>
      <c r="D98" s="741"/>
      <c r="E98" s="741"/>
      <c r="F98" s="741"/>
      <c r="G98" s="741"/>
      <c r="H98" s="741"/>
      <c r="I98" s="741"/>
      <c r="J98" s="741"/>
      <c r="K98" s="741"/>
      <c r="L98" s="741"/>
      <c r="M98" s="741"/>
      <c r="N98" s="741"/>
      <c r="O98" s="741"/>
      <c r="P98" s="741"/>
      <c r="Q98" s="741"/>
      <c r="R98" s="741"/>
      <c r="S98" s="741"/>
      <c r="T98" s="741"/>
      <c r="U98" s="741"/>
      <c r="V98" s="741"/>
      <c r="W98" s="741"/>
      <c r="X98" s="741"/>
      <c r="Y98" s="741"/>
      <c r="Z98" s="741"/>
      <c r="AA98" s="741"/>
      <c r="AB98" s="741"/>
      <c r="AC98" s="741"/>
      <c r="AD98" s="741"/>
      <c r="AE98" s="741"/>
      <c r="AF98" s="741"/>
      <c r="AG98" s="741"/>
      <c r="AH98" s="741"/>
      <c r="AI98" s="741"/>
      <c r="AJ98" s="741"/>
      <c r="AK98" s="741"/>
      <c r="AL98" s="741"/>
      <c r="AM98" s="741"/>
      <c r="AN98" s="741"/>
      <c r="AO98" s="741"/>
      <c r="AP98" s="741"/>
    </row>
    <row r="99" spans="1:42" ht="12.75" customHeight="1">
      <c r="A99" s="741"/>
      <c r="B99" s="741"/>
      <c r="C99" s="741"/>
      <c r="D99" s="741"/>
      <c r="E99" s="741"/>
      <c r="F99" s="741"/>
      <c r="G99" s="741"/>
      <c r="H99" s="741"/>
      <c r="I99" s="741"/>
      <c r="J99" s="741"/>
      <c r="K99" s="741"/>
      <c r="L99" s="741"/>
      <c r="M99" s="741"/>
      <c r="N99" s="741"/>
      <c r="O99" s="741"/>
      <c r="P99" s="741"/>
      <c r="Q99" s="741"/>
      <c r="R99" s="741"/>
      <c r="S99" s="741"/>
      <c r="T99" s="741"/>
      <c r="U99" s="741"/>
      <c r="V99" s="741"/>
      <c r="W99" s="741"/>
      <c r="X99" s="741"/>
      <c r="Y99" s="741"/>
      <c r="Z99" s="741"/>
      <c r="AA99" s="741"/>
      <c r="AB99" s="741"/>
      <c r="AC99" s="741"/>
      <c r="AD99" s="741"/>
      <c r="AE99" s="741"/>
      <c r="AF99" s="741"/>
      <c r="AG99" s="741"/>
      <c r="AH99" s="741"/>
      <c r="AI99" s="741"/>
      <c r="AJ99" s="741"/>
      <c r="AK99" s="741"/>
      <c r="AL99" s="741"/>
      <c r="AM99" s="741"/>
      <c r="AN99" s="741"/>
      <c r="AO99" s="741"/>
      <c r="AP99" s="741"/>
    </row>
    <row r="100" spans="1:42" ht="12.75" customHeight="1">
      <c r="A100" s="741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1"/>
      <c r="P100" s="741"/>
      <c r="Q100" s="741"/>
      <c r="R100" s="741"/>
      <c r="S100" s="741"/>
      <c r="T100" s="741"/>
      <c r="U100" s="741"/>
      <c r="V100" s="741"/>
      <c r="W100" s="741"/>
      <c r="X100" s="741"/>
      <c r="Y100" s="741"/>
      <c r="Z100" s="741"/>
      <c r="AA100" s="741"/>
      <c r="AB100" s="741"/>
      <c r="AC100" s="741"/>
      <c r="AD100" s="741"/>
      <c r="AE100" s="741"/>
      <c r="AF100" s="741"/>
      <c r="AG100" s="741"/>
      <c r="AH100" s="741"/>
      <c r="AI100" s="741"/>
      <c r="AJ100" s="741"/>
      <c r="AK100" s="741"/>
      <c r="AL100" s="741"/>
      <c r="AM100" s="741"/>
      <c r="AN100" s="741"/>
      <c r="AO100" s="741"/>
      <c r="AP100" s="741"/>
    </row>
    <row r="101" spans="1:42" ht="12.75" customHeight="1">
      <c r="A101" s="741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1"/>
      <c r="P101" s="741"/>
      <c r="Q101" s="741"/>
      <c r="R101" s="741"/>
      <c r="S101" s="741"/>
      <c r="T101" s="741"/>
      <c r="U101" s="741"/>
      <c r="V101" s="741"/>
      <c r="W101" s="741"/>
      <c r="X101" s="741"/>
      <c r="Y101" s="741"/>
      <c r="Z101" s="741"/>
      <c r="AA101" s="741"/>
      <c r="AB101" s="741"/>
      <c r="AC101" s="741"/>
      <c r="AD101" s="741"/>
      <c r="AE101" s="741"/>
      <c r="AF101" s="741"/>
      <c r="AG101" s="741"/>
      <c r="AH101" s="741"/>
      <c r="AI101" s="741"/>
      <c r="AJ101" s="741"/>
      <c r="AK101" s="741"/>
      <c r="AL101" s="741"/>
      <c r="AM101" s="741"/>
      <c r="AN101" s="741"/>
      <c r="AO101" s="741"/>
      <c r="AP101" s="741"/>
    </row>
    <row r="102" spans="1:42" ht="12.75" customHeight="1">
      <c r="A102" s="741"/>
      <c r="B102" s="741"/>
      <c r="C102" s="741"/>
      <c r="D102" s="741"/>
      <c r="E102" s="741"/>
      <c r="F102" s="741"/>
      <c r="G102" s="741"/>
      <c r="H102" s="741"/>
      <c r="I102" s="741"/>
      <c r="J102" s="741"/>
      <c r="K102" s="741"/>
      <c r="L102" s="741"/>
      <c r="M102" s="741"/>
      <c r="N102" s="741"/>
      <c r="O102" s="741"/>
      <c r="P102" s="741"/>
      <c r="Q102" s="741"/>
      <c r="R102" s="741"/>
      <c r="S102" s="741"/>
      <c r="T102" s="741"/>
      <c r="U102" s="741"/>
      <c r="V102" s="741"/>
      <c r="W102" s="741"/>
      <c r="X102" s="741"/>
      <c r="Y102" s="741"/>
      <c r="Z102" s="741"/>
      <c r="AA102" s="741"/>
      <c r="AB102" s="741"/>
      <c r="AC102" s="741"/>
      <c r="AD102" s="741"/>
      <c r="AE102" s="741"/>
      <c r="AF102" s="741"/>
      <c r="AG102" s="741"/>
      <c r="AH102" s="741"/>
      <c r="AI102" s="741"/>
      <c r="AJ102" s="741"/>
      <c r="AK102" s="741"/>
      <c r="AL102" s="741"/>
      <c r="AM102" s="741"/>
      <c r="AN102" s="741"/>
      <c r="AO102" s="741"/>
      <c r="AP102" s="741"/>
    </row>
    <row r="103" spans="1:42" ht="12.75" customHeight="1">
      <c r="A103" s="741"/>
      <c r="B103" s="741"/>
      <c r="C103" s="741"/>
      <c r="D103" s="741"/>
      <c r="E103" s="741"/>
      <c r="F103" s="741"/>
      <c r="G103" s="741"/>
      <c r="H103" s="741"/>
      <c r="I103" s="741"/>
      <c r="J103" s="741"/>
      <c r="K103" s="741"/>
      <c r="L103" s="741"/>
      <c r="M103" s="741"/>
      <c r="N103" s="741"/>
      <c r="O103" s="741"/>
      <c r="P103" s="741"/>
      <c r="Q103" s="741"/>
      <c r="R103" s="741"/>
      <c r="S103" s="741"/>
      <c r="T103" s="741"/>
      <c r="U103" s="741"/>
      <c r="V103" s="741"/>
      <c r="W103" s="741"/>
      <c r="X103" s="741"/>
      <c r="Y103" s="741"/>
      <c r="Z103" s="741"/>
      <c r="AA103" s="741"/>
      <c r="AB103" s="741"/>
      <c r="AC103" s="741"/>
      <c r="AD103" s="741"/>
      <c r="AE103" s="741"/>
      <c r="AF103" s="741"/>
      <c r="AG103" s="741"/>
      <c r="AH103" s="741"/>
      <c r="AI103" s="741"/>
      <c r="AJ103" s="741"/>
      <c r="AK103" s="741"/>
      <c r="AL103" s="741"/>
      <c r="AM103" s="741"/>
      <c r="AN103" s="741"/>
      <c r="AO103" s="741"/>
      <c r="AP103" s="741"/>
    </row>
    <row r="104" spans="1:42" ht="12.75" customHeight="1">
      <c r="A104" s="741"/>
      <c r="B104" s="741"/>
      <c r="C104" s="741"/>
      <c r="D104" s="741"/>
      <c r="E104" s="741"/>
      <c r="F104" s="741"/>
      <c r="G104" s="741"/>
      <c r="H104" s="741"/>
      <c r="I104" s="741"/>
      <c r="J104" s="741"/>
      <c r="K104" s="741"/>
      <c r="L104" s="741"/>
      <c r="M104" s="741"/>
      <c r="N104" s="741"/>
      <c r="O104" s="741"/>
      <c r="P104" s="741"/>
      <c r="Q104" s="741"/>
      <c r="R104" s="741"/>
      <c r="S104" s="741"/>
      <c r="T104" s="741"/>
      <c r="U104" s="741"/>
      <c r="V104" s="741"/>
      <c r="W104" s="741"/>
      <c r="X104" s="741"/>
      <c r="Y104" s="741"/>
      <c r="Z104" s="741"/>
      <c r="AA104" s="741"/>
      <c r="AB104" s="741"/>
      <c r="AC104" s="741"/>
      <c r="AD104" s="741"/>
      <c r="AE104" s="741"/>
      <c r="AF104" s="741"/>
      <c r="AG104" s="741"/>
      <c r="AH104" s="741"/>
      <c r="AI104" s="741"/>
      <c r="AJ104" s="741"/>
      <c r="AK104" s="741"/>
      <c r="AL104" s="741"/>
      <c r="AM104" s="741"/>
      <c r="AN104" s="741"/>
      <c r="AO104" s="741"/>
      <c r="AP104" s="741"/>
    </row>
    <row r="105" spans="1:42" ht="12.75" customHeight="1">
      <c r="A105" s="741"/>
      <c r="B105" s="741"/>
      <c r="C105" s="741"/>
      <c r="D105" s="741"/>
      <c r="E105" s="741"/>
      <c r="F105" s="741"/>
      <c r="G105" s="741"/>
      <c r="H105" s="741"/>
      <c r="I105" s="741"/>
      <c r="J105" s="741"/>
      <c r="K105" s="741"/>
      <c r="L105" s="741"/>
      <c r="M105" s="741"/>
      <c r="N105" s="741"/>
      <c r="O105" s="741"/>
      <c r="P105" s="741"/>
      <c r="Q105" s="741"/>
      <c r="R105" s="741"/>
      <c r="S105" s="741"/>
      <c r="T105" s="741"/>
      <c r="U105" s="741"/>
      <c r="V105" s="741"/>
      <c r="W105" s="741"/>
      <c r="X105" s="741"/>
      <c r="Y105" s="741"/>
      <c r="Z105" s="741"/>
      <c r="AA105" s="741"/>
      <c r="AB105" s="741"/>
      <c r="AC105" s="741"/>
      <c r="AD105" s="741"/>
      <c r="AE105" s="741"/>
      <c r="AF105" s="741"/>
      <c r="AG105" s="741"/>
      <c r="AH105" s="741"/>
      <c r="AI105" s="741"/>
      <c r="AJ105" s="741"/>
      <c r="AK105" s="741"/>
      <c r="AL105" s="741"/>
      <c r="AM105" s="741"/>
      <c r="AN105" s="741"/>
      <c r="AO105" s="741"/>
      <c r="AP105" s="741"/>
    </row>
    <row r="106" spans="1:42" ht="12.75" customHeight="1">
      <c r="A106" s="741"/>
      <c r="B106" s="741"/>
      <c r="C106" s="741"/>
      <c r="D106" s="741"/>
      <c r="E106" s="741"/>
      <c r="F106" s="741"/>
      <c r="G106" s="741"/>
      <c r="H106" s="741"/>
      <c r="I106" s="741"/>
      <c r="J106" s="741"/>
      <c r="K106" s="741"/>
      <c r="L106" s="741"/>
      <c r="M106" s="741"/>
      <c r="N106" s="741"/>
      <c r="O106" s="741"/>
      <c r="P106" s="741"/>
      <c r="Q106" s="741"/>
      <c r="R106" s="741"/>
      <c r="S106" s="741"/>
      <c r="T106" s="741"/>
      <c r="U106" s="741"/>
      <c r="V106" s="741"/>
      <c r="W106" s="741"/>
      <c r="X106" s="741"/>
      <c r="Y106" s="741"/>
      <c r="Z106" s="741"/>
      <c r="AA106" s="741"/>
      <c r="AB106" s="741"/>
      <c r="AC106" s="741"/>
      <c r="AD106" s="741"/>
      <c r="AE106" s="741"/>
      <c r="AF106" s="741"/>
      <c r="AG106" s="741"/>
      <c r="AH106" s="741"/>
      <c r="AI106" s="741"/>
      <c r="AJ106" s="741"/>
      <c r="AK106" s="741"/>
      <c r="AL106" s="741"/>
      <c r="AM106" s="741"/>
      <c r="AN106" s="741"/>
      <c r="AO106" s="741"/>
      <c r="AP106" s="741"/>
    </row>
    <row r="107" spans="1:42" ht="12.75" customHeight="1">
      <c r="A107" s="741"/>
      <c r="B107" s="741"/>
      <c r="C107" s="741"/>
      <c r="D107" s="741"/>
      <c r="E107" s="741"/>
      <c r="F107" s="741"/>
      <c r="G107" s="741"/>
      <c r="H107" s="741"/>
      <c r="I107" s="741"/>
      <c r="J107" s="741"/>
      <c r="K107" s="741"/>
      <c r="L107" s="741"/>
      <c r="M107" s="741"/>
      <c r="N107" s="741"/>
      <c r="O107" s="741"/>
      <c r="P107" s="741"/>
      <c r="Q107" s="741"/>
      <c r="R107" s="741"/>
      <c r="S107" s="741"/>
      <c r="T107" s="741"/>
      <c r="U107" s="741"/>
      <c r="V107" s="741"/>
      <c r="W107" s="741"/>
      <c r="X107" s="741"/>
      <c r="Y107" s="741"/>
      <c r="Z107" s="741"/>
      <c r="AA107" s="741"/>
      <c r="AB107" s="741"/>
      <c r="AC107" s="741"/>
      <c r="AD107" s="741"/>
      <c r="AE107" s="741"/>
      <c r="AF107" s="741"/>
      <c r="AG107" s="741"/>
      <c r="AH107" s="741"/>
      <c r="AI107" s="741"/>
      <c r="AJ107" s="741"/>
      <c r="AK107" s="741"/>
      <c r="AL107" s="741"/>
      <c r="AM107" s="741"/>
      <c r="AN107" s="741"/>
      <c r="AO107" s="741"/>
      <c r="AP107" s="741"/>
    </row>
    <row r="108" spans="1:42" ht="12.75" customHeight="1">
      <c r="A108" s="741"/>
      <c r="B108" s="741"/>
      <c r="C108" s="741"/>
      <c r="D108" s="741"/>
      <c r="E108" s="741"/>
      <c r="F108" s="741"/>
      <c r="G108" s="741"/>
      <c r="H108" s="741"/>
      <c r="I108" s="741"/>
      <c r="J108" s="741"/>
      <c r="K108" s="741"/>
      <c r="L108" s="741"/>
      <c r="M108" s="741"/>
      <c r="N108" s="741"/>
      <c r="O108" s="741"/>
      <c r="P108" s="741"/>
      <c r="Q108" s="741"/>
      <c r="R108" s="741"/>
      <c r="S108" s="741"/>
      <c r="T108" s="741"/>
      <c r="U108" s="741"/>
      <c r="V108" s="741"/>
      <c r="W108" s="741"/>
      <c r="X108" s="741"/>
      <c r="Y108" s="741"/>
      <c r="Z108" s="741"/>
      <c r="AA108" s="741"/>
      <c r="AB108" s="741"/>
      <c r="AC108" s="741"/>
      <c r="AD108" s="741"/>
      <c r="AE108" s="741"/>
      <c r="AF108" s="741"/>
      <c r="AG108" s="741"/>
      <c r="AH108" s="741"/>
      <c r="AI108" s="741"/>
      <c r="AJ108" s="741"/>
      <c r="AK108" s="741"/>
      <c r="AL108" s="741"/>
      <c r="AM108" s="741"/>
      <c r="AN108" s="741"/>
      <c r="AO108" s="741"/>
      <c r="AP108" s="741"/>
    </row>
    <row r="109" spans="1:42" ht="12.75" customHeight="1">
      <c r="A109" s="741"/>
      <c r="B109" s="741"/>
      <c r="C109" s="741"/>
      <c r="D109" s="741"/>
      <c r="E109" s="741"/>
      <c r="F109" s="741"/>
      <c r="G109" s="741"/>
      <c r="H109" s="741"/>
      <c r="I109" s="741"/>
      <c r="J109" s="741"/>
      <c r="K109" s="741"/>
      <c r="L109" s="741"/>
      <c r="M109" s="741"/>
      <c r="N109" s="741"/>
      <c r="O109" s="741"/>
      <c r="P109" s="741"/>
      <c r="Q109" s="741"/>
      <c r="R109" s="741"/>
      <c r="S109" s="741"/>
      <c r="T109" s="741"/>
      <c r="U109" s="741"/>
      <c r="V109" s="741"/>
      <c r="W109" s="741"/>
      <c r="X109" s="741"/>
      <c r="Y109" s="741"/>
      <c r="Z109" s="741"/>
      <c r="AA109" s="741"/>
      <c r="AB109" s="741"/>
      <c r="AC109" s="741"/>
      <c r="AD109" s="741"/>
      <c r="AE109" s="741"/>
      <c r="AF109" s="741"/>
      <c r="AG109" s="741"/>
      <c r="AH109" s="741"/>
      <c r="AI109" s="741"/>
      <c r="AJ109" s="741"/>
      <c r="AK109" s="741"/>
      <c r="AL109" s="741"/>
      <c r="AM109" s="741"/>
      <c r="AN109" s="741"/>
      <c r="AO109" s="741"/>
      <c r="AP109" s="741"/>
    </row>
    <row r="110" spans="1:42" ht="12.75" customHeight="1">
      <c r="A110" s="741"/>
      <c r="B110" s="741"/>
      <c r="C110" s="741"/>
      <c r="D110" s="741"/>
      <c r="E110" s="741"/>
      <c r="F110" s="741"/>
      <c r="G110" s="741"/>
      <c r="H110" s="741"/>
      <c r="I110" s="741"/>
      <c r="J110" s="741"/>
      <c r="K110" s="741"/>
      <c r="L110" s="741"/>
      <c r="M110" s="741"/>
      <c r="N110" s="741"/>
      <c r="O110" s="741"/>
      <c r="P110" s="741"/>
      <c r="Q110" s="741"/>
      <c r="R110" s="741"/>
      <c r="S110" s="741"/>
      <c r="T110" s="741"/>
      <c r="U110" s="741"/>
      <c r="V110" s="741"/>
      <c r="W110" s="741"/>
      <c r="X110" s="741"/>
      <c r="Y110" s="741"/>
      <c r="Z110" s="741"/>
      <c r="AA110" s="741"/>
      <c r="AB110" s="741"/>
      <c r="AC110" s="741"/>
      <c r="AD110" s="741"/>
      <c r="AE110" s="741"/>
      <c r="AF110" s="741"/>
      <c r="AG110" s="741"/>
      <c r="AH110" s="741"/>
      <c r="AI110" s="741"/>
      <c r="AJ110" s="741"/>
      <c r="AK110" s="741"/>
      <c r="AL110" s="741"/>
      <c r="AM110" s="741"/>
      <c r="AN110" s="741"/>
      <c r="AO110" s="741"/>
      <c r="AP110" s="741"/>
    </row>
    <row r="111" spans="1:42" ht="12.75" customHeight="1">
      <c r="A111" s="741"/>
      <c r="B111" s="741"/>
      <c r="C111" s="741"/>
      <c r="D111" s="741"/>
      <c r="E111" s="741"/>
      <c r="F111" s="741"/>
      <c r="G111" s="741"/>
      <c r="H111" s="741"/>
      <c r="I111" s="741"/>
      <c r="J111" s="741"/>
      <c r="K111" s="741"/>
      <c r="L111" s="741"/>
      <c r="M111" s="741"/>
      <c r="N111" s="741"/>
      <c r="O111" s="741"/>
      <c r="P111" s="741"/>
      <c r="Q111" s="741"/>
      <c r="R111" s="741"/>
      <c r="S111" s="741"/>
      <c r="T111" s="741"/>
      <c r="U111" s="741"/>
      <c r="V111" s="741"/>
      <c r="W111" s="741"/>
      <c r="X111" s="741"/>
      <c r="Y111" s="741"/>
      <c r="Z111" s="741"/>
      <c r="AA111" s="741"/>
      <c r="AB111" s="741"/>
      <c r="AC111" s="741"/>
      <c r="AD111" s="741"/>
      <c r="AE111" s="741"/>
      <c r="AF111" s="741"/>
      <c r="AG111" s="741"/>
      <c r="AH111" s="741"/>
      <c r="AI111" s="741"/>
      <c r="AJ111" s="741"/>
      <c r="AK111" s="741"/>
      <c r="AL111" s="741"/>
      <c r="AM111" s="741"/>
      <c r="AN111" s="741"/>
      <c r="AO111" s="741"/>
      <c r="AP111" s="741"/>
    </row>
    <row r="112" spans="1:42" ht="12.75" customHeight="1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1"/>
      <c r="P112" s="741"/>
      <c r="Q112" s="741"/>
      <c r="R112" s="741"/>
      <c r="S112" s="741"/>
      <c r="T112" s="741"/>
      <c r="U112" s="741"/>
      <c r="V112" s="741"/>
      <c r="W112" s="741"/>
      <c r="X112" s="741"/>
      <c r="Y112" s="741"/>
      <c r="Z112" s="741"/>
      <c r="AA112" s="741"/>
      <c r="AB112" s="741"/>
      <c r="AC112" s="741"/>
      <c r="AD112" s="741"/>
      <c r="AE112" s="741"/>
      <c r="AF112" s="741"/>
      <c r="AG112" s="741"/>
      <c r="AH112" s="741"/>
      <c r="AI112" s="741"/>
      <c r="AJ112" s="741"/>
      <c r="AK112" s="741"/>
      <c r="AL112" s="741"/>
      <c r="AM112" s="741"/>
      <c r="AN112" s="741"/>
      <c r="AO112" s="741"/>
      <c r="AP112" s="741"/>
    </row>
    <row r="113" spans="1:42" ht="12.75" customHeight="1">
      <c r="A113" s="741"/>
      <c r="B113" s="741"/>
      <c r="C113" s="741"/>
      <c r="D113" s="741"/>
      <c r="E113" s="741"/>
      <c r="F113" s="741"/>
      <c r="G113" s="741"/>
      <c r="H113" s="741"/>
      <c r="I113" s="741"/>
      <c r="J113" s="741"/>
      <c r="K113" s="741"/>
      <c r="L113" s="741"/>
      <c r="M113" s="741"/>
      <c r="N113" s="741"/>
      <c r="O113" s="741"/>
      <c r="P113" s="741"/>
      <c r="Q113" s="741"/>
      <c r="R113" s="741"/>
      <c r="S113" s="741"/>
      <c r="T113" s="741"/>
      <c r="U113" s="741"/>
      <c r="V113" s="741"/>
      <c r="W113" s="741"/>
      <c r="X113" s="741"/>
      <c r="Y113" s="741"/>
      <c r="Z113" s="741"/>
      <c r="AA113" s="741"/>
      <c r="AB113" s="741"/>
      <c r="AC113" s="741"/>
      <c r="AD113" s="741"/>
      <c r="AE113" s="741"/>
      <c r="AF113" s="741"/>
      <c r="AG113" s="741"/>
      <c r="AH113" s="741"/>
      <c r="AI113" s="741"/>
      <c r="AJ113" s="741"/>
      <c r="AK113" s="741"/>
      <c r="AL113" s="741"/>
      <c r="AM113" s="741"/>
      <c r="AN113" s="741"/>
      <c r="AO113" s="741"/>
      <c r="AP113" s="741"/>
    </row>
    <row r="114" spans="1:42" ht="12.75" customHeight="1">
      <c r="A114" s="741"/>
      <c r="B114" s="741"/>
      <c r="C114" s="741"/>
      <c r="D114" s="741"/>
      <c r="E114" s="741"/>
      <c r="F114" s="741"/>
      <c r="G114" s="741"/>
      <c r="H114" s="741"/>
      <c r="I114" s="741"/>
      <c r="J114" s="741"/>
      <c r="K114" s="741"/>
      <c r="L114" s="741"/>
      <c r="M114" s="741"/>
      <c r="N114" s="741"/>
      <c r="O114" s="741"/>
      <c r="P114" s="741"/>
      <c r="Q114" s="741"/>
      <c r="R114" s="741"/>
      <c r="S114" s="741"/>
      <c r="T114" s="741"/>
      <c r="U114" s="741"/>
      <c r="V114" s="741"/>
      <c r="W114" s="741"/>
      <c r="X114" s="741"/>
      <c r="Y114" s="741"/>
      <c r="Z114" s="741"/>
      <c r="AA114" s="741"/>
      <c r="AB114" s="741"/>
      <c r="AC114" s="741"/>
      <c r="AD114" s="741"/>
      <c r="AE114" s="741"/>
      <c r="AF114" s="741"/>
      <c r="AG114" s="741"/>
      <c r="AH114" s="741"/>
      <c r="AI114" s="741"/>
      <c r="AJ114" s="741"/>
      <c r="AK114" s="741"/>
      <c r="AL114" s="741"/>
      <c r="AM114" s="741"/>
      <c r="AN114" s="741"/>
      <c r="AO114" s="741"/>
      <c r="AP114" s="741"/>
    </row>
    <row r="115" spans="1:42" ht="12.75" customHeight="1">
      <c r="A115" s="741"/>
      <c r="B115" s="741"/>
      <c r="C115" s="741"/>
      <c r="D115" s="741"/>
      <c r="E115" s="741"/>
      <c r="F115" s="741"/>
      <c r="G115" s="741"/>
      <c r="H115" s="741"/>
      <c r="I115" s="741"/>
      <c r="J115" s="741"/>
      <c r="K115" s="741"/>
      <c r="L115" s="741"/>
      <c r="M115" s="741"/>
      <c r="N115" s="741"/>
      <c r="O115" s="741"/>
      <c r="P115" s="741"/>
      <c r="Q115" s="741"/>
      <c r="R115" s="741"/>
      <c r="S115" s="741"/>
      <c r="T115" s="741"/>
      <c r="U115" s="741"/>
      <c r="V115" s="741"/>
      <c r="W115" s="741"/>
      <c r="X115" s="741"/>
      <c r="Y115" s="741"/>
      <c r="Z115" s="741"/>
      <c r="AA115" s="741"/>
      <c r="AB115" s="741"/>
      <c r="AC115" s="741"/>
      <c r="AD115" s="741"/>
      <c r="AE115" s="741"/>
      <c r="AF115" s="741"/>
      <c r="AG115" s="741"/>
      <c r="AH115" s="741"/>
      <c r="AI115" s="741"/>
      <c r="AJ115" s="741"/>
      <c r="AK115" s="741"/>
      <c r="AL115" s="741"/>
      <c r="AM115" s="741"/>
      <c r="AN115" s="741"/>
      <c r="AO115" s="741"/>
      <c r="AP115" s="741"/>
    </row>
    <row r="116" spans="1:42" ht="12.75" customHeight="1">
      <c r="A116" s="741"/>
      <c r="B116" s="741"/>
      <c r="C116" s="741"/>
      <c r="D116" s="741"/>
      <c r="E116" s="741"/>
      <c r="F116" s="741"/>
      <c r="G116" s="741"/>
      <c r="H116" s="741"/>
      <c r="I116" s="741"/>
      <c r="J116" s="741"/>
      <c r="K116" s="741"/>
      <c r="L116" s="741"/>
      <c r="M116" s="741"/>
      <c r="N116" s="741"/>
      <c r="O116" s="741"/>
      <c r="P116" s="741"/>
      <c r="Q116" s="741"/>
      <c r="R116" s="741"/>
      <c r="S116" s="741"/>
      <c r="T116" s="741"/>
      <c r="U116" s="741"/>
      <c r="V116" s="741"/>
      <c r="W116" s="741"/>
      <c r="X116" s="741"/>
      <c r="Y116" s="741"/>
      <c r="Z116" s="741"/>
      <c r="AA116" s="741"/>
      <c r="AB116" s="741"/>
      <c r="AC116" s="741"/>
      <c r="AD116" s="741"/>
      <c r="AE116" s="741"/>
      <c r="AF116" s="741"/>
      <c r="AG116" s="741"/>
      <c r="AH116" s="741"/>
      <c r="AI116" s="741"/>
      <c r="AJ116" s="741"/>
      <c r="AK116" s="741"/>
      <c r="AL116" s="741"/>
      <c r="AM116" s="741"/>
      <c r="AN116" s="741"/>
      <c r="AO116" s="741"/>
      <c r="AP116" s="741"/>
    </row>
    <row r="117" spans="1:42" ht="12.75" customHeight="1">
      <c r="A117" s="741"/>
      <c r="B117" s="741"/>
      <c r="C117" s="741"/>
      <c r="D117" s="741"/>
      <c r="E117" s="741"/>
      <c r="F117" s="741"/>
      <c r="G117" s="741"/>
      <c r="H117" s="741"/>
      <c r="I117" s="741"/>
      <c r="J117" s="741"/>
      <c r="K117" s="741"/>
      <c r="L117" s="741"/>
      <c r="M117" s="741"/>
      <c r="N117" s="741"/>
      <c r="O117" s="741"/>
      <c r="P117" s="741"/>
      <c r="Q117" s="741"/>
      <c r="R117" s="741"/>
      <c r="S117" s="741"/>
      <c r="T117" s="741"/>
      <c r="U117" s="741"/>
      <c r="V117" s="741"/>
      <c r="W117" s="741"/>
      <c r="X117" s="741"/>
      <c r="Y117" s="741"/>
      <c r="Z117" s="741"/>
      <c r="AA117" s="741"/>
      <c r="AB117" s="741"/>
      <c r="AC117" s="741"/>
      <c r="AD117" s="741"/>
      <c r="AE117" s="741"/>
      <c r="AF117" s="741"/>
      <c r="AG117" s="741"/>
      <c r="AH117" s="741"/>
      <c r="AI117" s="741"/>
      <c r="AJ117" s="741"/>
      <c r="AK117" s="741"/>
      <c r="AL117" s="741"/>
      <c r="AM117" s="741"/>
      <c r="AN117" s="741"/>
      <c r="AO117" s="741"/>
      <c r="AP117" s="741"/>
    </row>
    <row r="118" spans="1:42" ht="12.75" customHeight="1">
      <c r="A118" s="741"/>
      <c r="B118" s="741"/>
      <c r="C118" s="741"/>
      <c r="D118" s="741"/>
      <c r="E118" s="741"/>
      <c r="F118" s="741"/>
      <c r="G118" s="741"/>
      <c r="H118" s="741"/>
      <c r="I118" s="741"/>
      <c r="J118" s="741"/>
      <c r="K118" s="741"/>
      <c r="L118" s="741"/>
      <c r="M118" s="741"/>
      <c r="N118" s="741"/>
      <c r="O118" s="741"/>
      <c r="P118" s="741"/>
      <c r="Q118" s="741"/>
      <c r="R118" s="741"/>
      <c r="S118" s="741"/>
      <c r="T118" s="741"/>
      <c r="U118" s="741"/>
      <c r="V118" s="741"/>
      <c r="W118" s="741"/>
      <c r="X118" s="741"/>
      <c r="Y118" s="741"/>
      <c r="Z118" s="741"/>
      <c r="AA118" s="741"/>
      <c r="AB118" s="741"/>
      <c r="AC118" s="741"/>
      <c r="AD118" s="741"/>
      <c r="AE118" s="741"/>
      <c r="AF118" s="741"/>
      <c r="AG118" s="741"/>
      <c r="AH118" s="741"/>
      <c r="AI118" s="741"/>
      <c r="AJ118" s="741"/>
      <c r="AK118" s="741"/>
      <c r="AL118" s="741"/>
      <c r="AM118" s="741"/>
      <c r="AN118" s="741"/>
      <c r="AO118" s="741"/>
      <c r="AP118" s="741"/>
    </row>
    <row r="119" spans="1:42" ht="12.75" customHeight="1">
      <c r="A119" s="741"/>
      <c r="B119" s="741"/>
      <c r="C119" s="741"/>
      <c r="D119" s="741"/>
      <c r="E119" s="741"/>
      <c r="F119" s="741"/>
      <c r="G119" s="741"/>
      <c r="H119" s="741"/>
      <c r="I119" s="741"/>
      <c r="J119" s="741"/>
      <c r="K119" s="741"/>
      <c r="L119" s="741"/>
      <c r="M119" s="741"/>
      <c r="N119" s="741"/>
      <c r="O119" s="741"/>
      <c r="P119" s="741"/>
      <c r="Q119" s="741"/>
      <c r="R119" s="741"/>
      <c r="S119" s="741"/>
      <c r="T119" s="741"/>
      <c r="U119" s="741"/>
      <c r="V119" s="741"/>
      <c r="W119" s="741"/>
      <c r="X119" s="741"/>
      <c r="Y119" s="741"/>
      <c r="Z119" s="741"/>
      <c r="AA119" s="741"/>
      <c r="AB119" s="741"/>
      <c r="AC119" s="741"/>
      <c r="AD119" s="741"/>
      <c r="AE119" s="741"/>
      <c r="AF119" s="741"/>
      <c r="AG119" s="741"/>
      <c r="AH119" s="741"/>
      <c r="AI119" s="741"/>
      <c r="AJ119" s="741"/>
      <c r="AK119" s="741"/>
      <c r="AL119" s="741"/>
      <c r="AM119" s="741"/>
      <c r="AN119" s="741"/>
      <c r="AO119" s="741"/>
      <c r="AP119" s="741"/>
    </row>
    <row r="120" spans="1:42" ht="12.75" customHeight="1">
      <c r="A120" s="741"/>
      <c r="B120" s="741"/>
      <c r="C120" s="741"/>
      <c r="D120" s="741"/>
      <c r="E120" s="741"/>
      <c r="F120" s="741"/>
      <c r="G120" s="741"/>
      <c r="H120" s="741"/>
      <c r="I120" s="741"/>
      <c r="J120" s="741"/>
      <c r="K120" s="741"/>
      <c r="L120" s="741"/>
      <c r="M120" s="741"/>
      <c r="N120" s="741"/>
      <c r="O120" s="741"/>
      <c r="P120" s="741"/>
      <c r="Q120" s="741"/>
      <c r="R120" s="741"/>
      <c r="S120" s="741"/>
      <c r="T120" s="741"/>
      <c r="U120" s="741"/>
      <c r="V120" s="741"/>
      <c r="W120" s="741"/>
      <c r="X120" s="741"/>
      <c r="Y120" s="741"/>
      <c r="Z120" s="741"/>
      <c r="AA120" s="741"/>
      <c r="AB120" s="741"/>
      <c r="AC120" s="741"/>
      <c r="AD120" s="741"/>
      <c r="AE120" s="741"/>
      <c r="AF120" s="741"/>
      <c r="AG120" s="741"/>
      <c r="AH120" s="741"/>
      <c r="AI120" s="741"/>
      <c r="AJ120" s="741"/>
      <c r="AK120" s="741"/>
      <c r="AL120" s="741"/>
      <c r="AM120" s="741"/>
      <c r="AN120" s="741"/>
      <c r="AO120" s="741"/>
      <c r="AP120" s="741"/>
    </row>
    <row r="121" spans="1:42" ht="12.75" customHeight="1">
      <c r="A121" s="741"/>
      <c r="B121" s="741"/>
      <c r="C121" s="741"/>
      <c r="D121" s="741"/>
      <c r="E121" s="741"/>
      <c r="F121" s="741"/>
      <c r="G121" s="741"/>
      <c r="H121" s="741"/>
      <c r="I121" s="741"/>
      <c r="J121" s="741"/>
      <c r="K121" s="741"/>
      <c r="L121" s="741"/>
      <c r="M121" s="741"/>
      <c r="N121" s="741"/>
      <c r="O121" s="741"/>
      <c r="P121" s="741"/>
      <c r="Q121" s="741"/>
      <c r="R121" s="741"/>
      <c r="S121" s="741"/>
      <c r="T121" s="741"/>
      <c r="U121" s="741"/>
      <c r="V121" s="741"/>
      <c r="W121" s="741"/>
      <c r="X121" s="741"/>
      <c r="Y121" s="741"/>
      <c r="Z121" s="741"/>
      <c r="AA121" s="741"/>
      <c r="AB121" s="741"/>
      <c r="AC121" s="741"/>
      <c r="AD121" s="741"/>
      <c r="AE121" s="741"/>
      <c r="AF121" s="741"/>
      <c r="AG121" s="741"/>
      <c r="AH121" s="741"/>
      <c r="AI121" s="741"/>
      <c r="AJ121" s="741"/>
      <c r="AK121" s="741"/>
      <c r="AL121" s="741"/>
      <c r="AM121" s="741"/>
      <c r="AN121" s="741"/>
      <c r="AO121" s="741"/>
      <c r="AP121" s="741"/>
    </row>
    <row r="122" spans="1:42" ht="12.75" customHeight="1">
      <c r="A122" s="741"/>
      <c r="B122" s="741"/>
      <c r="C122" s="741"/>
      <c r="D122" s="741"/>
      <c r="E122" s="741"/>
      <c r="F122" s="741"/>
      <c r="G122" s="741"/>
      <c r="H122" s="741"/>
      <c r="I122" s="741"/>
      <c r="J122" s="741"/>
      <c r="K122" s="741"/>
      <c r="L122" s="741"/>
      <c r="M122" s="741"/>
      <c r="N122" s="741"/>
      <c r="O122" s="741"/>
      <c r="P122" s="741"/>
      <c r="Q122" s="741"/>
      <c r="R122" s="741"/>
      <c r="S122" s="741"/>
      <c r="T122" s="741"/>
      <c r="U122" s="741"/>
      <c r="V122" s="741"/>
      <c r="W122" s="741"/>
      <c r="X122" s="741"/>
      <c r="Y122" s="741"/>
      <c r="Z122" s="741"/>
      <c r="AA122" s="741"/>
      <c r="AB122" s="741"/>
      <c r="AC122" s="741"/>
      <c r="AD122" s="741"/>
      <c r="AE122" s="741"/>
      <c r="AF122" s="741"/>
      <c r="AG122" s="741"/>
      <c r="AH122" s="741"/>
      <c r="AI122" s="741"/>
      <c r="AJ122" s="741"/>
      <c r="AK122" s="741"/>
      <c r="AL122" s="741"/>
      <c r="AM122" s="741"/>
      <c r="AN122" s="741"/>
      <c r="AO122" s="741"/>
      <c r="AP122" s="741"/>
    </row>
    <row r="123" spans="1:42" ht="12.75" customHeight="1">
      <c r="A123" s="741"/>
      <c r="B123" s="741"/>
      <c r="C123" s="741"/>
      <c r="D123" s="741"/>
      <c r="E123" s="741"/>
      <c r="F123" s="741"/>
      <c r="G123" s="741"/>
      <c r="H123" s="741"/>
      <c r="I123" s="741"/>
      <c r="J123" s="741"/>
      <c r="K123" s="741"/>
      <c r="L123" s="741"/>
      <c r="M123" s="741"/>
      <c r="N123" s="741"/>
      <c r="O123" s="741"/>
      <c r="P123" s="741"/>
      <c r="Q123" s="741"/>
      <c r="R123" s="741"/>
      <c r="S123" s="741"/>
      <c r="T123" s="741"/>
      <c r="U123" s="741"/>
      <c r="V123" s="741"/>
      <c r="W123" s="741"/>
      <c r="X123" s="741"/>
      <c r="Y123" s="741"/>
      <c r="Z123" s="741"/>
      <c r="AA123" s="741"/>
      <c r="AB123" s="741"/>
      <c r="AC123" s="741"/>
      <c r="AD123" s="741"/>
      <c r="AE123" s="741"/>
      <c r="AF123" s="741"/>
      <c r="AG123" s="741"/>
      <c r="AH123" s="741"/>
      <c r="AI123" s="741"/>
      <c r="AJ123" s="741"/>
      <c r="AK123" s="741"/>
      <c r="AL123" s="741"/>
      <c r="AM123" s="741"/>
      <c r="AN123" s="741"/>
      <c r="AO123" s="741"/>
      <c r="AP123" s="741"/>
    </row>
    <row r="124" spans="1:42" ht="12.75" customHeight="1">
      <c r="A124" s="741"/>
      <c r="B124" s="741"/>
      <c r="C124" s="741"/>
      <c r="D124" s="741"/>
      <c r="E124" s="741"/>
      <c r="F124" s="741"/>
      <c r="G124" s="741"/>
      <c r="H124" s="741"/>
      <c r="I124" s="741"/>
      <c r="J124" s="741"/>
      <c r="K124" s="741"/>
      <c r="L124" s="741"/>
      <c r="M124" s="741"/>
      <c r="N124" s="741"/>
      <c r="O124" s="741"/>
      <c r="P124" s="741"/>
      <c r="Q124" s="741"/>
      <c r="R124" s="741"/>
      <c r="S124" s="741"/>
      <c r="T124" s="741"/>
      <c r="U124" s="741"/>
      <c r="V124" s="741"/>
      <c r="W124" s="741"/>
      <c r="X124" s="741"/>
      <c r="Y124" s="741"/>
      <c r="Z124" s="741"/>
      <c r="AA124" s="741"/>
      <c r="AB124" s="741"/>
      <c r="AC124" s="741"/>
      <c r="AD124" s="741"/>
      <c r="AE124" s="741"/>
      <c r="AF124" s="741"/>
      <c r="AG124" s="741"/>
      <c r="AH124" s="741"/>
      <c r="AI124" s="741"/>
      <c r="AJ124" s="741"/>
      <c r="AK124" s="741"/>
      <c r="AL124" s="741"/>
      <c r="AM124" s="741"/>
      <c r="AN124" s="741"/>
      <c r="AO124" s="741"/>
      <c r="AP124" s="741"/>
    </row>
    <row r="125" spans="1:42" ht="12.75" customHeight="1">
      <c r="A125" s="741"/>
      <c r="B125" s="741"/>
      <c r="C125" s="741"/>
      <c r="D125" s="741"/>
      <c r="E125" s="741"/>
      <c r="F125" s="741"/>
      <c r="G125" s="741"/>
      <c r="H125" s="741"/>
      <c r="I125" s="741"/>
      <c r="J125" s="741"/>
      <c r="K125" s="741"/>
      <c r="L125" s="741"/>
      <c r="M125" s="741"/>
      <c r="N125" s="741"/>
      <c r="O125" s="741"/>
      <c r="P125" s="741"/>
      <c r="Q125" s="741"/>
      <c r="R125" s="741"/>
      <c r="S125" s="741"/>
      <c r="T125" s="741"/>
      <c r="U125" s="741"/>
      <c r="V125" s="741"/>
      <c r="W125" s="741"/>
      <c r="X125" s="741"/>
      <c r="Y125" s="741"/>
      <c r="Z125" s="741"/>
      <c r="AA125" s="741"/>
      <c r="AB125" s="741"/>
      <c r="AC125" s="741"/>
      <c r="AD125" s="741"/>
      <c r="AE125" s="741"/>
      <c r="AF125" s="741"/>
      <c r="AG125" s="741"/>
      <c r="AH125" s="741"/>
      <c r="AI125" s="741"/>
      <c r="AJ125" s="741"/>
      <c r="AK125" s="741"/>
      <c r="AL125" s="741"/>
      <c r="AM125" s="741"/>
      <c r="AN125" s="741"/>
      <c r="AO125" s="741"/>
      <c r="AP125" s="741"/>
    </row>
    <row r="126" spans="1:42" ht="12.75" customHeight="1">
      <c r="A126" s="741"/>
      <c r="B126" s="741"/>
      <c r="C126" s="741"/>
      <c r="D126" s="741"/>
      <c r="E126" s="741"/>
      <c r="F126" s="741"/>
      <c r="G126" s="741"/>
      <c r="H126" s="741"/>
      <c r="I126" s="741"/>
      <c r="J126" s="741"/>
      <c r="K126" s="741"/>
      <c r="L126" s="741"/>
      <c r="M126" s="741"/>
      <c r="N126" s="741"/>
      <c r="O126" s="741"/>
      <c r="P126" s="741"/>
      <c r="Q126" s="741"/>
      <c r="R126" s="741"/>
      <c r="S126" s="741"/>
      <c r="T126" s="741"/>
      <c r="U126" s="741"/>
      <c r="V126" s="741"/>
      <c r="W126" s="741"/>
      <c r="X126" s="741"/>
      <c r="Y126" s="741"/>
      <c r="Z126" s="741"/>
      <c r="AA126" s="741"/>
      <c r="AB126" s="741"/>
      <c r="AC126" s="741"/>
      <c r="AD126" s="741"/>
      <c r="AE126" s="741"/>
      <c r="AF126" s="741"/>
      <c r="AG126" s="741"/>
      <c r="AH126" s="741"/>
      <c r="AI126" s="741"/>
      <c r="AJ126" s="741"/>
      <c r="AK126" s="741"/>
      <c r="AL126" s="741"/>
      <c r="AM126" s="741"/>
      <c r="AN126" s="741"/>
      <c r="AO126" s="741"/>
      <c r="AP126" s="741"/>
    </row>
    <row r="127" spans="1:42" ht="12.75" customHeight="1">
      <c r="A127" s="741"/>
      <c r="B127" s="741"/>
      <c r="C127" s="741"/>
      <c r="D127" s="741"/>
      <c r="E127" s="741"/>
      <c r="F127" s="741"/>
      <c r="G127" s="741"/>
      <c r="H127" s="741"/>
      <c r="I127" s="741"/>
      <c r="J127" s="741"/>
      <c r="K127" s="741"/>
      <c r="L127" s="741"/>
      <c r="M127" s="741"/>
      <c r="N127" s="741"/>
      <c r="O127" s="741"/>
      <c r="P127" s="741"/>
      <c r="Q127" s="741"/>
      <c r="R127" s="741"/>
      <c r="S127" s="741"/>
      <c r="T127" s="741"/>
      <c r="U127" s="741"/>
      <c r="V127" s="741"/>
      <c r="W127" s="741"/>
      <c r="X127" s="741"/>
      <c r="Y127" s="741"/>
      <c r="Z127" s="741"/>
      <c r="AA127" s="741"/>
      <c r="AB127" s="741"/>
      <c r="AC127" s="741"/>
      <c r="AD127" s="741"/>
      <c r="AE127" s="741"/>
      <c r="AF127" s="741"/>
      <c r="AG127" s="741"/>
      <c r="AH127" s="741"/>
      <c r="AI127" s="741"/>
      <c r="AJ127" s="741"/>
      <c r="AK127" s="741"/>
      <c r="AL127" s="741"/>
      <c r="AM127" s="741"/>
      <c r="AN127" s="741"/>
      <c r="AO127" s="741"/>
      <c r="AP127" s="741"/>
    </row>
    <row r="128" spans="1:42" ht="12.75" customHeight="1">
      <c r="A128" s="741"/>
      <c r="B128" s="741"/>
      <c r="C128" s="741"/>
      <c r="D128" s="741"/>
      <c r="E128" s="741"/>
      <c r="F128" s="741"/>
      <c r="G128" s="741"/>
      <c r="H128" s="741"/>
      <c r="I128" s="741"/>
      <c r="J128" s="741"/>
      <c r="K128" s="741"/>
      <c r="L128" s="741"/>
      <c r="M128" s="741"/>
      <c r="N128" s="741"/>
      <c r="O128" s="741"/>
      <c r="P128" s="741"/>
      <c r="Q128" s="741"/>
      <c r="R128" s="741"/>
      <c r="S128" s="741"/>
      <c r="T128" s="741"/>
      <c r="U128" s="741"/>
      <c r="V128" s="741"/>
      <c r="W128" s="741"/>
      <c r="X128" s="741"/>
      <c r="Y128" s="741"/>
      <c r="Z128" s="741"/>
      <c r="AA128" s="741"/>
      <c r="AB128" s="741"/>
      <c r="AC128" s="741"/>
      <c r="AD128" s="741"/>
      <c r="AE128" s="741"/>
      <c r="AF128" s="741"/>
      <c r="AG128" s="741"/>
      <c r="AH128" s="741"/>
      <c r="AI128" s="741"/>
      <c r="AJ128" s="741"/>
      <c r="AK128" s="741"/>
      <c r="AL128" s="741"/>
      <c r="AM128" s="741"/>
      <c r="AN128" s="741"/>
      <c r="AO128" s="741"/>
      <c r="AP128" s="741"/>
    </row>
    <row r="129" spans="1:42" ht="12.75" customHeight="1">
      <c r="A129" s="741"/>
      <c r="B129" s="741"/>
      <c r="C129" s="741"/>
      <c r="D129" s="741"/>
      <c r="E129" s="741"/>
      <c r="F129" s="741"/>
      <c r="G129" s="741"/>
      <c r="H129" s="741"/>
      <c r="I129" s="741"/>
      <c r="J129" s="741"/>
      <c r="K129" s="741"/>
      <c r="L129" s="741"/>
      <c r="M129" s="741"/>
      <c r="N129" s="741"/>
      <c r="O129" s="741"/>
      <c r="P129" s="741"/>
      <c r="Q129" s="741"/>
      <c r="R129" s="741"/>
      <c r="S129" s="741"/>
      <c r="T129" s="741"/>
      <c r="U129" s="741"/>
      <c r="V129" s="741"/>
      <c r="W129" s="741"/>
      <c r="X129" s="741"/>
      <c r="Y129" s="741"/>
      <c r="Z129" s="741"/>
      <c r="AA129" s="741"/>
      <c r="AB129" s="741"/>
      <c r="AC129" s="741"/>
      <c r="AD129" s="741"/>
      <c r="AE129" s="741"/>
      <c r="AF129" s="741"/>
      <c r="AG129" s="741"/>
      <c r="AH129" s="741"/>
      <c r="AI129" s="741"/>
      <c r="AJ129" s="741"/>
      <c r="AK129" s="741"/>
      <c r="AL129" s="741"/>
      <c r="AM129" s="741"/>
      <c r="AN129" s="741"/>
      <c r="AO129" s="741"/>
      <c r="AP129" s="741"/>
    </row>
    <row r="130" spans="1:42" ht="12.75" customHeight="1">
      <c r="A130" s="741"/>
      <c r="B130" s="741"/>
      <c r="C130" s="741"/>
      <c r="D130" s="741"/>
      <c r="E130" s="741"/>
      <c r="F130" s="741"/>
      <c r="G130" s="741"/>
      <c r="H130" s="741"/>
      <c r="I130" s="741"/>
      <c r="J130" s="741"/>
      <c r="K130" s="741"/>
      <c r="L130" s="741"/>
      <c r="M130" s="741"/>
      <c r="N130" s="741"/>
      <c r="O130" s="741"/>
      <c r="P130" s="741"/>
      <c r="Q130" s="741"/>
      <c r="R130" s="741"/>
      <c r="S130" s="741"/>
      <c r="T130" s="741"/>
      <c r="U130" s="741"/>
      <c r="V130" s="741"/>
      <c r="W130" s="741"/>
      <c r="X130" s="741"/>
      <c r="Y130" s="741"/>
      <c r="Z130" s="741"/>
      <c r="AA130" s="741"/>
      <c r="AB130" s="741"/>
      <c r="AC130" s="741"/>
      <c r="AD130" s="741"/>
      <c r="AE130" s="741"/>
      <c r="AF130" s="741"/>
      <c r="AG130" s="741"/>
      <c r="AH130" s="741"/>
      <c r="AI130" s="741"/>
      <c r="AJ130" s="741"/>
      <c r="AK130" s="741"/>
      <c r="AL130" s="741"/>
      <c r="AM130" s="741"/>
      <c r="AN130" s="741"/>
      <c r="AO130" s="741"/>
      <c r="AP130" s="741"/>
    </row>
    <row r="131" spans="1:42" ht="12.75" customHeight="1">
      <c r="A131" s="741"/>
      <c r="B131" s="741"/>
      <c r="C131" s="741"/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1"/>
      <c r="P131" s="741"/>
      <c r="Q131" s="741"/>
      <c r="R131" s="741"/>
      <c r="S131" s="741"/>
      <c r="T131" s="741"/>
      <c r="U131" s="741"/>
      <c r="V131" s="741"/>
      <c r="W131" s="741"/>
      <c r="X131" s="741"/>
      <c r="Y131" s="741"/>
      <c r="Z131" s="741"/>
      <c r="AA131" s="741"/>
      <c r="AB131" s="741"/>
      <c r="AC131" s="741"/>
      <c r="AD131" s="741"/>
      <c r="AE131" s="741"/>
      <c r="AF131" s="741"/>
      <c r="AG131" s="741"/>
      <c r="AH131" s="741"/>
      <c r="AI131" s="741"/>
      <c r="AJ131" s="741"/>
      <c r="AK131" s="741"/>
      <c r="AL131" s="741"/>
      <c r="AM131" s="741"/>
      <c r="AN131" s="741"/>
      <c r="AO131" s="741"/>
      <c r="AP131" s="741"/>
    </row>
    <row r="132" spans="1:42" ht="12.75" customHeight="1">
      <c r="A132" s="741"/>
      <c r="B132" s="741"/>
      <c r="C132" s="741"/>
      <c r="D132" s="741"/>
      <c r="E132" s="741"/>
      <c r="F132" s="741"/>
      <c r="G132" s="741"/>
      <c r="H132" s="741"/>
      <c r="I132" s="741"/>
      <c r="J132" s="741"/>
      <c r="K132" s="741"/>
      <c r="L132" s="741"/>
      <c r="M132" s="741"/>
      <c r="N132" s="741"/>
      <c r="O132" s="741"/>
      <c r="P132" s="741"/>
      <c r="Q132" s="741"/>
      <c r="R132" s="741"/>
      <c r="S132" s="741"/>
      <c r="T132" s="741"/>
      <c r="U132" s="741"/>
      <c r="V132" s="741"/>
      <c r="W132" s="741"/>
      <c r="X132" s="741"/>
      <c r="Y132" s="741"/>
      <c r="Z132" s="741"/>
      <c r="AA132" s="741"/>
      <c r="AB132" s="741"/>
      <c r="AC132" s="741"/>
      <c r="AD132" s="741"/>
      <c r="AE132" s="741"/>
      <c r="AF132" s="741"/>
      <c r="AG132" s="741"/>
      <c r="AH132" s="741"/>
      <c r="AI132" s="741"/>
      <c r="AJ132" s="741"/>
      <c r="AK132" s="741"/>
      <c r="AL132" s="741"/>
      <c r="AM132" s="741"/>
      <c r="AN132" s="741"/>
      <c r="AO132" s="741"/>
      <c r="AP132" s="741"/>
    </row>
    <row r="133" spans="1:42" ht="12.75" customHeight="1">
      <c r="A133" s="741"/>
      <c r="B133" s="741"/>
      <c r="C133" s="741"/>
      <c r="D133" s="741"/>
      <c r="E133" s="741"/>
      <c r="F133" s="741"/>
      <c r="G133" s="741"/>
      <c r="H133" s="741"/>
      <c r="I133" s="741"/>
      <c r="J133" s="741"/>
      <c r="K133" s="741"/>
      <c r="L133" s="741"/>
      <c r="M133" s="741"/>
      <c r="N133" s="741"/>
      <c r="O133" s="741"/>
      <c r="P133" s="741"/>
      <c r="Q133" s="741"/>
      <c r="R133" s="741"/>
      <c r="S133" s="741"/>
      <c r="T133" s="741"/>
      <c r="U133" s="741"/>
      <c r="V133" s="741"/>
      <c r="W133" s="741"/>
      <c r="X133" s="741"/>
      <c r="Y133" s="741"/>
      <c r="Z133" s="741"/>
      <c r="AA133" s="741"/>
      <c r="AB133" s="741"/>
      <c r="AC133" s="741"/>
      <c r="AD133" s="741"/>
      <c r="AE133" s="741"/>
      <c r="AF133" s="741"/>
      <c r="AG133" s="741"/>
      <c r="AH133" s="741"/>
      <c r="AI133" s="741"/>
      <c r="AJ133" s="741"/>
      <c r="AK133" s="741"/>
      <c r="AL133" s="741"/>
      <c r="AM133" s="741"/>
      <c r="AN133" s="741"/>
      <c r="AO133" s="741"/>
      <c r="AP133" s="741"/>
    </row>
    <row r="134" spans="1:42" ht="12.75" customHeight="1">
      <c r="A134" s="741"/>
      <c r="B134" s="741"/>
      <c r="C134" s="741"/>
      <c r="D134" s="741"/>
      <c r="E134" s="741"/>
      <c r="F134" s="741"/>
      <c r="G134" s="741"/>
      <c r="H134" s="741"/>
      <c r="I134" s="741"/>
      <c r="J134" s="741"/>
      <c r="K134" s="741"/>
      <c r="L134" s="741"/>
      <c r="M134" s="741"/>
      <c r="N134" s="741"/>
      <c r="O134" s="741"/>
      <c r="P134" s="741"/>
      <c r="Q134" s="741"/>
      <c r="R134" s="741"/>
      <c r="S134" s="741"/>
      <c r="T134" s="741"/>
      <c r="U134" s="741"/>
      <c r="V134" s="741"/>
      <c r="W134" s="741"/>
      <c r="X134" s="741"/>
      <c r="Y134" s="741"/>
      <c r="Z134" s="741"/>
      <c r="AA134" s="741"/>
      <c r="AB134" s="741"/>
      <c r="AC134" s="741"/>
      <c r="AD134" s="741"/>
      <c r="AE134" s="741"/>
      <c r="AF134" s="741"/>
      <c r="AG134" s="741"/>
      <c r="AH134" s="741"/>
      <c r="AI134" s="741"/>
      <c r="AJ134" s="741"/>
      <c r="AK134" s="741"/>
      <c r="AL134" s="741"/>
      <c r="AM134" s="741"/>
      <c r="AN134" s="741"/>
      <c r="AO134" s="741"/>
      <c r="AP134" s="741"/>
    </row>
    <row r="135" spans="1:42" ht="12.75" customHeight="1">
      <c r="A135" s="741"/>
      <c r="B135" s="741"/>
      <c r="C135" s="741"/>
      <c r="D135" s="741"/>
      <c r="E135" s="741"/>
      <c r="F135" s="741"/>
      <c r="G135" s="741"/>
      <c r="H135" s="741"/>
      <c r="I135" s="741"/>
      <c r="J135" s="741"/>
      <c r="K135" s="741"/>
      <c r="L135" s="741"/>
      <c r="M135" s="741"/>
      <c r="N135" s="741"/>
      <c r="O135" s="741"/>
      <c r="P135" s="741"/>
      <c r="Q135" s="741"/>
      <c r="R135" s="741"/>
      <c r="S135" s="741"/>
      <c r="T135" s="741"/>
      <c r="U135" s="741"/>
      <c r="V135" s="741"/>
      <c r="W135" s="741"/>
      <c r="X135" s="741"/>
      <c r="Y135" s="741"/>
      <c r="Z135" s="741"/>
      <c r="AA135" s="741"/>
      <c r="AB135" s="741"/>
      <c r="AC135" s="741"/>
      <c r="AD135" s="741"/>
      <c r="AE135" s="741"/>
      <c r="AF135" s="741"/>
      <c r="AG135" s="741"/>
      <c r="AH135" s="741"/>
      <c r="AI135" s="741"/>
      <c r="AJ135" s="741"/>
      <c r="AK135" s="741"/>
      <c r="AL135" s="741"/>
      <c r="AM135" s="741"/>
      <c r="AN135" s="741"/>
      <c r="AO135" s="741"/>
      <c r="AP135" s="741"/>
    </row>
    <row r="136" spans="1:42" ht="12.75" customHeight="1">
      <c r="A136" s="741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1"/>
      <c r="P136" s="741"/>
      <c r="Q136" s="741"/>
      <c r="R136" s="741"/>
      <c r="S136" s="741"/>
      <c r="T136" s="741"/>
      <c r="U136" s="741"/>
      <c r="V136" s="741"/>
      <c r="W136" s="741"/>
      <c r="X136" s="741"/>
      <c r="Y136" s="741"/>
      <c r="Z136" s="741"/>
      <c r="AA136" s="741"/>
      <c r="AB136" s="741"/>
      <c r="AC136" s="741"/>
      <c r="AD136" s="741"/>
      <c r="AE136" s="741"/>
      <c r="AF136" s="741"/>
      <c r="AG136" s="741"/>
      <c r="AH136" s="741"/>
      <c r="AI136" s="741"/>
      <c r="AJ136" s="741"/>
      <c r="AK136" s="741"/>
      <c r="AL136" s="741"/>
      <c r="AM136" s="741"/>
      <c r="AN136" s="741"/>
      <c r="AO136" s="741"/>
      <c r="AP136" s="741"/>
    </row>
    <row r="137" spans="1:42" ht="12.75" customHeight="1">
      <c r="A137" s="741"/>
      <c r="B137" s="741"/>
      <c r="C137" s="741"/>
      <c r="D137" s="741"/>
      <c r="E137" s="741"/>
      <c r="F137" s="741"/>
      <c r="G137" s="741"/>
      <c r="H137" s="741"/>
      <c r="I137" s="741"/>
      <c r="J137" s="741"/>
      <c r="K137" s="741"/>
      <c r="L137" s="741"/>
      <c r="M137" s="741"/>
      <c r="N137" s="741"/>
      <c r="O137" s="741"/>
      <c r="P137" s="741"/>
      <c r="Q137" s="741"/>
      <c r="R137" s="741"/>
      <c r="S137" s="741"/>
      <c r="T137" s="741"/>
      <c r="U137" s="741"/>
      <c r="V137" s="741"/>
      <c r="W137" s="741"/>
      <c r="X137" s="741"/>
      <c r="Y137" s="741"/>
      <c r="Z137" s="741"/>
      <c r="AA137" s="741"/>
      <c r="AB137" s="741"/>
      <c r="AC137" s="741"/>
      <c r="AD137" s="741"/>
      <c r="AE137" s="741"/>
      <c r="AF137" s="741"/>
      <c r="AG137" s="741"/>
      <c r="AH137" s="741"/>
      <c r="AI137" s="741"/>
      <c r="AJ137" s="741"/>
      <c r="AK137" s="741"/>
      <c r="AL137" s="741"/>
      <c r="AM137" s="741"/>
      <c r="AN137" s="741"/>
      <c r="AO137" s="741"/>
      <c r="AP137" s="741"/>
    </row>
    <row r="138" spans="1:42" ht="12.75" customHeight="1">
      <c r="A138" s="741"/>
      <c r="B138" s="741"/>
      <c r="C138" s="741"/>
      <c r="D138" s="741"/>
      <c r="E138" s="741"/>
      <c r="F138" s="741"/>
      <c r="G138" s="741"/>
      <c r="H138" s="741"/>
      <c r="I138" s="741"/>
      <c r="J138" s="741"/>
      <c r="K138" s="741"/>
      <c r="L138" s="741"/>
      <c r="M138" s="741"/>
      <c r="N138" s="741"/>
      <c r="O138" s="741"/>
      <c r="P138" s="741"/>
      <c r="Q138" s="741"/>
      <c r="R138" s="741"/>
      <c r="S138" s="741"/>
      <c r="T138" s="741"/>
      <c r="U138" s="741"/>
      <c r="V138" s="741"/>
      <c r="W138" s="741"/>
      <c r="X138" s="741"/>
      <c r="Y138" s="741"/>
      <c r="Z138" s="741"/>
      <c r="AA138" s="741"/>
      <c r="AB138" s="741"/>
      <c r="AC138" s="741"/>
      <c r="AD138" s="741"/>
      <c r="AE138" s="741"/>
      <c r="AF138" s="741"/>
      <c r="AG138" s="741"/>
      <c r="AH138" s="741"/>
      <c r="AI138" s="741"/>
      <c r="AJ138" s="741"/>
      <c r="AK138" s="741"/>
      <c r="AL138" s="741"/>
      <c r="AM138" s="741"/>
      <c r="AN138" s="741"/>
      <c r="AO138" s="741"/>
      <c r="AP138" s="741"/>
    </row>
    <row r="139" spans="1:42" ht="12.75" customHeight="1">
      <c r="A139" s="741"/>
      <c r="B139" s="741"/>
      <c r="C139" s="741"/>
      <c r="D139" s="741"/>
      <c r="E139" s="741"/>
      <c r="F139" s="741"/>
      <c r="G139" s="741"/>
      <c r="H139" s="741"/>
      <c r="I139" s="741"/>
      <c r="J139" s="741"/>
      <c r="K139" s="741"/>
      <c r="L139" s="741"/>
      <c r="M139" s="741"/>
      <c r="N139" s="741"/>
      <c r="O139" s="741"/>
      <c r="P139" s="741"/>
      <c r="Q139" s="741"/>
      <c r="R139" s="741"/>
      <c r="S139" s="741"/>
      <c r="T139" s="741"/>
      <c r="U139" s="741"/>
      <c r="V139" s="741"/>
      <c r="W139" s="741"/>
      <c r="X139" s="741"/>
      <c r="Y139" s="741"/>
      <c r="Z139" s="741"/>
      <c r="AA139" s="741"/>
      <c r="AB139" s="741"/>
      <c r="AC139" s="741"/>
      <c r="AD139" s="741"/>
      <c r="AE139" s="741"/>
      <c r="AF139" s="741"/>
      <c r="AG139" s="741"/>
      <c r="AH139" s="741"/>
      <c r="AI139" s="741"/>
      <c r="AJ139" s="741"/>
      <c r="AK139" s="741"/>
      <c r="AL139" s="741"/>
      <c r="AM139" s="741"/>
      <c r="AN139" s="741"/>
      <c r="AO139" s="741"/>
      <c r="AP139" s="741"/>
    </row>
    <row r="140" spans="1:42" ht="12.75" customHeight="1">
      <c r="A140" s="741"/>
      <c r="B140" s="741"/>
      <c r="C140" s="741"/>
      <c r="D140" s="741"/>
      <c r="E140" s="741"/>
      <c r="F140" s="741"/>
      <c r="G140" s="741"/>
      <c r="H140" s="741"/>
      <c r="I140" s="741"/>
      <c r="J140" s="741"/>
      <c r="K140" s="741"/>
      <c r="L140" s="741"/>
      <c r="M140" s="741"/>
      <c r="N140" s="741"/>
      <c r="O140" s="741"/>
      <c r="P140" s="741"/>
      <c r="Q140" s="741"/>
      <c r="R140" s="741"/>
      <c r="S140" s="741"/>
      <c r="T140" s="741"/>
      <c r="U140" s="741"/>
      <c r="V140" s="741"/>
      <c r="W140" s="741"/>
      <c r="X140" s="741"/>
      <c r="Y140" s="741"/>
      <c r="Z140" s="741"/>
      <c r="AA140" s="741"/>
      <c r="AB140" s="741"/>
      <c r="AC140" s="741"/>
      <c r="AD140" s="741"/>
      <c r="AE140" s="741"/>
      <c r="AF140" s="741"/>
      <c r="AG140" s="741"/>
      <c r="AH140" s="741"/>
      <c r="AI140" s="741"/>
      <c r="AJ140" s="741"/>
      <c r="AK140" s="741"/>
      <c r="AL140" s="741"/>
      <c r="AM140" s="741"/>
      <c r="AN140" s="741"/>
      <c r="AO140" s="741"/>
      <c r="AP140" s="741"/>
    </row>
    <row r="141" spans="1:42" ht="12.75" customHeight="1">
      <c r="A141" s="741"/>
      <c r="B141" s="741"/>
      <c r="C141" s="741"/>
      <c r="D141" s="741"/>
      <c r="E141" s="741"/>
      <c r="F141" s="741"/>
      <c r="G141" s="741"/>
      <c r="H141" s="741"/>
      <c r="I141" s="741"/>
      <c r="J141" s="741"/>
      <c r="K141" s="741"/>
      <c r="L141" s="741"/>
      <c r="M141" s="741"/>
      <c r="N141" s="741"/>
      <c r="O141" s="741"/>
      <c r="P141" s="741"/>
      <c r="Q141" s="741"/>
      <c r="R141" s="741"/>
      <c r="S141" s="741"/>
      <c r="T141" s="741"/>
      <c r="U141" s="741"/>
      <c r="V141" s="741"/>
      <c r="W141" s="741"/>
      <c r="X141" s="741"/>
      <c r="Y141" s="741"/>
      <c r="Z141" s="741"/>
      <c r="AA141" s="741"/>
      <c r="AB141" s="741"/>
      <c r="AC141" s="741"/>
      <c r="AD141" s="741"/>
      <c r="AE141" s="741"/>
      <c r="AF141" s="741"/>
      <c r="AG141" s="741"/>
      <c r="AH141" s="741"/>
      <c r="AI141" s="741"/>
      <c r="AJ141" s="741"/>
      <c r="AK141" s="741"/>
      <c r="AL141" s="741"/>
      <c r="AM141" s="741"/>
      <c r="AN141" s="741"/>
      <c r="AO141" s="741"/>
      <c r="AP141" s="741"/>
    </row>
    <row r="142" spans="1:42" ht="12.75" customHeight="1">
      <c r="A142" s="741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1"/>
      <c r="P142" s="741"/>
      <c r="Q142" s="741"/>
      <c r="R142" s="741"/>
      <c r="S142" s="741"/>
      <c r="T142" s="741"/>
      <c r="U142" s="741"/>
      <c r="V142" s="741"/>
      <c r="W142" s="741"/>
      <c r="X142" s="741"/>
      <c r="Y142" s="741"/>
      <c r="Z142" s="741"/>
      <c r="AA142" s="741"/>
      <c r="AB142" s="741"/>
      <c r="AC142" s="741"/>
      <c r="AD142" s="741"/>
      <c r="AE142" s="741"/>
      <c r="AF142" s="741"/>
      <c r="AG142" s="741"/>
      <c r="AH142" s="741"/>
      <c r="AI142" s="741"/>
      <c r="AJ142" s="741"/>
      <c r="AK142" s="741"/>
      <c r="AL142" s="741"/>
      <c r="AM142" s="741"/>
      <c r="AN142" s="741"/>
      <c r="AO142" s="741"/>
      <c r="AP142" s="741"/>
    </row>
    <row r="143" spans="1:42" ht="12.75" customHeight="1">
      <c r="A143" s="741"/>
      <c r="B143" s="741"/>
      <c r="C143" s="741"/>
      <c r="D143" s="741"/>
      <c r="E143" s="741"/>
      <c r="F143" s="741"/>
      <c r="G143" s="741"/>
      <c r="H143" s="741"/>
      <c r="I143" s="741"/>
      <c r="J143" s="741"/>
      <c r="K143" s="741"/>
      <c r="L143" s="741"/>
      <c r="M143" s="741"/>
      <c r="N143" s="741"/>
      <c r="O143" s="741"/>
      <c r="P143" s="741"/>
      <c r="Q143" s="741"/>
      <c r="R143" s="741"/>
      <c r="S143" s="741"/>
      <c r="T143" s="741"/>
      <c r="U143" s="741"/>
      <c r="V143" s="741"/>
      <c r="W143" s="741"/>
      <c r="X143" s="741"/>
      <c r="Y143" s="741"/>
      <c r="Z143" s="741"/>
      <c r="AA143" s="741"/>
      <c r="AB143" s="741"/>
      <c r="AC143" s="741"/>
      <c r="AD143" s="741"/>
      <c r="AE143" s="741"/>
      <c r="AF143" s="741"/>
      <c r="AG143" s="741"/>
      <c r="AH143" s="741"/>
      <c r="AI143" s="741"/>
      <c r="AJ143" s="741"/>
      <c r="AK143" s="741"/>
      <c r="AL143" s="741"/>
      <c r="AM143" s="741"/>
      <c r="AN143" s="741"/>
      <c r="AO143" s="741"/>
      <c r="AP143" s="741"/>
    </row>
    <row r="144" spans="1:42" ht="12.75" customHeight="1">
      <c r="A144" s="741"/>
      <c r="B144" s="741"/>
      <c r="C144" s="741"/>
      <c r="D144" s="741"/>
      <c r="E144" s="741"/>
      <c r="F144" s="741"/>
      <c r="G144" s="741"/>
      <c r="H144" s="741"/>
      <c r="I144" s="741"/>
      <c r="J144" s="741"/>
      <c r="K144" s="741"/>
      <c r="L144" s="741"/>
      <c r="M144" s="741"/>
      <c r="N144" s="741"/>
      <c r="O144" s="741"/>
      <c r="P144" s="741"/>
      <c r="Q144" s="741"/>
      <c r="R144" s="741"/>
      <c r="S144" s="741"/>
      <c r="T144" s="741"/>
      <c r="U144" s="741"/>
      <c r="V144" s="741"/>
      <c r="W144" s="741"/>
      <c r="X144" s="741"/>
      <c r="Y144" s="741"/>
      <c r="Z144" s="741"/>
      <c r="AA144" s="741"/>
      <c r="AB144" s="741"/>
      <c r="AC144" s="741"/>
      <c r="AD144" s="741"/>
      <c r="AE144" s="741"/>
      <c r="AF144" s="741"/>
      <c r="AG144" s="741"/>
      <c r="AH144" s="741"/>
      <c r="AI144" s="741"/>
      <c r="AJ144" s="741"/>
      <c r="AK144" s="741"/>
      <c r="AL144" s="741"/>
      <c r="AM144" s="741"/>
      <c r="AN144" s="741"/>
      <c r="AO144" s="741"/>
      <c r="AP144" s="741"/>
    </row>
    <row r="145" spans="1:42" ht="12.75" customHeight="1">
      <c r="A145" s="741"/>
      <c r="B145" s="741"/>
      <c r="C145" s="741"/>
      <c r="D145" s="741"/>
      <c r="E145" s="741"/>
      <c r="F145" s="741"/>
      <c r="G145" s="741"/>
      <c r="H145" s="741"/>
      <c r="I145" s="741"/>
      <c r="J145" s="741"/>
      <c r="K145" s="741"/>
      <c r="L145" s="741"/>
      <c r="M145" s="741"/>
      <c r="N145" s="741"/>
      <c r="O145" s="741"/>
      <c r="P145" s="741"/>
      <c r="Q145" s="741"/>
      <c r="R145" s="741"/>
      <c r="S145" s="741"/>
      <c r="T145" s="741"/>
      <c r="U145" s="741"/>
      <c r="V145" s="741"/>
      <c r="W145" s="741"/>
      <c r="X145" s="741"/>
      <c r="Y145" s="741"/>
      <c r="Z145" s="741"/>
      <c r="AA145" s="741"/>
      <c r="AB145" s="741"/>
      <c r="AC145" s="741"/>
      <c r="AD145" s="741"/>
      <c r="AE145" s="741"/>
      <c r="AF145" s="741"/>
      <c r="AG145" s="741"/>
      <c r="AH145" s="741"/>
      <c r="AI145" s="741"/>
      <c r="AJ145" s="741"/>
      <c r="AK145" s="741"/>
      <c r="AL145" s="741"/>
      <c r="AM145" s="741"/>
      <c r="AN145" s="741"/>
      <c r="AO145" s="741"/>
      <c r="AP145" s="741"/>
    </row>
    <row r="146" spans="1:42" ht="12.75" customHeight="1">
      <c r="A146" s="741"/>
      <c r="B146" s="741"/>
      <c r="C146" s="741"/>
      <c r="D146" s="741"/>
      <c r="E146" s="741"/>
      <c r="F146" s="741"/>
      <c r="G146" s="741"/>
      <c r="H146" s="741"/>
      <c r="I146" s="741"/>
      <c r="J146" s="741"/>
      <c r="K146" s="741"/>
      <c r="L146" s="741"/>
      <c r="M146" s="741"/>
      <c r="N146" s="741"/>
      <c r="O146" s="741"/>
      <c r="P146" s="741"/>
      <c r="Q146" s="741"/>
      <c r="R146" s="741"/>
      <c r="S146" s="741"/>
      <c r="T146" s="741"/>
      <c r="U146" s="741"/>
      <c r="V146" s="741"/>
      <c r="W146" s="741"/>
      <c r="X146" s="741"/>
      <c r="Y146" s="741"/>
      <c r="Z146" s="741"/>
      <c r="AA146" s="741"/>
      <c r="AB146" s="741"/>
      <c r="AC146" s="741"/>
      <c r="AD146" s="741"/>
      <c r="AE146" s="741"/>
      <c r="AF146" s="741"/>
      <c r="AG146" s="741"/>
      <c r="AH146" s="741"/>
      <c r="AI146" s="741"/>
      <c r="AJ146" s="741"/>
      <c r="AK146" s="741"/>
      <c r="AL146" s="741"/>
      <c r="AM146" s="741"/>
      <c r="AN146" s="741"/>
      <c r="AO146" s="741"/>
      <c r="AP146" s="741"/>
    </row>
    <row r="147" spans="1:42" ht="12.75" customHeight="1">
      <c r="A147" s="741"/>
      <c r="B147" s="741"/>
      <c r="C147" s="741"/>
      <c r="D147" s="741"/>
      <c r="E147" s="741"/>
      <c r="F147" s="741"/>
      <c r="G147" s="741"/>
      <c r="H147" s="741"/>
      <c r="I147" s="741"/>
      <c r="J147" s="741"/>
      <c r="K147" s="741"/>
      <c r="L147" s="741"/>
      <c r="M147" s="741"/>
      <c r="N147" s="741"/>
      <c r="O147" s="741"/>
      <c r="P147" s="741"/>
      <c r="Q147" s="741"/>
      <c r="R147" s="741"/>
      <c r="S147" s="741"/>
      <c r="T147" s="741"/>
      <c r="U147" s="741"/>
      <c r="V147" s="741"/>
      <c r="W147" s="741"/>
      <c r="X147" s="741"/>
      <c r="Y147" s="741"/>
      <c r="Z147" s="741"/>
      <c r="AA147" s="741"/>
      <c r="AB147" s="741"/>
      <c r="AC147" s="741"/>
      <c r="AD147" s="741"/>
      <c r="AE147" s="741"/>
      <c r="AF147" s="741"/>
      <c r="AG147" s="741"/>
      <c r="AH147" s="741"/>
      <c r="AI147" s="741"/>
      <c r="AJ147" s="741"/>
      <c r="AK147" s="741"/>
      <c r="AL147" s="741"/>
      <c r="AM147" s="741"/>
      <c r="AN147" s="741"/>
      <c r="AO147" s="741"/>
      <c r="AP147" s="741"/>
    </row>
    <row r="148" spans="1:42" ht="12.75" customHeight="1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  <c r="N148" s="741"/>
      <c r="O148" s="741"/>
      <c r="P148" s="741"/>
      <c r="Q148" s="741"/>
      <c r="R148" s="741"/>
      <c r="S148" s="741"/>
      <c r="T148" s="741"/>
      <c r="U148" s="741"/>
      <c r="V148" s="741"/>
      <c r="W148" s="741"/>
      <c r="X148" s="741"/>
      <c r="Y148" s="741"/>
      <c r="Z148" s="741"/>
      <c r="AA148" s="741"/>
      <c r="AB148" s="741"/>
      <c r="AC148" s="741"/>
      <c r="AD148" s="741"/>
      <c r="AE148" s="741"/>
      <c r="AF148" s="741"/>
      <c r="AG148" s="741"/>
      <c r="AH148" s="741"/>
      <c r="AI148" s="741"/>
      <c r="AJ148" s="741"/>
      <c r="AK148" s="741"/>
      <c r="AL148" s="741"/>
      <c r="AM148" s="741"/>
      <c r="AN148" s="741"/>
      <c r="AO148" s="741"/>
      <c r="AP148" s="741"/>
    </row>
    <row r="149" spans="1:42" ht="12.75" customHeight="1">
      <c r="A149" s="741"/>
      <c r="B149" s="741"/>
      <c r="C149" s="741"/>
      <c r="D149" s="741"/>
      <c r="E149" s="741"/>
      <c r="F149" s="741"/>
      <c r="G149" s="741"/>
      <c r="H149" s="741"/>
      <c r="I149" s="741"/>
      <c r="J149" s="741"/>
      <c r="K149" s="741"/>
      <c r="L149" s="741"/>
      <c r="M149" s="741"/>
      <c r="N149" s="741"/>
      <c r="O149" s="741"/>
      <c r="P149" s="741"/>
      <c r="Q149" s="741"/>
      <c r="R149" s="741"/>
      <c r="S149" s="741"/>
      <c r="T149" s="741"/>
      <c r="U149" s="741"/>
      <c r="V149" s="741"/>
      <c r="W149" s="741"/>
      <c r="X149" s="741"/>
      <c r="Y149" s="741"/>
      <c r="Z149" s="741"/>
      <c r="AA149" s="741"/>
      <c r="AB149" s="741"/>
      <c r="AC149" s="741"/>
      <c r="AD149" s="741"/>
      <c r="AE149" s="741"/>
      <c r="AF149" s="741"/>
      <c r="AG149" s="741"/>
      <c r="AH149" s="741"/>
      <c r="AI149" s="741"/>
      <c r="AJ149" s="741"/>
      <c r="AK149" s="741"/>
      <c r="AL149" s="741"/>
      <c r="AM149" s="741"/>
      <c r="AN149" s="741"/>
      <c r="AO149" s="741"/>
      <c r="AP149" s="741"/>
    </row>
    <row r="150" spans="1:42" ht="12.75" customHeight="1">
      <c r="A150" s="741"/>
      <c r="B150" s="741"/>
      <c r="C150" s="741"/>
      <c r="D150" s="741"/>
      <c r="E150" s="741"/>
      <c r="F150" s="741"/>
      <c r="G150" s="741"/>
      <c r="H150" s="741"/>
      <c r="I150" s="741"/>
      <c r="J150" s="741"/>
      <c r="K150" s="741"/>
      <c r="L150" s="741"/>
      <c r="M150" s="741"/>
      <c r="N150" s="741"/>
      <c r="O150" s="741"/>
      <c r="P150" s="741"/>
      <c r="Q150" s="741"/>
      <c r="R150" s="741"/>
      <c r="S150" s="741"/>
      <c r="T150" s="741"/>
      <c r="U150" s="741"/>
      <c r="V150" s="741"/>
      <c r="W150" s="741"/>
      <c r="X150" s="741"/>
      <c r="Y150" s="741"/>
      <c r="Z150" s="741"/>
      <c r="AA150" s="741"/>
      <c r="AB150" s="741"/>
      <c r="AC150" s="741"/>
      <c r="AD150" s="741"/>
      <c r="AE150" s="741"/>
      <c r="AF150" s="741"/>
      <c r="AG150" s="741"/>
      <c r="AH150" s="741"/>
      <c r="AI150" s="741"/>
      <c r="AJ150" s="741"/>
      <c r="AK150" s="741"/>
      <c r="AL150" s="741"/>
      <c r="AM150" s="741"/>
      <c r="AN150" s="741"/>
      <c r="AO150" s="741"/>
      <c r="AP150" s="741"/>
    </row>
    <row r="151" spans="1:42" ht="12.75" customHeight="1">
      <c r="A151" s="741"/>
      <c r="B151" s="741"/>
      <c r="C151" s="741"/>
      <c r="D151" s="741"/>
      <c r="E151" s="741"/>
      <c r="F151" s="741"/>
      <c r="G151" s="741"/>
      <c r="H151" s="741"/>
      <c r="I151" s="741"/>
      <c r="J151" s="741"/>
      <c r="K151" s="741"/>
      <c r="L151" s="741"/>
      <c r="M151" s="741"/>
      <c r="N151" s="741"/>
      <c r="O151" s="741"/>
      <c r="P151" s="741"/>
      <c r="Q151" s="741"/>
      <c r="R151" s="741"/>
      <c r="S151" s="741"/>
      <c r="T151" s="741"/>
      <c r="U151" s="741"/>
      <c r="V151" s="741"/>
      <c r="W151" s="741"/>
      <c r="X151" s="741"/>
      <c r="Y151" s="741"/>
      <c r="Z151" s="741"/>
      <c r="AA151" s="741"/>
      <c r="AB151" s="741"/>
      <c r="AC151" s="741"/>
      <c r="AD151" s="741"/>
      <c r="AE151" s="741"/>
      <c r="AF151" s="741"/>
      <c r="AG151" s="741"/>
      <c r="AH151" s="741"/>
      <c r="AI151" s="741"/>
      <c r="AJ151" s="741"/>
      <c r="AK151" s="741"/>
      <c r="AL151" s="741"/>
      <c r="AM151" s="741"/>
      <c r="AN151" s="741"/>
      <c r="AO151" s="741"/>
      <c r="AP151" s="741"/>
    </row>
    <row r="152" spans="1:42" ht="12.75" customHeight="1">
      <c r="A152" s="741"/>
      <c r="B152" s="741"/>
      <c r="C152" s="741"/>
      <c r="D152" s="741"/>
      <c r="E152" s="741"/>
      <c r="F152" s="741"/>
      <c r="G152" s="741"/>
      <c r="H152" s="741"/>
      <c r="I152" s="741"/>
      <c r="J152" s="741"/>
      <c r="K152" s="741"/>
      <c r="L152" s="741"/>
      <c r="M152" s="741"/>
      <c r="N152" s="741"/>
      <c r="O152" s="741"/>
      <c r="P152" s="741"/>
      <c r="Q152" s="741"/>
      <c r="R152" s="741"/>
      <c r="S152" s="741"/>
      <c r="T152" s="741"/>
      <c r="U152" s="741"/>
      <c r="V152" s="741"/>
      <c r="W152" s="741"/>
      <c r="X152" s="741"/>
      <c r="Y152" s="741"/>
      <c r="Z152" s="741"/>
      <c r="AA152" s="741"/>
      <c r="AB152" s="741"/>
      <c r="AC152" s="741"/>
      <c r="AD152" s="741"/>
      <c r="AE152" s="741"/>
      <c r="AF152" s="741"/>
      <c r="AG152" s="741"/>
      <c r="AH152" s="741"/>
      <c r="AI152" s="741"/>
      <c r="AJ152" s="741"/>
      <c r="AK152" s="741"/>
      <c r="AL152" s="741"/>
      <c r="AM152" s="741"/>
      <c r="AN152" s="741"/>
      <c r="AO152" s="741"/>
      <c r="AP152" s="741"/>
    </row>
    <row r="153" spans="1:42" ht="12.75" customHeight="1">
      <c r="A153" s="741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1"/>
      <c r="P153" s="741"/>
      <c r="Q153" s="741"/>
      <c r="R153" s="741"/>
      <c r="S153" s="741"/>
      <c r="T153" s="741"/>
      <c r="U153" s="741"/>
      <c r="V153" s="741"/>
      <c r="W153" s="741"/>
      <c r="X153" s="741"/>
      <c r="Y153" s="741"/>
      <c r="Z153" s="741"/>
      <c r="AA153" s="741"/>
      <c r="AB153" s="741"/>
      <c r="AC153" s="741"/>
      <c r="AD153" s="741"/>
      <c r="AE153" s="741"/>
      <c r="AF153" s="741"/>
      <c r="AG153" s="741"/>
      <c r="AH153" s="741"/>
      <c r="AI153" s="741"/>
      <c r="AJ153" s="741"/>
      <c r="AK153" s="741"/>
      <c r="AL153" s="741"/>
      <c r="AM153" s="741"/>
      <c r="AN153" s="741"/>
      <c r="AO153" s="741"/>
      <c r="AP153" s="741"/>
    </row>
    <row r="154" spans="1:42" ht="12.75" customHeight="1">
      <c r="A154" s="741"/>
      <c r="B154" s="741"/>
      <c r="C154" s="741"/>
      <c r="D154" s="741"/>
      <c r="E154" s="741"/>
      <c r="F154" s="741"/>
      <c r="G154" s="741"/>
      <c r="H154" s="741"/>
      <c r="I154" s="741"/>
      <c r="J154" s="741"/>
      <c r="K154" s="741"/>
      <c r="L154" s="741"/>
      <c r="M154" s="741"/>
      <c r="N154" s="741"/>
      <c r="O154" s="741"/>
      <c r="P154" s="741"/>
      <c r="Q154" s="741"/>
      <c r="R154" s="741"/>
      <c r="S154" s="741"/>
      <c r="T154" s="741"/>
      <c r="U154" s="741"/>
      <c r="V154" s="741"/>
      <c r="W154" s="741"/>
      <c r="X154" s="741"/>
      <c r="Y154" s="741"/>
      <c r="Z154" s="741"/>
      <c r="AA154" s="741"/>
      <c r="AB154" s="741"/>
      <c r="AC154" s="741"/>
      <c r="AD154" s="741"/>
      <c r="AE154" s="741"/>
      <c r="AF154" s="741"/>
      <c r="AG154" s="741"/>
      <c r="AH154" s="741"/>
      <c r="AI154" s="741"/>
      <c r="AJ154" s="741"/>
      <c r="AK154" s="741"/>
      <c r="AL154" s="741"/>
      <c r="AM154" s="741"/>
      <c r="AN154" s="741"/>
      <c r="AO154" s="741"/>
      <c r="AP154" s="741"/>
    </row>
    <row r="155" spans="1:42" ht="12.75" customHeight="1">
      <c r="A155" s="741"/>
      <c r="B155" s="741"/>
      <c r="C155" s="741"/>
      <c r="D155" s="741"/>
      <c r="E155" s="741"/>
      <c r="F155" s="741"/>
      <c r="G155" s="741"/>
      <c r="H155" s="741"/>
      <c r="I155" s="741"/>
      <c r="J155" s="741"/>
      <c r="K155" s="741"/>
      <c r="L155" s="741"/>
      <c r="M155" s="741"/>
      <c r="N155" s="741"/>
      <c r="O155" s="741"/>
      <c r="P155" s="741"/>
      <c r="Q155" s="741"/>
      <c r="R155" s="741"/>
      <c r="S155" s="741"/>
      <c r="T155" s="741"/>
      <c r="U155" s="741"/>
      <c r="V155" s="741"/>
      <c r="W155" s="741"/>
      <c r="X155" s="741"/>
      <c r="Y155" s="741"/>
      <c r="Z155" s="741"/>
      <c r="AA155" s="741"/>
      <c r="AB155" s="741"/>
      <c r="AC155" s="741"/>
      <c r="AD155" s="741"/>
      <c r="AE155" s="741"/>
      <c r="AF155" s="741"/>
      <c r="AG155" s="741"/>
      <c r="AH155" s="741"/>
      <c r="AI155" s="741"/>
      <c r="AJ155" s="741"/>
      <c r="AK155" s="741"/>
      <c r="AL155" s="741"/>
      <c r="AM155" s="741"/>
      <c r="AN155" s="741"/>
      <c r="AO155" s="741"/>
      <c r="AP155" s="741"/>
    </row>
    <row r="156" spans="1:42" ht="12.75" customHeight="1">
      <c r="A156" s="741"/>
      <c r="B156" s="741"/>
      <c r="C156" s="741"/>
      <c r="D156" s="741"/>
      <c r="E156" s="741"/>
      <c r="F156" s="741"/>
      <c r="G156" s="741"/>
      <c r="H156" s="741"/>
      <c r="I156" s="741"/>
      <c r="J156" s="741"/>
      <c r="K156" s="741"/>
      <c r="L156" s="741"/>
      <c r="M156" s="741"/>
      <c r="N156" s="741"/>
      <c r="O156" s="741"/>
      <c r="P156" s="741"/>
      <c r="Q156" s="741"/>
      <c r="R156" s="741"/>
      <c r="S156" s="741"/>
      <c r="T156" s="741"/>
      <c r="U156" s="741"/>
      <c r="V156" s="741"/>
      <c r="W156" s="741"/>
      <c r="X156" s="741"/>
      <c r="Y156" s="741"/>
      <c r="Z156" s="741"/>
      <c r="AA156" s="741"/>
      <c r="AB156" s="741"/>
      <c r="AC156" s="741"/>
      <c r="AD156" s="741"/>
      <c r="AE156" s="741"/>
      <c r="AF156" s="741"/>
      <c r="AG156" s="741"/>
      <c r="AH156" s="741"/>
      <c r="AI156" s="741"/>
      <c r="AJ156" s="741"/>
      <c r="AK156" s="741"/>
      <c r="AL156" s="741"/>
      <c r="AM156" s="741"/>
      <c r="AN156" s="741"/>
      <c r="AO156" s="741"/>
      <c r="AP156" s="741"/>
    </row>
    <row r="157" spans="1:42" ht="12.75" customHeight="1">
      <c r="A157" s="741"/>
      <c r="B157" s="741"/>
      <c r="C157" s="741"/>
      <c r="D157" s="741"/>
      <c r="E157" s="741"/>
      <c r="F157" s="741"/>
      <c r="G157" s="741"/>
      <c r="H157" s="741"/>
      <c r="I157" s="741"/>
      <c r="J157" s="741"/>
      <c r="K157" s="741"/>
      <c r="L157" s="741"/>
      <c r="M157" s="741"/>
      <c r="N157" s="741"/>
      <c r="O157" s="741"/>
      <c r="P157" s="741"/>
      <c r="Q157" s="741"/>
      <c r="R157" s="741"/>
      <c r="S157" s="741"/>
      <c r="T157" s="741"/>
      <c r="U157" s="741"/>
      <c r="V157" s="741"/>
      <c r="W157" s="741"/>
      <c r="X157" s="741"/>
      <c r="Y157" s="741"/>
      <c r="Z157" s="741"/>
      <c r="AA157" s="741"/>
      <c r="AB157" s="741"/>
      <c r="AC157" s="741"/>
      <c r="AD157" s="741"/>
      <c r="AE157" s="741"/>
      <c r="AF157" s="741"/>
      <c r="AG157" s="741"/>
      <c r="AH157" s="741"/>
      <c r="AI157" s="741"/>
      <c r="AJ157" s="741"/>
      <c r="AK157" s="741"/>
      <c r="AL157" s="741"/>
      <c r="AM157" s="741"/>
      <c r="AN157" s="741"/>
      <c r="AO157" s="741"/>
      <c r="AP157" s="741"/>
    </row>
    <row r="158" spans="1:42" ht="12.75" customHeight="1">
      <c r="A158" s="741"/>
      <c r="B158" s="741"/>
      <c r="C158" s="741"/>
      <c r="D158" s="741"/>
      <c r="E158" s="741"/>
      <c r="F158" s="741"/>
      <c r="G158" s="741"/>
      <c r="H158" s="741"/>
      <c r="I158" s="741"/>
      <c r="J158" s="741"/>
      <c r="K158" s="741"/>
      <c r="L158" s="741"/>
      <c r="M158" s="741"/>
      <c r="N158" s="741"/>
      <c r="O158" s="741"/>
      <c r="P158" s="741"/>
      <c r="Q158" s="741"/>
      <c r="R158" s="741"/>
      <c r="S158" s="741"/>
      <c r="T158" s="741"/>
      <c r="U158" s="741"/>
      <c r="V158" s="741"/>
      <c r="W158" s="741"/>
      <c r="X158" s="741"/>
      <c r="Y158" s="741"/>
      <c r="Z158" s="741"/>
      <c r="AA158" s="741"/>
      <c r="AB158" s="741"/>
      <c r="AC158" s="741"/>
      <c r="AD158" s="741"/>
      <c r="AE158" s="741"/>
      <c r="AF158" s="741"/>
      <c r="AG158" s="741"/>
      <c r="AH158" s="741"/>
      <c r="AI158" s="741"/>
      <c r="AJ158" s="741"/>
      <c r="AK158" s="741"/>
      <c r="AL158" s="741"/>
      <c r="AM158" s="741"/>
      <c r="AN158" s="741"/>
      <c r="AO158" s="741"/>
      <c r="AP158" s="741"/>
    </row>
    <row r="159" spans="1:42" ht="12.75" customHeight="1">
      <c r="A159" s="741"/>
      <c r="B159" s="741"/>
      <c r="C159" s="741"/>
      <c r="D159" s="741"/>
      <c r="E159" s="741"/>
      <c r="F159" s="741"/>
      <c r="G159" s="741"/>
      <c r="H159" s="741"/>
      <c r="I159" s="741"/>
      <c r="J159" s="741"/>
      <c r="K159" s="741"/>
      <c r="L159" s="741"/>
      <c r="M159" s="741"/>
      <c r="N159" s="741"/>
      <c r="O159" s="741"/>
      <c r="P159" s="741"/>
      <c r="Q159" s="741"/>
      <c r="R159" s="741"/>
      <c r="S159" s="741"/>
      <c r="T159" s="741"/>
      <c r="U159" s="741"/>
      <c r="V159" s="741"/>
      <c r="W159" s="741"/>
      <c r="X159" s="741"/>
      <c r="Y159" s="741"/>
      <c r="Z159" s="741"/>
      <c r="AA159" s="741"/>
      <c r="AB159" s="741"/>
      <c r="AC159" s="741"/>
      <c r="AD159" s="741"/>
      <c r="AE159" s="741"/>
      <c r="AF159" s="741"/>
      <c r="AG159" s="741"/>
      <c r="AH159" s="741"/>
      <c r="AI159" s="741"/>
      <c r="AJ159" s="741"/>
      <c r="AK159" s="741"/>
      <c r="AL159" s="741"/>
      <c r="AM159" s="741"/>
      <c r="AN159" s="741"/>
      <c r="AO159" s="741"/>
      <c r="AP159" s="741"/>
    </row>
    <row r="160" spans="1:42" ht="12.75" customHeight="1">
      <c r="A160" s="741"/>
      <c r="B160" s="741"/>
      <c r="C160" s="741"/>
      <c r="D160" s="741"/>
      <c r="E160" s="741"/>
      <c r="F160" s="741"/>
      <c r="G160" s="741"/>
      <c r="H160" s="741"/>
      <c r="I160" s="741"/>
      <c r="J160" s="741"/>
      <c r="K160" s="741"/>
      <c r="L160" s="741"/>
      <c r="M160" s="741"/>
      <c r="N160" s="741"/>
      <c r="O160" s="741"/>
      <c r="P160" s="741"/>
      <c r="Q160" s="741"/>
      <c r="R160" s="741"/>
      <c r="S160" s="741"/>
      <c r="T160" s="741"/>
      <c r="U160" s="741"/>
      <c r="V160" s="741"/>
      <c r="W160" s="741"/>
      <c r="X160" s="741"/>
      <c r="Y160" s="741"/>
      <c r="Z160" s="741"/>
      <c r="AA160" s="741"/>
      <c r="AB160" s="741"/>
      <c r="AC160" s="741"/>
      <c r="AD160" s="741"/>
      <c r="AE160" s="741"/>
      <c r="AF160" s="741"/>
      <c r="AG160" s="741"/>
      <c r="AH160" s="741"/>
      <c r="AI160" s="741"/>
      <c r="AJ160" s="741"/>
      <c r="AK160" s="741"/>
      <c r="AL160" s="741"/>
      <c r="AM160" s="741"/>
      <c r="AN160" s="741"/>
      <c r="AO160" s="741"/>
      <c r="AP160" s="741"/>
    </row>
    <row r="161" spans="1:42" ht="12.75" customHeight="1">
      <c r="A161" s="741"/>
      <c r="B161" s="741"/>
      <c r="C161" s="741"/>
      <c r="D161" s="741"/>
      <c r="E161" s="741"/>
      <c r="F161" s="741"/>
      <c r="G161" s="741"/>
      <c r="H161" s="741"/>
      <c r="I161" s="741"/>
      <c r="J161" s="741"/>
      <c r="K161" s="741"/>
      <c r="L161" s="741"/>
      <c r="M161" s="741"/>
      <c r="N161" s="741"/>
      <c r="O161" s="741"/>
      <c r="P161" s="741"/>
      <c r="Q161" s="741"/>
      <c r="R161" s="741"/>
      <c r="S161" s="741"/>
      <c r="T161" s="741"/>
      <c r="U161" s="741"/>
      <c r="V161" s="741"/>
      <c r="W161" s="741"/>
      <c r="X161" s="741"/>
      <c r="Y161" s="741"/>
      <c r="Z161" s="741"/>
      <c r="AA161" s="741"/>
      <c r="AB161" s="741"/>
      <c r="AC161" s="741"/>
      <c r="AD161" s="741"/>
      <c r="AE161" s="741"/>
      <c r="AF161" s="741"/>
      <c r="AG161" s="741"/>
      <c r="AH161" s="741"/>
      <c r="AI161" s="741"/>
      <c r="AJ161" s="741"/>
      <c r="AK161" s="741"/>
      <c r="AL161" s="741"/>
      <c r="AM161" s="741"/>
      <c r="AN161" s="741"/>
      <c r="AO161" s="741"/>
      <c r="AP161" s="741"/>
    </row>
    <row r="162" spans="1:42" ht="12.75" customHeight="1">
      <c r="A162" s="741"/>
      <c r="B162" s="741"/>
      <c r="C162" s="741"/>
      <c r="D162" s="741"/>
      <c r="E162" s="741"/>
      <c r="F162" s="741"/>
      <c r="G162" s="741"/>
      <c r="H162" s="741"/>
      <c r="I162" s="741"/>
      <c r="J162" s="741"/>
      <c r="K162" s="741"/>
      <c r="L162" s="741"/>
      <c r="M162" s="741"/>
      <c r="N162" s="741"/>
      <c r="O162" s="741"/>
      <c r="P162" s="741"/>
      <c r="Q162" s="741"/>
      <c r="R162" s="741"/>
      <c r="S162" s="741"/>
      <c r="T162" s="741"/>
      <c r="U162" s="741"/>
      <c r="V162" s="741"/>
      <c r="W162" s="741"/>
      <c r="X162" s="741"/>
      <c r="Y162" s="741"/>
      <c r="Z162" s="741"/>
      <c r="AA162" s="741"/>
      <c r="AB162" s="741"/>
      <c r="AC162" s="741"/>
      <c r="AD162" s="741"/>
      <c r="AE162" s="741"/>
      <c r="AF162" s="741"/>
      <c r="AG162" s="741"/>
      <c r="AH162" s="741"/>
      <c r="AI162" s="741"/>
      <c r="AJ162" s="741"/>
      <c r="AK162" s="741"/>
      <c r="AL162" s="741"/>
      <c r="AM162" s="741"/>
      <c r="AN162" s="741"/>
      <c r="AO162" s="741"/>
      <c r="AP162" s="741"/>
    </row>
    <row r="163" spans="1:42" ht="12.75" customHeight="1">
      <c r="A163" s="741"/>
      <c r="B163" s="741"/>
      <c r="C163" s="741"/>
      <c r="D163" s="741"/>
      <c r="E163" s="741"/>
      <c r="F163" s="741"/>
      <c r="G163" s="741"/>
      <c r="H163" s="741"/>
      <c r="I163" s="741"/>
      <c r="J163" s="741"/>
      <c r="K163" s="741"/>
      <c r="L163" s="741"/>
      <c r="M163" s="741"/>
      <c r="N163" s="741"/>
      <c r="O163" s="741"/>
      <c r="P163" s="741"/>
      <c r="Q163" s="741"/>
      <c r="R163" s="741"/>
      <c r="S163" s="741"/>
      <c r="T163" s="741"/>
      <c r="U163" s="741"/>
      <c r="V163" s="741"/>
      <c r="W163" s="741"/>
      <c r="X163" s="741"/>
      <c r="Y163" s="741"/>
      <c r="Z163" s="741"/>
      <c r="AA163" s="741"/>
      <c r="AB163" s="741"/>
      <c r="AC163" s="741"/>
      <c r="AD163" s="741"/>
      <c r="AE163" s="741"/>
      <c r="AF163" s="741"/>
      <c r="AG163" s="741"/>
      <c r="AH163" s="741"/>
      <c r="AI163" s="741"/>
      <c r="AJ163" s="741"/>
      <c r="AK163" s="741"/>
      <c r="AL163" s="741"/>
      <c r="AM163" s="741"/>
      <c r="AN163" s="741"/>
      <c r="AO163" s="741"/>
      <c r="AP163" s="741"/>
    </row>
    <row r="164" spans="1:42" ht="12.75" customHeight="1">
      <c r="A164" s="741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1"/>
      <c r="P164" s="741"/>
      <c r="Q164" s="741"/>
      <c r="R164" s="741"/>
      <c r="S164" s="741"/>
      <c r="T164" s="741"/>
      <c r="U164" s="741"/>
      <c r="V164" s="741"/>
      <c r="W164" s="741"/>
      <c r="X164" s="741"/>
      <c r="Y164" s="741"/>
      <c r="Z164" s="741"/>
      <c r="AA164" s="741"/>
      <c r="AB164" s="741"/>
      <c r="AC164" s="741"/>
      <c r="AD164" s="741"/>
      <c r="AE164" s="741"/>
      <c r="AF164" s="741"/>
      <c r="AG164" s="741"/>
      <c r="AH164" s="741"/>
      <c r="AI164" s="741"/>
      <c r="AJ164" s="741"/>
      <c r="AK164" s="741"/>
      <c r="AL164" s="741"/>
      <c r="AM164" s="741"/>
      <c r="AN164" s="741"/>
      <c r="AO164" s="741"/>
      <c r="AP164" s="741"/>
    </row>
    <row r="165" spans="1:42" ht="12.75" customHeight="1">
      <c r="A165" s="741"/>
      <c r="B165" s="741"/>
      <c r="C165" s="741"/>
      <c r="D165" s="741"/>
      <c r="E165" s="741"/>
      <c r="F165" s="741"/>
      <c r="G165" s="741"/>
      <c r="H165" s="741"/>
      <c r="I165" s="741"/>
      <c r="J165" s="741"/>
      <c r="K165" s="741"/>
      <c r="L165" s="741"/>
      <c r="M165" s="741"/>
      <c r="N165" s="741"/>
      <c r="O165" s="741"/>
      <c r="P165" s="741"/>
      <c r="Q165" s="741"/>
      <c r="R165" s="741"/>
      <c r="S165" s="741"/>
      <c r="T165" s="741"/>
      <c r="U165" s="741"/>
      <c r="V165" s="741"/>
      <c r="W165" s="741"/>
      <c r="X165" s="741"/>
      <c r="Y165" s="741"/>
      <c r="Z165" s="741"/>
      <c r="AA165" s="741"/>
      <c r="AB165" s="741"/>
      <c r="AC165" s="741"/>
      <c r="AD165" s="741"/>
      <c r="AE165" s="741"/>
      <c r="AF165" s="741"/>
      <c r="AG165" s="741"/>
      <c r="AH165" s="741"/>
      <c r="AI165" s="741"/>
      <c r="AJ165" s="741"/>
      <c r="AK165" s="741"/>
      <c r="AL165" s="741"/>
      <c r="AM165" s="741"/>
      <c r="AN165" s="741"/>
      <c r="AO165" s="741"/>
      <c r="AP165" s="741"/>
    </row>
    <row r="166" spans="1:42" ht="12.75" customHeight="1">
      <c r="A166" s="741"/>
      <c r="B166" s="741"/>
      <c r="C166" s="741"/>
      <c r="D166" s="741"/>
      <c r="E166" s="741"/>
      <c r="F166" s="741"/>
      <c r="G166" s="741"/>
      <c r="H166" s="741"/>
      <c r="I166" s="741"/>
      <c r="J166" s="741"/>
      <c r="K166" s="741"/>
      <c r="L166" s="741"/>
      <c r="M166" s="741"/>
      <c r="N166" s="741"/>
      <c r="O166" s="741"/>
      <c r="P166" s="741"/>
      <c r="Q166" s="741"/>
      <c r="R166" s="741"/>
      <c r="S166" s="741"/>
      <c r="T166" s="741"/>
      <c r="U166" s="741"/>
      <c r="V166" s="741"/>
      <c r="W166" s="741"/>
      <c r="X166" s="741"/>
      <c r="Y166" s="741"/>
      <c r="Z166" s="741"/>
      <c r="AA166" s="741"/>
      <c r="AB166" s="741"/>
      <c r="AC166" s="741"/>
      <c r="AD166" s="741"/>
      <c r="AE166" s="741"/>
      <c r="AF166" s="741"/>
      <c r="AG166" s="741"/>
      <c r="AH166" s="741"/>
      <c r="AI166" s="741"/>
      <c r="AJ166" s="741"/>
      <c r="AK166" s="741"/>
      <c r="AL166" s="741"/>
      <c r="AM166" s="741"/>
      <c r="AN166" s="741"/>
      <c r="AO166" s="741"/>
      <c r="AP166" s="741"/>
    </row>
    <row r="167" spans="1:42" ht="12.75" customHeight="1">
      <c r="A167" s="741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1"/>
      <c r="P167" s="741"/>
      <c r="Q167" s="741"/>
      <c r="R167" s="741"/>
      <c r="S167" s="741"/>
      <c r="T167" s="741"/>
      <c r="U167" s="741"/>
      <c r="V167" s="741"/>
      <c r="W167" s="741"/>
      <c r="X167" s="741"/>
      <c r="Y167" s="741"/>
      <c r="Z167" s="741"/>
      <c r="AA167" s="741"/>
      <c r="AB167" s="741"/>
      <c r="AC167" s="741"/>
      <c r="AD167" s="741"/>
      <c r="AE167" s="741"/>
      <c r="AF167" s="741"/>
      <c r="AG167" s="741"/>
      <c r="AH167" s="741"/>
      <c r="AI167" s="741"/>
      <c r="AJ167" s="741"/>
      <c r="AK167" s="741"/>
      <c r="AL167" s="741"/>
      <c r="AM167" s="741"/>
      <c r="AN167" s="741"/>
      <c r="AO167" s="741"/>
      <c r="AP167" s="741"/>
    </row>
    <row r="168" spans="1:42" ht="12.75" customHeight="1">
      <c r="A168" s="741"/>
      <c r="B168" s="741"/>
      <c r="C168" s="741"/>
      <c r="D168" s="741"/>
      <c r="E168" s="741"/>
      <c r="F168" s="741"/>
      <c r="G168" s="741"/>
      <c r="H168" s="741"/>
      <c r="I168" s="741"/>
      <c r="J168" s="741"/>
      <c r="K168" s="741"/>
      <c r="L168" s="741"/>
      <c r="M168" s="741"/>
      <c r="N168" s="741"/>
      <c r="O168" s="741"/>
      <c r="P168" s="741"/>
      <c r="Q168" s="741"/>
      <c r="R168" s="741"/>
      <c r="S168" s="741"/>
      <c r="T168" s="741"/>
      <c r="U168" s="741"/>
      <c r="V168" s="741"/>
      <c r="W168" s="741"/>
      <c r="X168" s="741"/>
      <c r="Y168" s="741"/>
      <c r="Z168" s="741"/>
      <c r="AA168" s="741"/>
      <c r="AB168" s="741"/>
      <c r="AC168" s="741"/>
      <c r="AD168" s="741"/>
      <c r="AE168" s="741"/>
      <c r="AF168" s="741"/>
      <c r="AG168" s="741"/>
      <c r="AH168" s="741"/>
      <c r="AI168" s="741"/>
      <c r="AJ168" s="741"/>
      <c r="AK168" s="741"/>
      <c r="AL168" s="741"/>
      <c r="AM168" s="741"/>
      <c r="AN168" s="741"/>
      <c r="AO168" s="741"/>
      <c r="AP168" s="741"/>
    </row>
    <row r="169" spans="1:42" ht="12.75" customHeight="1">
      <c r="A169" s="741"/>
      <c r="B169" s="741"/>
      <c r="C169" s="741"/>
      <c r="D169" s="741"/>
      <c r="E169" s="741"/>
      <c r="F169" s="741"/>
      <c r="G169" s="741"/>
      <c r="H169" s="741"/>
      <c r="I169" s="741"/>
      <c r="J169" s="741"/>
      <c r="K169" s="741"/>
      <c r="L169" s="741"/>
      <c r="M169" s="741"/>
      <c r="N169" s="741"/>
      <c r="O169" s="741"/>
      <c r="P169" s="741"/>
      <c r="Q169" s="741"/>
      <c r="R169" s="741"/>
      <c r="S169" s="741"/>
      <c r="T169" s="741"/>
      <c r="U169" s="741"/>
      <c r="V169" s="741"/>
      <c r="W169" s="741"/>
      <c r="X169" s="741"/>
      <c r="Y169" s="741"/>
      <c r="Z169" s="741"/>
      <c r="AA169" s="741"/>
      <c r="AB169" s="741"/>
      <c r="AC169" s="741"/>
      <c r="AD169" s="741"/>
      <c r="AE169" s="741"/>
      <c r="AF169" s="741"/>
      <c r="AG169" s="741"/>
      <c r="AH169" s="741"/>
      <c r="AI169" s="741"/>
      <c r="AJ169" s="741"/>
      <c r="AK169" s="741"/>
      <c r="AL169" s="741"/>
      <c r="AM169" s="741"/>
      <c r="AN169" s="741"/>
      <c r="AO169" s="741"/>
      <c r="AP169" s="741"/>
    </row>
    <row r="170" spans="1:42" ht="12.75" customHeight="1">
      <c r="A170" s="741"/>
      <c r="B170" s="741"/>
      <c r="C170" s="741"/>
      <c r="D170" s="741"/>
      <c r="E170" s="741"/>
      <c r="F170" s="741"/>
      <c r="G170" s="741"/>
      <c r="H170" s="741"/>
      <c r="I170" s="741"/>
      <c r="J170" s="741"/>
      <c r="K170" s="741"/>
      <c r="L170" s="741"/>
      <c r="M170" s="741"/>
      <c r="N170" s="741"/>
      <c r="O170" s="741"/>
      <c r="P170" s="741"/>
      <c r="Q170" s="741"/>
      <c r="R170" s="741"/>
      <c r="S170" s="741"/>
      <c r="T170" s="741"/>
      <c r="U170" s="741"/>
      <c r="V170" s="741"/>
      <c r="W170" s="741"/>
      <c r="X170" s="741"/>
      <c r="Y170" s="741"/>
      <c r="Z170" s="741"/>
      <c r="AA170" s="741"/>
      <c r="AB170" s="741"/>
      <c r="AC170" s="741"/>
      <c r="AD170" s="741"/>
      <c r="AE170" s="741"/>
      <c r="AF170" s="741"/>
      <c r="AG170" s="741"/>
      <c r="AH170" s="741"/>
      <c r="AI170" s="741"/>
      <c r="AJ170" s="741"/>
      <c r="AK170" s="741"/>
      <c r="AL170" s="741"/>
      <c r="AM170" s="741"/>
      <c r="AN170" s="741"/>
      <c r="AO170" s="741"/>
      <c r="AP170" s="741"/>
    </row>
    <row r="171" spans="1:42" ht="12.75" customHeight="1">
      <c r="A171" s="741"/>
      <c r="B171" s="741"/>
      <c r="C171" s="741"/>
      <c r="D171" s="741"/>
      <c r="E171" s="741"/>
      <c r="F171" s="741"/>
      <c r="G171" s="741"/>
      <c r="H171" s="741"/>
      <c r="I171" s="741"/>
      <c r="J171" s="741"/>
      <c r="K171" s="741"/>
      <c r="L171" s="741"/>
      <c r="M171" s="741"/>
      <c r="N171" s="741"/>
      <c r="O171" s="741"/>
      <c r="P171" s="741"/>
      <c r="Q171" s="741"/>
      <c r="R171" s="741"/>
      <c r="S171" s="741"/>
      <c r="T171" s="741"/>
      <c r="U171" s="741"/>
      <c r="V171" s="741"/>
      <c r="W171" s="741"/>
      <c r="X171" s="741"/>
      <c r="Y171" s="741"/>
      <c r="Z171" s="741"/>
      <c r="AA171" s="741"/>
      <c r="AB171" s="741"/>
      <c r="AC171" s="741"/>
      <c r="AD171" s="741"/>
      <c r="AE171" s="741"/>
      <c r="AF171" s="741"/>
      <c r="AG171" s="741"/>
      <c r="AH171" s="741"/>
      <c r="AI171" s="741"/>
      <c r="AJ171" s="741"/>
      <c r="AK171" s="741"/>
      <c r="AL171" s="741"/>
      <c r="AM171" s="741"/>
      <c r="AN171" s="741"/>
      <c r="AO171" s="741"/>
      <c r="AP171" s="741"/>
    </row>
    <row r="172" spans="1:42" ht="12.75" customHeight="1">
      <c r="A172" s="741"/>
      <c r="B172" s="741"/>
      <c r="C172" s="741"/>
      <c r="D172" s="741"/>
      <c r="E172" s="741"/>
      <c r="F172" s="741"/>
      <c r="G172" s="741"/>
      <c r="H172" s="741"/>
      <c r="I172" s="741"/>
      <c r="J172" s="741"/>
      <c r="K172" s="741"/>
      <c r="L172" s="741"/>
      <c r="M172" s="741"/>
      <c r="N172" s="741"/>
      <c r="O172" s="741"/>
      <c r="P172" s="741"/>
      <c r="Q172" s="741"/>
      <c r="R172" s="741"/>
      <c r="S172" s="741"/>
      <c r="T172" s="741"/>
      <c r="U172" s="741"/>
      <c r="V172" s="741"/>
      <c r="W172" s="741"/>
      <c r="X172" s="741"/>
      <c r="Y172" s="741"/>
      <c r="Z172" s="741"/>
      <c r="AA172" s="741"/>
      <c r="AB172" s="741"/>
      <c r="AC172" s="741"/>
      <c r="AD172" s="741"/>
      <c r="AE172" s="741"/>
      <c r="AF172" s="741"/>
      <c r="AG172" s="741"/>
      <c r="AH172" s="741"/>
      <c r="AI172" s="741"/>
      <c r="AJ172" s="741"/>
      <c r="AK172" s="741"/>
      <c r="AL172" s="741"/>
      <c r="AM172" s="741"/>
      <c r="AN172" s="741"/>
      <c r="AO172" s="741"/>
      <c r="AP172" s="741"/>
    </row>
    <row r="173" spans="1:42" ht="12.75" customHeight="1">
      <c r="A173" s="741"/>
      <c r="B173" s="741"/>
      <c r="C173" s="741"/>
      <c r="D173" s="741"/>
      <c r="E173" s="741"/>
      <c r="F173" s="741"/>
      <c r="G173" s="741"/>
      <c r="H173" s="741"/>
      <c r="I173" s="741"/>
      <c r="J173" s="741"/>
      <c r="K173" s="741"/>
      <c r="L173" s="741"/>
      <c r="M173" s="741"/>
      <c r="N173" s="741"/>
      <c r="O173" s="741"/>
      <c r="P173" s="741"/>
      <c r="Q173" s="741"/>
      <c r="R173" s="741"/>
      <c r="S173" s="741"/>
      <c r="T173" s="741"/>
      <c r="U173" s="741"/>
      <c r="V173" s="741"/>
      <c r="W173" s="741"/>
      <c r="X173" s="741"/>
      <c r="Y173" s="741"/>
      <c r="Z173" s="741"/>
      <c r="AA173" s="741"/>
      <c r="AB173" s="741"/>
      <c r="AC173" s="741"/>
      <c r="AD173" s="741"/>
      <c r="AE173" s="741"/>
      <c r="AF173" s="741"/>
      <c r="AG173" s="741"/>
      <c r="AH173" s="741"/>
      <c r="AI173" s="741"/>
      <c r="AJ173" s="741"/>
      <c r="AK173" s="741"/>
      <c r="AL173" s="741"/>
      <c r="AM173" s="741"/>
      <c r="AN173" s="741"/>
      <c r="AO173" s="741"/>
      <c r="AP173" s="741"/>
    </row>
    <row r="174" spans="1:42" ht="12.75" customHeight="1">
      <c r="A174" s="741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1"/>
      <c r="P174" s="741"/>
      <c r="Q174" s="741"/>
      <c r="R174" s="741"/>
      <c r="S174" s="741"/>
      <c r="T174" s="741"/>
      <c r="U174" s="741"/>
      <c r="V174" s="741"/>
      <c r="W174" s="741"/>
      <c r="X174" s="741"/>
      <c r="Y174" s="741"/>
      <c r="Z174" s="741"/>
      <c r="AA174" s="741"/>
      <c r="AB174" s="741"/>
      <c r="AC174" s="741"/>
      <c r="AD174" s="741"/>
      <c r="AE174" s="741"/>
      <c r="AF174" s="741"/>
      <c r="AG174" s="741"/>
      <c r="AH174" s="741"/>
      <c r="AI174" s="741"/>
      <c r="AJ174" s="741"/>
      <c r="AK174" s="741"/>
      <c r="AL174" s="741"/>
      <c r="AM174" s="741"/>
      <c r="AN174" s="741"/>
      <c r="AO174" s="741"/>
      <c r="AP174" s="741"/>
    </row>
    <row r="175" spans="1:42" ht="12.75" customHeight="1">
      <c r="A175" s="741"/>
      <c r="B175" s="741"/>
      <c r="C175" s="741"/>
      <c r="D175" s="741"/>
      <c r="E175" s="741"/>
      <c r="F175" s="741"/>
      <c r="G175" s="741"/>
      <c r="H175" s="741"/>
      <c r="I175" s="741"/>
      <c r="J175" s="741"/>
      <c r="K175" s="741"/>
      <c r="L175" s="741"/>
      <c r="M175" s="741"/>
      <c r="N175" s="741"/>
      <c r="O175" s="741"/>
      <c r="P175" s="741"/>
      <c r="Q175" s="741"/>
      <c r="R175" s="741"/>
      <c r="S175" s="741"/>
      <c r="T175" s="741"/>
      <c r="U175" s="741"/>
      <c r="V175" s="741"/>
      <c r="W175" s="741"/>
      <c r="X175" s="741"/>
      <c r="Y175" s="741"/>
      <c r="Z175" s="741"/>
      <c r="AA175" s="741"/>
      <c r="AB175" s="741"/>
      <c r="AC175" s="741"/>
      <c r="AD175" s="741"/>
      <c r="AE175" s="741"/>
      <c r="AF175" s="741"/>
      <c r="AG175" s="741"/>
      <c r="AH175" s="741"/>
      <c r="AI175" s="741"/>
      <c r="AJ175" s="741"/>
      <c r="AK175" s="741"/>
      <c r="AL175" s="741"/>
      <c r="AM175" s="741"/>
      <c r="AN175" s="741"/>
      <c r="AO175" s="741"/>
      <c r="AP175" s="741"/>
    </row>
    <row r="176" spans="1:42" ht="12.75" customHeight="1">
      <c r="A176" s="741"/>
      <c r="B176" s="741"/>
      <c r="C176" s="741"/>
      <c r="D176" s="741"/>
      <c r="E176" s="741"/>
      <c r="F176" s="741"/>
      <c r="G176" s="741"/>
      <c r="H176" s="741"/>
      <c r="I176" s="741"/>
      <c r="J176" s="741"/>
      <c r="K176" s="741"/>
      <c r="L176" s="741"/>
      <c r="M176" s="741"/>
      <c r="N176" s="741"/>
      <c r="O176" s="741"/>
      <c r="P176" s="741"/>
      <c r="Q176" s="741"/>
      <c r="R176" s="741"/>
      <c r="S176" s="741"/>
      <c r="T176" s="741"/>
      <c r="U176" s="741"/>
      <c r="V176" s="741"/>
      <c r="W176" s="741"/>
      <c r="X176" s="741"/>
      <c r="Y176" s="741"/>
      <c r="Z176" s="741"/>
      <c r="AA176" s="741"/>
      <c r="AB176" s="741"/>
      <c r="AC176" s="741"/>
      <c r="AD176" s="741"/>
      <c r="AE176" s="741"/>
      <c r="AF176" s="741"/>
      <c r="AG176" s="741"/>
      <c r="AH176" s="741"/>
      <c r="AI176" s="741"/>
      <c r="AJ176" s="741"/>
      <c r="AK176" s="741"/>
      <c r="AL176" s="741"/>
      <c r="AM176" s="741"/>
      <c r="AN176" s="741"/>
      <c r="AO176" s="741"/>
      <c r="AP176" s="741"/>
    </row>
    <row r="177" spans="1:42" ht="12.75" customHeight="1">
      <c r="A177" s="741"/>
      <c r="B177" s="741"/>
      <c r="C177" s="741"/>
      <c r="D177" s="741"/>
      <c r="E177" s="741"/>
      <c r="F177" s="741"/>
      <c r="G177" s="741"/>
      <c r="H177" s="741"/>
      <c r="I177" s="741"/>
      <c r="J177" s="741"/>
      <c r="K177" s="741"/>
      <c r="L177" s="741"/>
      <c r="M177" s="741"/>
      <c r="N177" s="741"/>
      <c r="O177" s="741"/>
      <c r="P177" s="741"/>
      <c r="Q177" s="741"/>
      <c r="R177" s="741"/>
      <c r="S177" s="741"/>
      <c r="T177" s="741"/>
      <c r="U177" s="741"/>
      <c r="V177" s="741"/>
      <c r="W177" s="741"/>
      <c r="X177" s="741"/>
      <c r="Y177" s="741"/>
      <c r="Z177" s="741"/>
      <c r="AA177" s="741"/>
      <c r="AB177" s="741"/>
      <c r="AC177" s="741"/>
      <c r="AD177" s="741"/>
      <c r="AE177" s="741"/>
      <c r="AF177" s="741"/>
      <c r="AG177" s="741"/>
      <c r="AH177" s="741"/>
      <c r="AI177" s="741"/>
      <c r="AJ177" s="741"/>
      <c r="AK177" s="741"/>
      <c r="AL177" s="741"/>
      <c r="AM177" s="741"/>
      <c r="AN177" s="741"/>
      <c r="AO177" s="741"/>
      <c r="AP177" s="741"/>
    </row>
    <row r="178" spans="1:42" ht="12.75" customHeight="1">
      <c r="A178" s="741"/>
      <c r="B178" s="741"/>
      <c r="C178" s="741"/>
      <c r="D178" s="741"/>
      <c r="E178" s="741"/>
      <c r="F178" s="741"/>
      <c r="G178" s="741"/>
      <c r="H178" s="741"/>
      <c r="I178" s="741"/>
      <c r="J178" s="741"/>
      <c r="K178" s="741"/>
      <c r="L178" s="741"/>
      <c r="M178" s="741"/>
      <c r="N178" s="741"/>
      <c r="O178" s="741"/>
      <c r="P178" s="741"/>
      <c r="Q178" s="741"/>
      <c r="R178" s="741"/>
      <c r="S178" s="741"/>
      <c r="T178" s="741"/>
      <c r="U178" s="741"/>
      <c r="V178" s="741"/>
      <c r="W178" s="741"/>
      <c r="X178" s="741"/>
      <c r="Y178" s="741"/>
      <c r="Z178" s="741"/>
      <c r="AA178" s="741"/>
      <c r="AB178" s="741"/>
      <c r="AC178" s="741"/>
      <c r="AD178" s="741"/>
      <c r="AE178" s="741"/>
      <c r="AF178" s="741"/>
      <c r="AG178" s="741"/>
      <c r="AH178" s="741"/>
      <c r="AI178" s="741"/>
      <c r="AJ178" s="741"/>
      <c r="AK178" s="741"/>
      <c r="AL178" s="741"/>
      <c r="AM178" s="741"/>
      <c r="AN178" s="741"/>
      <c r="AO178" s="741"/>
      <c r="AP178" s="741"/>
    </row>
    <row r="179" spans="1:42" ht="12.75" customHeight="1">
      <c r="A179" s="741"/>
      <c r="B179" s="741"/>
      <c r="C179" s="741"/>
      <c r="D179" s="741"/>
      <c r="E179" s="741"/>
      <c r="F179" s="741"/>
      <c r="G179" s="741"/>
      <c r="H179" s="741"/>
      <c r="I179" s="741"/>
      <c r="J179" s="741"/>
      <c r="K179" s="741"/>
      <c r="L179" s="741"/>
      <c r="M179" s="741"/>
      <c r="N179" s="741"/>
      <c r="O179" s="741"/>
      <c r="P179" s="741"/>
      <c r="Q179" s="741"/>
      <c r="R179" s="741"/>
      <c r="S179" s="741"/>
      <c r="T179" s="741"/>
      <c r="U179" s="741"/>
      <c r="V179" s="741"/>
      <c r="W179" s="741"/>
      <c r="X179" s="741"/>
      <c r="Y179" s="741"/>
      <c r="Z179" s="741"/>
      <c r="AA179" s="741"/>
      <c r="AB179" s="741"/>
      <c r="AC179" s="741"/>
      <c r="AD179" s="741"/>
      <c r="AE179" s="741"/>
      <c r="AF179" s="741"/>
      <c r="AG179" s="741"/>
      <c r="AH179" s="741"/>
      <c r="AI179" s="741"/>
      <c r="AJ179" s="741"/>
      <c r="AK179" s="741"/>
      <c r="AL179" s="741"/>
      <c r="AM179" s="741"/>
      <c r="AN179" s="741"/>
      <c r="AO179" s="741"/>
      <c r="AP179" s="741"/>
    </row>
    <row r="180" spans="1:42" ht="12.75" customHeight="1">
      <c r="A180" s="741"/>
      <c r="B180" s="741"/>
      <c r="C180" s="741"/>
      <c r="D180" s="741"/>
      <c r="E180" s="741"/>
      <c r="F180" s="741"/>
      <c r="G180" s="741"/>
      <c r="H180" s="741"/>
      <c r="I180" s="741"/>
      <c r="J180" s="741"/>
      <c r="K180" s="741"/>
      <c r="L180" s="741"/>
      <c r="M180" s="741"/>
      <c r="N180" s="741"/>
      <c r="O180" s="741"/>
      <c r="P180" s="741"/>
      <c r="Q180" s="741"/>
      <c r="R180" s="741"/>
      <c r="S180" s="741"/>
      <c r="T180" s="741"/>
      <c r="U180" s="741"/>
      <c r="V180" s="741"/>
      <c r="W180" s="741"/>
      <c r="X180" s="741"/>
      <c r="Y180" s="741"/>
      <c r="Z180" s="741"/>
      <c r="AA180" s="741"/>
      <c r="AB180" s="741"/>
      <c r="AC180" s="741"/>
      <c r="AD180" s="741"/>
      <c r="AE180" s="741"/>
      <c r="AF180" s="741"/>
      <c r="AG180" s="741"/>
      <c r="AH180" s="741"/>
      <c r="AI180" s="741"/>
      <c r="AJ180" s="741"/>
      <c r="AK180" s="741"/>
      <c r="AL180" s="741"/>
      <c r="AM180" s="741"/>
      <c r="AN180" s="741"/>
      <c r="AO180" s="741"/>
      <c r="AP180" s="741"/>
    </row>
    <row r="181" spans="1:42" ht="12.75" customHeight="1">
      <c r="A181" s="741"/>
      <c r="B181" s="741"/>
      <c r="C181" s="741"/>
      <c r="D181" s="741"/>
      <c r="E181" s="741"/>
      <c r="F181" s="741"/>
      <c r="G181" s="741"/>
      <c r="H181" s="741"/>
      <c r="I181" s="741"/>
      <c r="J181" s="741"/>
      <c r="K181" s="741"/>
      <c r="L181" s="741"/>
      <c r="M181" s="741"/>
      <c r="N181" s="741"/>
      <c r="O181" s="741"/>
      <c r="P181" s="741"/>
      <c r="Q181" s="741"/>
      <c r="R181" s="741"/>
      <c r="S181" s="741"/>
      <c r="T181" s="741"/>
      <c r="U181" s="741"/>
      <c r="V181" s="741"/>
      <c r="W181" s="741"/>
      <c r="X181" s="741"/>
      <c r="Y181" s="741"/>
      <c r="Z181" s="741"/>
      <c r="AA181" s="741"/>
      <c r="AB181" s="741"/>
      <c r="AC181" s="741"/>
      <c r="AD181" s="741"/>
      <c r="AE181" s="741"/>
      <c r="AF181" s="741"/>
      <c r="AG181" s="741"/>
      <c r="AH181" s="741"/>
      <c r="AI181" s="741"/>
      <c r="AJ181" s="741"/>
      <c r="AK181" s="741"/>
      <c r="AL181" s="741"/>
      <c r="AM181" s="741"/>
      <c r="AN181" s="741"/>
      <c r="AO181" s="741"/>
      <c r="AP181" s="741"/>
    </row>
    <row r="182" spans="1:42" ht="12.75" customHeight="1">
      <c r="A182" s="741"/>
      <c r="B182" s="741"/>
      <c r="C182" s="741"/>
      <c r="D182" s="741"/>
      <c r="E182" s="741"/>
      <c r="F182" s="741"/>
      <c r="G182" s="741"/>
      <c r="H182" s="741"/>
      <c r="I182" s="741"/>
      <c r="J182" s="741"/>
      <c r="K182" s="741"/>
      <c r="L182" s="741"/>
      <c r="M182" s="741"/>
      <c r="N182" s="741"/>
      <c r="O182" s="741"/>
      <c r="P182" s="741"/>
      <c r="Q182" s="741"/>
      <c r="R182" s="741"/>
      <c r="S182" s="741"/>
      <c r="T182" s="741"/>
      <c r="U182" s="741"/>
      <c r="V182" s="741"/>
      <c r="W182" s="741"/>
      <c r="X182" s="741"/>
      <c r="Y182" s="741"/>
      <c r="Z182" s="741"/>
      <c r="AA182" s="741"/>
      <c r="AB182" s="741"/>
      <c r="AC182" s="741"/>
      <c r="AD182" s="741"/>
      <c r="AE182" s="741"/>
      <c r="AF182" s="741"/>
      <c r="AG182" s="741"/>
      <c r="AH182" s="741"/>
      <c r="AI182" s="741"/>
      <c r="AJ182" s="741"/>
      <c r="AK182" s="741"/>
      <c r="AL182" s="741"/>
      <c r="AM182" s="741"/>
      <c r="AN182" s="741"/>
      <c r="AO182" s="741"/>
      <c r="AP182" s="741"/>
    </row>
    <row r="183" spans="1:42" ht="12.75" customHeight="1">
      <c r="A183" s="741"/>
      <c r="B183" s="741"/>
      <c r="C183" s="741"/>
      <c r="D183" s="741"/>
      <c r="E183" s="741"/>
      <c r="F183" s="741"/>
      <c r="G183" s="741"/>
      <c r="H183" s="741"/>
      <c r="I183" s="741"/>
      <c r="J183" s="741"/>
      <c r="K183" s="741"/>
      <c r="L183" s="741"/>
      <c r="M183" s="741"/>
      <c r="N183" s="741"/>
      <c r="O183" s="741"/>
      <c r="P183" s="741"/>
      <c r="Q183" s="741"/>
      <c r="R183" s="741"/>
      <c r="S183" s="741"/>
      <c r="T183" s="741"/>
      <c r="U183" s="741"/>
      <c r="V183" s="741"/>
      <c r="W183" s="741"/>
      <c r="X183" s="741"/>
      <c r="Y183" s="741"/>
      <c r="Z183" s="741"/>
      <c r="AA183" s="741"/>
      <c r="AB183" s="741"/>
      <c r="AC183" s="741"/>
      <c r="AD183" s="741"/>
      <c r="AE183" s="741"/>
      <c r="AF183" s="741"/>
      <c r="AG183" s="741"/>
      <c r="AH183" s="741"/>
      <c r="AI183" s="741"/>
      <c r="AJ183" s="741"/>
      <c r="AK183" s="741"/>
      <c r="AL183" s="741"/>
      <c r="AM183" s="741"/>
      <c r="AN183" s="741"/>
      <c r="AO183" s="741"/>
      <c r="AP183" s="741"/>
    </row>
    <row r="184" spans="1:42" ht="12.75" customHeight="1">
      <c r="A184" s="741"/>
      <c r="B184" s="741"/>
      <c r="C184" s="741"/>
      <c r="D184" s="741"/>
      <c r="E184" s="741"/>
      <c r="F184" s="741"/>
      <c r="G184" s="741"/>
      <c r="H184" s="741"/>
      <c r="I184" s="741"/>
      <c r="J184" s="741"/>
      <c r="K184" s="741"/>
      <c r="L184" s="741"/>
      <c r="M184" s="741"/>
      <c r="N184" s="741"/>
      <c r="O184" s="741"/>
      <c r="P184" s="741"/>
      <c r="Q184" s="741"/>
      <c r="R184" s="741"/>
      <c r="S184" s="741"/>
      <c r="T184" s="741"/>
      <c r="U184" s="741"/>
      <c r="V184" s="741"/>
      <c r="W184" s="741"/>
      <c r="X184" s="741"/>
      <c r="Y184" s="741"/>
      <c r="Z184" s="741"/>
      <c r="AA184" s="741"/>
      <c r="AB184" s="741"/>
      <c r="AC184" s="741"/>
      <c r="AD184" s="741"/>
      <c r="AE184" s="741"/>
      <c r="AF184" s="741"/>
      <c r="AG184" s="741"/>
      <c r="AH184" s="741"/>
      <c r="AI184" s="741"/>
      <c r="AJ184" s="741"/>
      <c r="AK184" s="741"/>
      <c r="AL184" s="741"/>
      <c r="AM184" s="741"/>
      <c r="AN184" s="741"/>
      <c r="AO184" s="741"/>
      <c r="AP184" s="741"/>
    </row>
    <row r="185" spans="1:42" ht="12.75" customHeight="1">
      <c r="A185" s="741"/>
      <c r="B185" s="741"/>
      <c r="C185" s="741"/>
      <c r="D185" s="741"/>
      <c r="E185" s="741"/>
      <c r="F185" s="741"/>
      <c r="G185" s="741"/>
      <c r="H185" s="741"/>
      <c r="I185" s="741"/>
      <c r="J185" s="741"/>
      <c r="K185" s="741"/>
      <c r="L185" s="741"/>
      <c r="M185" s="741"/>
      <c r="N185" s="741"/>
      <c r="O185" s="741"/>
      <c r="P185" s="741"/>
      <c r="Q185" s="741"/>
      <c r="R185" s="741"/>
      <c r="S185" s="741"/>
      <c r="T185" s="741"/>
      <c r="U185" s="741"/>
      <c r="V185" s="741"/>
      <c r="W185" s="741"/>
      <c r="X185" s="741"/>
      <c r="Y185" s="741"/>
      <c r="Z185" s="741"/>
      <c r="AA185" s="741"/>
      <c r="AB185" s="741"/>
      <c r="AC185" s="741"/>
      <c r="AD185" s="741"/>
      <c r="AE185" s="741"/>
      <c r="AF185" s="741"/>
      <c r="AG185" s="741"/>
      <c r="AH185" s="741"/>
      <c r="AI185" s="741"/>
      <c r="AJ185" s="741"/>
      <c r="AK185" s="741"/>
      <c r="AL185" s="741"/>
      <c r="AM185" s="741"/>
      <c r="AN185" s="741"/>
      <c r="AO185" s="741"/>
      <c r="AP185" s="741"/>
    </row>
    <row r="186" spans="1:42" ht="12.75" customHeight="1">
      <c r="A186" s="741"/>
      <c r="B186" s="741"/>
      <c r="C186" s="741"/>
      <c r="D186" s="741"/>
      <c r="E186" s="741"/>
      <c r="F186" s="741"/>
      <c r="G186" s="741"/>
      <c r="H186" s="741"/>
      <c r="I186" s="741"/>
      <c r="J186" s="741"/>
      <c r="K186" s="741"/>
      <c r="L186" s="741"/>
      <c r="M186" s="741"/>
      <c r="N186" s="741"/>
      <c r="O186" s="741"/>
      <c r="P186" s="741"/>
      <c r="Q186" s="741"/>
      <c r="R186" s="741"/>
      <c r="S186" s="741"/>
      <c r="T186" s="741"/>
      <c r="U186" s="741"/>
      <c r="V186" s="741"/>
      <c r="W186" s="741"/>
      <c r="X186" s="741"/>
      <c r="Y186" s="741"/>
      <c r="Z186" s="741"/>
      <c r="AA186" s="741"/>
      <c r="AB186" s="741"/>
      <c r="AC186" s="741"/>
      <c r="AD186" s="741"/>
      <c r="AE186" s="741"/>
      <c r="AF186" s="741"/>
      <c r="AG186" s="741"/>
      <c r="AH186" s="741"/>
      <c r="AI186" s="741"/>
      <c r="AJ186" s="741"/>
      <c r="AK186" s="741"/>
      <c r="AL186" s="741"/>
      <c r="AM186" s="741"/>
      <c r="AN186" s="741"/>
      <c r="AO186" s="741"/>
      <c r="AP186" s="741"/>
    </row>
    <row r="187" spans="1:42" ht="12.75" customHeight="1">
      <c r="A187" s="741"/>
      <c r="B187" s="741"/>
      <c r="C187" s="741"/>
      <c r="D187" s="741"/>
      <c r="E187" s="741"/>
      <c r="F187" s="741"/>
      <c r="G187" s="741"/>
      <c r="H187" s="741"/>
      <c r="I187" s="741"/>
      <c r="J187" s="741"/>
      <c r="K187" s="741"/>
      <c r="L187" s="741"/>
      <c r="M187" s="741"/>
      <c r="N187" s="741"/>
      <c r="O187" s="741"/>
      <c r="P187" s="741"/>
      <c r="Q187" s="741"/>
      <c r="R187" s="741"/>
      <c r="S187" s="741"/>
      <c r="T187" s="741"/>
      <c r="U187" s="741"/>
      <c r="V187" s="741"/>
      <c r="W187" s="741"/>
      <c r="X187" s="741"/>
      <c r="Y187" s="741"/>
      <c r="Z187" s="741"/>
      <c r="AA187" s="741"/>
      <c r="AB187" s="741"/>
      <c r="AC187" s="741"/>
      <c r="AD187" s="741"/>
      <c r="AE187" s="741"/>
      <c r="AF187" s="741"/>
      <c r="AG187" s="741"/>
      <c r="AH187" s="741"/>
      <c r="AI187" s="741"/>
      <c r="AJ187" s="741"/>
      <c r="AK187" s="741"/>
      <c r="AL187" s="741"/>
      <c r="AM187" s="741"/>
      <c r="AN187" s="741"/>
      <c r="AO187" s="741"/>
      <c r="AP187" s="741"/>
    </row>
    <row r="188" spans="1:42" ht="12.75" customHeight="1">
      <c r="A188" s="741"/>
      <c r="B188" s="741"/>
      <c r="C188" s="741"/>
      <c r="D188" s="741"/>
      <c r="E188" s="741"/>
      <c r="F188" s="741"/>
      <c r="G188" s="741"/>
      <c r="H188" s="741"/>
      <c r="I188" s="741"/>
      <c r="J188" s="741"/>
      <c r="K188" s="741"/>
      <c r="L188" s="741"/>
      <c r="M188" s="741"/>
      <c r="N188" s="741"/>
      <c r="O188" s="741"/>
      <c r="P188" s="741"/>
      <c r="Q188" s="741"/>
      <c r="R188" s="741"/>
      <c r="S188" s="741"/>
      <c r="T188" s="741"/>
      <c r="U188" s="741"/>
      <c r="V188" s="741"/>
      <c r="W188" s="741"/>
      <c r="X188" s="741"/>
      <c r="Y188" s="741"/>
      <c r="Z188" s="741"/>
      <c r="AA188" s="741"/>
      <c r="AB188" s="741"/>
      <c r="AC188" s="741"/>
      <c r="AD188" s="741"/>
      <c r="AE188" s="741"/>
      <c r="AF188" s="741"/>
      <c r="AG188" s="741"/>
      <c r="AH188" s="741"/>
      <c r="AI188" s="741"/>
      <c r="AJ188" s="741"/>
      <c r="AK188" s="741"/>
      <c r="AL188" s="741"/>
      <c r="AM188" s="741"/>
      <c r="AN188" s="741"/>
      <c r="AO188" s="741"/>
      <c r="AP188" s="741"/>
    </row>
    <row r="189" spans="1:42" ht="12.75" customHeight="1">
      <c r="A189" s="741"/>
      <c r="B189" s="741"/>
      <c r="C189" s="741"/>
      <c r="D189" s="741"/>
      <c r="E189" s="741"/>
      <c r="F189" s="741"/>
      <c r="G189" s="741"/>
      <c r="H189" s="741"/>
      <c r="I189" s="741"/>
      <c r="J189" s="741"/>
      <c r="K189" s="741"/>
      <c r="L189" s="741"/>
      <c r="M189" s="741"/>
      <c r="N189" s="741"/>
      <c r="O189" s="741"/>
      <c r="P189" s="741"/>
      <c r="Q189" s="741"/>
      <c r="R189" s="741"/>
      <c r="S189" s="741"/>
      <c r="T189" s="741"/>
      <c r="U189" s="741"/>
      <c r="V189" s="741"/>
      <c r="W189" s="741"/>
      <c r="X189" s="741"/>
      <c r="Y189" s="741"/>
      <c r="Z189" s="741"/>
      <c r="AA189" s="741"/>
      <c r="AB189" s="741"/>
      <c r="AC189" s="741"/>
      <c r="AD189" s="741"/>
      <c r="AE189" s="741"/>
      <c r="AF189" s="741"/>
      <c r="AG189" s="741"/>
      <c r="AH189" s="741"/>
      <c r="AI189" s="741"/>
      <c r="AJ189" s="741"/>
      <c r="AK189" s="741"/>
      <c r="AL189" s="741"/>
      <c r="AM189" s="741"/>
      <c r="AN189" s="741"/>
      <c r="AO189" s="741"/>
      <c r="AP189" s="741"/>
    </row>
    <row r="190" spans="1:42" ht="12.75" customHeight="1">
      <c r="A190" s="741"/>
      <c r="B190" s="741"/>
      <c r="C190" s="741"/>
      <c r="D190" s="741"/>
      <c r="E190" s="741"/>
      <c r="F190" s="741"/>
      <c r="G190" s="741"/>
      <c r="H190" s="741"/>
      <c r="I190" s="741"/>
      <c r="J190" s="741"/>
      <c r="K190" s="741"/>
      <c r="L190" s="741"/>
      <c r="M190" s="741"/>
      <c r="N190" s="741"/>
      <c r="O190" s="741"/>
      <c r="P190" s="741"/>
      <c r="Q190" s="741"/>
      <c r="R190" s="741"/>
      <c r="S190" s="741"/>
      <c r="T190" s="741"/>
      <c r="U190" s="741"/>
      <c r="V190" s="741"/>
      <c r="W190" s="741"/>
      <c r="X190" s="741"/>
      <c r="Y190" s="741"/>
      <c r="Z190" s="741"/>
      <c r="AA190" s="741"/>
      <c r="AB190" s="741"/>
      <c r="AC190" s="741"/>
      <c r="AD190" s="741"/>
      <c r="AE190" s="741"/>
      <c r="AF190" s="741"/>
      <c r="AG190" s="741"/>
      <c r="AH190" s="741"/>
      <c r="AI190" s="741"/>
      <c r="AJ190" s="741"/>
      <c r="AK190" s="741"/>
      <c r="AL190" s="741"/>
      <c r="AM190" s="741"/>
      <c r="AN190" s="741"/>
      <c r="AO190" s="741"/>
      <c r="AP190" s="741"/>
    </row>
    <row r="191" spans="1:42" ht="12.75" customHeight="1">
      <c r="A191" s="741"/>
      <c r="B191" s="741"/>
      <c r="C191" s="741"/>
      <c r="D191" s="741"/>
      <c r="E191" s="741"/>
      <c r="F191" s="741"/>
      <c r="G191" s="741"/>
      <c r="H191" s="741"/>
      <c r="I191" s="741"/>
      <c r="J191" s="741"/>
      <c r="K191" s="741"/>
      <c r="L191" s="741"/>
      <c r="M191" s="741"/>
      <c r="N191" s="741"/>
      <c r="O191" s="741"/>
      <c r="P191" s="741"/>
      <c r="Q191" s="741"/>
      <c r="R191" s="741"/>
      <c r="S191" s="741"/>
      <c r="T191" s="741"/>
      <c r="U191" s="741"/>
      <c r="V191" s="741"/>
      <c r="W191" s="741"/>
      <c r="X191" s="741"/>
      <c r="Y191" s="741"/>
      <c r="Z191" s="741"/>
      <c r="AA191" s="741"/>
      <c r="AB191" s="741"/>
      <c r="AC191" s="741"/>
      <c r="AD191" s="741"/>
      <c r="AE191" s="741"/>
      <c r="AF191" s="741"/>
      <c r="AG191" s="741"/>
      <c r="AH191" s="741"/>
      <c r="AI191" s="741"/>
      <c r="AJ191" s="741"/>
      <c r="AK191" s="741"/>
      <c r="AL191" s="741"/>
      <c r="AM191" s="741"/>
      <c r="AN191" s="741"/>
      <c r="AO191" s="741"/>
      <c r="AP191" s="741"/>
    </row>
    <row r="192" spans="1:42" ht="12.75" customHeight="1">
      <c r="A192" s="741"/>
      <c r="B192" s="741"/>
      <c r="C192" s="741"/>
      <c r="D192" s="741"/>
      <c r="E192" s="741"/>
      <c r="F192" s="741"/>
      <c r="G192" s="741"/>
      <c r="H192" s="741"/>
      <c r="I192" s="741"/>
      <c r="J192" s="741"/>
      <c r="K192" s="741"/>
      <c r="L192" s="741"/>
      <c r="M192" s="741"/>
      <c r="N192" s="741"/>
      <c r="O192" s="741"/>
      <c r="P192" s="741"/>
      <c r="Q192" s="741"/>
      <c r="R192" s="741"/>
      <c r="S192" s="741"/>
      <c r="T192" s="741"/>
      <c r="U192" s="741"/>
      <c r="V192" s="741"/>
      <c r="W192" s="741"/>
      <c r="X192" s="741"/>
      <c r="Y192" s="741"/>
      <c r="Z192" s="741"/>
      <c r="AA192" s="741"/>
      <c r="AB192" s="741"/>
      <c r="AC192" s="741"/>
      <c r="AD192" s="741"/>
      <c r="AE192" s="741"/>
      <c r="AF192" s="741"/>
      <c r="AG192" s="741"/>
      <c r="AH192" s="741"/>
      <c r="AI192" s="741"/>
      <c r="AJ192" s="741"/>
      <c r="AK192" s="741"/>
      <c r="AL192" s="741"/>
      <c r="AM192" s="741"/>
      <c r="AN192" s="741"/>
      <c r="AO192" s="741"/>
      <c r="AP192" s="741"/>
    </row>
    <row r="193" spans="1:42" ht="12.75" customHeight="1">
      <c r="A193" s="741"/>
      <c r="B193" s="741"/>
      <c r="C193" s="741"/>
      <c r="D193" s="741"/>
      <c r="E193" s="741"/>
      <c r="F193" s="741"/>
      <c r="G193" s="741"/>
      <c r="H193" s="741"/>
      <c r="I193" s="741"/>
      <c r="J193" s="741"/>
      <c r="K193" s="741"/>
      <c r="L193" s="741"/>
      <c r="M193" s="741"/>
      <c r="N193" s="741"/>
      <c r="O193" s="741"/>
      <c r="P193" s="741"/>
      <c r="Q193" s="741"/>
      <c r="R193" s="741"/>
      <c r="S193" s="741"/>
      <c r="T193" s="741"/>
      <c r="U193" s="741"/>
      <c r="V193" s="741"/>
      <c r="W193" s="741"/>
      <c r="X193" s="741"/>
      <c r="Y193" s="741"/>
      <c r="Z193" s="741"/>
      <c r="AA193" s="741"/>
      <c r="AB193" s="741"/>
      <c r="AC193" s="741"/>
      <c r="AD193" s="741"/>
      <c r="AE193" s="741"/>
      <c r="AF193" s="741"/>
      <c r="AG193" s="741"/>
      <c r="AH193" s="741"/>
      <c r="AI193" s="741"/>
      <c r="AJ193" s="741"/>
      <c r="AK193" s="741"/>
      <c r="AL193" s="741"/>
      <c r="AM193" s="741"/>
      <c r="AN193" s="741"/>
      <c r="AO193" s="741"/>
      <c r="AP193" s="741"/>
    </row>
    <row r="194" spans="1:42" ht="12.75" customHeight="1">
      <c r="A194" s="741"/>
      <c r="B194" s="741"/>
      <c r="C194" s="741"/>
      <c r="D194" s="741"/>
      <c r="E194" s="741"/>
      <c r="F194" s="741"/>
      <c r="G194" s="741"/>
      <c r="H194" s="741"/>
      <c r="I194" s="741"/>
      <c r="J194" s="741"/>
      <c r="K194" s="741"/>
      <c r="L194" s="741"/>
      <c r="M194" s="741"/>
      <c r="N194" s="741"/>
      <c r="O194" s="741"/>
      <c r="P194" s="741"/>
      <c r="Q194" s="741"/>
      <c r="R194" s="741"/>
      <c r="S194" s="741"/>
      <c r="T194" s="741"/>
      <c r="U194" s="741"/>
      <c r="V194" s="741"/>
      <c r="W194" s="741"/>
      <c r="X194" s="741"/>
      <c r="Y194" s="741"/>
      <c r="Z194" s="741"/>
      <c r="AA194" s="741"/>
      <c r="AB194" s="741"/>
      <c r="AC194" s="741"/>
      <c r="AD194" s="741"/>
      <c r="AE194" s="741"/>
      <c r="AF194" s="741"/>
      <c r="AG194" s="741"/>
      <c r="AH194" s="741"/>
      <c r="AI194" s="741"/>
      <c r="AJ194" s="741"/>
      <c r="AK194" s="741"/>
      <c r="AL194" s="741"/>
      <c r="AM194" s="741"/>
      <c r="AN194" s="741"/>
      <c r="AO194" s="741"/>
      <c r="AP194" s="741"/>
    </row>
    <row r="195" spans="1:42" ht="12.75" customHeight="1">
      <c r="A195" s="741"/>
      <c r="B195" s="741"/>
      <c r="C195" s="741"/>
      <c r="D195" s="741"/>
      <c r="E195" s="741"/>
      <c r="F195" s="741"/>
      <c r="G195" s="741"/>
      <c r="H195" s="741"/>
      <c r="I195" s="741"/>
      <c r="J195" s="741"/>
      <c r="K195" s="741"/>
      <c r="L195" s="741"/>
      <c r="M195" s="741"/>
      <c r="N195" s="741"/>
      <c r="O195" s="741"/>
      <c r="P195" s="741"/>
      <c r="Q195" s="741"/>
      <c r="R195" s="741"/>
      <c r="S195" s="741"/>
      <c r="T195" s="741"/>
      <c r="U195" s="741"/>
      <c r="V195" s="741"/>
      <c r="W195" s="741"/>
      <c r="X195" s="741"/>
      <c r="Y195" s="741"/>
      <c r="Z195" s="741"/>
      <c r="AA195" s="741"/>
      <c r="AB195" s="741"/>
      <c r="AC195" s="741"/>
      <c r="AD195" s="741"/>
      <c r="AE195" s="741"/>
      <c r="AF195" s="741"/>
      <c r="AG195" s="741"/>
      <c r="AH195" s="741"/>
      <c r="AI195" s="741"/>
      <c r="AJ195" s="741"/>
      <c r="AK195" s="741"/>
      <c r="AL195" s="741"/>
      <c r="AM195" s="741"/>
      <c r="AN195" s="741"/>
      <c r="AO195" s="741"/>
      <c r="AP195" s="741"/>
    </row>
    <row r="196" spans="1:42" ht="12.75" customHeight="1">
      <c r="A196" s="741"/>
      <c r="B196" s="741"/>
      <c r="C196" s="741"/>
      <c r="D196" s="741"/>
      <c r="E196" s="741"/>
      <c r="F196" s="741"/>
      <c r="G196" s="741"/>
      <c r="H196" s="741"/>
      <c r="I196" s="741"/>
      <c r="J196" s="741"/>
      <c r="K196" s="741"/>
      <c r="L196" s="741"/>
      <c r="M196" s="741"/>
      <c r="N196" s="741"/>
      <c r="O196" s="741"/>
      <c r="P196" s="741"/>
      <c r="Q196" s="741"/>
      <c r="R196" s="741"/>
      <c r="S196" s="741"/>
      <c r="T196" s="741"/>
      <c r="U196" s="741"/>
      <c r="V196" s="741"/>
      <c r="W196" s="741"/>
      <c r="X196" s="741"/>
      <c r="Y196" s="741"/>
      <c r="Z196" s="741"/>
      <c r="AA196" s="741"/>
      <c r="AB196" s="741"/>
      <c r="AC196" s="741"/>
      <c r="AD196" s="741"/>
      <c r="AE196" s="741"/>
      <c r="AF196" s="741"/>
      <c r="AG196" s="741"/>
      <c r="AH196" s="741"/>
      <c r="AI196" s="741"/>
      <c r="AJ196" s="741"/>
      <c r="AK196" s="741"/>
      <c r="AL196" s="741"/>
      <c r="AM196" s="741"/>
      <c r="AN196" s="741"/>
      <c r="AO196" s="741"/>
      <c r="AP196" s="741"/>
    </row>
    <row r="197" spans="1:42" ht="12.75" customHeight="1">
      <c r="A197" s="741"/>
      <c r="B197" s="741"/>
      <c r="C197" s="741"/>
      <c r="D197" s="741"/>
      <c r="E197" s="741"/>
      <c r="F197" s="741"/>
      <c r="G197" s="741"/>
      <c r="H197" s="741"/>
      <c r="I197" s="741"/>
      <c r="J197" s="741"/>
      <c r="K197" s="741"/>
      <c r="L197" s="741"/>
      <c r="M197" s="741"/>
      <c r="N197" s="741"/>
      <c r="O197" s="741"/>
      <c r="P197" s="741"/>
      <c r="Q197" s="741"/>
      <c r="R197" s="741"/>
      <c r="S197" s="741"/>
      <c r="T197" s="741"/>
      <c r="U197" s="741"/>
      <c r="V197" s="741"/>
      <c r="W197" s="741"/>
      <c r="X197" s="741"/>
      <c r="Y197" s="741"/>
      <c r="Z197" s="741"/>
      <c r="AA197" s="741"/>
      <c r="AB197" s="741"/>
      <c r="AC197" s="741"/>
      <c r="AD197" s="741"/>
      <c r="AE197" s="741"/>
      <c r="AF197" s="741"/>
      <c r="AG197" s="741"/>
      <c r="AH197" s="741"/>
      <c r="AI197" s="741"/>
      <c r="AJ197" s="741"/>
      <c r="AK197" s="741"/>
      <c r="AL197" s="741"/>
      <c r="AM197" s="741"/>
      <c r="AN197" s="741"/>
      <c r="AO197" s="741"/>
      <c r="AP197" s="741"/>
    </row>
    <row r="198" spans="1:42" ht="12.75" customHeight="1">
      <c r="A198" s="741"/>
      <c r="B198" s="741"/>
      <c r="C198" s="741"/>
      <c r="D198" s="741"/>
      <c r="E198" s="741"/>
      <c r="F198" s="741"/>
      <c r="G198" s="741"/>
      <c r="H198" s="741"/>
      <c r="I198" s="741"/>
      <c r="J198" s="741"/>
      <c r="K198" s="741"/>
      <c r="L198" s="741"/>
      <c r="M198" s="741"/>
      <c r="N198" s="741"/>
      <c r="O198" s="741"/>
      <c r="P198" s="741"/>
      <c r="Q198" s="741"/>
      <c r="R198" s="741"/>
      <c r="S198" s="741"/>
      <c r="T198" s="741"/>
      <c r="U198" s="741"/>
      <c r="V198" s="741"/>
      <c r="W198" s="741"/>
      <c r="X198" s="741"/>
      <c r="Y198" s="741"/>
      <c r="Z198" s="741"/>
      <c r="AA198" s="741"/>
      <c r="AB198" s="741"/>
      <c r="AC198" s="741"/>
      <c r="AD198" s="741"/>
      <c r="AE198" s="741"/>
      <c r="AF198" s="741"/>
      <c r="AG198" s="741"/>
      <c r="AH198" s="741"/>
      <c r="AI198" s="741"/>
      <c r="AJ198" s="741"/>
      <c r="AK198" s="741"/>
      <c r="AL198" s="741"/>
      <c r="AM198" s="741"/>
      <c r="AN198" s="741"/>
      <c r="AO198" s="741"/>
      <c r="AP198" s="741"/>
    </row>
    <row r="199" spans="1:42" ht="12.75" customHeight="1">
      <c r="A199" s="741"/>
      <c r="B199" s="741"/>
      <c r="C199" s="741"/>
      <c r="D199" s="741"/>
      <c r="E199" s="741"/>
      <c r="F199" s="741"/>
      <c r="G199" s="741"/>
      <c r="H199" s="741"/>
      <c r="I199" s="741"/>
      <c r="J199" s="741"/>
      <c r="K199" s="741"/>
      <c r="L199" s="741"/>
      <c r="M199" s="741"/>
      <c r="N199" s="741"/>
      <c r="O199" s="741"/>
      <c r="P199" s="741"/>
      <c r="Q199" s="741"/>
      <c r="R199" s="741"/>
      <c r="S199" s="741"/>
      <c r="T199" s="741"/>
      <c r="U199" s="741"/>
      <c r="V199" s="741"/>
      <c r="W199" s="741"/>
      <c r="X199" s="741"/>
      <c r="Y199" s="741"/>
      <c r="Z199" s="741"/>
      <c r="AA199" s="741"/>
      <c r="AB199" s="741"/>
      <c r="AC199" s="741"/>
      <c r="AD199" s="741"/>
      <c r="AE199" s="741"/>
      <c r="AF199" s="741"/>
      <c r="AG199" s="741"/>
      <c r="AH199" s="741"/>
      <c r="AI199" s="741"/>
      <c r="AJ199" s="741"/>
      <c r="AK199" s="741"/>
      <c r="AL199" s="741"/>
      <c r="AM199" s="741"/>
      <c r="AN199" s="741"/>
      <c r="AO199" s="741"/>
      <c r="AP199" s="741"/>
    </row>
    <row r="200" spans="1:42" ht="12.75" customHeight="1">
      <c r="A200" s="741"/>
      <c r="B200" s="741"/>
      <c r="C200" s="741"/>
      <c r="D200" s="741"/>
      <c r="E200" s="741"/>
      <c r="F200" s="741"/>
      <c r="G200" s="741"/>
      <c r="H200" s="741"/>
      <c r="I200" s="741"/>
      <c r="J200" s="741"/>
      <c r="K200" s="741"/>
      <c r="L200" s="741"/>
      <c r="M200" s="741"/>
      <c r="N200" s="741"/>
      <c r="O200" s="741"/>
      <c r="P200" s="741"/>
      <c r="Q200" s="741"/>
      <c r="R200" s="741"/>
      <c r="S200" s="741"/>
      <c r="T200" s="741"/>
      <c r="U200" s="741"/>
      <c r="V200" s="741"/>
      <c r="W200" s="741"/>
      <c r="X200" s="741"/>
      <c r="Y200" s="741"/>
      <c r="Z200" s="741"/>
      <c r="AA200" s="741"/>
      <c r="AB200" s="741"/>
      <c r="AC200" s="741"/>
      <c r="AD200" s="741"/>
      <c r="AE200" s="741"/>
      <c r="AF200" s="741"/>
      <c r="AG200" s="741"/>
      <c r="AH200" s="741"/>
      <c r="AI200" s="741"/>
      <c r="AJ200" s="741"/>
      <c r="AK200" s="741"/>
      <c r="AL200" s="741"/>
      <c r="AM200" s="741"/>
      <c r="AN200" s="741"/>
      <c r="AO200" s="741"/>
      <c r="AP200" s="741"/>
    </row>
    <row r="201" spans="1:42" ht="12.75" customHeight="1">
      <c r="A201" s="741"/>
      <c r="B201" s="741"/>
      <c r="C201" s="741"/>
      <c r="D201" s="741"/>
      <c r="E201" s="741"/>
      <c r="F201" s="741"/>
      <c r="G201" s="741"/>
      <c r="H201" s="741"/>
      <c r="I201" s="741"/>
      <c r="J201" s="741"/>
      <c r="K201" s="741"/>
      <c r="L201" s="741"/>
      <c r="M201" s="741"/>
      <c r="N201" s="741"/>
      <c r="O201" s="741"/>
      <c r="P201" s="741"/>
      <c r="Q201" s="741"/>
      <c r="R201" s="741"/>
      <c r="S201" s="741"/>
      <c r="T201" s="741"/>
      <c r="U201" s="741"/>
      <c r="V201" s="741"/>
      <c r="W201" s="741"/>
      <c r="X201" s="741"/>
      <c r="Y201" s="741"/>
      <c r="Z201" s="741"/>
      <c r="AA201" s="741"/>
      <c r="AB201" s="741"/>
      <c r="AC201" s="741"/>
      <c r="AD201" s="741"/>
      <c r="AE201" s="741"/>
      <c r="AF201" s="741"/>
      <c r="AG201" s="741"/>
      <c r="AH201" s="741"/>
      <c r="AI201" s="741"/>
      <c r="AJ201" s="741"/>
      <c r="AK201" s="741"/>
      <c r="AL201" s="741"/>
      <c r="AM201" s="741"/>
      <c r="AN201" s="741"/>
      <c r="AO201" s="741"/>
      <c r="AP201" s="741"/>
    </row>
    <row r="202" spans="1:42" ht="12.75" customHeight="1">
      <c r="A202" s="741"/>
      <c r="B202" s="741"/>
      <c r="C202" s="741"/>
      <c r="D202" s="741"/>
      <c r="E202" s="741"/>
      <c r="F202" s="741"/>
      <c r="G202" s="741"/>
      <c r="H202" s="741"/>
      <c r="I202" s="741"/>
      <c r="J202" s="741"/>
      <c r="K202" s="741"/>
      <c r="L202" s="741"/>
      <c r="M202" s="741"/>
      <c r="N202" s="741"/>
      <c r="O202" s="741"/>
      <c r="P202" s="741"/>
      <c r="Q202" s="741"/>
      <c r="R202" s="741"/>
      <c r="S202" s="741"/>
      <c r="T202" s="741"/>
      <c r="U202" s="741"/>
      <c r="V202" s="741"/>
      <c r="W202" s="741"/>
      <c r="X202" s="741"/>
      <c r="Y202" s="741"/>
      <c r="Z202" s="741"/>
      <c r="AA202" s="741"/>
      <c r="AB202" s="741"/>
      <c r="AC202" s="741"/>
      <c r="AD202" s="741"/>
      <c r="AE202" s="741"/>
      <c r="AF202" s="741"/>
      <c r="AG202" s="741"/>
      <c r="AH202" s="741"/>
      <c r="AI202" s="741"/>
      <c r="AJ202" s="741"/>
      <c r="AK202" s="741"/>
      <c r="AL202" s="741"/>
      <c r="AM202" s="741"/>
      <c r="AN202" s="741"/>
      <c r="AO202" s="741"/>
      <c r="AP202" s="741"/>
    </row>
    <row r="203" spans="1:42" ht="12.75" customHeight="1">
      <c r="A203" s="741"/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1"/>
      <c r="P203" s="741"/>
      <c r="Q203" s="741"/>
      <c r="R203" s="741"/>
      <c r="S203" s="741"/>
      <c r="T203" s="741"/>
      <c r="U203" s="741"/>
      <c r="V203" s="741"/>
      <c r="W203" s="741"/>
      <c r="X203" s="741"/>
      <c r="Y203" s="741"/>
      <c r="Z203" s="741"/>
      <c r="AA203" s="741"/>
      <c r="AB203" s="741"/>
      <c r="AC203" s="741"/>
      <c r="AD203" s="741"/>
      <c r="AE203" s="741"/>
      <c r="AF203" s="741"/>
      <c r="AG203" s="741"/>
      <c r="AH203" s="741"/>
      <c r="AI203" s="741"/>
      <c r="AJ203" s="741"/>
      <c r="AK203" s="741"/>
      <c r="AL203" s="741"/>
      <c r="AM203" s="741"/>
      <c r="AN203" s="741"/>
      <c r="AO203" s="741"/>
      <c r="AP203" s="741"/>
    </row>
    <row r="204" spans="1:42" ht="12.75" customHeight="1">
      <c r="A204" s="741"/>
      <c r="B204" s="741"/>
      <c r="C204" s="741"/>
      <c r="D204" s="741"/>
      <c r="E204" s="741"/>
      <c r="F204" s="741"/>
      <c r="G204" s="741"/>
      <c r="H204" s="741"/>
      <c r="I204" s="741"/>
      <c r="J204" s="741"/>
      <c r="K204" s="741"/>
      <c r="L204" s="741"/>
      <c r="M204" s="741"/>
      <c r="N204" s="741"/>
      <c r="O204" s="741"/>
      <c r="P204" s="741"/>
      <c r="Q204" s="741"/>
      <c r="R204" s="741"/>
      <c r="S204" s="741"/>
      <c r="T204" s="741"/>
      <c r="U204" s="741"/>
      <c r="V204" s="741"/>
      <c r="W204" s="741"/>
      <c r="X204" s="741"/>
      <c r="Y204" s="741"/>
      <c r="Z204" s="741"/>
      <c r="AA204" s="741"/>
      <c r="AB204" s="741"/>
      <c r="AC204" s="741"/>
      <c r="AD204" s="741"/>
      <c r="AE204" s="741"/>
      <c r="AF204" s="741"/>
      <c r="AG204" s="741"/>
      <c r="AH204" s="741"/>
      <c r="AI204" s="741"/>
      <c r="AJ204" s="741"/>
      <c r="AK204" s="741"/>
      <c r="AL204" s="741"/>
      <c r="AM204" s="741"/>
      <c r="AN204" s="741"/>
      <c r="AO204" s="741"/>
      <c r="AP204" s="741"/>
    </row>
    <row r="205" spans="1:42" ht="12.75" customHeight="1">
      <c r="A205" s="741"/>
      <c r="B205" s="741"/>
      <c r="C205" s="741"/>
      <c r="D205" s="741"/>
      <c r="E205" s="741"/>
      <c r="F205" s="741"/>
      <c r="G205" s="741"/>
      <c r="H205" s="741"/>
      <c r="I205" s="741"/>
      <c r="J205" s="741"/>
      <c r="K205" s="741"/>
      <c r="L205" s="741"/>
      <c r="M205" s="741"/>
      <c r="N205" s="741"/>
      <c r="O205" s="741"/>
      <c r="P205" s="741"/>
      <c r="Q205" s="741"/>
      <c r="R205" s="741"/>
      <c r="S205" s="741"/>
      <c r="T205" s="741"/>
      <c r="U205" s="741"/>
      <c r="V205" s="741"/>
      <c r="W205" s="741"/>
      <c r="X205" s="741"/>
      <c r="Y205" s="741"/>
      <c r="Z205" s="741"/>
      <c r="AA205" s="741"/>
      <c r="AB205" s="741"/>
      <c r="AC205" s="741"/>
      <c r="AD205" s="741"/>
      <c r="AE205" s="741"/>
      <c r="AF205" s="741"/>
      <c r="AG205" s="741"/>
      <c r="AH205" s="741"/>
      <c r="AI205" s="741"/>
      <c r="AJ205" s="741"/>
      <c r="AK205" s="741"/>
      <c r="AL205" s="741"/>
      <c r="AM205" s="741"/>
      <c r="AN205" s="741"/>
      <c r="AO205" s="741"/>
      <c r="AP205" s="741"/>
    </row>
    <row r="206" spans="1:42" ht="12.75" customHeight="1">
      <c r="A206" s="741"/>
      <c r="B206" s="741"/>
      <c r="C206" s="741"/>
      <c r="D206" s="741"/>
      <c r="E206" s="741"/>
      <c r="F206" s="741"/>
      <c r="G206" s="741"/>
      <c r="H206" s="741"/>
      <c r="I206" s="741"/>
      <c r="J206" s="741"/>
      <c r="K206" s="741"/>
      <c r="L206" s="741"/>
      <c r="M206" s="741"/>
      <c r="N206" s="741"/>
      <c r="O206" s="741"/>
      <c r="P206" s="741"/>
      <c r="Q206" s="741"/>
      <c r="R206" s="741"/>
      <c r="S206" s="741"/>
      <c r="T206" s="741"/>
      <c r="U206" s="741"/>
      <c r="V206" s="741"/>
      <c r="W206" s="741"/>
      <c r="X206" s="741"/>
      <c r="Y206" s="741"/>
      <c r="Z206" s="741"/>
      <c r="AA206" s="741"/>
      <c r="AB206" s="741"/>
      <c r="AC206" s="741"/>
      <c r="AD206" s="741"/>
      <c r="AE206" s="741"/>
      <c r="AF206" s="741"/>
      <c r="AG206" s="741"/>
      <c r="AH206" s="741"/>
      <c r="AI206" s="741"/>
      <c r="AJ206" s="741"/>
      <c r="AK206" s="741"/>
      <c r="AL206" s="741"/>
      <c r="AM206" s="741"/>
      <c r="AN206" s="741"/>
      <c r="AO206" s="741"/>
      <c r="AP206" s="741"/>
    </row>
    <row r="207" spans="1:42" ht="12.75" customHeight="1">
      <c r="A207" s="741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1"/>
      <c r="P207" s="741"/>
      <c r="Q207" s="741"/>
      <c r="R207" s="741"/>
      <c r="S207" s="741"/>
      <c r="T207" s="741"/>
      <c r="U207" s="741"/>
      <c r="V207" s="741"/>
      <c r="W207" s="741"/>
      <c r="X207" s="741"/>
      <c r="Y207" s="741"/>
      <c r="Z207" s="741"/>
      <c r="AA207" s="741"/>
      <c r="AB207" s="741"/>
      <c r="AC207" s="741"/>
      <c r="AD207" s="741"/>
      <c r="AE207" s="741"/>
      <c r="AF207" s="741"/>
      <c r="AG207" s="741"/>
      <c r="AH207" s="741"/>
      <c r="AI207" s="741"/>
      <c r="AJ207" s="741"/>
      <c r="AK207" s="741"/>
      <c r="AL207" s="741"/>
      <c r="AM207" s="741"/>
      <c r="AN207" s="741"/>
      <c r="AO207" s="741"/>
      <c r="AP207" s="741"/>
    </row>
    <row r="208" spans="1:42" ht="12.75" customHeight="1">
      <c r="A208" s="741"/>
      <c r="B208" s="741"/>
      <c r="C208" s="741"/>
      <c r="D208" s="741"/>
      <c r="E208" s="741"/>
      <c r="F208" s="741"/>
      <c r="G208" s="741"/>
      <c r="H208" s="741"/>
      <c r="I208" s="741"/>
      <c r="J208" s="741"/>
      <c r="K208" s="741"/>
      <c r="L208" s="741"/>
      <c r="M208" s="741"/>
      <c r="N208" s="741"/>
      <c r="O208" s="741"/>
      <c r="P208" s="741"/>
      <c r="Q208" s="741"/>
      <c r="R208" s="741"/>
      <c r="S208" s="741"/>
      <c r="T208" s="741"/>
      <c r="U208" s="741"/>
      <c r="V208" s="741"/>
      <c r="W208" s="741"/>
      <c r="X208" s="741"/>
      <c r="Y208" s="741"/>
      <c r="Z208" s="741"/>
      <c r="AA208" s="741"/>
      <c r="AB208" s="741"/>
      <c r="AC208" s="741"/>
      <c r="AD208" s="741"/>
      <c r="AE208" s="741"/>
      <c r="AF208" s="741"/>
      <c r="AG208" s="741"/>
      <c r="AH208" s="741"/>
      <c r="AI208" s="741"/>
      <c r="AJ208" s="741"/>
      <c r="AK208" s="741"/>
      <c r="AL208" s="741"/>
      <c r="AM208" s="741"/>
      <c r="AN208" s="741"/>
      <c r="AO208" s="741"/>
      <c r="AP208" s="741"/>
    </row>
    <row r="209" spans="1:42" ht="12.75" customHeight="1">
      <c r="A209" s="741"/>
      <c r="B209" s="741"/>
      <c r="C209" s="741"/>
      <c r="D209" s="741"/>
      <c r="E209" s="741"/>
      <c r="F209" s="741"/>
      <c r="G209" s="741"/>
      <c r="H209" s="741"/>
      <c r="I209" s="741"/>
      <c r="J209" s="741"/>
      <c r="K209" s="741"/>
      <c r="L209" s="741"/>
      <c r="M209" s="741"/>
      <c r="N209" s="741"/>
      <c r="O209" s="741"/>
      <c r="P209" s="741"/>
      <c r="Q209" s="741"/>
      <c r="R209" s="741"/>
      <c r="S209" s="741"/>
      <c r="T209" s="741"/>
      <c r="U209" s="741"/>
      <c r="V209" s="741"/>
      <c r="W209" s="741"/>
      <c r="X209" s="741"/>
      <c r="Y209" s="741"/>
      <c r="Z209" s="741"/>
      <c r="AA209" s="741"/>
      <c r="AB209" s="741"/>
      <c r="AC209" s="741"/>
      <c r="AD209" s="741"/>
      <c r="AE209" s="741"/>
      <c r="AF209" s="741"/>
      <c r="AG209" s="741"/>
      <c r="AH209" s="741"/>
      <c r="AI209" s="741"/>
      <c r="AJ209" s="741"/>
      <c r="AK209" s="741"/>
      <c r="AL209" s="741"/>
      <c r="AM209" s="741"/>
      <c r="AN209" s="741"/>
      <c r="AO209" s="741"/>
      <c r="AP209" s="741"/>
    </row>
    <row r="210" spans="1:42" ht="12.75" customHeight="1">
      <c r="A210" s="741"/>
      <c r="B210" s="741"/>
      <c r="C210" s="741"/>
      <c r="D210" s="741"/>
      <c r="E210" s="741"/>
      <c r="F210" s="741"/>
      <c r="G210" s="741"/>
      <c r="H210" s="741"/>
      <c r="I210" s="741"/>
      <c r="J210" s="741"/>
      <c r="K210" s="741"/>
      <c r="L210" s="741"/>
      <c r="M210" s="741"/>
      <c r="N210" s="741"/>
      <c r="O210" s="741"/>
      <c r="P210" s="741"/>
      <c r="Q210" s="741"/>
      <c r="R210" s="741"/>
      <c r="S210" s="741"/>
      <c r="T210" s="741"/>
      <c r="U210" s="741"/>
      <c r="V210" s="741"/>
      <c r="W210" s="741"/>
      <c r="X210" s="741"/>
      <c r="Y210" s="741"/>
      <c r="Z210" s="741"/>
      <c r="AA210" s="741"/>
      <c r="AB210" s="741"/>
      <c r="AC210" s="741"/>
      <c r="AD210" s="741"/>
      <c r="AE210" s="741"/>
      <c r="AF210" s="741"/>
      <c r="AG210" s="741"/>
      <c r="AH210" s="741"/>
      <c r="AI210" s="741"/>
      <c r="AJ210" s="741"/>
      <c r="AK210" s="741"/>
      <c r="AL210" s="741"/>
      <c r="AM210" s="741"/>
      <c r="AN210" s="741"/>
      <c r="AO210" s="741"/>
      <c r="AP210" s="741"/>
    </row>
    <row r="211" spans="1:42" ht="12.75" customHeight="1">
      <c r="A211" s="741"/>
      <c r="B211" s="741"/>
      <c r="C211" s="741"/>
      <c r="D211" s="741"/>
      <c r="E211" s="741"/>
      <c r="F211" s="741"/>
      <c r="G211" s="741"/>
      <c r="H211" s="741"/>
      <c r="I211" s="741"/>
      <c r="J211" s="741"/>
      <c r="K211" s="741"/>
      <c r="L211" s="741"/>
      <c r="M211" s="741"/>
      <c r="N211" s="741"/>
      <c r="O211" s="741"/>
      <c r="P211" s="741"/>
      <c r="Q211" s="741"/>
      <c r="R211" s="741"/>
      <c r="S211" s="741"/>
      <c r="T211" s="741"/>
      <c r="U211" s="741"/>
      <c r="V211" s="741"/>
      <c r="W211" s="741"/>
      <c r="X211" s="741"/>
      <c r="Y211" s="741"/>
      <c r="Z211" s="741"/>
      <c r="AA211" s="741"/>
      <c r="AB211" s="741"/>
      <c r="AC211" s="741"/>
      <c r="AD211" s="741"/>
      <c r="AE211" s="741"/>
      <c r="AF211" s="741"/>
      <c r="AG211" s="741"/>
      <c r="AH211" s="741"/>
      <c r="AI211" s="741"/>
      <c r="AJ211" s="741"/>
      <c r="AK211" s="741"/>
      <c r="AL211" s="741"/>
      <c r="AM211" s="741"/>
      <c r="AN211" s="741"/>
      <c r="AO211" s="741"/>
      <c r="AP211" s="741"/>
    </row>
    <row r="212" spans="1:42" ht="12.75" customHeight="1">
      <c r="A212" s="741"/>
      <c r="B212" s="741"/>
      <c r="C212" s="741"/>
      <c r="D212" s="741"/>
      <c r="E212" s="741"/>
      <c r="F212" s="741"/>
      <c r="G212" s="741"/>
      <c r="H212" s="741"/>
      <c r="I212" s="741"/>
      <c r="J212" s="741"/>
      <c r="K212" s="741"/>
      <c r="L212" s="741"/>
      <c r="M212" s="741"/>
      <c r="N212" s="741"/>
      <c r="O212" s="741"/>
      <c r="P212" s="741"/>
      <c r="Q212" s="741"/>
      <c r="R212" s="741"/>
      <c r="S212" s="741"/>
      <c r="T212" s="741"/>
      <c r="U212" s="741"/>
      <c r="V212" s="741"/>
      <c r="W212" s="741"/>
      <c r="X212" s="741"/>
      <c r="Y212" s="741"/>
      <c r="Z212" s="741"/>
      <c r="AA212" s="741"/>
      <c r="AB212" s="741"/>
      <c r="AC212" s="741"/>
      <c r="AD212" s="741"/>
      <c r="AE212" s="741"/>
      <c r="AF212" s="741"/>
      <c r="AG212" s="741"/>
      <c r="AH212" s="741"/>
      <c r="AI212" s="741"/>
      <c r="AJ212" s="741"/>
      <c r="AK212" s="741"/>
      <c r="AL212" s="741"/>
      <c r="AM212" s="741"/>
      <c r="AN212" s="741"/>
      <c r="AO212" s="741"/>
      <c r="AP212" s="741"/>
    </row>
    <row r="213" spans="1:42" ht="12.75" customHeight="1">
      <c r="A213" s="741"/>
      <c r="B213" s="741"/>
      <c r="C213" s="741"/>
      <c r="D213" s="741"/>
      <c r="E213" s="741"/>
      <c r="F213" s="741"/>
      <c r="G213" s="741"/>
      <c r="H213" s="741"/>
      <c r="I213" s="741"/>
      <c r="J213" s="741"/>
      <c r="K213" s="741"/>
      <c r="L213" s="741"/>
      <c r="M213" s="741"/>
      <c r="N213" s="741"/>
      <c r="O213" s="741"/>
      <c r="P213" s="741"/>
      <c r="Q213" s="741"/>
      <c r="R213" s="741"/>
      <c r="S213" s="741"/>
      <c r="T213" s="741"/>
      <c r="U213" s="741"/>
      <c r="V213" s="741"/>
      <c r="W213" s="741"/>
      <c r="X213" s="741"/>
      <c r="Y213" s="741"/>
      <c r="Z213" s="741"/>
      <c r="AA213" s="741"/>
      <c r="AB213" s="741"/>
      <c r="AC213" s="741"/>
      <c r="AD213" s="741"/>
      <c r="AE213" s="741"/>
      <c r="AF213" s="741"/>
      <c r="AG213" s="741"/>
      <c r="AH213" s="741"/>
      <c r="AI213" s="741"/>
      <c r="AJ213" s="741"/>
      <c r="AK213" s="741"/>
      <c r="AL213" s="741"/>
      <c r="AM213" s="741"/>
      <c r="AN213" s="741"/>
      <c r="AO213" s="741"/>
      <c r="AP213" s="741"/>
    </row>
    <row r="214" spans="1:42" ht="12.75" customHeight="1">
      <c r="A214" s="741"/>
      <c r="B214" s="741"/>
      <c r="C214" s="741"/>
      <c r="D214" s="741"/>
      <c r="E214" s="741"/>
      <c r="F214" s="741"/>
      <c r="G214" s="741"/>
      <c r="H214" s="741"/>
      <c r="I214" s="741"/>
      <c r="J214" s="741"/>
      <c r="K214" s="741"/>
      <c r="L214" s="741"/>
      <c r="M214" s="741"/>
      <c r="N214" s="741"/>
      <c r="O214" s="741"/>
      <c r="P214" s="741"/>
      <c r="Q214" s="741"/>
      <c r="R214" s="741"/>
      <c r="S214" s="741"/>
      <c r="T214" s="741"/>
      <c r="U214" s="741"/>
      <c r="V214" s="741"/>
      <c r="W214" s="741"/>
      <c r="X214" s="741"/>
      <c r="Y214" s="741"/>
      <c r="Z214" s="741"/>
      <c r="AA214" s="741"/>
      <c r="AB214" s="741"/>
      <c r="AC214" s="741"/>
      <c r="AD214" s="741"/>
      <c r="AE214" s="741"/>
      <c r="AF214" s="741"/>
      <c r="AG214" s="741"/>
      <c r="AH214" s="741"/>
      <c r="AI214" s="741"/>
      <c r="AJ214" s="741"/>
      <c r="AK214" s="741"/>
      <c r="AL214" s="741"/>
      <c r="AM214" s="741"/>
      <c r="AN214" s="741"/>
      <c r="AO214" s="741"/>
      <c r="AP214" s="741"/>
    </row>
    <row r="215" spans="1:42" ht="12.75" customHeight="1">
      <c r="A215" s="741"/>
      <c r="B215" s="741"/>
      <c r="C215" s="741"/>
      <c r="D215" s="741"/>
      <c r="E215" s="741"/>
      <c r="F215" s="741"/>
      <c r="G215" s="741"/>
      <c r="H215" s="741"/>
      <c r="I215" s="741"/>
      <c r="J215" s="741"/>
      <c r="K215" s="741"/>
      <c r="L215" s="741"/>
      <c r="M215" s="741"/>
      <c r="N215" s="741"/>
      <c r="O215" s="741"/>
      <c r="P215" s="741"/>
      <c r="Q215" s="741"/>
      <c r="R215" s="741"/>
      <c r="S215" s="741"/>
      <c r="T215" s="741"/>
      <c r="U215" s="741"/>
      <c r="V215" s="741"/>
      <c r="W215" s="741"/>
      <c r="X215" s="741"/>
      <c r="Y215" s="741"/>
      <c r="Z215" s="741"/>
      <c r="AA215" s="741"/>
      <c r="AB215" s="741"/>
      <c r="AC215" s="741"/>
      <c r="AD215" s="741"/>
      <c r="AE215" s="741"/>
      <c r="AF215" s="741"/>
      <c r="AG215" s="741"/>
      <c r="AH215" s="741"/>
      <c r="AI215" s="741"/>
      <c r="AJ215" s="741"/>
      <c r="AK215" s="741"/>
      <c r="AL215" s="741"/>
      <c r="AM215" s="741"/>
      <c r="AN215" s="741"/>
      <c r="AO215" s="741"/>
      <c r="AP215" s="741"/>
    </row>
    <row r="216" spans="1:42" ht="12.75" customHeight="1">
      <c r="A216" s="741"/>
      <c r="B216" s="741"/>
      <c r="C216" s="741"/>
      <c r="D216" s="741"/>
      <c r="E216" s="741"/>
      <c r="F216" s="741"/>
      <c r="G216" s="741"/>
      <c r="H216" s="741"/>
      <c r="I216" s="741"/>
      <c r="J216" s="741"/>
      <c r="K216" s="741"/>
      <c r="L216" s="741"/>
      <c r="M216" s="741"/>
      <c r="N216" s="741"/>
      <c r="O216" s="741"/>
      <c r="P216" s="741"/>
      <c r="Q216" s="741"/>
      <c r="R216" s="741"/>
      <c r="S216" s="741"/>
      <c r="T216" s="741"/>
      <c r="U216" s="741"/>
      <c r="V216" s="741"/>
      <c r="W216" s="741"/>
      <c r="X216" s="741"/>
      <c r="Y216" s="741"/>
      <c r="Z216" s="741"/>
      <c r="AA216" s="741"/>
      <c r="AB216" s="741"/>
      <c r="AC216" s="741"/>
      <c r="AD216" s="741"/>
      <c r="AE216" s="741"/>
      <c r="AF216" s="741"/>
      <c r="AG216" s="741"/>
      <c r="AH216" s="741"/>
      <c r="AI216" s="741"/>
      <c r="AJ216" s="741"/>
      <c r="AK216" s="741"/>
      <c r="AL216" s="741"/>
      <c r="AM216" s="741"/>
      <c r="AN216" s="741"/>
      <c r="AO216" s="741"/>
      <c r="AP216" s="741"/>
    </row>
    <row r="217" spans="1:42" ht="12.75" customHeight="1">
      <c r="A217" s="741"/>
      <c r="B217" s="741"/>
      <c r="C217" s="741"/>
      <c r="D217" s="741"/>
      <c r="E217" s="741"/>
      <c r="F217" s="741"/>
      <c r="G217" s="741"/>
      <c r="H217" s="741"/>
      <c r="I217" s="741"/>
      <c r="J217" s="741"/>
      <c r="K217" s="741"/>
      <c r="L217" s="741"/>
      <c r="M217" s="741"/>
      <c r="N217" s="741"/>
      <c r="O217" s="741"/>
      <c r="P217" s="741"/>
      <c r="Q217" s="741"/>
      <c r="R217" s="741"/>
      <c r="S217" s="741"/>
      <c r="T217" s="741"/>
      <c r="U217" s="741"/>
      <c r="V217" s="741"/>
      <c r="W217" s="741"/>
      <c r="X217" s="741"/>
      <c r="Y217" s="741"/>
      <c r="Z217" s="741"/>
      <c r="AA217" s="741"/>
      <c r="AB217" s="741"/>
      <c r="AC217" s="741"/>
      <c r="AD217" s="741"/>
      <c r="AE217" s="741"/>
      <c r="AF217" s="741"/>
      <c r="AG217" s="741"/>
      <c r="AH217" s="741"/>
      <c r="AI217" s="741"/>
      <c r="AJ217" s="741"/>
      <c r="AK217" s="741"/>
      <c r="AL217" s="741"/>
      <c r="AM217" s="741"/>
      <c r="AN217" s="741"/>
      <c r="AO217" s="741"/>
      <c r="AP217" s="741"/>
    </row>
    <row r="218" spans="1:42" ht="12.75" customHeight="1">
      <c r="A218" s="741"/>
      <c r="B218" s="741"/>
      <c r="C218" s="741"/>
      <c r="D218" s="741"/>
      <c r="E218" s="741"/>
      <c r="F218" s="741"/>
      <c r="G218" s="741"/>
      <c r="H218" s="741"/>
      <c r="I218" s="741"/>
      <c r="J218" s="741"/>
      <c r="K218" s="741"/>
      <c r="L218" s="741"/>
      <c r="M218" s="741"/>
      <c r="N218" s="741"/>
      <c r="O218" s="741"/>
      <c r="P218" s="741"/>
      <c r="Q218" s="741"/>
      <c r="R218" s="741"/>
      <c r="S218" s="741"/>
      <c r="T218" s="741"/>
      <c r="U218" s="741"/>
      <c r="V218" s="741"/>
      <c r="W218" s="741"/>
      <c r="X218" s="741"/>
      <c r="Y218" s="741"/>
      <c r="Z218" s="741"/>
      <c r="AA218" s="741"/>
      <c r="AB218" s="741"/>
      <c r="AC218" s="741"/>
      <c r="AD218" s="741"/>
      <c r="AE218" s="741"/>
      <c r="AF218" s="741"/>
      <c r="AG218" s="741"/>
      <c r="AH218" s="741"/>
      <c r="AI218" s="741"/>
      <c r="AJ218" s="741"/>
      <c r="AK218" s="741"/>
      <c r="AL218" s="741"/>
      <c r="AM218" s="741"/>
      <c r="AN218" s="741"/>
      <c r="AO218" s="741"/>
      <c r="AP218" s="741"/>
    </row>
    <row r="219" spans="1:42" ht="12.75" customHeight="1">
      <c r="A219" s="741"/>
      <c r="B219" s="741"/>
      <c r="C219" s="741"/>
      <c r="D219" s="741"/>
      <c r="E219" s="741"/>
      <c r="F219" s="741"/>
      <c r="G219" s="741"/>
      <c r="H219" s="741"/>
      <c r="I219" s="741"/>
      <c r="J219" s="741"/>
      <c r="K219" s="741"/>
      <c r="L219" s="741"/>
      <c r="M219" s="741"/>
      <c r="N219" s="741"/>
      <c r="O219" s="741"/>
      <c r="P219" s="741"/>
      <c r="Q219" s="741"/>
      <c r="R219" s="741"/>
      <c r="S219" s="741"/>
      <c r="T219" s="741"/>
      <c r="U219" s="741"/>
      <c r="V219" s="741"/>
      <c r="W219" s="741"/>
      <c r="X219" s="741"/>
      <c r="Y219" s="741"/>
      <c r="Z219" s="741"/>
      <c r="AA219" s="741"/>
      <c r="AB219" s="741"/>
      <c r="AC219" s="741"/>
      <c r="AD219" s="741"/>
      <c r="AE219" s="741"/>
      <c r="AF219" s="741"/>
      <c r="AG219" s="741"/>
      <c r="AH219" s="741"/>
      <c r="AI219" s="741"/>
      <c r="AJ219" s="741"/>
      <c r="AK219" s="741"/>
      <c r="AL219" s="741"/>
      <c r="AM219" s="741"/>
      <c r="AN219" s="741"/>
      <c r="AO219" s="741"/>
      <c r="AP219" s="741"/>
    </row>
    <row r="220" spans="1:42" ht="12.75" customHeight="1">
      <c r="A220" s="741"/>
      <c r="B220" s="741"/>
      <c r="C220" s="741"/>
      <c r="D220" s="741"/>
      <c r="E220" s="741"/>
      <c r="F220" s="741"/>
      <c r="G220" s="741"/>
      <c r="H220" s="741"/>
      <c r="I220" s="741"/>
      <c r="J220" s="741"/>
      <c r="K220" s="741"/>
      <c r="L220" s="741"/>
      <c r="M220" s="741"/>
      <c r="N220" s="741"/>
      <c r="O220" s="741"/>
      <c r="P220" s="741"/>
      <c r="Q220" s="741"/>
      <c r="R220" s="741"/>
      <c r="S220" s="741"/>
      <c r="T220" s="741"/>
      <c r="U220" s="741"/>
      <c r="V220" s="741"/>
      <c r="W220" s="741"/>
      <c r="X220" s="741"/>
      <c r="Y220" s="741"/>
      <c r="Z220" s="741"/>
      <c r="AA220" s="741"/>
      <c r="AB220" s="741"/>
      <c r="AC220" s="741"/>
      <c r="AD220" s="741"/>
      <c r="AE220" s="741"/>
      <c r="AF220" s="741"/>
      <c r="AG220" s="741"/>
      <c r="AH220" s="741"/>
      <c r="AI220" s="741"/>
      <c r="AJ220" s="741"/>
      <c r="AK220" s="741"/>
      <c r="AL220" s="741"/>
      <c r="AM220" s="741"/>
      <c r="AN220" s="741"/>
      <c r="AO220" s="741"/>
      <c r="AP220" s="741"/>
    </row>
    <row r="221" spans="1:42" ht="12.75" customHeight="1">
      <c r="A221" s="741"/>
      <c r="B221" s="741"/>
      <c r="C221" s="741"/>
      <c r="D221" s="741"/>
      <c r="E221" s="741"/>
      <c r="F221" s="741"/>
      <c r="G221" s="741"/>
      <c r="H221" s="741"/>
      <c r="I221" s="741"/>
      <c r="J221" s="741"/>
      <c r="K221" s="741"/>
      <c r="L221" s="741"/>
      <c r="M221" s="741"/>
      <c r="N221" s="741"/>
      <c r="O221" s="741"/>
      <c r="P221" s="741"/>
      <c r="Q221" s="741"/>
      <c r="R221" s="741"/>
      <c r="S221" s="741"/>
      <c r="T221" s="741"/>
      <c r="U221" s="741"/>
      <c r="V221" s="741"/>
      <c r="W221" s="741"/>
      <c r="X221" s="741"/>
      <c r="Y221" s="741"/>
      <c r="Z221" s="741"/>
      <c r="AA221" s="741"/>
      <c r="AB221" s="741"/>
      <c r="AC221" s="741"/>
      <c r="AD221" s="741"/>
      <c r="AE221" s="741"/>
      <c r="AF221" s="741"/>
      <c r="AG221" s="741"/>
      <c r="AH221" s="741"/>
      <c r="AI221" s="741"/>
      <c r="AJ221" s="741"/>
      <c r="AK221" s="741"/>
      <c r="AL221" s="741"/>
      <c r="AM221" s="741"/>
      <c r="AN221" s="741"/>
      <c r="AO221" s="741"/>
      <c r="AP221" s="741"/>
    </row>
    <row r="222" spans="1:42" ht="12.75" customHeight="1">
      <c r="A222" s="741"/>
      <c r="B222" s="741"/>
      <c r="C222" s="741"/>
      <c r="D222" s="741"/>
      <c r="E222" s="741"/>
      <c r="F222" s="741"/>
      <c r="G222" s="741"/>
      <c r="H222" s="741"/>
      <c r="I222" s="741"/>
      <c r="J222" s="741"/>
      <c r="K222" s="741"/>
      <c r="L222" s="741"/>
      <c r="M222" s="741"/>
      <c r="N222" s="741"/>
      <c r="O222" s="741"/>
      <c r="P222" s="741"/>
      <c r="Q222" s="741"/>
      <c r="R222" s="741"/>
      <c r="S222" s="741"/>
      <c r="T222" s="741"/>
      <c r="U222" s="741"/>
      <c r="V222" s="741"/>
      <c r="W222" s="741"/>
      <c r="X222" s="741"/>
      <c r="Y222" s="741"/>
      <c r="Z222" s="741"/>
      <c r="AA222" s="741"/>
      <c r="AB222" s="741"/>
      <c r="AC222" s="741"/>
      <c r="AD222" s="741"/>
      <c r="AE222" s="741"/>
      <c r="AF222" s="741"/>
      <c r="AG222" s="741"/>
      <c r="AH222" s="741"/>
      <c r="AI222" s="741"/>
      <c r="AJ222" s="741"/>
      <c r="AK222" s="741"/>
      <c r="AL222" s="741"/>
      <c r="AM222" s="741"/>
      <c r="AN222" s="741"/>
      <c r="AO222" s="741"/>
      <c r="AP222" s="741"/>
    </row>
    <row r="223" spans="1:42" ht="12.75" customHeight="1">
      <c r="A223" s="741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1"/>
      <c r="P223" s="741"/>
      <c r="Q223" s="741"/>
      <c r="R223" s="741"/>
      <c r="S223" s="741"/>
      <c r="T223" s="741"/>
      <c r="U223" s="741"/>
      <c r="V223" s="741"/>
      <c r="W223" s="741"/>
      <c r="X223" s="741"/>
      <c r="Y223" s="741"/>
      <c r="Z223" s="741"/>
      <c r="AA223" s="741"/>
      <c r="AB223" s="741"/>
      <c r="AC223" s="741"/>
      <c r="AD223" s="741"/>
      <c r="AE223" s="741"/>
      <c r="AF223" s="741"/>
      <c r="AG223" s="741"/>
      <c r="AH223" s="741"/>
      <c r="AI223" s="741"/>
      <c r="AJ223" s="741"/>
      <c r="AK223" s="741"/>
      <c r="AL223" s="741"/>
      <c r="AM223" s="741"/>
      <c r="AN223" s="741"/>
      <c r="AO223" s="741"/>
      <c r="AP223" s="741"/>
    </row>
    <row r="224" spans="1:42" ht="12.75" customHeight="1">
      <c r="A224" s="741"/>
      <c r="B224" s="741"/>
      <c r="C224" s="741"/>
      <c r="D224" s="741"/>
      <c r="E224" s="741"/>
      <c r="F224" s="741"/>
      <c r="G224" s="741"/>
      <c r="H224" s="741"/>
      <c r="I224" s="741"/>
      <c r="J224" s="741"/>
      <c r="K224" s="741"/>
      <c r="L224" s="741"/>
      <c r="M224" s="741"/>
      <c r="N224" s="741"/>
      <c r="O224" s="741"/>
      <c r="P224" s="741"/>
      <c r="Q224" s="741"/>
      <c r="R224" s="741"/>
      <c r="S224" s="741"/>
      <c r="T224" s="741"/>
      <c r="U224" s="741"/>
      <c r="V224" s="741"/>
      <c r="W224" s="741"/>
      <c r="X224" s="741"/>
      <c r="Y224" s="741"/>
      <c r="Z224" s="741"/>
      <c r="AA224" s="741"/>
      <c r="AB224" s="741"/>
      <c r="AC224" s="741"/>
      <c r="AD224" s="741"/>
      <c r="AE224" s="741"/>
      <c r="AF224" s="741"/>
      <c r="AG224" s="741"/>
      <c r="AH224" s="741"/>
      <c r="AI224" s="741"/>
      <c r="AJ224" s="741"/>
      <c r="AK224" s="741"/>
      <c r="AL224" s="741"/>
      <c r="AM224" s="741"/>
      <c r="AN224" s="741"/>
      <c r="AO224" s="741"/>
      <c r="AP224" s="741"/>
    </row>
    <row r="225" spans="1:42" ht="12.75" customHeight="1">
      <c r="A225" s="741"/>
      <c r="B225" s="741"/>
      <c r="C225" s="741"/>
      <c r="D225" s="741"/>
      <c r="E225" s="741"/>
      <c r="F225" s="741"/>
      <c r="G225" s="741"/>
      <c r="H225" s="741"/>
      <c r="I225" s="741"/>
      <c r="J225" s="741"/>
      <c r="K225" s="741"/>
      <c r="L225" s="741"/>
      <c r="M225" s="741"/>
      <c r="N225" s="741"/>
      <c r="O225" s="741"/>
      <c r="P225" s="741"/>
      <c r="Q225" s="741"/>
      <c r="R225" s="741"/>
      <c r="S225" s="741"/>
      <c r="T225" s="741"/>
      <c r="U225" s="741"/>
      <c r="V225" s="741"/>
      <c r="W225" s="741"/>
      <c r="X225" s="741"/>
      <c r="Y225" s="741"/>
      <c r="Z225" s="741"/>
      <c r="AA225" s="741"/>
      <c r="AB225" s="741"/>
      <c r="AC225" s="741"/>
      <c r="AD225" s="741"/>
      <c r="AE225" s="741"/>
      <c r="AF225" s="741"/>
      <c r="AG225" s="741"/>
      <c r="AH225" s="741"/>
      <c r="AI225" s="741"/>
      <c r="AJ225" s="741"/>
      <c r="AK225" s="741"/>
      <c r="AL225" s="741"/>
      <c r="AM225" s="741"/>
      <c r="AN225" s="741"/>
      <c r="AO225" s="741"/>
      <c r="AP225" s="741"/>
    </row>
    <row r="226" spans="1:42" ht="12.75" customHeight="1">
      <c r="A226" s="741"/>
      <c r="B226" s="741"/>
      <c r="C226" s="741"/>
      <c r="D226" s="741"/>
      <c r="E226" s="741"/>
      <c r="F226" s="741"/>
      <c r="G226" s="741"/>
      <c r="H226" s="741"/>
      <c r="I226" s="741"/>
      <c r="J226" s="741"/>
      <c r="K226" s="741"/>
      <c r="L226" s="741"/>
      <c r="M226" s="741"/>
      <c r="N226" s="741"/>
      <c r="O226" s="741"/>
      <c r="P226" s="741"/>
      <c r="Q226" s="741"/>
      <c r="R226" s="741"/>
      <c r="S226" s="741"/>
      <c r="T226" s="741"/>
      <c r="U226" s="741"/>
      <c r="V226" s="741"/>
      <c r="W226" s="741"/>
      <c r="X226" s="741"/>
      <c r="Y226" s="741"/>
      <c r="Z226" s="741"/>
      <c r="AA226" s="741"/>
      <c r="AB226" s="741"/>
      <c r="AC226" s="741"/>
      <c r="AD226" s="741"/>
      <c r="AE226" s="741"/>
      <c r="AF226" s="741"/>
      <c r="AG226" s="741"/>
      <c r="AH226" s="741"/>
      <c r="AI226" s="741"/>
      <c r="AJ226" s="741"/>
      <c r="AK226" s="741"/>
      <c r="AL226" s="741"/>
      <c r="AM226" s="741"/>
      <c r="AN226" s="741"/>
      <c r="AO226" s="741"/>
      <c r="AP226" s="741"/>
    </row>
    <row r="227" spans="1:42" ht="12.75" customHeight="1">
      <c r="A227" s="741"/>
      <c r="B227" s="741"/>
      <c r="C227" s="741"/>
      <c r="D227" s="741"/>
      <c r="E227" s="741"/>
      <c r="F227" s="741"/>
      <c r="G227" s="741"/>
      <c r="H227" s="741"/>
      <c r="I227" s="741"/>
      <c r="J227" s="741"/>
      <c r="K227" s="741"/>
      <c r="L227" s="741"/>
      <c r="M227" s="741"/>
      <c r="N227" s="741"/>
      <c r="O227" s="741"/>
      <c r="P227" s="741"/>
      <c r="Q227" s="741"/>
      <c r="R227" s="741"/>
      <c r="S227" s="741"/>
      <c r="T227" s="741"/>
      <c r="U227" s="741"/>
      <c r="V227" s="741"/>
      <c r="W227" s="741"/>
      <c r="X227" s="741"/>
      <c r="Y227" s="741"/>
      <c r="Z227" s="741"/>
      <c r="AA227" s="741"/>
      <c r="AB227" s="741"/>
      <c r="AC227" s="741"/>
      <c r="AD227" s="741"/>
      <c r="AE227" s="741"/>
      <c r="AF227" s="741"/>
      <c r="AG227" s="741"/>
      <c r="AH227" s="741"/>
      <c r="AI227" s="741"/>
      <c r="AJ227" s="741"/>
      <c r="AK227" s="741"/>
      <c r="AL227" s="741"/>
      <c r="AM227" s="741"/>
      <c r="AN227" s="741"/>
      <c r="AO227" s="741"/>
      <c r="AP227" s="741"/>
    </row>
    <row r="228" spans="1:42" ht="12.75" customHeight="1">
      <c r="A228" s="741"/>
      <c r="B228" s="741"/>
      <c r="C228" s="741"/>
      <c r="D228" s="741"/>
      <c r="E228" s="741"/>
      <c r="F228" s="741"/>
      <c r="G228" s="741"/>
      <c r="H228" s="741"/>
      <c r="I228" s="741"/>
      <c r="J228" s="741"/>
      <c r="K228" s="741"/>
      <c r="L228" s="741"/>
      <c r="M228" s="741"/>
      <c r="N228" s="741"/>
      <c r="O228" s="741"/>
      <c r="P228" s="741"/>
      <c r="Q228" s="741"/>
      <c r="R228" s="741"/>
      <c r="S228" s="741"/>
      <c r="T228" s="741"/>
      <c r="U228" s="741"/>
      <c r="V228" s="741"/>
      <c r="W228" s="741"/>
      <c r="X228" s="741"/>
      <c r="Y228" s="741"/>
      <c r="Z228" s="741"/>
      <c r="AA228" s="741"/>
      <c r="AB228" s="741"/>
      <c r="AC228" s="741"/>
      <c r="AD228" s="741"/>
      <c r="AE228" s="741"/>
      <c r="AF228" s="741"/>
      <c r="AG228" s="741"/>
      <c r="AH228" s="741"/>
      <c r="AI228" s="741"/>
      <c r="AJ228" s="741"/>
      <c r="AK228" s="741"/>
      <c r="AL228" s="741"/>
      <c r="AM228" s="741"/>
      <c r="AN228" s="741"/>
      <c r="AO228" s="741"/>
      <c r="AP228" s="741"/>
    </row>
    <row r="229" spans="1:42" ht="12.75" customHeight="1">
      <c r="A229" s="741"/>
      <c r="B229" s="741"/>
      <c r="C229" s="741"/>
      <c r="D229" s="741"/>
      <c r="E229" s="741"/>
      <c r="F229" s="741"/>
      <c r="G229" s="741"/>
      <c r="H229" s="741"/>
      <c r="I229" s="741"/>
      <c r="J229" s="741"/>
      <c r="K229" s="741"/>
      <c r="L229" s="741"/>
      <c r="M229" s="741"/>
      <c r="N229" s="741"/>
      <c r="O229" s="741"/>
      <c r="P229" s="741"/>
      <c r="Q229" s="741"/>
      <c r="R229" s="741"/>
      <c r="S229" s="741"/>
      <c r="T229" s="741"/>
      <c r="U229" s="741"/>
      <c r="V229" s="741"/>
      <c r="W229" s="741"/>
      <c r="X229" s="741"/>
      <c r="Y229" s="741"/>
      <c r="Z229" s="741"/>
      <c r="AA229" s="741"/>
      <c r="AB229" s="741"/>
      <c r="AC229" s="741"/>
      <c r="AD229" s="741"/>
      <c r="AE229" s="741"/>
      <c r="AF229" s="741"/>
      <c r="AG229" s="741"/>
      <c r="AH229" s="741"/>
      <c r="AI229" s="741"/>
      <c r="AJ229" s="741"/>
      <c r="AK229" s="741"/>
      <c r="AL229" s="741"/>
      <c r="AM229" s="741"/>
      <c r="AN229" s="741"/>
      <c r="AO229" s="741"/>
      <c r="AP229" s="741"/>
    </row>
    <row r="230" spans="1:42" ht="12.75" customHeight="1">
      <c r="A230" s="741"/>
      <c r="B230" s="741"/>
      <c r="C230" s="741"/>
      <c r="D230" s="741"/>
      <c r="E230" s="741"/>
      <c r="F230" s="741"/>
      <c r="G230" s="741"/>
      <c r="H230" s="741"/>
      <c r="I230" s="741"/>
      <c r="J230" s="741"/>
      <c r="K230" s="741"/>
      <c r="L230" s="741"/>
      <c r="M230" s="741"/>
      <c r="N230" s="741"/>
      <c r="O230" s="741"/>
      <c r="P230" s="741"/>
      <c r="Q230" s="741"/>
      <c r="R230" s="741"/>
      <c r="S230" s="741"/>
      <c r="T230" s="741"/>
      <c r="U230" s="741"/>
      <c r="V230" s="741"/>
      <c r="W230" s="741"/>
      <c r="X230" s="741"/>
      <c r="Y230" s="741"/>
      <c r="Z230" s="741"/>
      <c r="AA230" s="741"/>
      <c r="AB230" s="741"/>
      <c r="AC230" s="741"/>
      <c r="AD230" s="741"/>
      <c r="AE230" s="741"/>
      <c r="AF230" s="741"/>
      <c r="AG230" s="741"/>
      <c r="AH230" s="741"/>
      <c r="AI230" s="741"/>
      <c r="AJ230" s="741"/>
      <c r="AK230" s="741"/>
      <c r="AL230" s="741"/>
      <c r="AM230" s="741"/>
      <c r="AN230" s="741"/>
      <c r="AO230" s="741"/>
      <c r="AP230" s="741"/>
    </row>
    <row r="231" spans="1:42" ht="12.75" customHeight="1">
      <c r="A231" s="741"/>
      <c r="B231" s="741"/>
      <c r="C231" s="741"/>
      <c r="D231" s="741"/>
      <c r="E231" s="741"/>
      <c r="F231" s="741"/>
      <c r="G231" s="741"/>
      <c r="H231" s="741"/>
      <c r="I231" s="741"/>
      <c r="J231" s="741"/>
      <c r="K231" s="741"/>
      <c r="L231" s="741"/>
      <c r="M231" s="741"/>
      <c r="N231" s="741"/>
      <c r="O231" s="741"/>
      <c r="P231" s="741"/>
      <c r="Q231" s="741"/>
      <c r="R231" s="741"/>
      <c r="S231" s="741"/>
      <c r="T231" s="741"/>
      <c r="U231" s="741"/>
      <c r="V231" s="741"/>
      <c r="W231" s="741"/>
      <c r="X231" s="741"/>
      <c r="Y231" s="741"/>
      <c r="Z231" s="741"/>
      <c r="AA231" s="741"/>
      <c r="AB231" s="741"/>
      <c r="AC231" s="741"/>
      <c r="AD231" s="741"/>
      <c r="AE231" s="741"/>
      <c r="AF231" s="741"/>
      <c r="AG231" s="741"/>
      <c r="AH231" s="741"/>
      <c r="AI231" s="741"/>
      <c r="AJ231" s="741"/>
      <c r="AK231" s="741"/>
      <c r="AL231" s="741"/>
      <c r="AM231" s="741"/>
      <c r="AN231" s="741"/>
      <c r="AO231" s="741"/>
      <c r="AP231" s="741"/>
    </row>
    <row r="232" spans="1:42" ht="12.75" customHeight="1">
      <c r="A232" s="741"/>
      <c r="B232" s="741"/>
      <c r="C232" s="741"/>
      <c r="D232" s="741"/>
      <c r="E232" s="741"/>
      <c r="F232" s="741"/>
      <c r="G232" s="741"/>
      <c r="H232" s="741"/>
      <c r="I232" s="741"/>
      <c r="J232" s="741"/>
      <c r="K232" s="741"/>
      <c r="L232" s="741"/>
      <c r="M232" s="741"/>
      <c r="N232" s="741"/>
      <c r="O232" s="741"/>
      <c r="P232" s="741"/>
      <c r="Q232" s="741"/>
      <c r="R232" s="741"/>
      <c r="S232" s="741"/>
      <c r="T232" s="741"/>
      <c r="U232" s="741"/>
      <c r="V232" s="741"/>
      <c r="W232" s="741"/>
      <c r="X232" s="741"/>
      <c r="Y232" s="741"/>
      <c r="Z232" s="741"/>
      <c r="AA232" s="741"/>
      <c r="AB232" s="741"/>
      <c r="AC232" s="741"/>
      <c r="AD232" s="741"/>
      <c r="AE232" s="741"/>
      <c r="AF232" s="741"/>
      <c r="AG232" s="741"/>
      <c r="AH232" s="741"/>
      <c r="AI232" s="741"/>
      <c r="AJ232" s="741"/>
      <c r="AK232" s="741"/>
      <c r="AL232" s="741"/>
      <c r="AM232" s="741"/>
      <c r="AN232" s="741"/>
      <c r="AO232" s="741"/>
      <c r="AP232" s="741"/>
    </row>
    <row r="233" spans="1:42" ht="12.75" customHeight="1">
      <c r="A233" s="741"/>
      <c r="B233" s="741"/>
      <c r="C233" s="741"/>
      <c r="D233" s="741"/>
      <c r="E233" s="741"/>
      <c r="F233" s="741"/>
      <c r="G233" s="741"/>
      <c r="H233" s="741"/>
      <c r="I233" s="741"/>
      <c r="J233" s="741"/>
      <c r="K233" s="741"/>
      <c r="L233" s="741"/>
      <c r="M233" s="741"/>
      <c r="N233" s="741"/>
      <c r="O233" s="741"/>
      <c r="P233" s="741"/>
      <c r="Q233" s="741"/>
      <c r="R233" s="741"/>
      <c r="S233" s="741"/>
      <c r="T233" s="741"/>
      <c r="U233" s="741"/>
      <c r="V233" s="741"/>
      <c r="W233" s="741"/>
      <c r="X233" s="741"/>
      <c r="Y233" s="741"/>
      <c r="Z233" s="741"/>
      <c r="AA233" s="741"/>
      <c r="AB233" s="741"/>
      <c r="AC233" s="741"/>
      <c r="AD233" s="741"/>
      <c r="AE233" s="741"/>
      <c r="AF233" s="741"/>
      <c r="AG233" s="741"/>
      <c r="AH233" s="741"/>
      <c r="AI233" s="741"/>
      <c r="AJ233" s="741"/>
      <c r="AK233" s="741"/>
      <c r="AL233" s="741"/>
      <c r="AM233" s="741"/>
      <c r="AN233" s="741"/>
      <c r="AO233" s="741"/>
      <c r="AP233" s="741"/>
    </row>
    <row r="234" spans="1:42" ht="12.75" customHeight="1">
      <c r="A234" s="741"/>
      <c r="B234" s="741"/>
      <c r="C234" s="741"/>
      <c r="D234" s="741"/>
      <c r="E234" s="741"/>
      <c r="F234" s="741"/>
      <c r="G234" s="741"/>
      <c r="H234" s="741"/>
      <c r="I234" s="741"/>
      <c r="J234" s="741"/>
      <c r="K234" s="741"/>
      <c r="L234" s="741"/>
      <c r="M234" s="741"/>
      <c r="N234" s="741"/>
      <c r="O234" s="741"/>
      <c r="P234" s="741"/>
      <c r="Q234" s="741"/>
      <c r="R234" s="741"/>
      <c r="S234" s="741"/>
      <c r="T234" s="741"/>
      <c r="U234" s="741"/>
      <c r="V234" s="741"/>
      <c r="W234" s="741"/>
      <c r="X234" s="741"/>
      <c r="Y234" s="741"/>
      <c r="Z234" s="741"/>
      <c r="AA234" s="741"/>
      <c r="AB234" s="741"/>
      <c r="AC234" s="741"/>
      <c r="AD234" s="741"/>
      <c r="AE234" s="741"/>
      <c r="AF234" s="741"/>
      <c r="AG234" s="741"/>
      <c r="AH234" s="741"/>
      <c r="AI234" s="741"/>
      <c r="AJ234" s="741"/>
      <c r="AK234" s="741"/>
      <c r="AL234" s="741"/>
      <c r="AM234" s="741"/>
      <c r="AN234" s="741"/>
      <c r="AO234" s="741"/>
      <c r="AP234" s="741"/>
    </row>
    <row r="235" spans="1:42" ht="12.75" customHeight="1">
      <c r="A235" s="741"/>
      <c r="B235" s="741"/>
      <c r="C235" s="741"/>
      <c r="D235" s="741"/>
      <c r="E235" s="741"/>
      <c r="F235" s="741"/>
      <c r="G235" s="741"/>
      <c r="H235" s="741"/>
      <c r="I235" s="741"/>
      <c r="J235" s="741"/>
      <c r="K235" s="741"/>
      <c r="L235" s="741"/>
      <c r="M235" s="741"/>
      <c r="N235" s="741"/>
      <c r="O235" s="741"/>
      <c r="P235" s="741"/>
      <c r="Q235" s="741"/>
      <c r="R235" s="741"/>
      <c r="S235" s="741"/>
      <c r="T235" s="741"/>
      <c r="U235" s="741"/>
      <c r="V235" s="741"/>
      <c r="W235" s="741"/>
      <c r="X235" s="741"/>
      <c r="Y235" s="741"/>
      <c r="Z235" s="741"/>
      <c r="AA235" s="741"/>
      <c r="AB235" s="741"/>
      <c r="AC235" s="741"/>
      <c r="AD235" s="741"/>
      <c r="AE235" s="741"/>
      <c r="AF235" s="741"/>
      <c r="AG235" s="741"/>
      <c r="AH235" s="741"/>
      <c r="AI235" s="741"/>
      <c r="AJ235" s="741"/>
      <c r="AK235" s="741"/>
      <c r="AL235" s="741"/>
      <c r="AM235" s="741"/>
      <c r="AN235" s="741"/>
      <c r="AO235" s="741"/>
      <c r="AP235" s="741"/>
    </row>
    <row r="236" spans="1:42" ht="12.75" customHeight="1">
      <c r="A236" s="741"/>
      <c r="B236" s="741"/>
      <c r="C236" s="741"/>
      <c r="D236" s="741"/>
      <c r="E236" s="741"/>
      <c r="F236" s="741"/>
      <c r="G236" s="741"/>
      <c r="H236" s="741"/>
      <c r="I236" s="741"/>
      <c r="J236" s="741"/>
      <c r="K236" s="741"/>
      <c r="L236" s="741"/>
      <c r="M236" s="741"/>
      <c r="N236" s="741"/>
      <c r="O236" s="741"/>
      <c r="P236" s="741"/>
      <c r="Q236" s="741"/>
      <c r="R236" s="741"/>
      <c r="S236" s="741"/>
      <c r="T236" s="741"/>
      <c r="U236" s="741"/>
      <c r="V236" s="741"/>
      <c r="W236" s="741"/>
      <c r="X236" s="741"/>
      <c r="Y236" s="741"/>
      <c r="Z236" s="741"/>
      <c r="AA236" s="741"/>
      <c r="AB236" s="741"/>
      <c r="AC236" s="741"/>
      <c r="AD236" s="741"/>
      <c r="AE236" s="741"/>
      <c r="AF236" s="741"/>
      <c r="AG236" s="741"/>
      <c r="AH236" s="741"/>
      <c r="AI236" s="741"/>
      <c r="AJ236" s="741"/>
      <c r="AK236" s="741"/>
      <c r="AL236" s="741"/>
      <c r="AM236" s="741"/>
      <c r="AN236" s="741"/>
      <c r="AO236" s="741"/>
      <c r="AP236" s="741"/>
    </row>
    <row r="237" spans="1:42" ht="12.75" customHeight="1">
      <c r="A237" s="741"/>
      <c r="B237" s="741"/>
      <c r="C237" s="741"/>
      <c r="D237" s="741"/>
      <c r="E237" s="741"/>
      <c r="F237" s="741"/>
      <c r="G237" s="741"/>
      <c r="H237" s="741"/>
      <c r="I237" s="741"/>
      <c r="J237" s="741"/>
      <c r="K237" s="741"/>
      <c r="L237" s="741"/>
      <c r="M237" s="741"/>
      <c r="N237" s="741"/>
      <c r="O237" s="741"/>
      <c r="P237" s="741"/>
      <c r="Q237" s="741"/>
      <c r="R237" s="741"/>
      <c r="S237" s="741"/>
      <c r="T237" s="741"/>
      <c r="U237" s="741"/>
      <c r="V237" s="741"/>
      <c r="W237" s="741"/>
      <c r="X237" s="741"/>
      <c r="Y237" s="741"/>
      <c r="Z237" s="741"/>
      <c r="AA237" s="741"/>
      <c r="AB237" s="741"/>
      <c r="AC237" s="741"/>
      <c r="AD237" s="741"/>
      <c r="AE237" s="741"/>
      <c r="AF237" s="741"/>
      <c r="AG237" s="741"/>
      <c r="AH237" s="741"/>
      <c r="AI237" s="741"/>
      <c r="AJ237" s="741"/>
      <c r="AK237" s="741"/>
      <c r="AL237" s="741"/>
      <c r="AM237" s="741"/>
      <c r="AN237" s="741"/>
      <c r="AO237" s="741"/>
      <c r="AP237" s="741"/>
    </row>
    <row r="238" spans="1:42" ht="12.75" customHeight="1">
      <c r="A238" s="741"/>
      <c r="B238" s="741"/>
      <c r="C238" s="741"/>
      <c r="D238" s="741"/>
      <c r="E238" s="741"/>
      <c r="F238" s="741"/>
      <c r="G238" s="741"/>
      <c r="H238" s="741"/>
      <c r="I238" s="741"/>
      <c r="J238" s="741"/>
      <c r="K238" s="741"/>
      <c r="L238" s="741"/>
      <c r="M238" s="741"/>
      <c r="N238" s="741"/>
      <c r="O238" s="741"/>
      <c r="P238" s="741"/>
      <c r="Q238" s="741"/>
      <c r="R238" s="741"/>
      <c r="S238" s="741"/>
      <c r="T238" s="741"/>
      <c r="U238" s="741"/>
      <c r="V238" s="741"/>
      <c r="W238" s="741"/>
      <c r="X238" s="741"/>
      <c r="Y238" s="741"/>
      <c r="Z238" s="741"/>
      <c r="AA238" s="741"/>
      <c r="AB238" s="741"/>
      <c r="AC238" s="741"/>
      <c r="AD238" s="741"/>
      <c r="AE238" s="741"/>
      <c r="AF238" s="741"/>
      <c r="AG238" s="741"/>
      <c r="AH238" s="741"/>
      <c r="AI238" s="741"/>
      <c r="AJ238" s="741"/>
      <c r="AK238" s="741"/>
      <c r="AL238" s="741"/>
      <c r="AM238" s="741"/>
      <c r="AN238" s="741"/>
      <c r="AO238" s="741"/>
      <c r="AP238" s="741"/>
    </row>
    <row r="239" spans="1:42" ht="12.75" customHeight="1">
      <c r="A239" s="741"/>
      <c r="B239" s="741"/>
      <c r="C239" s="741"/>
      <c r="D239" s="741"/>
      <c r="E239" s="741"/>
      <c r="F239" s="741"/>
      <c r="G239" s="741"/>
      <c r="H239" s="741"/>
      <c r="I239" s="741"/>
      <c r="J239" s="741"/>
      <c r="K239" s="741"/>
      <c r="L239" s="741"/>
      <c r="M239" s="741"/>
      <c r="N239" s="741"/>
      <c r="O239" s="741"/>
      <c r="P239" s="741"/>
      <c r="Q239" s="741"/>
      <c r="R239" s="741"/>
      <c r="S239" s="741"/>
      <c r="T239" s="741"/>
      <c r="U239" s="741"/>
      <c r="V239" s="741"/>
      <c r="W239" s="741"/>
      <c r="X239" s="741"/>
      <c r="Y239" s="741"/>
      <c r="Z239" s="741"/>
      <c r="AA239" s="741"/>
      <c r="AB239" s="741"/>
      <c r="AC239" s="741"/>
      <c r="AD239" s="741"/>
      <c r="AE239" s="741"/>
      <c r="AF239" s="741"/>
      <c r="AG239" s="741"/>
      <c r="AH239" s="741"/>
      <c r="AI239" s="741"/>
      <c r="AJ239" s="741"/>
      <c r="AK239" s="741"/>
      <c r="AL239" s="741"/>
      <c r="AM239" s="741"/>
      <c r="AN239" s="741"/>
      <c r="AO239" s="741"/>
      <c r="AP239" s="741"/>
    </row>
    <row r="240" spans="1:42" ht="12.75" customHeight="1">
      <c r="A240" s="741"/>
      <c r="B240" s="741"/>
      <c r="C240" s="741"/>
      <c r="D240" s="741"/>
      <c r="E240" s="741"/>
      <c r="F240" s="741"/>
      <c r="G240" s="741"/>
      <c r="H240" s="741"/>
      <c r="I240" s="741"/>
      <c r="J240" s="741"/>
      <c r="K240" s="741"/>
      <c r="L240" s="741"/>
      <c r="M240" s="741"/>
      <c r="N240" s="741"/>
      <c r="O240" s="741"/>
      <c r="P240" s="741"/>
      <c r="Q240" s="741"/>
      <c r="R240" s="741"/>
      <c r="S240" s="741"/>
      <c r="T240" s="741"/>
      <c r="U240" s="741"/>
      <c r="V240" s="741"/>
      <c r="W240" s="741"/>
      <c r="X240" s="741"/>
      <c r="Y240" s="741"/>
      <c r="Z240" s="741"/>
      <c r="AA240" s="741"/>
      <c r="AB240" s="741"/>
      <c r="AC240" s="741"/>
      <c r="AD240" s="741"/>
      <c r="AE240" s="741"/>
      <c r="AF240" s="741"/>
      <c r="AG240" s="741"/>
      <c r="AH240" s="741"/>
      <c r="AI240" s="741"/>
      <c r="AJ240" s="741"/>
      <c r="AK240" s="741"/>
      <c r="AL240" s="741"/>
      <c r="AM240" s="741"/>
      <c r="AN240" s="741"/>
      <c r="AO240" s="741"/>
      <c r="AP240" s="741"/>
    </row>
    <row r="241" spans="1:42" ht="12.75" customHeight="1">
      <c r="A241" s="741"/>
      <c r="B241" s="741"/>
      <c r="C241" s="741"/>
      <c r="D241" s="741"/>
      <c r="E241" s="741"/>
      <c r="F241" s="741"/>
      <c r="G241" s="741"/>
      <c r="H241" s="741"/>
      <c r="I241" s="741"/>
      <c r="J241" s="741"/>
      <c r="K241" s="741"/>
      <c r="L241" s="741"/>
      <c r="M241" s="741"/>
      <c r="N241" s="741"/>
      <c r="O241" s="741"/>
      <c r="P241" s="741"/>
      <c r="Q241" s="741"/>
      <c r="R241" s="741"/>
      <c r="S241" s="741"/>
      <c r="T241" s="741"/>
      <c r="U241" s="741"/>
      <c r="V241" s="741"/>
      <c r="W241" s="741"/>
      <c r="X241" s="741"/>
      <c r="Y241" s="741"/>
      <c r="Z241" s="741"/>
      <c r="AA241" s="741"/>
      <c r="AB241" s="741"/>
      <c r="AC241" s="741"/>
      <c r="AD241" s="741"/>
      <c r="AE241" s="741"/>
      <c r="AF241" s="741"/>
      <c r="AG241" s="741"/>
      <c r="AH241" s="741"/>
      <c r="AI241" s="741"/>
      <c r="AJ241" s="741"/>
      <c r="AK241" s="741"/>
      <c r="AL241" s="741"/>
      <c r="AM241" s="741"/>
      <c r="AN241" s="741"/>
      <c r="AO241" s="741"/>
      <c r="AP241" s="741"/>
    </row>
    <row r="242" spans="1:42" ht="12.75" customHeight="1">
      <c r="A242" s="741"/>
      <c r="B242" s="741"/>
      <c r="C242" s="741"/>
      <c r="D242" s="741"/>
      <c r="E242" s="741"/>
      <c r="F242" s="741"/>
      <c r="G242" s="741"/>
      <c r="H242" s="741"/>
      <c r="I242" s="741"/>
      <c r="J242" s="741"/>
      <c r="K242" s="741"/>
      <c r="L242" s="741"/>
      <c r="M242" s="741"/>
      <c r="N242" s="741"/>
      <c r="O242" s="741"/>
      <c r="P242" s="741"/>
      <c r="Q242" s="741"/>
      <c r="R242" s="741"/>
      <c r="S242" s="741"/>
      <c r="T242" s="741"/>
      <c r="U242" s="741"/>
      <c r="V242" s="741"/>
      <c r="W242" s="741"/>
      <c r="X242" s="741"/>
      <c r="Y242" s="741"/>
      <c r="Z242" s="741"/>
      <c r="AA242" s="741"/>
      <c r="AB242" s="741"/>
      <c r="AC242" s="741"/>
      <c r="AD242" s="741"/>
      <c r="AE242" s="741"/>
      <c r="AF242" s="741"/>
      <c r="AG242" s="741"/>
      <c r="AH242" s="741"/>
      <c r="AI242" s="741"/>
      <c r="AJ242" s="741"/>
      <c r="AK242" s="741"/>
      <c r="AL242" s="741"/>
      <c r="AM242" s="741"/>
      <c r="AN242" s="741"/>
      <c r="AO242" s="741"/>
      <c r="AP242" s="741"/>
    </row>
    <row r="243" spans="1:42" ht="12.75" customHeight="1">
      <c r="A243" s="741"/>
      <c r="B243" s="741"/>
      <c r="C243" s="741"/>
      <c r="D243" s="741"/>
      <c r="E243" s="741"/>
      <c r="F243" s="741"/>
      <c r="G243" s="741"/>
      <c r="H243" s="741"/>
      <c r="I243" s="741"/>
      <c r="J243" s="741"/>
      <c r="K243" s="741"/>
      <c r="L243" s="741"/>
      <c r="M243" s="741"/>
      <c r="N243" s="741"/>
      <c r="O243" s="741"/>
      <c r="P243" s="741"/>
      <c r="Q243" s="741"/>
      <c r="R243" s="741"/>
      <c r="S243" s="741"/>
      <c r="T243" s="741"/>
      <c r="U243" s="741"/>
      <c r="V243" s="741"/>
      <c r="W243" s="741"/>
      <c r="X243" s="741"/>
      <c r="Y243" s="741"/>
      <c r="Z243" s="741"/>
      <c r="AA243" s="741"/>
      <c r="AB243" s="741"/>
      <c r="AC243" s="741"/>
      <c r="AD243" s="741"/>
      <c r="AE243" s="741"/>
      <c r="AF243" s="741"/>
      <c r="AG243" s="741"/>
      <c r="AH243" s="741"/>
      <c r="AI243" s="741"/>
      <c r="AJ243" s="741"/>
      <c r="AK243" s="741"/>
      <c r="AL243" s="741"/>
      <c r="AM243" s="741"/>
      <c r="AN243" s="741"/>
      <c r="AO243" s="741"/>
      <c r="AP243" s="741"/>
    </row>
    <row r="244" spans="1:42" ht="12.75" customHeight="1">
      <c r="A244" s="741"/>
      <c r="B244" s="741"/>
      <c r="C244" s="741"/>
      <c r="D244" s="741"/>
      <c r="E244" s="741"/>
      <c r="F244" s="741"/>
      <c r="G244" s="741"/>
      <c r="H244" s="741"/>
      <c r="I244" s="741"/>
      <c r="J244" s="741"/>
      <c r="K244" s="741"/>
      <c r="L244" s="741"/>
      <c r="M244" s="741"/>
      <c r="N244" s="741"/>
      <c r="O244" s="741"/>
      <c r="P244" s="741"/>
      <c r="Q244" s="741"/>
      <c r="R244" s="741"/>
      <c r="S244" s="741"/>
      <c r="T244" s="741"/>
      <c r="U244" s="741"/>
      <c r="V244" s="741"/>
      <c r="W244" s="741"/>
      <c r="X244" s="741"/>
      <c r="Y244" s="741"/>
      <c r="Z244" s="741"/>
      <c r="AA244" s="741"/>
      <c r="AB244" s="741"/>
      <c r="AC244" s="741"/>
      <c r="AD244" s="741"/>
      <c r="AE244" s="741"/>
      <c r="AF244" s="741"/>
      <c r="AG244" s="741"/>
      <c r="AH244" s="741"/>
      <c r="AI244" s="741"/>
      <c r="AJ244" s="741"/>
      <c r="AK244" s="741"/>
      <c r="AL244" s="741"/>
      <c r="AM244" s="741"/>
      <c r="AN244" s="741"/>
      <c r="AO244" s="741"/>
      <c r="AP244" s="741"/>
    </row>
    <row r="245" spans="1:42" ht="12.75" customHeight="1">
      <c r="A245" s="741"/>
      <c r="B245" s="741"/>
      <c r="C245" s="741"/>
      <c r="D245" s="741"/>
      <c r="E245" s="741"/>
      <c r="F245" s="741"/>
      <c r="G245" s="741"/>
      <c r="H245" s="741"/>
      <c r="I245" s="741"/>
      <c r="J245" s="741"/>
      <c r="K245" s="741"/>
      <c r="L245" s="741"/>
      <c r="M245" s="741"/>
      <c r="N245" s="741"/>
      <c r="O245" s="741"/>
      <c r="P245" s="741"/>
      <c r="Q245" s="741"/>
      <c r="R245" s="741"/>
      <c r="S245" s="741"/>
      <c r="T245" s="741"/>
      <c r="U245" s="741"/>
      <c r="V245" s="741"/>
      <c r="W245" s="741"/>
      <c r="X245" s="741"/>
      <c r="Y245" s="741"/>
      <c r="Z245" s="741"/>
      <c r="AA245" s="741"/>
      <c r="AB245" s="741"/>
      <c r="AC245" s="741"/>
      <c r="AD245" s="741"/>
      <c r="AE245" s="741"/>
      <c r="AF245" s="741"/>
      <c r="AG245" s="741"/>
      <c r="AH245" s="741"/>
      <c r="AI245" s="741"/>
      <c r="AJ245" s="741"/>
      <c r="AK245" s="741"/>
      <c r="AL245" s="741"/>
      <c r="AM245" s="741"/>
      <c r="AN245" s="741"/>
      <c r="AO245" s="741"/>
      <c r="AP245" s="741"/>
    </row>
    <row r="246" spans="1:42" ht="12.75" customHeight="1">
      <c r="A246" s="741"/>
      <c r="B246" s="741"/>
      <c r="C246" s="741"/>
      <c r="D246" s="741"/>
      <c r="E246" s="741"/>
      <c r="F246" s="741"/>
      <c r="G246" s="741"/>
      <c r="H246" s="741"/>
      <c r="I246" s="741"/>
      <c r="J246" s="741"/>
      <c r="K246" s="741"/>
      <c r="L246" s="741"/>
      <c r="M246" s="741"/>
      <c r="N246" s="741"/>
      <c r="O246" s="741"/>
      <c r="P246" s="741"/>
      <c r="Q246" s="741"/>
      <c r="R246" s="741"/>
      <c r="S246" s="741"/>
      <c r="T246" s="741"/>
      <c r="U246" s="741"/>
      <c r="V246" s="741"/>
      <c r="W246" s="741"/>
      <c r="X246" s="741"/>
      <c r="Y246" s="741"/>
      <c r="Z246" s="741"/>
      <c r="AA246" s="741"/>
      <c r="AB246" s="741"/>
      <c r="AC246" s="741"/>
      <c r="AD246" s="741"/>
      <c r="AE246" s="741"/>
      <c r="AF246" s="741"/>
      <c r="AG246" s="741"/>
      <c r="AH246" s="741"/>
      <c r="AI246" s="741"/>
      <c r="AJ246" s="741"/>
      <c r="AK246" s="741"/>
      <c r="AL246" s="741"/>
      <c r="AM246" s="741"/>
      <c r="AN246" s="741"/>
      <c r="AO246" s="741"/>
      <c r="AP246" s="741"/>
    </row>
    <row r="247" spans="1:42" ht="12.75" customHeight="1">
      <c r="A247" s="741"/>
      <c r="B247" s="741"/>
      <c r="C247" s="741"/>
      <c r="D247" s="741"/>
      <c r="E247" s="741"/>
      <c r="F247" s="741"/>
      <c r="G247" s="741"/>
      <c r="H247" s="741"/>
      <c r="I247" s="741"/>
      <c r="J247" s="741"/>
      <c r="K247" s="741"/>
      <c r="L247" s="741"/>
      <c r="M247" s="741"/>
      <c r="N247" s="741"/>
      <c r="O247" s="741"/>
      <c r="P247" s="741"/>
      <c r="Q247" s="741"/>
      <c r="R247" s="741"/>
      <c r="S247" s="741"/>
      <c r="T247" s="741"/>
      <c r="U247" s="741"/>
      <c r="V247" s="741"/>
      <c r="W247" s="741"/>
      <c r="X247" s="741"/>
      <c r="Y247" s="741"/>
      <c r="Z247" s="741"/>
      <c r="AA247" s="741"/>
      <c r="AB247" s="741"/>
      <c r="AC247" s="741"/>
      <c r="AD247" s="741"/>
      <c r="AE247" s="741"/>
      <c r="AF247" s="741"/>
      <c r="AG247" s="741"/>
      <c r="AH247" s="741"/>
      <c r="AI247" s="741"/>
      <c r="AJ247" s="741"/>
      <c r="AK247" s="741"/>
      <c r="AL247" s="741"/>
      <c r="AM247" s="741"/>
      <c r="AN247" s="741"/>
      <c r="AO247" s="741"/>
      <c r="AP247" s="741"/>
    </row>
    <row r="248" spans="1:42" ht="12.75" customHeight="1">
      <c r="A248" s="741"/>
      <c r="B248" s="741"/>
      <c r="C248" s="741"/>
      <c r="D248" s="741"/>
      <c r="E248" s="741"/>
      <c r="F248" s="741"/>
      <c r="G248" s="741"/>
      <c r="H248" s="741"/>
      <c r="I248" s="741"/>
      <c r="J248" s="741"/>
      <c r="K248" s="741"/>
      <c r="L248" s="741"/>
      <c r="M248" s="741"/>
      <c r="N248" s="741"/>
      <c r="O248" s="741"/>
      <c r="P248" s="741"/>
      <c r="Q248" s="741"/>
      <c r="R248" s="741"/>
      <c r="S248" s="741"/>
      <c r="T248" s="741"/>
      <c r="U248" s="741"/>
      <c r="V248" s="741"/>
      <c r="W248" s="741"/>
      <c r="X248" s="741"/>
      <c r="Y248" s="741"/>
      <c r="Z248" s="741"/>
      <c r="AA248" s="741"/>
      <c r="AB248" s="741"/>
      <c r="AC248" s="741"/>
      <c r="AD248" s="741"/>
      <c r="AE248" s="741"/>
      <c r="AF248" s="741"/>
      <c r="AG248" s="741"/>
      <c r="AH248" s="741"/>
      <c r="AI248" s="741"/>
      <c r="AJ248" s="741"/>
      <c r="AK248" s="741"/>
      <c r="AL248" s="741"/>
      <c r="AM248" s="741"/>
      <c r="AN248" s="741"/>
      <c r="AO248" s="741"/>
      <c r="AP248" s="741"/>
    </row>
    <row r="249" spans="1:42" ht="12.75" customHeight="1">
      <c r="A249" s="741"/>
      <c r="B249" s="741"/>
      <c r="C249" s="741"/>
      <c r="D249" s="741"/>
      <c r="E249" s="741"/>
      <c r="F249" s="741"/>
      <c r="G249" s="741"/>
      <c r="H249" s="741"/>
      <c r="I249" s="741"/>
      <c r="J249" s="741"/>
      <c r="K249" s="741"/>
      <c r="L249" s="741"/>
      <c r="M249" s="741"/>
      <c r="N249" s="741"/>
      <c r="O249" s="741"/>
      <c r="P249" s="741"/>
      <c r="Q249" s="741"/>
      <c r="R249" s="741"/>
      <c r="S249" s="741"/>
      <c r="T249" s="741"/>
      <c r="U249" s="741"/>
      <c r="V249" s="741"/>
      <c r="W249" s="741"/>
      <c r="X249" s="741"/>
      <c r="Y249" s="741"/>
      <c r="Z249" s="741"/>
      <c r="AA249" s="741"/>
      <c r="AB249" s="741"/>
      <c r="AC249" s="741"/>
      <c r="AD249" s="741"/>
      <c r="AE249" s="741"/>
      <c r="AF249" s="741"/>
      <c r="AG249" s="741"/>
      <c r="AH249" s="741"/>
      <c r="AI249" s="741"/>
      <c r="AJ249" s="741"/>
      <c r="AK249" s="741"/>
      <c r="AL249" s="741"/>
      <c r="AM249" s="741"/>
      <c r="AN249" s="741"/>
      <c r="AO249" s="741"/>
      <c r="AP249" s="741"/>
    </row>
    <row r="250" spans="1:42" ht="12.75" customHeight="1">
      <c r="A250" s="741"/>
      <c r="B250" s="741"/>
      <c r="C250" s="741"/>
      <c r="D250" s="741"/>
      <c r="E250" s="741"/>
      <c r="F250" s="741"/>
      <c r="G250" s="741"/>
      <c r="H250" s="741"/>
      <c r="I250" s="741"/>
      <c r="J250" s="741"/>
      <c r="K250" s="741"/>
      <c r="L250" s="741"/>
      <c r="M250" s="741"/>
      <c r="N250" s="741"/>
      <c r="O250" s="741"/>
      <c r="P250" s="741"/>
      <c r="Q250" s="741"/>
      <c r="R250" s="741"/>
      <c r="S250" s="741"/>
      <c r="T250" s="741"/>
      <c r="U250" s="741"/>
      <c r="V250" s="741"/>
      <c r="W250" s="741"/>
      <c r="X250" s="741"/>
      <c r="Y250" s="741"/>
      <c r="Z250" s="741"/>
      <c r="AA250" s="741"/>
      <c r="AB250" s="741"/>
      <c r="AC250" s="741"/>
      <c r="AD250" s="741"/>
      <c r="AE250" s="741"/>
      <c r="AF250" s="741"/>
      <c r="AG250" s="741"/>
      <c r="AH250" s="741"/>
      <c r="AI250" s="741"/>
      <c r="AJ250" s="741"/>
      <c r="AK250" s="741"/>
      <c r="AL250" s="741"/>
      <c r="AM250" s="741"/>
      <c r="AN250" s="741"/>
      <c r="AO250" s="741"/>
      <c r="AP250" s="741"/>
    </row>
    <row r="251" spans="1:42" ht="12.75" customHeight="1">
      <c r="A251" s="741"/>
      <c r="B251" s="741"/>
      <c r="C251" s="741"/>
      <c r="D251" s="741"/>
      <c r="E251" s="741"/>
      <c r="F251" s="741"/>
      <c r="G251" s="741"/>
      <c r="H251" s="741"/>
      <c r="I251" s="741"/>
      <c r="J251" s="741"/>
      <c r="K251" s="741"/>
      <c r="L251" s="741"/>
      <c r="M251" s="741"/>
      <c r="N251" s="741"/>
      <c r="O251" s="741"/>
      <c r="P251" s="741"/>
      <c r="Q251" s="741"/>
      <c r="R251" s="741"/>
      <c r="S251" s="741"/>
      <c r="T251" s="741"/>
      <c r="U251" s="741"/>
      <c r="V251" s="741"/>
      <c r="W251" s="741"/>
      <c r="X251" s="741"/>
      <c r="Y251" s="741"/>
      <c r="Z251" s="741"/>
      <c r="AA251" s="741"/>
      <c r="AB251" s="741"/>
      <c r="AC251" s="741"/>
      <c r="AD251" s="741"/>
      <c r="AE251" s="741"/>
      <c r="AF251" s="741"/>
      <c r="AG251" s="741"/>
      <c r="AH251" s="741"/>
      <c r="AI251" s="741"/>
      <c r="AJ251" s="741"/>
      <c r="AK251" s="741"/>
      <c r="AL251" s="741"/>
      <c r="AM251" s="741"/>
      <c r="AN251" s="741"/>
      <c r="AO251" s="741"/>
      <c r="AP251" s="741"/>
    </row>
    <row r="252" spans="1:42" ht="12.75" customHeight="1">
      <c r="A252" s="741"/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1"/>
      <c r="P252" s="741"/>
      <c r="Q252" s="741"/>
      <c r="R252" s="741"/>
      <c r="S252" s="741"/>
      <c r="T252" s="741"/>
      <c r="U252" s="741"/>
      <c r="V252" s="741"/>
      <c r="W252" s="741"/>
      <c r="X252" s="741"/>
      <c r="Y252" s="741"/>
      <c r="Z252" s="741"/>
      <c r="AA252" s="741"/>
      <c r="AB252" s="741"/>
      <c r="AC252" s="741"/>
      <c r="AD252" s="741"/>
      <c r="AE252" s="741"/>
      <c r="AF252" s="741"/>
      <c r="AG252" s="741"/>
      <c r="AH252" s="741"/>
      <c r="AI252" s="741"/>
      <c r="AJ252" s="741"/>
      <c r="AK252" s="741"/>
      <c r="AL252" s="741"/>
      <c r="AM252" s="741"/>
      <c r="AN252" s="741"/>
      <c r="AO252" s="741"/>
      <c r="AP252" s="741"/>
    </row>
    <row r="253" spans="1:42" ht="12.75" customHeight="1">
      <c r="A253" s="741"/>
      <c r="B253" s="741"/>
      <c r="C253" s="741"/>
      <c r="D253" s="741"/>
      <c r="E253" s="741"/>
      <c r="F253" s="741"/>
      <c r="G253" s="741"/>
      <c r="H253" s="741"/>
      <c r="I253" s="741"/>
      <c r="J253" s="741"/>
      <c r="K253" s="741"/>
      <c r="L253" s="741"/>
      <c r="M253" s="741"/>
      <c r="N253" s="741"/>
      <c r="O253" s="741"/>
      <c r="P253" s="741"/>
      <c r="Q253" s="741"/>
      <c r="R253" s="741"/>
      <c r="S253" s="741"/>
      <c r="T253" s="741"/>
      <c r="U253" s="741"/>
      <c r="V253" s="741"/>
      <c r="W253" s="741"/>
      <c r="X253" s="741"/>
      <c r="Y253" s="741"/>
      <c r="Z253" s="741"/>
      <c r="AA253" s="741"/>
      <c r="AB253" s="741"/>
      <c r="AC253" s="741"/>
      <c r="AD253" s="741"/>
      <c r="AE253" s="741"/>
      <c r="AF253" s="741"/>
      <c r="AG253" s="741"/>
      <c r="AH253" s="741"/>
      <c r="AI253" s="741"/>
      <c r="AJ253" s="741"/>
      <c r="AK253" s="741"/>
      <c r="AL253" s="741"/>
      <c r="AM253" s="741"/>
      <c r="AN253" s="741"/>
      <c r="AO253" s="741"/>
      <c r="AP253" s="741"/>
    </row>
    <row r="254" spans="1:42" ht="12.75" customHeight="1">
      <c r="A254" s="741"/>
      <c r="B254" s="741"/>
      <c r="C254" s="741"/>
      <c r="D254" s="741"/>
      <c r="E254" s="741"/>
      <c r="F254" s="741"/>
      <c r="G254" s="741"/>
      <c r="H254" s="741"/>
      <c r="I254" s="741"/>
      <c r="J254" s="741"/>
      <c r="K254" s="741"/>
      <c r="L254" s="741"/>
      <c r="M254" s="741"/>
      <c r="N254" s="741"/>
      <c r="O254" s="741"/>
      <c r="P254" s="741"/>
      <c r="Q254" s="741"/>
      <c r="R254" s="741"/>
      <c r="S254" s="741"/>
      <c r="T254" s="741"/>
      <c r="U254" s="741"/>
      <c r="V254" s="741"/>
      <c r="W254" s="741"/>
      <c r="X254" s="741"/>
      <c r="Y254" s="741"/>
      <c r="Z254" s="741"/>
      <c r="AA254" s="741"/>
      <c r="AB254" s="741"/>
      <c r="AC254" s="741"/>
      <c r="AD254" s="741"/>
      <c r="AE254" s="741"/>
      <c r="AF254" s="741"/>
      <c r="AG254" s="741"/>
      <c r="AH254" s="741"/>
      <c r="AI254" s="741"/>
      <c r="AJ254" s="741"/>
      <c r="AK254" s="741"/>
      <c r="AL254" s="741"/>
      <c r="AM254" s="741"/>
      <c r="AN254" s="741"/>
      <c r="AO254" s="741"/>
      <c r="AP254" s="741"/>
    </row>
    <row r="255" spans="1:42" ht="12.75" customHeight="1">
      <c r="A255" s="741"/>
      <c r="B255" s="741"/>
      <c r="C255" s="741"/>
      <c r="D255" s="741"/>
      <c r="E255" s="741"/>
      <c r="F255" s="741"/>
      <c r="G255" s="741"/>
      <c r="H255" s="741"/>
      <c r="I255" s="741"/>
      <c r="J255" s="741"/>
      <c r="K255" s="741"/>
      <c r="L255" s="741"/>
      <c r="M255" s="741"/>
      <c r="N255" s="741"/>
      <c r="O255" s="741"/>
      <c r="P255" s="741"/>
      <c r="Q255" s="741"/>
      <c r="R255" s="741"/>
      <c r="S255" s="741"/>
      <c r="T255" s="741"/>
      <c r="U255" s="741"/>
      <c r="V255" s="741"/>
      <c r="W255" s="741"/>
      <c r="X255" s="741"/>
      <c r="Y255" s="741"/>
      <c r="Z255" s="741"/>
      <c r="AA255" s="741"/>
      <c r="AB255" s="741"/>
      <c r="AC255" s="741"/>
      <c r="AD255" s="741"/>
      <c r="AE255" s="741"/>
      <c r="AF255" s="741"/>
      <c r="AG255" s="741"/>
      <c r="AH255" s="741"/>
      <c r="AI255" s="741"/>
      <c r="AJ255" s="741"/>
      <c r="AK255" s="741"/>
      <c r="AL255" s="741"/>
      <c r="AM255" s="741"/>
      <c r="AN255" s="741"/>
      <c r="AO255" s="741"/>
      <c r="AP255" s="741"/>
    </row>
    <row r="256" spans="1:42" ht="12.75" customHeight="1">
      <c r="A256" s="741"/>
      <c r="B256" s="741"/>
      <c r="C256" s="741"/>
      <c r="D256" s="741"/>
      <c r="E256" s="741"/>
      <c r="F256" s="741"/>
      <c r="G256" s="741"/>
      <c r="H256" s="741"/>
      <c r="I256" s="741"/>
      <c r="J256" s="741"/>
      <c r="K256" s="741"/>
      <c r="L256" s="741"/>
      <c r="M256" s="741"/>
      <c r="N256" s="741"/>
      <c r="O256" s="741"/>
      <c r="P256" s="741"/>
      <c r="Q256" s="741"/>
      <c r="R256" s="741"/>
      <c r="S256" s="741"/>
      <c r="T256" s="741"/>
      <c r="U256" s="741"/>
      <c r="V256" s="741"/>
      <c r="W256" s="741"/>
      <c r="X256" s="741"/>
      <c r="Y256" s="741"/>
      <c r="Z256" s="741"/>
      <c r="AA256" s="741"/>
      <c r="AB256" s="741"/>
      <c r="AC256" s="741"/>
      <c r="AD256" s="741"/>
      <c r="AE256" s="741"/>
      <c r="AF256" s="741"/>
      <c r="AG256" s="741"/>
      <c r="AH256" s="741"/>
      <c r="AI256" s="741"/>
      <c r="AJ256" s="741"/>
      <c r="AK256" s="741"/>
      <c r="AL256" s="741"/>
      <c r="AM256" s="741"/>
      <c r="AN256" s="741"/>
      <c r="AO256" s="741"/>
      <c r="AP256" s="741"/>
    </row>
    <row r="257" spans="1:42" ht="12.75" customHeight="1">
      <c r="A257" s="741"/>
      <c r="B257" s="741"/>
      <c r="C257" s="741"/>
      <c r="D257" s="741"/>
      <c r="E257" s="741"/>
      <c r="F257" s="741"/>
      <c r="G257" s="741"/>
      <c r="H257" s="741"/>
      <c r="I257" s="741"/>
      <c r="J257" s="741"/>
      <c r="K257" s="741"/>
      <c r="L257" s="741"/>
      <c r="M257" s="741"/>
      <c r="N257" s="741"/>
      <c r="O257" s="741"/>
      <c r="P257" s="741"/>
      <c r="Q257" s="741"/>
      <c r="R257" s="741"/>
      <c r="S257" s="741"/>
      <c r="T257" s="741"/>
      <c r="U257" s="741"/>
      <c r="V257" s="741"/>
      <c r="W257" s="741"/>
      <c r="X257" s="741"/>
      <c r="Y257" s="741"/>
      <c r="Z257" s="741"/>
      <c r="AA257" s="741"/>
      <c r="AB257" s="741"/>
      <c r="AC257" s="741"/>
      <c r="AD257" s="741"/>
      <c r="AE257" s="741"/>
      <c r="AF257" s="741"/>
      <c r="AG257" s="741"/>
      <c r="AH257" s="741"/>
      <c r="AI257" s="741"/>
      <c r="AJ257" s="741"/>
      <c r="AK257" s="741"/>
      <c r="AL257" s="741"/>
      <c r="AM257" s="741"/>
      <c r="AN257" s="741"/>
      <c r="AO257" s="741"/>
      <c r="AP257" s="741"/>
    </row>
    <row r="258" spans="1:42" ht="12.75" customHeight="1">
      <c r="A258" s="741"/>
      <c r="B258" s="741"/>
      <c r="C258" s="741"/>
      <c r="D258" s="741"/>
      <c r="E258" s="741"/>
      <c r="F258" s="741"/>
      <c r="G258" s="741"/>
      <c r="H258" s="741"/>
      <c r="I258" s="741"/>
      <c r="J258" s="741"/>
      <c r="K258" s="741"/>
      <c r="L258" s="741"/>
      <c r="M258" s="741"/>
      <c r="N258" s="741"/>
      <c r="O258" s="741"/>
      <c r="P258" s="741"/>
      <c r="Q258" s="741"/>
      <c r="R258" s="741"/>
      <c r="S258" s="741"/>
      <c r="T258" s="741"/>
      <c r="U258" s="741"/>
      <c r="V258" s="741"/>
      <c r="W258" s="741"/>
      <c r="X258" s="741"/>
      <c r="Y258" s="741"/>
      <c r="Z258" s="741"/>
      <c r="AA258" s="741"/>
      <c r="AB258" s="741"/>
      <c r="AC258" s="741"/>
      <c r="AD258" s="741"/>
      <c r="AE258" s="741"/>
      <c r="AF258" s="741"/>
      <c r="AG258" s="741"/>
      <c r="AH258" s="741"/>
      <c r="AI258" s="741"/>
      <c r="AJ258" s="741"/>
      <c r="AK258" s="741"/>
      <c r="AL258" s="741"/>
      <c r="AM258" s="741"/>
      <c r="AN258" s="741"/>
      <c r="AO258" s="741"/>
      <c r="AP258" s="741"/>
    </row>
    <row r="259" spans="1:42" ht="12.75" customHeight="1">
      <c r="A259" s="741"/>
      <c r="B259" s="741"/>
      <c r="C259" s="741"/>
      <c r="D259" s="741"/>
      <c r="E259" s="741"/>
      <c r="F259" s="741"/>
      <c r="G259" s="741"/>
      <c r="H259" s="741"/>
      <c r="I259" s="741"/>
      <c r="J259" s="741"/>
      <c r="K259" s="741"/>
      <c r="L259" s="741"/>
      <c r="M259" s="741"/>
      <c r="N259" s="741"/>
      <c r="O259" s="741"/>
      <c r="P259" s="741"/>
      <c r="Q259" s="741"/>
      <c r="R259" s="741"/>
      <c r="S259" s="741"/>
      <c r="T259" s="741"/>
      <c r="U259" s="741"/>
      <c r="V259" s="741"/>
      <c r="W259" s="741"/>
      <c r="X259" s="741"/>
      <c r="Y259" s="741"/>
      <c r="Z259" s="741"/>
      <c r="AA259" s="741"/>
      <c r="AB259" s="741"/>
      <c r="AC259" s="741"/>
      <c r="AD259" s="741"/>
      <c r="AE259" s="741"/>
      <c r="AF259" s="741"/>
      <c r="AG259" s="741"/>
      <c r="AH259" s="741"/>
      <c r="AI259" s="741"/>
      <c r="AJ259" s="741"/>
      <c r="AK259" s="741"/>
      <c r="AL259" s="741"/>
      <c r="AM259" s="741"/>
      <c r="AN259" s="741"/>
      <c r="AO259" s="741"/>
      <c r="AP259" s="741"/>
    </row>
    <row r="260" spans="1:42" ht="12.75" customHeight="1">
      <c r="A260" s="741"/>
      <c r="B260" s="741"/>
      <c r="C260" s="741"/>
      <c r="D260" s="741"/>
      <c r="E260" s="741"/>
      <c r="F260" s="741"/>
      <c r="G260" s="741"/>
      <c r="H260" s="741"/>
      <c r="I260" s="741"/>
      <c r="J260" s="741"/>
      <c r="K260" s="741"/>
      <c r="L260" s="741"/>
      <c r="M260" s="741"/>
      <c r="N260" s="741"/>
      <c r="O260" s="741"/>
      <c r="P260" s="741"/>
      <c r="Q260" s="741"/>
      <c r="R260" s="741"/>
      <c r="S260" s="741"/>
      <c r="T260" s="741"/>
      <c r="U260" s="741"/>
      <c r="V260" s="741"/>
      <c r="W260" s="741"/>
      <c r="X260" s="741"/>
      <c r="Y260" s="741"/>
      <c r="Z260" s="741"/>
      <c r="AA260" s="741"/>
      <c r="AB260" s="741"/>
      <c r="AC260" s="741"/>
      <c r="AD260" s="741"/>
      <c r="AE260" s="741"/>
      <c r="AF260" s="741"/>
      <c r="AG260" s="741"/>
      <c r="AH260" s="741"/>
      <c r="AI260" s="741"/>
      <c r="AJ260" s="741"/>
      <c r="AK260" s="741"/>
      <c r="AL260" s="741"/>
      <c r="AM260" s="741"/>
      <c r="AN260" s="741"/>
      <c r="AO260" s="741"/>
      <c r="AP260" s="741"/>
    </row>
    <row r="261" spans="1:42" ht="12.75" customHeight="1">
      <c r="A261" s="741"/>
      <c r="B261" s="741"/>
      <c r="C261" s="741"/>
      <c r="D261" s="741"/>
      <c r="E261" s="741"/>
      <c r="F261" s="741"/>
      <c r="G261" s="741"/>
      <c r="H261" s="741"/>
      <c r="I261" s="741"/>
      <c r="J261" s="741"/>
      <c r="K261" s="741"/>
      <c r="L261" s="741"/>
      <c r="M261" s="741"/>
      <c r="N261" s="741"/>
      <c r="O261" s="741"/>
      <c r="P261" s="741"/>
      <c r="Q261" s="741"/>
      <c r="R261" s="741"/>
      <c r="S261" s="741"/>
      <c r="T261" s="741"/>
      <c r="U261" s="741"/>
      <c r="V261" s="741"/>
      <c r="W261" s="741"/>
      <c r="X261" s="741"/>
      <c r="Y261" s="741"/>
      <c r="Z261" s="741"/>
      <c r="AA261" s="741"/>
      <c r="AB261" s="741"/>
      <c r="AC261" s="741"/>
      <c r="AD261" s="741"/>
      <c r="AE261" s="741"/>
      <c r="AF261" s="741"/>
      <c r="AG261" s="741"/>
      <c r="AH261" s="741"/>
      <c r="AI261" s="741"/>
      <c r="AJ261" s="741"/>
      <c r="AK261" s="741"/>
      <c r="AL261" s="741"/>
      <c r="AM261" s="741"/>
      <c r="AN261" s="741"/>
      <c r="AO261" s="741"/>
      <c r="AP261" s="741"/>
    </row>
    <row r="262" spans="1:42" ht="12.75" customHeight="1">
      <c r="A262" s="741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1"/>
      <c r="P262" s="741"/>
      <c r="Q262" s="741"/>
      <c r="R262" s="741"/>
      <c r="S262" s="741"/>
      <c r="T262" s="741"/>
      <c r="U262" s="741"/>
      <c r="V262" s="741"/>
      <c r="W262" s="741"/>
      <c r="X262" s="741"/>
      <c r="Y262" s="741"/>
      <c r="Z262" s="741"/>
      <c r="AA262" s="741"/>
      <c r="AB262" s="741"/>
      <c r="AC262" s="741"/>
      <c r="AD262" s="741"/>
      <c r="AE262" s="741"/>
      <c r="AF262" s="741"/>
      <c r="AG262" s="741"/>
      <c r="AH262" s="741"/>
      <c r="AI262" s="741"/>
      <c r="AJ262" s="741"/>
      <c r="AK262" s="741"/>
      <c r="AL262" s="741"/>
      <c r="AM262" s="741"/>
      <c r="AN262" s="741"/>
      <c r="AO262" s="741"/>
      <c r="AP262" s="741"/>
    </row>
    <row r="263" spans="1:42" ht="12.75" customHeight="1">
      <c r="A263" s="741"/>
      <c r="B263" s="741"/>
      <c r="C263" s="741"/>
      <c r="D263" s="741"/>
      <c r="E263" s="741"/>
      <c r="F263" s="741"/>
      <c r="G263" s="741"/>
      <c r="H263" s="741"/>
      <c r="I263" s="741"/>
      <c r="J263" s="741"/>
      <c r="K263" s="741"/>
      <c r="L263" s="741"/>
      <c r="M263" s="741"/>
      <c r="N263" s="741"/>
      <c r="O263" s="741"/>
      <c r="P263" s="741"/>
      <c r="Q263" s="741"/>
      <c r="R263" s="741"/>
      <c r="S263" s="741"/>
      <c r="T263" s="741"/>
      <c r="U263" s="741"/>
      <c r="V263" s="741"/>
      <c r="W263" s="741"/>
      <c r="X263" s="741"/>
      <c r="Y263" s="741"/>
      <c r="Z263" s="741"/>
      <c r="AA263" s="741"/>
      <c r="AB263" s="741"/>
      <c r="AC263" s="741"/>
      <c r="AD263" s="741"/>
      <c r="AE263" s="741"/>
      <c r="AF263" s="741"/>
      <c r="AG263" s="741"/>
      <c r="AH263" s="741"/>
      <c r="AI263" s="741"/>
      <c r="AJ263" s="741"/>
      <c r="AK263" s="741"/>
      <c r="AL263" s="741"/>
      <c r="AM263" s="741"/>
      <c r="AN263" s="741"/>
      <c r="AO263" s="741"/>
      <c r="AP263" s="741"/>
    </row>
    <row r="264" spans="1:42" ht="12.75" customHeight="1">
      <c r="A264" s="741"/>
      <c r="B264" s="741"/>
      <c r="C264" s="741"/>
      <c r="D264" s="741"/>
      <c r="E264" s="741"/>
      <c r="F264" s="741"/>
      <c r="G264" s="741"/>
      <c r="H264" s="741"/>
      <c r="I264" s="741"/>
      <c r="J264" s="741"/>
      <c r="K264" s="741"/>
      <c r="L264" s="741"/>
      <c r="M264" s="741"/>
      <c r="N264" s="741"/>
      <c r="O264" s="741"/>
      <c r="P264" s="741"/>
      <c r="Q264" s="741"/>
      <c r="R264" s="741"/>
      <c r="S264" s="741"/>
      <c r="T264" s="741"/>
      <c r="U264" s="741"/>
      <c r="V264" s="741"/>
      <c r="W264" s="741"/>
      <c r="X264" s="741"/>
      <c r="Y264" s="741"/>
      <c r="Z264" s="741"/>
      <c r="AA264" s="741"/>
      <c r="AB264" s="741"/>
      <c r="AC264" s="741"/>
      <c r="AD264" s="741"/>
      <c r="AE264" s="741"/>
      <c r="AF264" s="741"/>
      <c r="AG264" s="741"/>
      <c r="AH264" s="741"/>
      <c r="AI264" s="741"/>
      <c r="AJ264" s="741"/>
      <c r="AK264" s="741"/>
      <c r="AL264" s="741"/>
      <c r="AM264" s="741"/>
      <c r="AN264" s="741"/>
      <c r="AO264" s="741"/>
      <c r="AP264" s="741"/>
    </row>
    <row r="265" spans="1:42" ht="12.75" customHeight="1">
      <c r="A265" s="741"/>
      <c r="B265" s="741"/>
      <c r="C265" s="741"/>
      <c r="D265" s="741"/>
      <c r="E265" s="741"/>
      <c r="F265" s="741"/>
      <c r="G265" s="741"/>
      <c r="H265" s="741"/>
      <c r="I265" s="741"/>
      <c r="J265" s="741"/>
      <c r="K265" s="741"/>
      <c r="L265" s="741"/>
      <c r="M265" s="741"/>
      <c r="N265" s="741"/>
      <c r="O265" s="741"/>
      <c r="P265" s="741"/>
      <c r="Q265" s="741"/>
      <c r="R265" s="741"/>
      <c r="S265" s="741"/>
      <c r="T265" s="741"/>
      <c r="U265" s="741"/>
      <c r="V265" s="741"/>
      <c r="W265" s="741"/>
      <c r="X265" s="741"/>
      <c r="Y265" s="741"/>
      <c r="Z265" s="741"/>
      <c r="AA265" s="741"/>
      <c r="AB265" s="741"/>
      <c r="AC265" s="741"/>
      <c r="AD265" s="741"/>
      <c r="AE265" s="741"/>
      <c r="AF265" s="741"/>
      <c r="AG265" s="741"/>
      <c r="AH265" s="741"/>
      <c r="AI265" s="741"/>
      <c r="AJ265" s="741"/>
      <c r="AK265" s="741"/>
      <c r="AL265" s="741"/>
      <c r="AM265" s="741"/>
      <c r="AN265" s="741"/>
      <c r="AO265" s="741"/>
      <c r="AP265" s="741"/>
    </row>
    <row r="266" spans="1:42" ht="12.75" customHeight="1">
      <c r="A266" s="741"/>
      <c r="B266" s="741"/>
      <c r="C266" s="741"/>
      <c r="D266" s="741"/>
      <c r="E266" s="741"/>
      <c r="F266" s="741"/>
      <c r="G266" s="741"/>
      <c r="H266" s="741"/>
      <c r="I266" s="741"/>
      <c r="J266" s="741"/>
      <c r="K266" s="741"/>
      <c r="L266" s="741"/>
      <c r="M266" s="741"/>
      <c r="N266" s="741"/>
      <c r="O266" s="741"/>
      <c r="P266" s="741"/>
      <c r="Q266" s="741"/>
      <c r="R266" s="741"/>
      <c r="S266" s="741"/>
      <c r="T266" s="741"/>
      <c r="U266" s="741"/>
      <c r="V266" s="741"/>
      <c r="W266" s="741"/>
      <c r="X266" s="741"/>
      <c r="Y266" s="741"/>
      <c r="Z266" s="741"/>
      <c r="AA266" s="741"/>
      <c r="AB266" s="741"/>
      <c r="AC266" s="741"/>
      <c r="AD266" s="741"/>
      <c r="AE266" s="741"/>
      <c r="AF266" s="741"/>
      <c r="AG266" s="741"/>
      <c r="AH266" s="741"/>
      <c r="AI266" s="741"/>
      <c r="AJ266" s="741"/>
      <c r="AK266" s="741"/>
      <c r="AL266" s="741"/>
      <c r="AM266" s="741"/>
      <c r="AN266" s="741"/>
      <c r="AO266" s="741"/>
      <c r="AP266" s="741"/>
    </row>
    <row r="267" spans="1:42" ht="12.75" customHeight="1">
      <c r="A267" s="741"/>
      <c r="B267" s="741"/>
      <c r="C267" s="741"/>
      <c r="D267" s="741"/>
      <c r="E267" s="741"/>
      <c r="F267" s="741"/>
      <c r="G267" s="741"/>
      <c r="H267" s="741"/>
      <c r="I267" s="741"/>
      <c r="J267" s="741"/>
      <c r="K267" s="741"/>
      <c r="L267" s="741"/>
      <c r="M267" s="741"/>
      <c r="N267" s="741"/>
      <c r="O267" s="741"/>
      <c r="P267" s="741"/>
      <c r="Q267" s="741"/>
      <c r="R267" s="741"/>
      <c r="S267" s="741"/>
      <c r="T267" s="741"/>
      <c r="U267" s="741"/>
      <c r="V267" s="741"/>
      <c r="W267" s="741"/>
      <c r="X267" s="741"/>
      <c r="Y267" s="741"/>
      <c r="Z267" s="741"/>
      <c r="AA267" s="741"/>
      <c r="AB267" s="741"/>
      <c r="AC267" s="741"/>
      <c r="AD267" s="741"/>
      <c r="AE267" s="741"/>
      <c r="AF267" s="741"/>
      <c r="AG267" s="741"/>
      <c r="AH267" s="741"/>
      <c r="AI267" s="741"/>
      <c r="AJ267" s="741"/>
      <c r="AK267" s="741"/>
      <c r="AL267" s="741"/>
      <c r="AM267" s="741"/>
      <c r="AN267" s="741"/>
      <c r="AO267" s="741"/>
      <c r="AP267" s="741"/>
    </row>
    <row r="268" spans="1:42" ht="12.75" customHeight="1">
      <c r="A268" s="741"/>
      <c r="B268" s="741"/>
      <c r="C268" s="741"/>
      <c r="D268" s="741"/>
      <c r="E268" s="741"/>
      <c r="F268" s="741"/>
      <c r="G268" s="741"/>
      <c r="H268" s="741"/>
      <c r="I268" s="741"/>
      <c r="J268" s="741"/>
      <c r="K268" s="741"/>
      <c r="L268" s="741"/>
      <c r="M268" s="741"/>
      <c r="N268" s="741"/>
      <c r="O268" s="741"/>
      <c r="P268" s="741"/>
      <c r="Q268" s="741"/>
      <c r="R268" s="741"/>
      <c r="S268" s="741"/>
      <c r="T268" s="741"/>
      <c r="U268" s="741"/>
      <c r="V268" s="741"/>
      <c r="W268" s="741"/>
      <c r="X268" s="741"/>
      <c r="Y268" s="741"/>
      <c r="Z268" s="741"/>
      <c r="AA268" s="741"/>
      <c r="AB268" s="741"/>
      <c r="AC268" s="741"/>
      <c r="AD268" s="741"/>
      <c r="AE268" s="741"/>
      <c r="AF268" s="741"/>
      <c r="AG268" s="741"/>
      <c r="AH268" s="741"/>
      <c r="AI268" s="741"/>
      <c r="AJ268" s="741"/>
      <c r="AK268" s="741"/>
      <c r="AL268" s="741"/>
      <c r="AM268" s="741"/>
      <c r="AN268" s="741"/>
      <c r="AO268" s="741"/>
      <c r="AP268" s="741"/>
    </row>
    <row r="269" spans="1:42" ht="12.75" customHeight="1">
      <c r="A269" s="741"/>
      <c r="B269" s="741"/>
      <c r="C269" s="741"/>
      <c r="D269" s="741"/>
      <c r="E269" s="741"/>
      <c r="F269" s="741"/>
      <c r="G269" s="741"/>
      <c r="H269" s="741"/>
      <c r="I269" s="741"/>
      <c r="J269" s="741"/>
      <c r="K269" s="741"/>
      <c r="L269" s="741"/>
      <c r="M269" s="741"/>
      <c r="N269" s="741"/>
      <c r="O269" s="741"/>
      <c r="P269" s="741"/>
      <c r="Q269" s="741"/>
      <c r="R269" s="741"/>
      <c r="S269" s="741"/>
      <c r="T269" s="741"/>
      <c r="U269" s="741"/>
      <c r="V269" s="741"/>
      <c r="W269" s="741"/>
      <c r="X269" s="741"/>
      <c r="Y269" s="741"/>
      <c r="Z269" s="741"/>
      <c r="AA269" s="741"/>
      <c r="AB269" s="741"/>
      <c r="AC269" s="741"/>
      <c r="AD269" s="741"/>
      <c r="AE269" s="741"/>
      <c r="AF269" s="741"/>
      <c r="AG269" s="741"/>
      <c r="AH269" s="741"/>
      <c r="AI269" s="741"/>
      <c r="AJ269" s="741"/>
      <c r="AK269" s="741"/>
      <c r="AL269" s="741"/>
      <c r="AM269" s="741"/>
      <c r="AN269" s="741"/>
      <c r="AO269" s="741"/>
      <c r="AP269" s="741"/>
    </row>
    <row r="270" spans="1:42" ht="12.75" customHeight="1">
      <c r="A270" s="741"/>
      <c r="B270" s="741"/>
      <c r="C270" s="741"/>
      <c r="D270" s="741"/>
      <c r="E270" s="741"/>
      <c r="F270" s="741"/>
      <c r="G270" s="741"/>
      <c r="H270" s="741"/>
      <c r="I270" s="741"/>
      <c r="J270" s="741"/>
      <c r="K270" s="741"/>
      <c r="L270" s="741"/>
      <c r="M270" s="741"/>
      <c r="N270" s="741"/>
      <c r="O270" s="741"/>
      <c r="P270" s="741"/>
      <c r="Q270" s="741"/>
      <c r="R270" s="741"/>
      <c r="S270" s="741"/>
      <c r="T270" s="741"/>
      <c r="U270" s="741"/>
      <c r="V270" s="741"/>
      <c r="W270" s="741"/>
      <c r="X270" s="741"/>
      <c r="Y270" s="741"/>
      <c r="Z270" s="741"/>
      <c r="AA270" s="741"/>
      <c r="AB270" s="741"/>
      <c r="AC270" s="741"/>
      <c r="AD270" s="741"/>
      <c r="AE270" s="741"/>
      <c r="AF270" s="741"/>
      <c r="AG270" s="741"/>
      <c r="AH270" s="741"/>
      <c r="AI270" s="741"/>
      <c r="AJ270" s="741"/>
      <c r="AK270" s="741"/>
      <c r="AL270" s="741"/>
      <c r="AM270" s="741"/>
      <c r="AN270" s="741"/>
      <c r="AO270" s="741"/>
      <c r="AP270" s="741"/>
    </row>
    <row r="271" spans="1:42" ht="12.75" customHeight="1">
      <c r="A271" s="741"/>
      <c r="B271" s="741"/>
      <c r="C271" s="741"/>
      <c r="D271" s="741"/>
      <c r="E271" s="741"/>
      <c r="F271" s="741"/>
      <c r="G271" s="741"/>
      <c r="H271" s="741"/>
      <c r="I271" s="741"/>
      <c r="J271" s="741"/>
      <c r="K271" s="741"/>
      <c r="L271" s="741"/>
      <c r="M271" s="741"/>
      <c r="N271" s="741"/>
      <c r="O271" s="741"/>
      <c r="P271" s="741"/>
      <c r="Q271" s="741"/>
      <c r="R271" s="741"/>
      <c r="S271" s="741"/>
      <c r="T271" s="741"/>
      <c r="U271" s="741"/>
      <c r="V271" s="741"/>
      <c r="W271" s="741"/>
      <c r="X271" s="741"/>
      <c r="Y271" s="741"/>
      <c r="Z271" s="741"/>
      <c r="AA271" s="741"/>
      <c r="AB271" s="741"/>
      <c r="AC271" s="741"/>
      <c r="AD271" s="741"/>
      <c r="AE271" s="741"/>
      <c r="AF271" s="741"/>
      <c r="AG271" s="741"/>
      <c r="AH271" s="741"/>
      <c r="AI271" s="741"/>
      <c r="AJ271" s="741"/>
      <c r="AK271" s="741"/>
      <c r="AL271" s="741"/>
      <c r="AM271" s="741"/>
      <c r="AN271" s="741"/>
      <c r="AO271" s="741"/>
      <c r="AP271" s="741"/>
    </row>
    <row r="272" spans="1:42" ht="12.75" customHeight="1">
      <c r="A272" s="741"/>
      <c r="B272" s="741"/>
      <c r="C272" s="741"/>
      <c r="D272" s="741"/>
      <c r="E272" s="741"/>
      <c r="F272" s="741"/>
      <c r="G272" s="741"/>
      <c r="H272" s="741"/>
      <c r="I272" s="741"/>
      <c r="J272" s="741"/>
      <c r="K272" s="741"/>
      <c r="L272" s="741"/>
      <c r="M272" s="741"/>
      <c r="N272" s="741"/>
      <c r="O272" s="741"/>
      <c r="P272" s="741"/>
      <c r="Q272" s="741"/>
      <c r="R272" s="741"/>
      <c r="S272" s="741"/>
      <c r="T272" s="741"/>
      <c r="U272" s="741"/>
      <c r="V272" s="741"/>
      <c r="W272" s="741"/>
      <c r="X272" s="741"/>
      <c r="Y272" s="741"/>
      <c r="Z272" s="741"/>
      <c r="AA272" s="741"/>
      <c r="AB272" s="741"/>
      <c r="AC272" s="741"/>
      <c r="AD272" s="741"/>
      <c r="AE272" s="741"/>
      <c r="AF272" s="741"/>
      <c r="AG272" s="741"/>
      <c r="AH272" s="741"/>
      <c r="AI272" s="741"/>
      <c r="AJ272" s="741"/>
      <c r="AK272" s="741"/>
      <c r="AL272" s="741"/>
      <c r="AM272" s="741"/>
      <c r="AN272" s="741"/>
      <c r="AO272" s="741"/>
      <c r="AP272" s="741"/>
    </row>
    <row r="273" spans="1:42" ht="12.75" customHeight="1">
      <c r="A273" s="741"/>
      <c r="B273" s="741"/>
      <c r="C273" s="741"/>
      <c r="D273" s="741"/>
      <c r="E273" s="741"/>
      <c r="F273" s="741"/>
      <c r="G273" s="741"/>
      <c r="H273" s="741"/>
      <c r="I273" s="741"/>
      <c r="J273" s="741"/>
      <c r="K273" s="741"/>
      <c r="L273" s="741"/>
      <c r="M273" s="741"/>
      <c r="N273" s="741"/>
      <c r="O273" s="741"/>
      <c r="P273" s="741"/>
      <c r="Q273" s="741"/>
      <c r="R273" s="741"/>
      <c r="S273" s="741"/>
      <c r="T273" s="741"/>
      <c r="U273" s="741"/>
      <c r="V273" s="741"/>
      <c r="W273" s="741"/>
      <c r="X273" s="741"/>
      <c r="Y273" s="741"/>
      <c r="Z273" s="741"/>
      <c r="AA273" s="741"/>
      <c r="AB273" s="741"/>
      <c r="AC273" s="741"/>
      <c r="AD273" s="741"/>
      <c r="AE273" s="741"/>
      <c r="AF273" s="741"/>
      <c r="AG273" s="741"/>
      <c r="AH273" s="741"/>
      <c r="AI273" s="741"/>
      <c r="AJ273" s="741"/>
      <c r="AK273" s="741"/>
      <c r="AL273" s="741"/>
      <c r="AM273" s="741"/>
      <c r="AN273" s="741"/>
      <c r="AO273" s="741"/>
      <c r="AP273" s="741"/>
    </row>
    <row r="274" spans="1:42" ht="12.75" customHeight="1">
      <c r="A274" s="741"/>
      <c r="B274" s="741"/>
      <c r="C274" s="741"/>
      <c r="D274" s="741"/>
      <c r="E274" s="741"/>
      <c r="F274" s="741"/>
      <c r="G274" s="741"/>
      <c r="H274" s="741"/>
      <c r="I274" s="741"/>
      <c r="J274" s="741"/>
      <c r="K274" s="741"/>
      <c r="L274" s="741"/>
      <c r="M274" s="741"/>
      <c r="N274" s="741"/>
      <c r="O274" s="741"/>
      <c r="P274" s="741"/>
      <c r="Q274" s="741"/>
      <c r="R274" s="741"/>
      <c r="S274" s="741"/>
      <c r="T274" s="741"/>
      <c r="U274" s="741"/>
      <c r="V274" s="741"/>
      <c r="W274" s="741"/>
      <c r="X274" s="741"/>
      <c r="Y274" s="741"/>
      <c r="Z274" s="741"/>
      <c r="AA274" s="741"/>
      <c r="AB274" s="741"/>
      <c r="AC274" s="741"/>
      <c r="AD274" s="741"/>
      <c r="AE274" s="741"/>
      <c r="AF274" s="741"/>
      <c r="AG274" s="741"/>
      <c r="AH274" s="741"/>
      <c r="AI274" s="741"/>
      <c r="AJ274" s="741"/>
      <c r="AK274" s="741"/>
      <c r="AL274" s="741"/>
      <c r="AM274" s="741"/>
      <c r="AN274" s="741"/>
      <c r="AO274" s="741"/>
      <c r="AP274" s="741"/>
    </row>
    <row r="275" spans="1:42" ht="12.75" customHeight="1">
      <c r="A275" s="741"/>
      <c r="B275" s="741"/>
      <c r="C275" s="741"/>
      <c r="D275" s="741"/>
      <c r="E275" s="741"/>
      <c r="F275" s="741"/>
      <c r="G275" s="741"/>
      <c r="H275" s="741"/>
      <c r="I275" s="741"/>
      <c r="J275" s="741"/>
      <c r="K275" s="741"/>
      <c r="L275" s="741"/>
      <c r="M275" s="741"/>
      <c r="N275" s="741"/>
      <c r="O275" s="741"/>
      <c r="P275" s="741"/>
      <c r="Q275" s="741"/>
      <c r="R275" s="741"/>
      <c r="S275" s="741"/>
      <c r="T275" s="741"/>
      <c r="U275" s="741"/>
      <c r="V275" s="741"/>
      <c r="W275" s="741"/>
      <c r="X275" s="741"/>
      <c r="Y275" s="741"/>
      <c r="Z275" s="741"/>
      <c r="AA275" s="741"/>
      <c r="AB275" s="741"/>
      <c r="AC275" s="741"/>
      <c r="AD275" s="741"/>
      <c r="AE275" s="741"/>
      <c r="AF275" s="741"/>
      <c r="AG275" s="741"/>
      <c r="AH275" s="741"/>
      <c r="AI275" s="741"/>
      <c r="AJ275" s="741"/>
      <c r="AK275" s="741"/>
      <c r="AL275" s="741"/>
      <c r="AM275" s="741"/>
      <c r="AN275" s="741"/>
      <c r="AO275" s="741"/>
      <c r="AP275" s="741"/>
    </row>
    <row r="276" spans="1:42" ht="12.75" customHeight="1">
      <c r="A276" s="741"/>
      <c r="B276" s="741"/>
      <c r="C276" s="741"/>
      <c r="D276" s="741"/>
      <c r="E276" s="741"/>
      <c r="F276" s="741"/>
      <c r="G276" s="741"/>
      <c r="H276" s="741"/>
      <c r="I276" s="741"/>
      <c r="J276" s="741"/>
      <c r="K276" s="741"/>
      <c r="L276" s="741"/>
      <c r="M276" s="741"/>
      <c r="N276" s="741"/>
      <c r="O276" s="741"/>
      <c r="P276" s="741"/>
      <c r="Q276" s="741"/>
      <c r="R276" s="741"/>
      <c r="S276" s="741"/>
      <c r="T276" s="741"/>
      <c r="U276" s="741"/>
      <c r="V276" s="741"/>
      <c r="W276" s="741"/>
      <c r="X276" s="741"/>
      <c r="Y276" s="741"/>
      <c r="Z276" s="741"/>
      <c r="AA276" s="741"/>
      <c r="AB276" s="741"/>
      <c r="AC276" s="741"/>
      <c r="AD276" s="741"/>
      <c r="AE276" s="741"/>
      <c r="AF276" s="741"/>
      <c r="AG276" s="741"/>
      <c r="AH276" s="741"/>
      <c r="AI276" s="741"/>
      <c r="AJ276" s="741"/>
      <c r="AK276" s="741"/>
      <c r="AL276" s="741"/>
      <c r="AM276" s="741"/>
      <c r="AN276" s="741"/>
      <c r="AO276" s="741"/>
      <c r="AP276" s="741"/>
    </row>
    <row r="277" spans="1:42" ht="12.75" customHeight="1">
      <c r="A277" s="741"/>
      <c r="B277" s="741"/>
      <c r="C277" s="741"/>
      <c r="D277" s="741"/>
      <c r="E277" s="741"/>
      <c r="F277" s="741"/>
      <c r="G277" s="741"/>
      <c r="H277" s="741"/>
      <c r="I277" s="741"/>
      <c r="J277" s="741"/>
      <c r="K277" s="741"/>
      <c r="L277" s="741"/>
      <c r="M277" s="741"/>
      <c r="N277" s="741"/>
      <c r="O277" s="741"/>
      <c r="P277" s="741"/>
      <c r="Q277" s="741"/>
      <c r="R277" s="741"/>
      <c r="S277" s="741"/>
      <c r="T277" s="741"/>
      <c r="U277" s="741"/>
      <c r="V277" s="741"/>
      <c r="W277" s="741"/>
      <c r="X277" s="741"/>
      <c r="Y277" s="741"/>
      <c r="Z277" s="741"/>
      <c r="AA277" s="741"/>
      <c r="AB277" s="741"/>
      <c r="AC277" s="741"/>
      <c r="AD277" s="741"/>
      <c r="AE277" s="741"/>
      <c r="AF277" s="741"/>
      <c r="AG277" s="741"/>
      <c r="AH277" s="741"/>
      <c r="AI277" s="741"/>
      <c r="AJ277" s="741"/>
      <c r="AK277" s="741"/>
      <c r="AL277" s="741"/>
      <c r="AM277" s="741"/>
      <c r="AN277" s="741"/>
      <c r="AO277" s="741"/>
      <c r="AP277" s="741"/>
    </row>
    <row r="278" spans="1:42" ht="12.75" customHeight="1">
      <c r="A278" s="741"/>
      <c r="B278" s="741"/>
      <c r="C278" s="741"/>
      <c r="D278" s="741"/>
      <c r="E278" s="741"/>
      <c r="F278" s="741"/>
      <c r="G278" s="741"/>
      <c r="H278" s="741"/>
      <c r="I278" s="741"/>
      <c r="J278" s="741"/>
      <c r="K278" s="741"/>
      <c r="L278" s="741"/>
      <c r="M278" s="741"/>
      <c r="N278" s="741"/>
      <c r="O278" s="741"/>
      <c r="P278" s="741"/>
      <c r="Q278" s="741"/>
      <c r="R278" s="741"/>
      <c r="S278" s="741"/>
      <c r="T278" s="741"/>
      <c r="U278" s="741"/>
      <c r="V278" s="741"/>
      <c r="W278" s="741"/>
      <c r="X278" s="741"/>
      <c r="Y278" s="741"/>
      <c r="Z278" s="741"/>
      <c r="AA278" s="741"/>
      <c r="AB278" s="741"/>
      <c r="AC278" s="741"/>
      <c r="AD278" s="741"/>
      <c r="AE278" s="741"/>
      <c r="AF278" s="741"/>
      <c r="AG278" s="741"/>
      <c r="AH278" s="741"/>
      <c r="AI278" s="741"/>
      <c r="AJ278" s="741"/>
      <c r="AK278" s="741"/>
      <c r="AL278" s="741"/>
      <c r="AM278" s="741"/>
      <c r="AN278" s="741"/>
      <c r="AO278" s="741"/>
      <c r="AP278" s="741"/>
    </row>
    <row r="279" spans="1:42" ht="12.75" customHeight="1">
      <c r="A279" s="741"/>
      <c r="B279" s="741"/>
      <c r="C279" s="741"/>
      <c r="D279" s="741"/>
      <c r="E279" s="741"/>
      <c r="F279" s="741"/>
      <c r="G279" s="741"/>
      <c r="H279" s="741"/>
      <c r="I279" s="741"/>
      <c r="J279" s="741"/>
      <c r="K279" s="741"/>
      <c r="L279" s="741"/>
      <c r="M279" s="741"/>
      <c r="N279" s="741"/>
      <c r="O279" s="741"/>
      <c r="P279" s="741"/>
      <c r="Q279" s="741"/>
      <c r="R279" s="741"/>
      <c r="S279" s="741"/>
      <c r="T279" s="741"/>
      <c r="U279" s="741"/>
      <c r="V279" s="741"/>
      <c r="W279" s="741"/>
      <c r="X279" s="741"/>
      <c r="Y279" s="741"/>
      <c r="Z279" s="741"/>
      <c r="AA279" s="741"/>
      <c r="AB279" s="741"/>
      <c r="AC279" s="741"/>
      <c r="AD279" s="741"/>
      <c r="AE279" s="741"/>
      <c r="AF279" s="741"/>
      <c r="AG279" s="741"/>
      <c r="AH279" s="741"/>
      <c r="AI279" s="741"/>
      <c r="AJ279" s="741"/>
      <c r="AK279" s="741"/>
      <c r="AL279" s="741"/>
      <c r="AM279" s="741"/>
      <c r="AN279" s="741"/>
      <c r="AO279" s="741"/>
      <c r="AP279" s="741"/>
    </row>
    <row r="280" spans="1:42" ht="12.75" customHeight="1">
      <c r="A280" s="741"/>
      <c r="B280" s="741"/>
      <c r="C280" s="741"/>
      <c r="D280" s="741"/>
      <c r="E280" s="741"/>
      <c r="F280" s="741"/>
      <c r="G280" s="741"/>
      <c r="H280" s="741"/>
      <c r="I280" s="741"/>
      <c r="J280" s="741"/>
      <c r="K280" s="741"/>
      <c r="L280" s="741"/>
      <c r="M280" s="741"/>
      <c r="N280" s="741"/>
      <c r="O280" s="741"/>
      <c r="P280" s="741"/>
      <c r="Q280" s="741"/>
      <c r="R280" s="741"/>
      <c r="S280" s="741"/>
      <c r="T280" s="741"/>
      <c r="U280" s="741"/>
      <c r="V280" s="741"/>
      <c r="W280" s="741"/>
      <c r="X280" s="741"/>
      <c r="Y280" s="741"/>
      <c r="Z280" s="741"/>
      <c r="AA280" s="741"/>
      <c r="AB280" s="741"/>
      <c r="AC280" s="741"/>
      <c r="AD280" s="741"/>
      <c r="AE280" s="741"/>
      <c r="AF280" s="741"/>
      <c r="AG280" s="741"/>
      <c r="AH280" s="741"/>
      <c r="AI280" s="741"/>
      <c r="AJ280" s="741"/>
      <c r="AK280" s="741"/>
      <c r="AL280" s="741"/>
      <c r="AM280" s="741"/>
      <c r="AN280" s="741"/>
      <c r="AO280" s="741"/>
      <c r="AP280" s="741"/>
    </row>
    <row r="281" spans="1:42" ht="12.75" customHeight="1">
      <c r="A281" s="741"/>
      <c r="B281" s="741"/>
      <c r="C281" s="741"/>
      <c r="D281" s="741"/>
      <c r="E281" s="741"/>
      <c r="F281" s="741"/>
      <c r="G281" s="741"/>
      <c r="H281" s="741"/>
      <c r="I281" s="741"/>
      <c r="J281" s="741"/>
      <c r="K281" s="741"/>
      <c r="L281" s="741"/>
      <c r="M281" s="741"/>
      <c r="N281" s="741"/>
      <c r="O281" s="741"/>
      <c r="P281" s="741"/>
      <c r="Q281" s="741"/>
      <c r="R281" s="741"/>
      <c r="S281" s="741"/>
      <c r="T281" s="741"/>
      <c r="U281" s="741"/>
      <c r="V281" s="741"/>
      <c r="W281" s="741"/>
      <c r="X281" s="741"/>
      <c r="Y281" s="741"/>
      <c r="Z281" s="741"/>
      <c r="AA281" s="741"/>
      <c r="AB281" s="741"/>
      <c r="AC281" s="741"/>
      <c r="AD281" s="741"/>
      <c r="AE281" s="741"/>
      <c r="AF281" s="741"/>
      <c r="AG281" s="741"/>
      <c r="AH281" s="741"/>
      <c r="AI281" s="741"/>
      <c r="AJ281" s="741"/>
      <c r="AK281" s="741"/>
      <c r="AL281" s="741"/>
      <c r="AM281" s="741"/>
      <c r="AN281" s="741"/>
      <c r="AO281" s="741"/>
      <c r="AP281" s="741"/>
    </row>
    <row r="282" spans="1:42" ht="12.75" customHeight="1">
      <c r="A282" s="741"/>
      <c r="B282" s="741"/>
      <c r="C282" s="741"/>
      <c r="D282" s="741"/>
      <c r="E282" s="741"/>
      <c r="F282" s="741"/>
      <c r="G282" s="741"/>
      <c r="H282" s="741"/>
      <c r="I282" s="741"/>
      <c r="J282" s="741"/>
      <c r="K282" s="741"/>
      <c r="L282" s="741"/>
      <c r="M282" s="741"/>
      <c r="N282" s="741"/>
      <c r="O282" s="741"/>
      <c r="P282" s="741"/>
      <c r="Q282" s="741"/>
      <c r="R282" s="741"/>
      <c r="S282" s="741"/>
      <c r="T282" s="741"/>
      <c r="U282" s="741"/>
      <c r="V282" s="741"/>
      <c r="W282" s="741"/>
      <c r="X282" s="741"/>
      <c r="Y282" s="741"/>
      <c r="Z282" s="741"/>
      <c r="AA282" s="741"/>
      <c r="AB282" s="741"/>
      <c r="AC282" s="741"/>
      <c r="AD282" s="741"/>
      <c r="AE282" s="741"/>
      <c r="AF282" s="741"/>
      <c r="AG282" s="741"/>
      <c r="AH282" s="741"/>
      <c r="AI282" s="741"/>
      <c r="AJ282" s="741"/>
      <c r="AK282" s="741"/>
      <c r="AL282" s="741"/>
      <c r="AM282" s="741"/>
      <c r="AN282" s="741"/>
      <c r="AO282" s="741"/>
      <c r="AP282" s="741"/>
    </row>
    <row r="283" spans="1:42" ht="12.75" customHeight="1">
      <c r="A283" s="741"/>
      <c r="B283" s="741"/>
      <c r="C283" s="741"/>
      <c r="D283" s="741"/>
      <c r="E283" s="741"/>
      <c r="F283" s="741"/>
      <c r="G283" s="741"/>
      <c r="H283" s="741"/>
      <c r="I283" s="741"/>
      <c r="J283" s="741"/>
      <c r="K283" s="741"/>
      <c r="L283" s="741"/>
      <c r="M283" s="741"/>
      <c r="N283" s="741"/>
      <c r="O283" s="741"/>
      <c r="P283" s="741"/>
      <c r="Q283" s="741"/>
      <c r="R283" s="741"/>
      <c r="S283" s="741"/>
      <c r="T283" s="741"/>
      <c r="U283" s="741"/>
      <c r="V283" s="741"/>
      <c r="W283" s="741"/>
      <c r="X283" s="741"/>
      <c r="Y283" s="741"/>
      <c r="Z283" s="741"/>
      <c r="AA283" s="741"/>
      <c r="AB283" s="741"/>
      <c r="AC283" s="741"/>
      <c r="AD283" s="741"/>
      <c r="AE283" s="741"/>
      <c r="AF283" s="741"/>
      <c r="AG283" s="741"/>
      <c r="AH283" s="741"/>
      <c r="AI283" s="741"/>
      <c r="AJ283" s="741"/>
      <c r="AK283" s="741"/>
      <c r="AL283" s="741"/>
      <c r="AM283" s="741"/>
      <c r="AN283" s="741"/>
      <c r="AO283" s="741"/>
      <c r="AP283" s="741"/>
    </row>
    <row r="284" spans="1:42" ht="12.75" customHeight="1">
      <c r="A284" s="741"/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1"/>
      <c r="P284" s="741"/>
      <c r="Q284" s="741"/>
      <c r="R284" s="741"/>
      <c r="S284" s="741"/>
      <c r="T284" s="741"/>
      <c r="U284" s="741"/>
      <c r="V284" s="741"/>
      <c r="W284" s="741"/>
      <c r="X284" s="741"/>
      <c r="Y284" s="741"/>
      <c r="Z284" s="741"/>
      <c r="AA284" s="741"/>
      <c r="AB284" s="741"/>
      <c r="AC284" s="741"/>
      <c r="AD284" s="741"/>
      <c r="AE284" s="741"/>
      <c r="AF284" s="741"/>
      <c r="AG284" s="741"/>
      <c r="AH284" s="741"/>
      <c r="AI284" s="741"/>
      <c r="AJ284" s="741"/>
      <c r="AK284" s="741"/>
      <c r="AL284" s="741"/>
      <c r="AM284" s="741"/>
      <c r="AN284" s="741"/>
      <c r="AO284" s="741"/>
      <c r="AP284" s="741"/>
    </row>
    <row r="285" spans="1:42" ht="12.75" customHeight="1">
      <c r="A285" s="741"/>
      <c r="B285" s="741"/>
      <c r="C285" s="741"/>
      <c r="D285" s="741"/>
      <c r="E285" s="741"/>
      <c r="F285" s="741"/>
      <c r="G285" s="741"/>
      <c r="H285" s="741"/>
      <c r="I285" s="741"/>
      <c r="J285" s="741"/>
      <c r="K285" s="741"/>
      <c r="L285" s="741"/>
      <c r="M285" s="741"/>
      <c r="N285" s="741"/>
      <c r="O285" s="741"/>
      <c r="P285" s="741"/>
      <c r="Q285" s="741"/>
      <c r="R285" s="741"/>
      <c r="S285" s="741"/>
      <c r="T285" s="741"/>
      <c r="U285" s="741"/>
      <c r="V285" s="741"/>
      <c r="W285" s="741"/>
      <c r="X285" s="741"/>
      <c r="Y285" s="741"/>
      <c r="Z285" s="741"/>
      <c r="AA285" s="741"/>
      <c r="AB285" s="741"/>
      <c r="AC285" s="741"/>
      <c r="AD285" s="741"/>
      <c r="AE285" s="741"/>
      <c r="AF285" s="741"/>
      <c r="AG285" s="741"/>
      <c r="AH285" s="741"/>
      <c r="AI285" s="741"/>
      <c r="AJ285" s="741"/>
      <c r="AK285" s="741"/>
      <c r="AL285" s="741"/>
      <c r="AM285" s="741"/>
      <c r="AN285" s="741"/>
      <c r="AO285" s="741"/>
      <c r="AP285" s="741"/>
    </row>
    <row r="286" spans="1:42" ht="12.75" customHeight="1">
      <c r="A286" s="741"/>
      <c r="B286" s="741"/>
      <c r="C286" s="741"/>
      <c r="D286" s="741"/>
      <c r="E286" s="741"/>
      <c r="F286" s="741"/>
      <c r="G286" s="741"/>
      <c r="H286" s="741"/>
      <c r="I286" s="741"/>
      <c r="J286" s="741"/>
      <c r="K286" s="741"/>
      <c r="L286" s="741"/>
      <c r="M286" s="741"/>
      <c r="N286" s="741"/>
      <c r="O286" s="741"/>
      <c r="P286" s="741"/>
      <c r="Q286" s="741"/>
      <c r="R286" s="741"/>
      <c r="S286" s="741"/>
      <c r="T286" s="741"/>
      <c r="U286" s="741"/>
      <c r="V286" s="741"/>
      <c r="W286" s="741"/>
      <c r="X286" s="741"/>
      <c r="Y286" s="741"/>
      <c r="Z286" s="741"/>
      <c r="AA286" s="741"/>
      <c r="AB286" s="741"/>
      <c r="AC286" s="741"/>
      <c r="AD286" s="741"/>
      <c r="AE286" s="741"/>
      <c r="AF286" s="741"/>
      <c r="AG286" s="741"/>
      <c r="AH286" s="741"/>
      <c r="AI286" s="741"/>
      <c r="AJ286" s="741"/>
      <c r="AK286" s="741"/>
      <c r="AL286" s="741"/>
      <c r="AM286" s="741"/>
      <c r="AN286" s="741"/>
      <c r="AO286" s="741"/>
      <c r="AP286" s="741"/>
    </row>
    <row r="287" spans="1:42" ht="12.75" customHeight="1">
      <c r="A287" s="741"/>
      <c r="B287" s="741"/>
      <c r="C287" s="741"/>
      <c r="D287" s="741"/>
      <c r="E287" s="741"/>
      <c r="F287" s="741"/>
      <c r="G287" s="741"/>
      <c r="H287" s="741"/>
      <c r="I287" s="741"/>
      <c r="J287" s="741"/>
      <c r="K287" s="741"/>
      <c r="L287" s="741"/>
      <c r="M287" s="741"/>
      <c r="N287" s="741"/>
      <c r="O287" s="741"/>
      <c r="P287" s="741"/>
      <c r="Q287" s="741"/>
      <c r="R287" s="741"/>
      <c r="S287" s="741"/>
      <c r="T287" s="741"/>
      <c r="U287" s="741"/>
      <c r="V287" s="741"/>
      <c r="W287" s="741"/>
      <c r="X287" s="741"/>
      <c r="Y287" s="741"/>
      <c r="Z287" s="741"/>
      <c r="AA287" s="741"/>
      <c r="AB287" s="741"/>
      <c r="AC287" s="741"/>
      <c r="AD287" s="741"/>
      <c r="AE287" s="741"/>
      <c r="AF287" s="741"/>
      <c r="AG287" s="741"/>
      <c r="AH287" s="741"/>
      <c r="AI287" s="741"/>
      <c r="AJ287" s="741"/>
      <c r="AK287" s="741"/>
      <c r="AL287" s="741"/>
      <c r="AM287" s="741"/>
      <c r="AN287" s="741"/>
      <c r="AO287" s="741"/>
      <c r="AP287" s="741"/>
    </row>
    <row r="288" spans="1:42" ht="12.75" customHeight="1">
      <c r="A288" s="741"/>
      <c r="B288" s="741"/>
      <c r="C288" s="741"/>
      <c r="D288" s="741"/>
      <c r="E288" s="741"/>
      <c r="F288" s="741"/>
      <c r="G288" s="741"/>
      <c r="H288" s="741"/>
      <c r="I288" s="741"/>
      <c r="J288" s="741"/>
      <c r="K288" s="741"/>
      <c r="L288" s="741"/>
      <c r="M288" s="741"/>
      <c r="N288" s="741"/>
      <c r="O288" s="741"/>
      <c r="P288" s="741"/>
      <c r="Q288" s="741"/>
      <c r="R288" s="741"/>
      <c r="S288" s="741"/>
      <c r="T288" s="741"/>
      <c r="U288" s="741"/>
      <c r="V288" s="741"/>
      <c r="W288" s="741"/>
      <c r="X288" s="741"/>
      <c r="Y288" s="741"/>
      <c r="Z288" s="741"/>
      <c r="AA288" s="741"/>
      <c r="AB288" s="741"/>
      <c r="AC288" s="741"/>
      <c r="AD288" s="741"/>
      <c r="AE288" s="741"/>
      <c r="AF288" s="741"/>
      <c r="AG288" s="741"/>
      <c r="AH288" s="741"/>
      <c r="AI288" s="741"/>
      <c r="AJ288" s="741"/>
      <c r="AK288" s="741"/>
      <c r="AL288" s="741"/>
      <c r="AM288" s="741"/>
      <c r="AN288" s="741"/>
      <c r="AO288" s="741"/>
      <c r="AP288" s="741"/>
    </row>
    <row r="289" spans="1:42" ht="12.75" customHeight="1">
      <c r="A289" s="741"/>
      <c r="B289" s="741"/>
      <c r="C289" s="741"/>
      <c r="D289" s="741"/>
      <c r="E289" s="741"/>
      <c r="F289" s="741"/>
      <c r="G289" s="741"/>
      <c r="H289" s="741"/>
      <c r="I289" s="741"/>
      <c r="J289" s="741"/>
      <c r="K289" s="741"/>
      <c r="L289" s="741"/>
      <c r="M289" s="741"/>
      <c r="N289" s="741"/>
      <c r="O289" s="741"/>
      <c r="P289" s="741"/>
      <c r="Q289" s="741"/>
      <c r="R289" s="741"/>
      <c r="S289" s="741"/>
      <c r="T289" s="741"/>
      <c r="U289" s="741"/>
      <c r="V289" s="741"/>
      <c r="W289" s="741"/>
      <c r="X289" s="741"/>
      <c r="Y289" s="741"/>
      <c r="Z289" s="741"/>
      <c r="AA289" s="741"/>
      <c r="AB289" s="741"/>
      <c r="AC289" s="741"/>
      <c r="AD289" s="741"/>
      <c r="AE289" s="741"/>
      <c r="AF289" s="741"/>
      <c r="AG289" s="741"/>
      <c r="AH289" s="741"/>
      <c r="AI289" s="741"/>
      <c r="AJ289" s="741"/>
      <c r="AK289" s="741"/>
      <c r="AL289" s="741"/>
      <c r="AM289" s="741"/>
      <c r="AN289" s="741"/>
      <c r="AO289" s="741"/>
      <c r="AP289" s="741"/>
    </row>
    <row r="290" spans="1:42" ht="12.75" customHeight="1">
      <c r="A290" s="741"/>
      <c r="B290" s="741"/>
      <c r="C290" s="741"/>
      <c r="D290" s="741"/>
      <c r="E290" s="741"/>
      <c r="F290" s="741"/>
      <c r="G290" s="741"/>
      <c r="H290" s="741"/>
      <c r="I290" s="741"/>
      <c r="J290" s="741"/>
      <c r="K290" s="741"/>
      <c r="L290" s="741"/>
      <c r="M290" s="741"/>
      <c r="N290" s="741"/>
      <c r="O290" s="741"/>
      <c r="P290" s="741"/>
      <c r="Q290" s="741"/>
      <c r="R290" s="741"/>
      <c r="S290" s="741"/>
      <c r="T290" s="741"/>
      <c r="U290" s="741"/>
      <c r="V290" s="741"/>
      <c r="W290" s="741"/>
      <c r="X290" s="741"/>
      <c r="Y290" s="741"/>
      <c r="Z290" s="741"/>
      <c r="AA290" s="741"/>
      <c r="AB290" s="741"/>
      <c r="AC290" s="741"/>
      <c r="AD290" s="741"/>
      <c r="AE290" s="741"/>
      <c r="AF290" s="741"/>
      <c r="AG290" s="741"/>
      <c r="AH290" s="741"/>
      <c r="AI290" s="741"/>
      <c r="AJ290" s="741"/>
      <c r="AK290" s="741"/>
      <c r="AL290" s="741"/>
      <c r="AM290" s="741"/>
      <c r="AN290" s="741"/>
      <c r="AO290" s="741"/>
      <c r="AP290" s="741"/>
    </row>
    <row r="291" spans="1:42" ht="12.75" customHeight="1">
      <c r="A291" s="741"/>
      <c r="B291" s="741"/>
      <c r="C291" s="741"/>
      <c r="D291" s="741"/>
      <c r="E291" s="741"/>
      <c r="F291" s="741"/>
      <c r="G291" s="741"/>
      <c r="H291" s="741"/>
      <c r="I291" s="741"/>
      <c r="J291" s="741"/>
      <c r="K291" s="741"/>
      <c r="L291" s="741"/>
      <c r="M291" s="741"/>
      <c r="N291" s="741"/>
      <c r="O291" s="741"/>
      <c r="P291" s="741"/>
      <c r="Q291" s="741"/>
      <c r="R291" s="741"/>
      <c r="S291" s="741"/>
      <c r="T291" s="741"/>
      <c r="U291" s="741"/>
      <c r="V291" s="741"/>
      <c r="W291" s="741"/>
      <c r="X291" s="741"/>
      <c r="Y291" s="741"/>
      <c r="Z291" s="741"/>
      <c r="AA291" s="741"/>
      <c r="AB291" s="741"/>
      <c r="AC291" s="741"/>
      <c r="AD291" s="741"/>
      <c r="AE291" s="741"/>
      <c r="AF291" s="741"/>
      <c r="AG291" s="741"/>
      <c r="AH291" s="741"/>
      <c r="AI291" s="741"/>
      <c r="AJ291" s="741"/>
      <c r="AK291" s="741"/>
      <c r="AL291" s="741"/>
      <c r="AM291" s="741"/>
      <c r="AN291" s="741"/>
      <c r="AO291" s="741"/>
      <c r="AP291" s="741"/>
    </row>
    <row r="292" spans="1:42" ht="12.75" customHeight="1">
      <c r="A292" s="741"/>
      <c r="B292" s="741"/>
      <c r="C292" s="741"/>
      <c r="D292" s="741"/>
      <c r="E292" s="741"/>
      <c r="F292" s="741"/>
      <c r="G292" s="741"/>
      <c r="H292" s="741"/>
      <c r="I292" s="741"/>
      <c r="J292" s="741"/>
      <c r="K292" s="741"/>
      <c r="L292" s="741"/>
      <c r="M292" s="741"/>
      <c r="N292" s="741"/>
      <c r="O292" s="741"/>
      <c r="P292" s="741"/>
      <c r="Q292" s="741"/>
      <c r="R292" s="741"/>
      <c r="S292" s="741"/>
      <c r="T292" s="741"/>
      <c r="U292" s="741"/>
      <c r="V292" s="741"/>
      <c r="W292" s="741"/>
      <c r="X292" s="741"/>
      <c r="Y292" s="741"/>
      <c r="Z292" s="741"/>
      <c r="AA292" s="741"/>
      <c r="AB292" s="741"/>
      <c r="AC292" s="741"/>
      <c r="AD292" s="741"/>
      <c r="AE292" s="741"/>
      <c r="AF292" s="741"/>
      <c r="AG292" s="741"/>
      <c r="AH292" s="741"/>
      <c r="AI292" s="741"/>
      <c r="AJ292" s="741"/>
      <c r="AK292" s="741"/>
      <c r="AL292" s="741"/>
      <c r="AM292" s="741"/>
      <c r="AN292" s="741"/>
      <c r="AO292" s="741"/>
      <c r="AP292" s="741"/>
    </row>
    <row r="293" spans="1:42" ht="12.75" customHeight="1">
      <c r="A293" s="741"/>
      <c r="B293" s="741"/>
      <c r="C293" s="741"/>
      <c r="D293" s="741"/>
      <c r="E293" s="741"/>
      <c r="F293" s="741"/>
      <c r="G293" s="741"/>
      <c r="H293" s="741"/>
      <c r="I293" s="741"/>
      <c r="J293" s="741"/>
      <c r="K293" s="741"/>
      <c r="L293" s="741"/>
      <c r="M293" s="741"/>
      <c r="N293" s="741"/>
      <c r="O293" s="741"/>
      <c r="P293" s="741"/>
      <c r="Q293" s="741"/>
      <c r="R293" s="741"/>
      <c r="S293" s="741"/>
      <c r="T293" s="741"/>
      <c r="U293" s="741"/>
      <c r="V293" s="741"/>
      <c r="W293" s="741"/>
      <c r="X293" s="741"/>
      <c r="Y293" s="741"/>
      <c r="Z293" s="741"/>
      <c r="AA293" s="741"/>
      <c r="AB293" s="741"/>
      <c r="AC293" s="741"/>
      <c r="AD293" s="741"/>
      <c r="AE293" s="741"/>
      <c r="AF293" s="741"/>
      <c r="AG293" s="741"/>
      <c r="AH293" s="741"/>
      <c r="AI293" s="741"/>
      <c r="AJ293" s="741"/>
      <c r="AK293" s="741"/>
      <c r="AL293" s="741"/>
      <c r="AM293" s="741"/>
      <c r="AN293" s="741"/>
      <c r="AO293" s="741"/>
      <c r="AP293" s="741"/>
    </row>
    <row r="294" spans="1:42" ht="12.75" customHeight="1">
      <c r="A294" s="741"/>
      <c r="B294" s="741"/>
      <c r="C294" s="741"/>
      <c r="D294" s="741"/>
      <c r="E294" s="741"/>
      <c r="F294" s="741"/>
      <c r="G294" s="741"/>
      <c r="H294" s="741"/>
      <c r="I294" s="741"/>
      <c r="J294" s="741"/>
      <c r="K294" s="741"/>
      <c r="L294" s="741"/>
      <c r="M294" s="741"/>
      <c r="N294" s="741"/>
      <c r="O294" s="741"/>
      <c r="P294" s="741"/>
      <c r="Q294" s="741"/>
      <c r="R294" s="741"/>
      <c r="S294" s="741"/>
      <c r="T294" s="741"/>
      <c r="U294" s="741"/>
      <c r="V294" s="741"/>
      <c r="W294" s="741"/>
      <c r="X294" s="741"/>
      <c r="Y294" s="741"/>
      <c r="Z294" s="741"/>
      <c r="AA294" s="741"/>
      <c r="AB294" s="741"/>
      <c r="AC294" s="741"/>
      <c r="AD294" s="741"/>
      <c r="AE294" s="741"/>
      <c r="AF294" s="741"/>
      <c r="AG294" s="741"/>
      <c r="AH294" s="741"/>
      <c r="AI294" s="741"/>
      <c r="AJ294" s="741"/>
      <c r="AK294" s="741"/>
      <c r="AL294" s="741"/>
      <c r="AM294" s="741"/>
      <c r="AN294" s="741"/>
      <c r="AO294" s="741"/>
      <c r="AP294" s="741"/>
    </row>
    <row r="295" spans="1:42" ht="12.75" customHeight="1">
      <c r="A295" s="741"/>
      <c r="B295" s="741"/>
      <c r="C295" s="741"/>
      <c r="D295" s="741"/>
      <c r="E295" s="741"/>
      <c r="F295" s="741"/>
      <c r="G295" s="741"/>
      <c r="H295" s="741"/>
      <c r="I295" s="741"/>
      <c r="J295" s="741"/>
      <c r="K295" s="741"/>
      <c r="L295" s="741"/>
      <c r="M295" s="741"/>
      <c r="N295" s="741"/>
      <c r="O295" s="741"/>
      <c r="P295" s="741"/>
      <c r="Q295" s="741"/>
      <c r="R295" s="741"/>
      <c r="S295" s="741"/>
      <c r="T295" s="741"/>
      <c r="U295" s="741"/>
      <c r="V295" s="741"/>
      <c r="W295" s="741"/>
      <c r="X295" s="741"/>
      <c r="Y295" s="741"/>
      <c r="Z295" s="741"/>
      <c r="AA295" s="741"/>
      <c r="AB295" s="741"/>
      <c r="AC295" s="741"/>
      <c r="AD295" s="741"/>
      <c r="AE295" s="741"/>
      <c r="AF295" s="741"/>
      <c r="AG295" s="741"/>
      <c r="AH295" s="741"/>
      <c r="AI295" s="741"/>
      <c r="AJ295" s="741"/>
      <c r="AK295" s="741"/>
      <c r="AL295" s="741"/>
      <c r="AM295" s="741"/>
      <c r="AN295" s="741"/>
      <c r="AO295" s="741"/>
      <c r="AP295" s="741"/>
    </row>
    <row r="296" spans="1:42" ht="12.75" customHeight="1">
      <c r="A296" s="741"/>
      <c r="B296" s="741"/>
      <c r="C296" s="741"/>
      <c r="D296" s="741"/>
      <c r="E296" s="741"/>
      <c r="F296" s="741"/>
      <c r="G296" s="741"/>
      <c r="H296" s="741"/>
      <c r="I296" s="741"/>
      <c r="J296" s="741"/>
      <c r="K296" s="741"/>
      <c r="L296" s="741"/>
      <c r="M296" s="741"/>
      <c r="N296" s="741"/>
      <c r="O296" s="741"/>
      <c r="P296" s="741"/>
      <c r="Q296" s="741"/>
      <c r="R296" s="741"/>
      <c r="S296" s="741"/>
      <c r="T296" s="741"/>
      <c r="U296" s="741"/>
      <c r="V296" s="741"/>
      <c r="W296" s="741"/>
      <c r="X296" s="741"/>
      <c r="Y296" s="741"/>
      <c r="Z296" s="741"/>
      <c r="AA296" s="741"/>
      <c r="AB296" s="741"/>
      <c r="AC296" s="741"/>
      <c r="AD296" s="741"/>
      <c r="AE296" s="741"/>
      <c r="AF296" s="741"/>
      <c r="AG296" s="741"/>
      <c r="AH296" s="741"/>
      <c r="AI296" s="741"/>
      <c r="AJ296" s="741"/>
      <c r="AK296" s="741"/>
      <c r="AL296" s="741"/>
      <c r="AM296" s="741"/>
      <c r="AN296" s="741"/>
      <c r="AO296" s="741"/>
      <c r="AP296" s="741"/>
    </row>
    <row r="297" spans="1:42" ht="12.75" customHeight="1">
      <c r="A297" s="741"/>
      <c r="B297" s="741"/>
      <c r="C297" s="741"/>
      <c r="D297" s="741"/>
      <c r="E297" s="741"/>
      <c r="F297" s="741"/>
      <c r="G297" s="741"/>
      <c r="H297" s="741"/>
      <c r="I297" s="741"/>
      <c r="J297" s="741"/>
      <c r="K297" s="741"/>
      <c r="L297" s="741"/>
      <c r="M297" s="741"/>
      <c r="N297" s="741"/>
      <c r="O297" s="741"/>
      <c r="P297" s="741"/>
      <c r="Q297" s="741"/>
      <c r="R297" s="741"/>
      <c r="S297" s="741"/>
      <c r="T297" s="741"/>
      <c r="U297" s="741"/>
      <c r="V297" s="741"/>
      <c r="W297" s="741"/>
      <c r="X297" s="741"/>
      <c r="Y297" s="741"/>
      <c r="Z297" s="741"/>
      <c r="AA297" s="741"/>
      <c r="AB297" s="741"/>
      <c r="AC297" s="741"/>
      <c r="AD297" s="741"/>
      <c r="AE297" s="741"/>
      <c r="AF297" s="741"/>
      <c r="AG297" s="741"/>
      <c r="AH297" s="741"/>
      <c r="AI297" s="741"/>
      <c r="AJ297" s="741"/>
      <c r="AK297" s="741"/>
      <c r="AL297" s="741"/>
      <c r="AM297" s="741"/>
      <c r="AN297" s="741"/>
      <c r="AO297" s="741"/>
      <c r="AP297" s="741"/>
    </row>
    <row r="298" spans="1:42" ht="12.75" customHeight="1">
      <c r="A298" s="741"/>
      <c r="B298" s="741"/>
      <c r="C298" s="741"/>
      <c r="D298" s="741"/>
      <c r="E298" s="741"/>
      <c r="F298" s="741"/>
      <c r="G298" s="741"/>
      <c r="H298" s="741"/>
      <c r="I298" s="741"/>
      <c r="J298" s="741"/>
      <c r="K298" s="741"/>
      <c r="L298" s="741"/>
      <c r="M298" s="741"/>
      <c r="N298" s="741"/>
      <c r="O298" s="741"/>
      <c r="P298" s="741"/>
      <c r="Q298" s="741"/>
      <c r="R298" s="741"/>
      <c r="S298" s="741"/>
      <c r="T298" s="741"/>
      <c r="U298" s="741"/>
      <c r="V298" s="741"/>
      <c r="W298" s="741"/>
      <c r="X298" s="741"/>
      <c r="Y298" s="741"/>
      <c r="Z298" s="741"/>
      <c r="AA298" s="741"/>
      <c r="AB298" s="741"/>
      <c r="AC298" s="741"/>
      <c r="AD298" s="741"/>
      <c r="AE298" s="741"/>
      <c r="AF298" s="741"/>
      <c r="AG298" s="741"/>
      <c r="AH298" s="741"/>
      <c r="AI298" s="741"/>
      <c r="AJ298" s="741"/>
      <c r="AK298" s="741"/>
      <c r="AL298" s="741"/>
      <c r="AM298" s="741"/>
      <c r="AN298" s="741"/>
      <c r="AO298" s="741"/>
      <c r="AP298" s="741"/>
    </row>
    <row r="299" spans="1:42" ht="12.75" customHeight="1">
      <c r="A299" s="741"/>
      <c r="B299" s="741"/>
      <c r="C299" s="741"/>
      <c r="D299" s="741"/>
      <c r="E299" s="741"/>
      <c r="F299" s="741"/>
      <c r="G299" s="741"/>
      <c r="H299" s="741"/>
      <c r="I299" s="741"/>
      <c r="J299" s="741"/>
      <c r="K299" s="741"/>
      <c r="L299" s="741"/>
      <c r="M299" s="741"/>
      <c r="N299" s="741"/>
      <c r="O299" s="741"/>
      <c r="P299" s="741"/>
      <c r="Q299" s="741"/>
      <c r="R299" s="741"/>
      <c r="S299" s="741"/>
      <c r="T299" s="741"/>
      <c r="U299" s="741"/>
      <c r="V299" s="741"/>
      <c r="W299" s="741"/>
      <c r="X299" s="741"/>
      <c r="Y299" s="741"/>
      <c r="Z299" s="741"/>
      <c r="AA299" s="741"/>
      <c r="AB299" s="741"/>
      <c r="AC299" s="741"/>
      <c r="AD299" s="741"/>
      <c r="AE299" s="741"/>
      <c r="AF299" s="741"/>
      <c r="AG299" s="741"/>
      <c r="AH299" s="741"/>
      <c r="AI299" s="741"/>
      <c r="AJ299" s="741"/>
      <c r="AK299" s="741"/>
      <c r="AL299" s="741"/>
      <c r="AM299" s="741"/>
      <c r="AN299" s="741"/>
      <c r="AO299" s="741"/>
      <c r="AP299" s="741"/>
    </row>
    <row r="300" spans="1:42" ht="12.75" customHeight="1">
      <c r="A300" s="741"/>
      <c r="B300" s="741"/>
      <c r="C300" s="741"/>
      <c r="D300" s="741"/>
      <c r="E300" s="741"/>
      <c r="F300" s="741"/>
      <c r="G300" s="741"/>
      <c r="H300" s="741"/>
      <c r="I300" s="741"/>
      <c r="J300" s="741"/>
      <c r="K300" s="741"/>
      <c r="L300" s="741"/>
      <c r="M300" s="741"/>
      <c r="N300" s="741"/>
      <c r="O300" s="741"/>
      <c r="P300" s="741"/>
      <c r="Q300" s="741"/>
      <c r="R300" s="741"/>
      <c r="S300" s="741"/>
      <c r="T300" s="741"/>
      <c r="U300" s="741"/>
      <c r="V300" s="741"/>
      <c r="W300" s="741"/>
      <c r="X300" s="741"/>
      <c r="Y300" s="741"/>
      <c r="Z300" s="741"/>
      <c r="AA300" s="741"/>
      <c r="AB300" s="741"/>
      <c r="AC300" s="741"/>
      <c r="AD300" s="741"/>
      <c r="AE300" s="741"/>
      <c r="AF300" s="741"/>
      <c r="AG300" s="741"/>
      <c r="AH300" s="741"/>
      <c r="AI300" s="741"/>
      <c r="AJ300" s="741"/>
      <c r="AK300" s="741"/>
      <c r="AL300" s="741"/>
      <c r="AM300" s="741"/>
      <c r="AN300" s="741"/>
      <c r="AO300" s="741"/>
      <c r="AP300" s="741"/>
    </row>
    <row r="301" spans="1:42" ht="12.75" customHeight="1">
      <c r="A301" s="741"/>
      <c r="B301" s="741"/>
      <c r="C301" s="741"/>
      <c r="D301" s="741"/>
      <c r="E301" s="741"/>
      <c r="F301" s="741"/>
      <c r="G301" s="741"/>
      <c r="H301" s="741"/>
      <c r="I301" s="741"/>
      <c r="J301" s="741"/>
      <c r="K301" s="741"/>
      <c r="L301" s="741"/>
      <c r="M301" s="741"/>
      <c r="N301" s="741"/>
      <c r="O301" s="741"/>
      <c r="P301" s="741"/>
      <c r="Q301" s="741"/>
      <c r="R301" s="741"/>
      <c r="S301" s="741"/>
      <c r="T301" s="741"/>
      <c r="U301" s="741"/>
      <c r="V301" s="741"/>
      <c r="W301" s="741"/>
      <c r="X301" s="741"/>
      <c r="Y301" s="741"/>
      <c r="Z301" s="741"/>
      <c r="AA301" s="741"/>
      <c r="AB301" s="741"/>
      <c r="AC301" s="741"/>
      <c r="AD301" s="741"/>
      <c r="AE301" s="741"/>
      <c r="AF301" s="741"/>
      <c r="AG301" s="741"/>
      <c r="AH301" s="741"/>
      <c r="AI301" s="741"/>
      <c r="AJ301" s="741"/>
      <c r="AK301" s="741"/>
      <c r="AL301" s="741"/>
      <c r="AM301" s="741"/>
      <c r="AN301" s="741"/>
      <c r="AO301" s="741"/>
      <c r="AP301" s="741"/>
    </row>
    <row r="302" spans="1:42" ht="12.75" customHeight="1">
      <c r="A302" s="741"/>
      <c r="B302" s="741"/>
      <c r="C302" s="741"/>
      <c r="D302" s="741"/>
      <c r="E302" s="741"/>
      <c r="F302" s="741"/>
      <c r="G302" s="741"/>
      <c r="H302" s="741"/>
      <c r="I302" s="741"/>
      <c r="J302" s="741"/>
      <c r="K302" s="741"/>
      <c r="L302" s="741"/>
      <c r="M302" s="741"/>
      <c r="N302" s="741"/>
      <c r="O302" s="741"/>
      <c r="P302" s="741"/>
      <c r="Q302" s="741"/>
      <c r="R302" s="741"/>
      <c r="S302" s="741"/>
      <c r="T302" s="741"/>
      <c r="U302" s="741"/>
      <c r="V302" s="741"/>
      <c r="W302" s="741"/>
      <c r="X302" s="741"/>
      <c r="Y302" s="741"/>
      <c r="Z302" s="741"/>
      <c r="AA302" s="741"/>
      <c r="AB302" s="741"/>
      <c r="AC302" s="741"/>
      <c r="AD302" s="741"/>
      <c r="AE302" s="741"/>
      <c r="AF302" s="741"/>
      <c r="AG302" s="741"/>
      <c r="AH302" s="741"/>
      <c r="AI302" s="741"/>
      <c r="AJ302" s="741"/>
      <c r="AK302" s="741"/>
      <c r="AL302" s="741"/>
      <c r="AM302" s="741"/>
      <c r="AN302" s="741"/>
      <c r="AO302" s="741"/>
      <c r="AP302" s="741"/>
    </row>
    <row r="303" spans="1:42" ht="12.75" customHeight="1">
      <c r="A303" s="741"/>
      <c r="B303" s="741"/>
      <c r="C303" s="741"/>
      <c r="D303" s="741"/>
      <c r="E303" s="741"/>
      <c r="F303" s="741"/>
      <c r="G303" s="741"/>
      <c r="H303" s="741"/>
      <c r="I303" s="741"/>
      <c r="J303" s="741"/>
      <c r="K303" s="741"/>
      <c r="L303" s="741"/>
      <c r="M303" s="741"/>
      <c r="N303" s="741"/>
      <c r="O303" s="741"/>
      <c r="P303" s="741"/>
      <c r="Q303" s="741"/>
      <c r="R303" s="741"/>
      <c r="S303" s="741"/>
      <c r="T303" s="741"/>
      <c r="U303" s="741"/>
      <c r="V303" s="741"/>
      <c r="W303" s="741"/>
      <c r="X303" s="741"/>
      <c r="Y303" s="741"/>
      <c r="Z303" s="741"/>
      <c r="AA303" s="741"/>
      <c r="AB303" s="741"/>
      <c r="AC303" s="741"/>
      <c r="AD303" s="741"/>
      <c r="AE303" s="741"/>
      <c r="AF303" s="741"/>
      <c r="AG303" s="741"/>
      <c r="AH303" s="741"/>
      <c r="AI303" s="741"/>
      <c r="AJ303" s="741"/>
      <c r="AK303" s="741"/>
      <c r="AL303" s="741"/>
      <c r="AM303" s="741"/>
      <c r="AN303" s="741"/>
      <c r="AO303" s="741"/>
      <c r="AP303" s="741"/>
    </row>
    <row r="304" spans="1:42" ht="12.75" customHeight="1">
      <c r="A304" s="741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1"/>
      <c r="P304" s="741"/>
      <c r="Q304" s="741"/>
      <c r="R304" s="741"/>
      <c r="S304" s="741"/>
      <c r="T304" s="741"/>
      <c r="U304" s="741"/>
      <c r="V304" s="741"/>
      <c r="W304" s="741"/>
      <c r="X304" s="741"/>
      <c r="Y304" s="741"/>
      <c r="Z304" s="741"/>
      <c r="AA304" s="741"/>
      <c r="AB304" s="741"/>
      <c r="AC304" s="741"/>
      <c r="AD304" s="741"/>
      <c r="AE304" s="741"/>
      <c r="AF304" s="741"/>
      <c r="AG304" s="741"/>
      <c r="AH304" s="741"/>
      <c r="AI304" s="741"/>
      <c r="AJ304" s="741"/>
      <c r="AK304" s="741"/>
      <c r="AL304" s="741"/>
      <c r="AM304" s="741"/>
      <c r="AN304" s="741"/>
      <c r="AO304" s="741"/>
      <c r="AP304" s="741"/>
    </row>
    <row r="305" spans="1:42" ht="12.75" customHeight="1">
      <c r="A305" s="741"/>
      <c r="B305" s="741"/>
      <c r="C305" s="741"/>
      <c r="D305" s="741"/>
      <c r="E305" s="741"/>
      <c r="F305" s="741"/>
      <c r="G305" s="741"/>
      <c r="H305" s="741"/>
      <c r="I305" s="741"/>
      <c r="J305" s="741"/>
      <c r="K305" s="741"/>
      <c r="L305" s="741"/>
      <c r="M305" s="741"/>
      <c r="N305" s="741"/>
      <c r="O305" s="741"/>
      <c r="P305" s="741"/>
      <c r="Q305" s="741"/>
      <c r="R305" s="741"/>
      <c r="S305" s="741"/>
      <c r="T305" s="741"/>
      <c r="U305" s="741"/>
      <c r="V305" s="741"/>
      <c r="W305" s="741"/>
      <c r="X305" s="741"/>
      <c r="Y305" s="741"/>
      <c r="Z305" s="741"/>
      <c r="AA305" s="741"/>
      <c r="AB305" s="741"/>
      <c r="AC305" s="741"/>
      <c r="AD305" s="741"/>
      <c r="AE305" s="741"/>
      <c r="AF305" s="741"/>
      <c r="AG305" s="741"/>
      <c r="AH305" s="741"/>
      <c r="AI305" s="741"/>
      <c r="AJ305" s="741"/>
      <c r="AK305" s="741"/>
      <c r="AL305" s="741"/>
      <c r="AM305" s="741"/>
      <c r="AN305" s="741"/>
      <c r="AO305" s="741"/>
      <c r="AP305" s="741"/>
    </row>
    <row r="306" spans="1:42" ht="12.75" customHeight="1">
      <c r="A306" s="741"/>
      <c r="B306" s="741"/>
      <c r="C306" s="741"/>
      <c r="D306" s="741"/>
      <c r="E306" s="741"/>
      <c r="F306" s="741"/>
      <c r="G306" s="741"/>
      <c r="H306" s="741"/>
      <c r="I306" s="741"/>
      <c r="J306" s="741"/>
      <c r="K306" s="741"/>
      <c r="L306" s="741"/>
      <c r="M306" s="741"/>
      <c r="N306" s="741"/>
      <c r="O306" s="741"/>
      <c r="P306" s="741"/>
      <c r="Q306" s="741"/>
      <c r="R306" s="741"/>
      <c r="S306" s="741"/>
      <c r="T306" s="741"/>
      <c r="U306" s="741"/>
      <c r="V306" s="741"/>
      <c r="W306" s="741"/>
      <c r="X306" s="741"/>
      <c r="Y306" s="741"/>
      <c r="Z306" s="741"/>
      <c r="AA306" s="741"/>
      <c r="AB306" s="741"/>
      <c r="AC306" s="741"/>
      <c r="AD306" s="741"/>
      <c r="AE306" s="741"/>
      <c r="AF306" s="741"/>
      <c r="AG306" s="741"/>
      <c r="AH306" s="741"/>
      <c r="AI306" s="741"/>
      <c r="AJ306" s="741"/>
      <c r="AK306" s="741"/>
      <c r="AL306" s="741"/>
      <c r="AM306" s="741"/>
      <c r="AN306" s="741"/>
      <c r="AO306" s="741"/>
      <c r="AP306" s="741"/>
    </row>
    <row r="307" spans="1:42" ht="12.75" customHeight="1">
      <c r="A307" s="741"/>
      <c r="B307" s="741"/>
      <c r="C307" s="741"/>
      <c r="D307" s="741"/>
      <c r="E307" s="741"/>
      <c r="F307" s="741"/>
      <c r="G307" s="741"/>
      <c r="H307" s="741"/>
      <c r="I307" s="741"/>
      <c r="J307" s="741"/>
      <c r="K307" s="741"/>
      <c r="L307" s="741"/>
      <c r="M307" s="741"/>
      <c r="N307" s="741"/>
      <c r="O307" s="741"/>
      <c r="P307" s="741"/>
      <c r="Q307" s="741"/>
      <c r="R307" s="741"/>
      <c r="S307" s="741"/>
      <c r="T307" s="741"/>
      <c r="U307" s="741"/>
      <c r="V307" s="741"/>
      <c r="W307" s="741"/>
      <c r="X307" s="741"/>
      <c r="Y307" s="741"/>
      <c r="Z307" s="741"/>
      <c r="AA307" s="741"/>
      <c r="AB307" s="741"/>
      <c r="AC307" s="741"/>
      <c r="AD307" s="741"/>
      <c r="AE307" s="741"/>
      <c r="AF307" s="741"/>
      <c r="AG307" s="741"/>
      <c r="AH307" s="741"/>
      <c r="AI307" s="741"/>
      <c r="AJ307" s="741"/>
      <c r="AK307" s="741"/>
      <c r="AL307" s="741"/>
      <c r="AM307" s="741"/>
      <c r="AN307" s="741"/>
      <c r="AO307" s="741"/>
      <c r="AP307" s="741"/>
    </row>
    <row r="308" spans="1:42" ht="12.75" customHeight="1">
      <c r="A308" s="741"/>
      <c r="B308" s="741"/>
      <c r="C308" s="741"/>
      <c r="D308" s="741"/>
      <c r="E308" s="741"/>
      <c r="F308" s="741"/>
      <c r="G308" s="741"/>
      <c r="H308" s="741"/>
      <c r="I308" s="741"/>
      <c r="J308" s="741"/>
      <c r="K308" s="741"/>
      <c r="L308" s="741"/>
      <c r="M308" s="741"/>
      <c r="N308" s="741"/>
      <c r="O308" s="741"/>
      <c r="P308" s="741"/>
      <c r="Q308" s="741"/>
      <c r="R308" s="741"/>
      <c r="S308" s="741"/>
      <c r="T308" s="741"/>
      <c r="U308" s="741"/>
      <c r="V308" s="741"/>
      <c r="W308" s="741"/>
      <c r="X308" s="741"/>
      <c r="Y308" s="741"/>
      <c r="Z308" s="741"/>
      <c r="AA308" s="741"/>
      <c r="AB308" s="741"/>
      <c r="AC308" s="741"/>
      <c r="AD308" s="741"/>
      <c r="AE308" s="741"/>
      <c r="AF308" s="741"/>
      <c r="AG308" s="741"/>
      <c r="AH308" s="741"/>
      <c r="AI308" s="741"/>
      <c r="AJ308" s="741"/>
      <c r="AK308" s="741"/>
      <c r="AL308" s="741"/>
      <c r="AM308" s="741"/>
      <c r="AN308" s="741"/>
      <c r="AO308" s="741"/>
      <c r="AP308" s="741"/>
    </row>
    <row r="309" spans="1:42" ht="12.75" customHeight="1">
      <c r="A309" s="741"/>
      <c r="B309" s="741"/>
      <c r="C309" s="741"/>
      <c r="D309" s="741"/>
      <c r="E309" s="741"/>
      <c r="F309" s="741"/>
      <c r="G309" s="741"/>
      <c r="H309" s="741"/>
      <c r="I309" s="741"/>
      <c r="J309" s="741"/>
      <c r="K309" s="741"/>
      <c r="L309" s="741"/>
      <c r="M309" s="741"/>
      <c r="N309" s="741"/>
      <c r="O309" s="741"/>
      <c r="P309" s="741"/>
      <c r="Q309" s="741"/>
      <c r="R309" s="741"/>
      <c r="S309" s="741"/>
      <c r="T309" s="741"/>
      <c r="U309" s="741"/>
      <c r="V309" s="741"/>
      <c r="W309" s="741"/>
      <c r="X309" s="741"/>
      <c r="Y309" s="741"/>
      <c r="Z309" s="741"/>
      <c r="AA309" s="741"/>
      <c r="AB309" s="741"/>
      <c r="AC309" s="741"/>
      <c r="AD309" s="741"/>
      <c r="AE309" s="741"/>
      <c r="AF309" s="741"/>
      <c r="AG309" s="741"/>
      <c r="AH309" s="741"/>
      <c r="AI309" s="741"/>
      <c r="AJ309" s="741"/>
      <c r="AK309" s="741"/>
      <c r="AL309" s="741"/>
      <c r="AM309" s="741"/>
      <c r="AN309" s="741"/>
      <c r="AO309" s="741"/>
      <c r="AP309" s="741"/>
    </row>
    <row r="310" spans="1:42" ht="12.75" customHeight="1">
      <c r="A310" s="741"/>
      <c r="B310" s="741"/>
      <c r="C310" s="741"/>
      <c r="D310" s="741"/>
      <c r="E310" s="741"/>
      <c r="F310" s="741"/>
      <c r="G310" s="741"/>
      <c r="H310" s="741"/>
      <c r="I310" s="741"/>
      <c r="J310" s="741"/>
      <c r="K310" s="741"/>
      <c r="L310" s="741"/>
      <c r="M310" s="741"/>
      <c r="N310" s="741"/>
      <c r="O310" s="741"/>
      <c r="P310" s="741"/>
      <c r="Q310" s="741"/>
      <c r="R310" s="741"/>
      <c r="S310" s="741"/>
      <c r="T310" s="741"/>
      <c r="U310" s="741"/>
      <c r="V310" s="741"/>
      <c r="W310" s="741"/>
      <c r="X310" s="741"/>
      <c r="Y310" s="741"/>
      <c r="Z310" s="741"/>
      <c r="AA310" s="741"/>
      <c r="AB310" s="741"/>
      <c r="AC310" s="741"/>
      <c r="AD310" s="741"/>
      <c r="AE310" s="741"/>
      <c r="AF310" s="741"/>
      <c r="AG310" s="741"/>
      <c r="AH310" s="741"/>
      <c r="AI310" s="741"/>
      <c r="AJ310" s="741"/>
      <c r="AK310" s="741"/>
      <c r="AL310" s="741"/>
      <c r="AM310" s="741"/>
      <c r="AN310" s="741"/>
      <c r="AO310" s="741"/>
      <c r="AP310" s="741"/>
    </row>
    <row r="311" spans="1:42" ht="12.75" customHeight="1">
      <c r="A311" s="741"/>
      <c r="B311" s="741"/>
      <c r="C311" s="741"/>
      <c r="D311" s="741"/>
      <c r="E311" s="741"/>
      <c r="F311" s="741"/>
      <c r="G311" s="741"/>
      <c r="H311" s="741"/>
      <c r="I311" s="741"/>
      <c r="J311" s="741"/>
      <c r="K311" s="741"/>
      <c r="L311" s="741"/>
      <c r="M311" s="741"/>
      <c r="N311" s="741"/>
      <c r="O311" s="741"/>
      <c r="P311" s="741"/>
      <c r="Q311" s="741"/>
      <c r="R311" s="741"/>
      <c r="S311" s="741"/>
      <c r="T311" s="741"/>
      <c r="U311" s="741"/>
      <c r="V311" s="741"/>
      <c r="W311" s="741"/>
      <c r="X311" s="741"/>
      <c r="Y311" s="741"/>
      <c r="Z311" s="741"/>
      <c r="AA311" s="741"/>
      <c r="AB311" s="741"/>
      <c r="AC311" s="741"/>
      <c r="AD311" s="741"/>
      <c r="AE311" s="741"/>
      <c r="AF311" s="741"/>
      <c r="AG311" s="741"/>
      <c r="AH311" s="741"/>
      <c r="AI311" s="741"/>
      <c r="AJ311" s="741"/>
      <c r="AK311" s="741"/>
      <c r="AL311" s="741"/>
      <c r="AM311" s="741"/>
      <c r="AN311" s="741"/>
      <c r="AO311" s="741"/>
      <c r="AP311" s="741"/>
    </row>
    <row r="312" spans="1:42" ht="12.75" customHeight="1">
      <c r="A312" s="741"/>
      <c r="B312" s="741"/>
      <c r="C312" s="741"/>
      <c r="D312" s="741"/>
      <c r="E312" s="741"/>
      <c r="F312" s="741"/>
      <c r="G312" s="741"/>
      <c r="H312" s="741"/>
      <c r="I312" s="741"/>
      <c r="J312" s="741"/>
      <c r="K312" s="741"/>
      <c r="L312" s="741"/>
      <c r="M312" s="741"/>
      <c r="N312" s="741"/>
      <c r="O312" s="741"/>
      <c r="P312" s="741"/>
      <c r="Q312" s="741"/>
      <c r="R312" s="741"/>
      <c r="S312" s="741"/>
      <c r="T312" s="741"/>
      <c r="U312" s="741"/>
      <c r="V312" s="741"/>
      <c r="W312" s="741"/>
      <c r="X312" s="741"/>
      <c r="Y312" s="741"/>
      <c r="Z312" s="741"/>
      <c r="AA312" s="741"/>
      <c r="AB312" s="741"/>
      <c r="AC312" s="741"/>
      <c r="AD312" s="741"/>
      <c r="AE312" s="741"/>
      <c r="AF312" s="741"/>
      <c r="AG312" s="741"/>
      <c r="AH312" s="741"/>
      <c r="AI312" s="741"/>
      <c r="AJ312" s="741"/>
      <c r="AK312" s="741"/>
      <c r="AL312" s="741"/>
      <c r="AM312" s="741"/>
      <c r="AN312" s="741"/>
      <c r="AO312" s="741"/>
      <c r="AP312" s="741"/>
    </row>
    <row r="313" spans="1:42" ht="12.75" customHeight="1">
      <c r="A313" s="741"/>
      <c r="B313" s="741"/>
      <c r="C313" s="741"/>
      <c r="D313" s="741"/>
      <c r="E313" s="741"/>
      <c r="F313" s="741"/>
      <c r="G313" s="741"/>
      <c r="H313" s="741"/>
      <c r="I313" s="741"/>
      <c r="J313" s="741"/>
      <c r="K313" s="741"/>
      <c r="L313" s="741"/>
      <c r="M313" s="741"/>
      <c r="N313" s="741"/>
      <c r="O313" s="741"/>
      <c r="P313" s="741"/>
      <c r="Q313" s="741"/>
      <c r="R313" s="741"/>
      <c r="S313" s="741"/>
      <c r="T313" s="741"/>
      <c r="U313" s="741"/>
      <c r="V313" s="741"/>
      <c r="W313" s="741"/>
      <c r="X313" s="741"/>
      <c r="Y313" s="741"/>
      <c r="Z313" s="741"/>
      <c r="AA313" s="741"/>
      <c r="AB313" s="741"/>
      <c r="AC313" s="741"/>
      <c r="AD313" s="741"/>
      <c r="AE313" s="741"/>
      <c r="AF313" s="741"/>
      <c r="AG313" s="741"/>
      <c r="AH313" s="741"/>
      <c r="AI313" s="741"/>
      <c r="AJ313" s="741"/>
      <c r="AK313" s="741"/>
      <c r="AL313" s="741"/>
      <c r="AM313" s="741"/>
      <c r="AN313" s="741"/>
      <c r="AO313" s="741"/>
      <c r="AP313" s="741"/>
    </row>
    <row r="314" spans="1:42" ht="12.75" customHeight="1">
      <c r="A314" s="741"/>
      <c r="B314" s="741"/>
      <c r="C314" s="741"/>
      <c r="D314" s="741"/>
      <c r="E314" s="741"/>
      <c r="F314" s="741"/>
      <c r="G314" s="741"/>
      <c r="H314" s="741"/>
      <c r="I314" s="741"/>
      <c r="J314" s="741"/>
      <c r="K314" s="741"/>
      <c r="L314" s="741"/>
      <c r="M314" s="741"/>
      <c r="N314" s="741"/>
      <c r="O314" s="741"/>
      <c r="P314" s="741"/>
      <c r="Q314" s="741"/>
      <c r="R314" s="741"/>
      <c r="S314" s="741"/>
      <c r="T314" s="741"/>
      <c r="U314" s="741"/>
      <c r="V314" s="741"/>
      <c r="W314" s="741"/>
      <c r="X314" s="741"/>
      <c r="Y314" s="741"/>
      <c r="Z314" s="741"/>
      <c r="AA314" s="741"/>
      <c r="AB314" s="741"/>
      <c r="AC314" s="741"/>
      <c r="AD314" s="741"/>
      <c r="AE314" s="741"/>
      <c r="AF314" s="741"/>
      <c r="AG314" s="741"/>
      <c r="AH314" s="741"/>
      <c r="AI314" s="741"/>
      <c r="AJ314" s="741"/>
      <c r="AK314" s="741"/>
      <c r="AL314" s="741"/>
      <c r="AM314" s="741"/>
      <c r="AN314" s="741"/>
      <c r="AO314" s="741"/>
      <c r="AP314" s="741"/>
    </row>
    <row r="315" spans="1:42" ht="12.75" customHeight="1">
      <c r="A315" s="741"/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1"/>
      <c r="P315" s="741"/>
      <c r="Q315" s="741"/>
      <c r="R315" s="741"/>
      <c r="S315" s="741"/>
      <c r="T315" s="741"/>
      <c r="U315" s="741"/>
      <c r="V315" s="741"/>
      <c r="W315" s="741"/>
      <c r="X315" s="741"/>
      <c r="Y315" s="741"/>
      <c r="Z315" s="741"/>
      <c r="AA315" s="741"/>
      <c r="AB315" s="741"/>
      <c r="AC315" s="741"/>
      <c r="AD315" s="741"/>
      <c r="AE315" s="741"/>
      <c r="AF315" s="741"/>
      <c r="AG315" s="741"/>
      <c r="AH315" s="741"/>
      <c r="AI315" s="741"/>
      <c r="AJ315" s="741"/>
      <c r="AK315" s="741"/>
      <c r="AL315" s="741"/>
      <c r="AM315" s="741"/>
      <c r="AN315" s="741"/>
      <c r="AO315" s="741"/>
      <c r="AP315" s="741"/>
    </row>
    <row r="316" spans="1:42" ht="12.75" customHeight="1">
      <c r="A316" s="741"/>
      <c r="B316" s="741"/>
      <c r="C316" s="741"/>
      <c r="D316" s="741"/>
      <c r="E316" s="741"/>
      <c r="F316" s="741"/>
      <c r="G316" s="741"/>
      <c r="H316" s="741"/>
      <c r="I316" s="741"/>
      <c r="J316" s="741"/>
      <c r="K316" s="741"/>
      <c r="L316" s="741"/>
      <c r="M316" s="741"/>
      <c r="N316" s="741"/>
      <c r="O316" s="741"/>
      <c r="P316" s="741"/>
      <c r="Q316" s="741"/>
      <c r="R316" s="741"/>
      <c r="S316" s="741"/>
      <c r="T316" s="741"/>
      <c r="U316" s="741"/>
      <c r="V316" s="741"/>
      <c r="W316" s="741"/>
      <c r="X316" s="741"/>
      <c r="Y316" s="741"/>
      <c r="Z316" s="741"/>
      <c r="AA316" s="741"/>
      <c r="AB316" s="741"/>
      <c r="AC316" s="741"/>
      <c r="AD316" s="741"/>
      <c r="AE316" s="741"/>
      <c r="AF316" s="741"/>
      <c r="AG316" s="741"/>
      <c r="AH316" s="741"/>
      <c r="AI316" s="741"/>
      <c r="AJ316" s="741"/>
      <c r="AK316" s="741"/>
      <c r="AL316" s="741"/>
      <c r="AM316" s="741"/>
      <c r="AN316" s="741"/>
      <c r="AO316" s="741"/>
      <c r="AP316" s="741"/>
    </row>
    <row r="317" spans="1:42" ht="12.75" customHeight="1">
      <c r="A317" s="741"/>
      <c r="B317" s="741"/>
      <c r="C317" s="741"/>
      <c r="D317" s="741"/>
      <c r="E317" s="741"/>
      <c r="F317" s="741"/>
      <c r="G317" s="741"/>
      <c r="H317" s="741"/>
      <c r="I317" s="741"/>
      <c r="J317" s="741"/>
      <c r="K317" s="741"/>
      <c r="L317" s="741"/>
      <c r="M317" s="741"/>
      <c r="N317" s="741"/>
      <c r="O317" s="741"/>
      <c r="P317" s="741"/>
      <c r="Q317" s="741"/>
      <c r="R317" s="741"/>
      <c r="S317" s="741"/>
      <c r="T317" s="741"/>
      <c r="U317" s="741"/>
      <c r="V317" s="741"/>
      <c r="W317" s="741"/>
      <c r="X317" s="741"/>
      <c r="Y317" s="741"/>
      <c r="Z317" s="741"/>
      <c r="AA317" s="741"/>
      <c r="AB317" s="741"/>
      <c r="AC317" s="741"/>
      <c r="AD317" s="741"/>
      <c r="AE317" s="741"/>
      <c r="AF317" s="741"/>
      <c r="AG317" s="741"/>
      <c r="AH317" s="741"/>
      <c r="AI317" s="741"/>
      <c r="AJ317" s="741"/>
      <c r="AK317" s="741"/>
      <c r="AL317" s="741"/>
      <c r="AM317" s="741"/>
      <c r="AN317" s="741"/>
      <c r="AO317" s="741"/>
      <c r="AP317" s="741"/>
    </row>
    <row r="318" spans="1:42" ht="12.75" customHeight="1">
      <c r="A318" s="741"/>
      <c r="B318" s="741"/>
      <c r="C318" s="741"/>
      <c r="D318" s="741"/>
      <c r="E318" s="741"/>
      <c r="F318" s="741"/>
      <c r="G318" s="741"/>
      <c r="H318" s="741"/>
      <c r="I318" s="741"/>
      <c r="J318" s="741"/>
      <c r="K318" s="741"/>
      <c r="L318" s="741"/>
      <c r="M318" s="741"/>
      <c r="N318" s="741"/>
      <c r="O318" s="741"/>
      <c r="P318" s="741"/>
      <c r="Q318" s="741"/>
      <c r="R318" s="741"/>
      <c r="S318" s="741"/>
      <c r="T318" s="741"/>
      <c r="U318" s="741"/>
      <c r="V318" s="741"/>
      <c r="W318" s="741"/>
      <c r="X318" s="741"/>
      <c r="Y318" s="741"/>
      <c r="Z318" s="741"/>
      <c r="AA318" s="741"/>
      <c r="AB318" s="741"/>
      <c r="AC318" s="741"/>
      <c r="AD318" s="741"/>
      <c r="AE318" s="741"/>
      <c r="AF318" s="741"/>
      <c r="AG318" s="741"/>
      <c r="AH318" s="741"/>
      <c r="AI318" s="741"/>
      <c r="AJ318" s="741"/>
      <c r="AK318" s="741"/>
      <c r="AL318" s="741"/>
      <c r="AM318" s="741"/>
      <c r="AN318" s="741"/>
      <c r="AO318" s="741"/>
      <c r="AP318" s="741"/>
    </row>
    <row r="319" spans="1:42" ht="12.75" customHeight="1">
      <c r="A319" s="741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1"/>
      <c r="P319" s="741"/>
      <c r="Q319" s="741"/>
      <c r="R319" s="741"/>
      <c r="S319" s="741"/>
      <c r="T319" s="741"/>
      <c r="U319" s="741"/>
      <c r="V319" s="741"/>
      <c r="W319" s="741"/>
      <c r="X319" s="741"/>
      <c r="Y319" s="741"/>
      <c r="Z319" s="741"/>
      <c r="AA319" s="741"/>
      <c r="AB319" s="741"/>
      <c r="AC319" s="741"/>
      <c r="AD319" s="741"/>
      <c r="AE319" s="741"/>
      <c r="AF319" s="741"/>
      <c r="AG319" s="741"/>
      <c r="AH319" s="741"/>
      <c r="AI319" s="741"/>
      <c r="AJ319" s="741"/>
      <c r="AK319" s="741"/>
      <c r="AL319" s="741"/>
      <c r="AM319" s="741"/>
      <c r="AN319" s="741"/>
      <c r="AO319" s="741"/>
      <c r="AP319" s="741"/>
    </row>
    <row r="320" spans="1:42" ht="12.75" customHeight="1">
      <c r="A320" s="741"/>
      <c r="B320" s="741"/>
      <c r="C320" s="741"/>
      <c r="D320" s="741"/>
      <c r="E320" s="741"/>
      <c r="F320" s="741"/>
      <c r="G320" s="741"/>
      <c r="H320" s="741"/>
      <c r="I320" s="741"/>
      <c r="J320" s="741"/>
      <c r="K320" s="741"/>
      <c r="L320" s="741"/>
      <c r="M320" s="741"/>
      <c r="N320" s="741"/>
      <c r="O320" s="741"/>
      <c r="P320" s="741"/>
      <c r="Q320" s="741"/>
      <c r="R320" s="741"/>
      <c r="S320" s="741"/>
      <c r="T320" s="741"/>
      <c r="U320" s="741"/>
      <c r="V320" s="741"/>
      <c r="W320" s="741"/>
      <c r="X320" s="741"/>
      <c r="Y320" s="741"/>
      <c r="Z320" s="741"/>
      <c r="AA320" s="741"/>
      <c r="AB320" s="741"/>
      <c r="AC320" s="741"/>
      <c r="AD320" s="741"/>
      <c r="AE320" s="741"/>
      <c r="AF320" s="741"/>
      <c r="AG320" s="741"/>
      <c r="AH320" s="741"/>
      <c r="AI320" s="741"/>
      <c r="AJ320" s="741"/>
      <c r="AK320" s="741"/>
      <c r="AL320" s="741"/>
      <c r="AM320" s="741"/>
      <c r="AN320" s="741"/>
      <c r="AO320" s="741"/>
      <c r="AP320" s="741"/>
    </row>
    <row r="321" spans="1:42" ht="12.75" customHeight="1">
      <c r="A321" s="741"/>
      <c r="B321" s="741"/>
      <c r="C321" s="741"/>
      <c r="D321" s="741"/>
      <c r="E321" s="741"/>
      <c r="F321" s="741"/>
      <c r="G321" s="741"/>
      <c r="H321" s="741"/>
      <c r="I321" s="741"/>
      <c r="J321" s="741"/>
      <c r="K321" s="741"/>
      <c r="L321" s="741"/>
      <c r="M321" s="741"/>
      <c r="N321" s="741"/>
      <c r="O321" s="741"/>
      <c r="P321" s="741"/>
      <c r="Q321" s="741"/>
      <c r="R321" s="741"/>
      <c r="S321" s="741"/>
      <c r="T321" s="741"/>
      <c r="U321" s="741"/>
      <c r="V321" s="741"/>
      <c r="W321" s="741"/>
      <c r="X321" s="741"/>
      <c r="Y321" s="741"/>
      <c r="Z321" s="741"/>
      <c r="AA321" s="741"/>
      <c r="AB321" s="741"/>
      <c r="AC321" s="741"/>
      <c r="AD321" s="741"/>
      <c r="AE321" s="741"/>
      <c r="AF321" s="741"/>
      <c r="AG321" s="741"/>
      <c r="AH321" s="741"/>
      <c r="AI321" s="741"/>
      <c r="AJ321" s="741"/>
      <c r="AK321" s="741"/>
      <c r="AL321" s="741"/>
      <c r="AM321" s="741"/>
      <c r="AN321" s="741"/>
      <c r="AO321" s="741"/>
      <c r="AP321" s="741"/>
    </row>
    <row r="322" spans="1:42" ht="12.75" customHeight="1">
      <c r="A322" s="741"/>
      <c r="B322" s="741"/>
      <c r="C322" s="741"/>
      <c r="D322" s="741"/>
      <c r="E322" s="741"/>
      <c r="F322" s="741"/>
      <c r="G322" s="741"/>
      <c r="H322" s="741"/>
      <c r="I322" s="741"/>
      <c r="J322" s="741"/>
      <c r="K322" s="741"/>
      <c r="L322" s="741"/>
      <c r="M322" s="741"/>
      <c r="N322" s="741"/>
      <c r="O322" s="741"/>
      <c r="P322" s="741"/>
      <c r="Q322" s="741"/>
      <c r="R322" s="741"/>
      <c r="S322" s="741"/>
      <c r="T322" s="741"/>
      <c r="U322" s="741"/>
      <c r="V322" s="741"/>
      <c r="W322" s="741"/>
      <c r="X322" s="741"/>
      <c r="Y322" s="741"/>
      <c r="Z322" s="741"/>
      <c r="AA322" s="741"/>
      <c r="AB322" s="741"/>
      <c r="AC322" s="741"/>
      <c r="AD322" s="741"/>
      <c r="AE322" s="741"/>
      <c r="AF322" s="741"/>
      <c r="AG322" s="741"/>
      <c r="AH322" s="741"/>
      <c r="AI322" s="741"/>
      <c r="AJ322" s="741"/>
      <c r="AK322" s="741"/>
      <c r="AL322" s="741"/>
      <c r="AM322" s="741"/>
      <c r="AN322" s="741"/>
      <c r="AO322" s="741"/>
      <c r="AP322" s="741"/>
    </row>
    <row r="323" spans="1:42" ht="12.75" customHeight="1">
      <c r="A323" s="741"/>
      <c r="B323" s="741"/>
      <c r="C323" s="741"/>
      <c r="D323" s="741"/>
      <c r="E323" s="741"/>
      <c r="F323" s="741"/>
      <c r="G323" s="741"/>
      <c r="H323" s="741"/>
      <c r="I323" s="741"/>
      <c r="J323" s="741"/>
      <c r="K323" s="741"/>
      <c r="L323" s="741"/>
      <c r="M323" s="741"/>
      <c r="N323" s="741"/>
      <c r="O323" s="741"/>
      <c r="P323" s="741"/>
      <c r="Q323" s="741"/>
      <c r="R323" s="741"/>
      <c r="S323" s="741"/>
      <c r="T323" s="741"/>
      <c r="U323" s="741"/>
      <c r="V323" s="741"/>
      <c r="W323" s="741"/>
      <c r="X323" s="741"/>
      <c r="Y323" s="741"/>
      <c r="Z323" s="741"/>
      <c r="AA323" s="741"/>
      <c r="AB323" s="741"/>
      <c r="AC323" s="741"/>
      <c r="AD323" s="741"/>
      <c r="AE323" s="741"/>
      <c r="AF323" s="741"/>
      <c r="AG323" s="741"/>
      <c r="AH323" s="741"/>
      <c r="AI323" s="741"/>
      <c r="AJ323" s="741"/>
      <c r="AK323" s="741"/>
      <c r="AL323" s="741"/>
      <c r="AM323" s="741"/>
      <c r="AN323" s="741"/>
      <c r="AO323" s="741"/>
      <c r="AP323" s="741"/>
    </row>
    <row r="324" spans="1:42" ht="12.75" customHeight="1">
      <c r="A324" s="741"/>
      <c r="B324" s="741"/>
      <c r="C324" s="741"/>
      <c r="D324" s="741"/>
      <c r="E324" s="741"/>
      <c r="F324" s="741"/>
      <c r="G324" s="741"/>
      <c r="H324" s="741"/>
      <c r="I324" s="741"/>
      <c r="J324" s="741"/>
      <c r="K324" s="741"/>
      <c r="L324" s="741"/>
      <c r="M324" s="741"/>
      <c r="N324" s="741"/>
      <c r="O324" s="741"/>
      <c r="P324" s="741"/>
      <c r="Q324" s="741"/>
      <c r="R324" s="741"/>
      <c r="S324" s="741"/>
      <c r="T324" s="741"/>
      <c r="U324" s="741"/>
      <c r="V324" s="741"/>
      <c r="W324" s="741"/>
      <c r="X324" s="741"/>
      <c r="Y324" s="741"/>
      <c r="Z324" s="741"/>
      <c r="AA324" s="741"/>
      <c r="AB324" s="741"/>
      <c r="AC324" s="741"/>
      <c r="AD324" s="741"/>
      <c r="AE324" s="741"/>
      <c r="AF324" s="741"/>
      <c r="AG324" s="741"/>
      <c r="AH324" s="741"/>
      <c r="AI324" s="741"/>
      <c r="AJ324" s="741"/>
      <c r="AK324" s="741"/>
      <c r="AL324" s="741"/>
      <c r="AM324" s="741"/>
      <c r="AN324" s="741"/>
      <c r="AO324" s="741"/>
      <c r="AP324" s="741"/>
    </row>
    <row r="325" spans="1:42" ht="12.75" customHeight="1">
      <c r="A325" s="741"/>
      <c r="B325" s="741"/>
      <c r="C325" s="741"/>
      <c r="D325" s="741"/>
      <c r="E325" s="741"/>
      <c r="F325" s="741"/>
      <c r="G325" s="741"/>
      <c r="H325" s="741"/>
      <c r="I325" s="741"/>
      <c r="J325" s="741"/>
      <c r="K325" s="741"/>
      <c r="L325" s="741"/>
      <c r="M325" s="741"/>
      <c r="N325" s="741"/>
      <c r="O325" s="741"/>
      <c r="P325" s="741"/>
      <c r="Q325" s="741"/>
      <c r="R325" s="741"/>
      <c r="S325" s="741"/>
      <c r="T325" s="741"/>
      <c r="U325" s="741"/>
      <c r="V325" s="741"/>
      <c r="W325" s="741"/>
      <c r="X325" s="741"/>
      <c r="Y325" s="741"/>
      <c r="Z325" s="741"/>
      <c r="AA325" s="741"/>
      <c r="AB325" s="741"/>
      <c r="AC325" s="741"/>
      <c r="AD325" s="741"/>
      <c r="AE325" s="741"/>
      <c r="AF325" s="741"/>
      <c r="AG325" s="741"/>
      <c r="AH325" s="741"/>
      <c r="AI325" s="741"/>
      <c r="AJ325" s="741"/>
      <c r="AK325" s="741"/>
      <c r="AL325" s="741"/>
      <c r="AM325" s="741"/>
      <c r="AN325" s="741"/>
      <c r="AO325" s="741"/>
      <c r="AP325" s="741"/>
    </row>
    <row r="326" spans="1:42" ht="12.75" customHeight="1">
      <c r="A326" s="741"/>
      <c r="B326" s="741"/>
      <c r="C326" s="741"/>
      <c r="D326" s="741"/>
      <c r="E326" s="741"/>
      <c r="F326" s="741"/>
      <c r="G326" s="741"/>
      <c r="H326" s="741"/>
      <c r="I326" s="741"/>
      <c r="J326" s="741"/>
      <c r="K326" s="741"/>
      <c r="L326" s="741"/>
      <c r="M326" s="741"/>
      <c r="N326" s="741"/>
      <c r="O326" s="741"/>
      <c r="P326" s="741"/>
      <c r="Q326" s="741"/>
      <c r="R326" s="741"/>
      <c r="S326" s="741"/>
      <c r="T326" s="741"/>
      <c r="U326" s="741"/>
      <c r="V326" s="741"/>
      <c r="W326" s="741"/>
      <c r="X326" s="741"/>
      <c r="Y326" s="741"/>
      <c r="Z326" s="741"/>
      <c r="AA326" s="741"/>
      <c r="AB326" s="741"/>
      <c r="AC326" s="741"/>
      <c r="AD326" s="741"/>
      <c r="AE326" s="741"/>
      <c r="AF326" s="741"/>
      <c r="AG326" s="741"/>
      <c r="AH326" s="741"/>
      <c r="AI326" s="741"/>
      <c r="AJ326" s="741"/>
      <c r="AK326" s="741"/>
      <c r="AL326" s="741"/>
      <c r="AM326" s="741"/>
      <c r="AN326" s="741"/>
      <c r="AO326" s="741"/>
      <c r="AP326" s="741"/>
    </row>
    <row r="327" spans="1:42" ht="12.75" customHeight="1">
      <c r="A327" s="741"/>
      <c r="B327" s="741"/>
      <c r="C327" s="741"/>
      <c r="D327" s="741"/>
      <c r="E327" s="741"/>
      <c r="F327" s="741"/>
      <c r="G327" s="741"/>
      <c r="H327" s="741"/>
      <c r="I327" s="741"/>
      <c r="J327" s="741"/>
      <c r="K327" s="741"/>
      <c r="L327" s="741"/>
      <c r="M327" s="741"/>
      <c r="N327" s="741"/>
      <c r="O327" s="741"/>
      <c r="P327" s="741"/>
      <c r="Q327" s="741"/>
      <c r="R327" s="741"/>
      <c r="S327" s="741"/>
      <c r="T327" s="741"/>
      <c r="U327" s="741"/>
      <c r="V327" s="741"/>
      <c r="W327" s="741"/>
      <c r="X327" s="741"/>
      <c r="Y327" s="741"/>
      <c r="Z327" s="741"/>
      <c r="AA327" s="741"/>
      <c r="AB327" s="741"/>
      <c r="AC327" s="741"/>
      <c r="AD327" s="741"/>
      <c r="AE327" s="741"/>
      <c r="AF327" s="741"/>
      <c r="AG327" s="741"/>
      <c r="AH327" s="741"/>
      <c r="AI327" s="741"/>
      <c r="AJ327" s="741"/>
      <c r="AK327" s="741"/>
      <c r="AL327" s="741"/>
      <c r="AM327" s="741"/>
      <c r="AN327" s="741"/>
      <c r="AO327" s="741"/>
      <c r="AP327" s="741"/>
    </row>
    <row r="328" spans="1:42" ht="12.75" customHeight="1">
      <c r="A328" s="741"/>
      <c r="B328" s="741"/>
      <c r="C328" s="741"/>
      <c r="D328" s="741"/>
      <c r="E328" s="741"/>
      <c r="F328" s="741"/>
      <c r="G328" s="741"/>
      <c r="H328" s="741"/>
      <c r="I328" s="741"/>
      <c r="J328" s="741"/>
      <c r="K328" s="741"/>
      <c r="L328" s="741"/>
      <c r="M328" s="741"/>
      <c r="N328" s="741"/>
      <c r="O328" s="741"/>
      <c r="P328" s="741"/>
      <c r="Q328" s="741"/>
      <c r="R328" s="741"/>
      <c r="S328" s="741"/>
      <c r="T328" s="741"/>
      <c r="U328" s="741"/>
      <c r="V328" s="741"/>
      <c r="W328" s="741"/>
      <c r="X328" s="741"/>
      <c r="Y328" s="741"/>
      <c r="Z328" s="741"/>
      <c r="AA328" s="741"/>
      <c r="AB328" s="741"/>
      <c r="AC328" s="741"/>
      <c r="AD328" s="741"/>
      <c r="AE328" s="741"/>
      <c r="AF328" s="741"/>
      <c r="AG328" s="741"/>
      <c r="AH328" s="741"/>
      <c r="AI328" s="741"/>
      <c r="AJ328" s="741"/>
      <c r="AK328" s="741"/>
      <c r="AL328" s="741"/>
      <c r="AM328" s="741"/>
      <c r="AN328" s="741"/>
      <c r="AO328" s="741"/>
      <c r="AP328" s="741"/>
    </row>
    <row r="329" spans="1:42" ht="12.75" customHeight="1">
      <c r="A329" s="741"/>
      <c r="B329" s="741"/>
      <c r="C329" s="741"/>
      <c r="D329" s="741"/>
      <c r="E329" s="741"/>
      <c r="F329" s="741"/>
      <c r="G329" s="741"/>
      <c r="H329" s="741"/>
      <c r="I329" s="741"/>
      <c r="J329" s="741"/>
      <c r="K329" s="741"/>
      <c r="L329" s="741"/>
      <c r="M329" s="741"/>
      <c r="N329" s="741"/>
      <c r="O329" s="741"/>
      <c r="P329" s="741"/>
      <c r="Q329" s="741"/>
      <c r="R329" s="741"/>
      <c r="S329" s="741"/>
      <c r="T329" s="741"/>
      <c r="U329" s="741"/>
      <c r="V329" s="741"/>
      <c r="W329" s="741"/>
      <c r="X329" s="741"/>
      <c r="Y329" s="741"/>
      <c r="Z329" s="741"/>
      <c r="AA329" s="741"/>
      <c r="AB329" s="741"/>
      <c r="AC329" s="741"/>
      <c r="AD329" s="741"/>
      <c r="AE329" s="741"/>
      <c r="AF329" s="741"/>
      <c r="AG329" s="741"/>
      <c r="AH329" s="741"/>
      <c r="AI329" s="741"/>
      <c r="AJ329" s="741"/>
      <c r="AK329" s="741"/>
      <c r="AL329" s="741"/>
      <c r="AM329" s="741"/>
      <c r="AN329" s="741"/>
      <c r="AO329" s="741"/>
      <c r="AP329" s="741"/>
    </row>
    <row r="330" spans="1:42" ht="12.75" customHeight="1">
      <c r="A330" s="741"/>
      <c r="B330" s="741"/>
      <c r="C330" s="741"/>
      <c r="D330" s="741"/>
      <c r="E330" s="741"/>
      <c r="F330" s="741"/>
      <c r="G330" s="741"/>
      <c r="H330" s="741"/>
      <c r="I330" s="741"/>
      <c r="J330" s="741"/>
      <c r="K330" s="741"/>
      <c r="L330" s="741"/>
      <c r="M330" s="741"/>
      <c r="N330" s="741"/>
      <c r="O330" s="741"/>
      <c r="P330" s="741"/>
      <c r="Q330" s="741"/>
      <c r="R330" s="741"/>
      <c r="S330" s="741"/>
      <c r="T330" s="741"/>
      <c r="U330" s="741"/>
      <c r="V330" s="741"/>
      <c r="W330" s="741"/>
      <c r="X330" s="741"/>
      <c r="Y330" s="741"/>
      <c r="Z330" s="741"/>
      <c r="AA330" s="741"/>
      <c r="AB330" s="741"/>
      <c r="AC330" s="741"/>
      <c r="AD330" s="741"/>
      <c r="AE330" s="741"/>
      <c r="AF330" s="741"/>
      <c r="AG330" s="741"/>
      <c r="AH330" s="741"/>
      <c r="AI330" s="741"/>
      <c r="AJ330" s="741"/>
      <c r="AK330" s="741"/>
      <c r="AL330" s="741"/>
      <c r="AM330" s="741"/>
      <c r="AN330" s="741"/>
      <c r="AO330" s="741"/>
      <c r="AP330" s="741"/>
    </row>
    <row r="331" spans="1:42" ht="12.75" customHeight="1">
      <c r="A331" s="741"/>
      <c r="B331" s="741"/>
      <c r="C331" s="741"/>
      <c r="D331" s="741"/>
      <c r="E331" s="741"/>
      <c r="F331" s="741"/>
      <c r="G331" s="741"/>
      <c r="H331" s="741"/>
      <c r="I331" s="741"/>
      <c r="J331" s="741"/>
      <c r="K331" s="741"/>
      <c r="L331" s="741"/>
      <c r="M331" s="741"/>
      <c r="N331" s="741"/>
      <c r="O331" s="741"/>
      <c r="P331" s="741"/>
      <c r="Q331" s="741"/>
      <c r="R331" s="741"/>
      <c r="S331" s="741"/>
      <c r="T331" s="741"/>
      <c r="U331" s="741"/>
      <c r="V331" s="741"/>
      <c r="W331" s="741"/>
      <c r="X331" s="741"/>
      <c r="Y331" s="741"/>
      <c r="Z331" s="741"/>
      <c r="AA331" s="741"/>
      <c r="AB331" s="741"/>
      <c r="AC331" s="741"/>
      <c r="AD331" s="741"/>
      <c r="AE331" s="741"/>
      <c r="AF331" s="741"/>
      <c r="AG331" s="741"/>
      <c r="AH331" s="741"/>
      <c r="AI331" s="741"/>
      <c r="AJ331" s="741"/>
      <c r="AK331" s="741"/>
      <c r="AL331" s="741"/>
      <c r="AM331" s="741"/>
      <c r="AN331" s="741"/>
      <c r="AO331" s="741"/>
      <c r="AP331" s="741"/>
    </row>
    <row r="332" spans="1:42" ht="12.75" customHeight="1">
      <c r="A332" s="741"/>
      <c r="B332" s="741"/>
      <c r="C332" s="741"/>
      <c r="D332" s="741"/>
      <c r="E332" s="741"/>
      <c r="F332" s="741"/>
      <c r="G332" s="741"/>
      <c r="H332" s="741"/>
      <c r="I332" s="741"/>
      <c r="J332" s="741"/>
      <c r="K332" s="741"/>
      <c r="L332" s="741"/>
      <c r="M332" s="741"/>
      <c r="N332" s="741"/>
      <c r="O332" s="741"/>
      <c r="P332" s="741"/>
      <c r="Q332" s="741"/>
      <c r="R332" s="741"/>
      <c r="S332" s="741"/>
      <c r="T332" s="741"/>
      <c r="U332" s="741"/>
      <c r="V332" s="741"/>
      <c r="W332" s="741"/>
      <c r="X332" s="741"/>
      <c r="Y332" s="741"/>
      <c r="Z332" s="741"/>
      <c r="AA332" s="741"/>
      <c r="AB332" s="741"/>
      <c r="AC332" s="741"/>
      <c r="AD332" s="741"/>
      <c r="AE332" s="741"/>
      <c r="AF332" s="741"/>
      <c r="AG332" s="741"/>
      <c r="AH332" s="741"/>
      <c r="AI332" s="741"/>
      <c r="AJ332" s="741"/>
      <c r="AK332" s="741"/>
      <c r="AL332" s="741"/>
      <c r="AM332" s="741"/>
      <c r="AN332" s="741"/>
      <c r="AO332" s="741"/>
      <c r="AP332" s="741"/>
    </row>
    <row r="333" spans="1:42" ht="12.75" customHeight="1">
      <c r="A333" s="741"/>
      <c r="B333" s="741"/>
      <c r="C333" s="741"/>
      <c r="D333" s="741"/>
      <c r="E333" s="741"/>
      <c r="F333" s="741"/>
      <c r="G333" s="741"/>
      <c r="H333" s="741"/>
      <c r="I333" s="741"/>
      <c r="J333" s="741"/>
      <c r="K333" s="741"/>
      <c r="L333" s="741"/>
      <c r="M333" s="741"/>
      <c r="N333" s="741"/>
      <c r="O333" s="741"/>
      <c r="P333" s="741"/>
      <c r="Q333" s="741"/>
      <c r="R333" s="741"/>
      <c r="S333" s="741"/>
      <c r="T333" s="741"/>
      <c r="U333" s="741"/>
      <c r="V333" s="741"/>
      <c r="W333" s="741"/>
      <c r="X333" s="741"/>
      <c r="Y333" s="741"/>
      <c r="Z333" s="741"/>
      <c r="AA333" s="741"/>
      <c r="AB333" s="741"/>
      <c r="AC333" s="741"/>
      <c r="AD333" s="741"/>
      <c r="AE333" s="741"/>
      <c r="AF333" s="741"/>
      <c r="AG333" s="741"/>
      <c r="AH333" s="741"/>
      <c r="AI333" s="741"/>
      <c r="AJ333" s="741"/>
      <c r="AK333" s="741"/>
      <c r="AL333" s="741"/>
      <c r="AM333" s="741"/>
      <c r="AN333" s="741"/>
      <c r="AO333" s="741"/>
      <c r="AP333" s="741"/>
    </row>
    <row r="334" spans="1:42" ht="12.75" customHeight="1">
      <c r="A334" s="741"/>
      <c r="B334" s="741"/>
      <c r="C334" s="741"/>
      <c r="D334" s="741"/>
      <c r="E334" s="741"/>
      <c r="F334" s="741"/>
      <c r="G334" s="741"/>
      <c r="H334" s="741"/>
      <c r="I334" s="741"/>
      <c r="J334" s="741"/>
      <c r="K334" s="741"/>
      <c r="L334" s="741"/>
      <c r="M334" s="741"/>
      <c r="N334" s="741"/>
      <c r="O334" s="741"/>
      <c r="P334" s="741"/>
      <c r="Q334" s="741"/>
      <c r="R334" s="741"/>
      <c r="S334" s="741"/>
      <c r="T334" s="741"/>
      <c r="U334" s="741"/>
      <c r="V334" s="741"/>
      <c r="W334" s="741"/>
      <c r="X334" s="741"/>
      <c r="Y334" s="741"/>
      <c r="Z334" s="741"/>
      <c r="AA334" s="741"/>
      <c r="AB334" s="741"/>
      <c r="AC334" s="741"/>
      <c r="AD334" s="741"/>
      <c r="AE334" s="741"/>
      <c r="AF334" s="741"/>
      <c r="AG334" s="741"/>
      <c r="AH334" s="741"/>
      <c r="AI334" s="741"/>
      <c r="AJ334" s="741"/>
      <c r="AK334" s="741"/>
      <c r="AL334" s="741"/>
      <c r="AM334" s="741"/>
      <c r="AN334" s="741"/>
      <c r="AO334" s="741"/>
      <c r="AP334" s="741"/>
    </row>
    <row r="335" spans="1:42" ht="12.75" customHeight="1">
      <c r="A335" s="741"/>
      <c r="B335" s="741"/>
      <c r="C335" s="741"/>
      <c r="D335" s="741"/>
      <c r="E335" s="741"/>
      <c r="F335" s="741"/>
      <c r="G335" s="741"/>
      <c r="H335" s="741"/>
      <c r="I335" s="741"/>
      <c r="J335" s="741"/>
      <c r="K335" s="741"/>
      <c r="L335" s="741"/>
      <c r="M335" s="741"/>
      <c r="N335" s="741"/>
      <c r="O335" s="741"/>
      <c r="P335" s="741"/>
      <c r="Q335" s="741"/>
      <c r="R335" s="741"/>
      <c r="S335" s="741"/>
      <c r="T335" s="741"/>
      <c r="U335" s="741"/>
      <c r="V335" s="741"/>
      <c r="W335" s="741"/>
      <c r="X335" s="741"/>
      <c r="Y335" s="741"/>
      <c r="Z335" s="741"/>
      <c r="AA335" s="741"/>
      <c r="AB335" s="741"/>
      <c r="AC335" s="741"/>
      <c r="AD335" s="741"/>
      <c r="AE335" s="741"/>
      <c r="AF335" s="741"/>
      <c r="AG335" s="741"/>
      <c r="AH335" s="741"/>
      <c r="AI335" s="741"/>
      <c r="AJ335" s="741"/>
      <c r="AK335" s="741"/>
      <c r="AL335" s="741"/>
      <c r="AM335" s="741"/>
      <c r="AN335" s="741"/>
      <c r="AO335" s="741"/>
      <c r="AP335" s="741"/>
    </row>
    <row r="336" spans="1:42" ht="12.75" customHeight="1">
      <c r="A336" s="741"/>
      <c r="B336" s="741"/>
      <c r="C336" s="741"/>
      <c r="D336" s="741"/>
      <c r="E336" s="741"/>
      <c r="F336" s="741"/>
      <c r="G336" s="741"/>
      <c r="H336" s="741"/>
      <c r="I336" s="741"/>
      <c r="J336" s="741"/>
      <c r="K336" s="741"/>
      <c r="L336" s="741"/>
      <c r="M336" s="741"/>
      <c r="N336" s="741"/>
      <c r="O336" s="741"/>
      <c r="P336" s="741"/>
      <c r="Q336" s="741"/>
      <c r="R336" s="741"/>
      <c r="S336" s="741"/>
      <c r="T336" s="741"/>
      <c r="U336" s="741"/>
      <c r="V336" s="741"/>
      <c r="W336" s="741"/>
      <c r="X336" s="741"/>
      <c r="Y336" s="741"/>
      <c r="Z336" s="741"/>
      <c r="AA336" s="741"/>
      <c r="AB336" s="741"/>
      <c r="AC336" s="741"/>
      <c r="AD336" s="741"/>
      <c r="AE336" s="741"/>
      <c r="AF336" s="741"/>
      <c r="AG336" s="741"/>
      <c r="AH336" s="741"/>
      <c r="AI336" s="741"/>
      <c r="AJ336" s="741"/>
      <c r="AK336" s="741"/>
      <c r="AL336" s="741"/>
      <c r="AM336" s="741"/>
      <c r="AN336" s="741"/>
      <c r="AO336" s="741"/>
      <c r="AP336" s="741"/>
    </row>
    <row r="337" spans="1:42" ht="12.75" customHeight="1">
      <c r="A337" s="741"/>
      <c r="B337" s="741"/>
      <c r="C337" s="741"/>
      <c r="D337" s="741"/>
      <c r="E337" s="741"/>
      <c r="F337" s="741"/>
      <c r="G337" s="741"/>
      <c r="H337" s="741"/>
      <c r="I337" s="741"/>
      <c r="J337" s="741"/>
      <c r="K337" s="741"/>
      <c r="L337" s="741"/>
      <c r="M337" s="741"/>
      <c r="N337" s="741"/>
      <c r="O337" s="741"/>
      <c r="P337" s="741"/>
      <c r="Q337" s="741"/>
      <c r="R337" s="741"/>
      <c r="S337" s="741"/>
      <c r="T337" s="741"/>
      <c r="U337" s="741"/>
      <c r="V337" s="741"/>
      <c r="W337" s="741"/>
      <c r="X337" s="741"/>
      <c r="Y337" s="741"/>
      <c r="Z337" s="741"/>
      <c r="AA337" s="741"/>
      <c r="AB337" s="741"/>
      <c r="AC337" s="741"/>
      <c r="AD337" s="741"/>
      <c r="AE337" s="741"/>
      <c r="AF337" s="741"/>
      <c r="AG337" s="741"/>
      <c r="AH337" s="741"/>
      <c r="AI337" s="741"/>
      <c r="AJ337" s="741"/>
      <c r="AK337" s="741"/>
      <c r="AL337" s="741"/>
      <c r="AM337" s="741"/>
      <c r="AN337" s="741"/>
      <c r="AO337" s="741"/>
      <c r="AP337" s="741"/>
    </row>
    <row r="338" spans="1:42" ht="12.75" customHeight="1">
      <c r="A338" s="741"/>
      <c r="B338" s="741"/>
      <c r="C338" s="741"/>
      <c r="D338" s="741"/>
      <c r="E338" s="741"/>
      <c r="F338" s="741"/>
      <c r="G338" s="741"/>
      <c r="H338" s="741"/>
      <c r="I338" s="741"/>
      <c r="J338" s="741"/>
      <c r="K338" s="741"/>
      <c r="L338" s="741"/>
      <c r="M338" s="741"/>
      <c r="N338" s="741"/>
      <c r="O338" s="741"/>
      <c r="P338" s="741"/>
      <c r="Q338" s="741"/>
      <c r="R338" s="741"/>
      <c r="S338" s="741"/>
      <c r="T338" s="741"/>
      <c r="U338" s="741"/>
      <c r="V338" s="741"/>
      <c r="W338" s="741"/>
      <c r="X338" s="741"/>
      <c r="Y338" s="741"/>
      <c r="Z338" s="741"/>
      <c r="AA338" s="741"/>
      <c r="AB338" s="741"/>
      <c r="AC338" s="741"/>
      <c r="AD338" s="741"/>
      <c r="AE338" s="741"/>
      <c r="AF338" s="741"/>
      <c r="AG338" s="741"/>
      <c r="AH338" s="741"/>
      <c r="AI338" s="741"/>
      <c r="AJ338" s="741"/>
      <c r="AK338" s="741"/>
      <c r="AL338" s="741"/>
      <c r="AM338" s="741"/>
      <c r="AN338" s="741"/>
      <c r="AO338" s="741"/>
      <c r="AP338" s="741"/>
    </row>
    <row r="339" spans="1:42" ht="12.75" customHeight="1">
      <c r="A339" s="741"/>
      <c r="B339" s="741"/>
      <c r="C339" s="741"/>
      <c r="D339" s="741"/>
      <c r="E339" s="741"/>
      <c r="F339" s="741"/>
      <c r="G339" s="741"/>
      <c r="H339" s="741"/>
      <c r="I339" s="741"/>
      <c r="J339" s="741"/>
      <c r="K339" s="741"/>
      <c r="L339" s="741"/>
      <c r="M339" s="741"/>
      <c r="N339" s="741"/>
      <c r="O339" s="741"/>
      <c r="P339" s="741"/>
      <c r="Q339" s="741"/>
      <c r="R339" s="741"/>
      <c r="S339" s="741"/>
      <c r="T339" s="741"/>
      <c r="U339" s="741"/>
      <c r="V339" s="741"/>
      <c r="W339" s="741"/>
      <c r="X339" s="741"/>
      <c r="Y339" s="741"/>
      <c r="Z339" s="741"/>
      <c r="AA339" s="741"/>
      <c r="AB339" s="741"/>
      <c r="AC339" s="741"/>
      <c r="AD339" s="741"/>
      <c r="AE339" s="741"/>
      <c r="AF339" s="741"/>
      <c r="AG339" s="741"/>
      <c r="AH339" s="741"/>
      <c r="AI339" s="741"/>
      <c r="AJ339" s="741"/>
      <c r="AK339" s="741"/>
      <c r="AL339" s="741"/>
      <c r="AM339" s="741"/>
      <c r="AN339" s="741"/>
      <c r="AO339" s="741"/>
      <c r="AP339" s="741"/>
    </row>
    <row r="340" spans="1:42" ht="12.75" customHeight="1">
      <c r="A340" s="741"/>
      <c r="B340" s="741"/>
      <c r="C340" s="741"/>
      <c r="D340" s="741"/>
      <c r="E340" s="741"/>
      <c r="F340" s="741"/>
      <c r="G340" s="741"/>
      <c r="H340" s="741"/>
      <c r="I340" s="741"/>
      <c r="J340" s="741"/>
      <c r="K340" s="741"/>
      <c r="L340" s="741"/>
      <c r="M340" s="741"/>
      <c r="N340" s="741"/>
      <c r="O340" s="741"/>
      <c r="P340" s="741"/>
      <c r="Q340" s="741"/>
      <c r="R340" s="741"/>
      <c r="S340" s="741"/>
      <c r="T340" s="741"/>
      <c r="U340" s="741"/>
      <c r="V340" s="741"/>
      <c r="W340" s="741"/>
      <c r="X340" s="741"/>
      <c r="Y340" s="741"/>
      <c r="Z340" s="741"/>
      <c r="AA340" s="741"/>
      <c r="AB340" s="741"/>
      <c r="AC340" s="741"/>
      <c r="AD340" s="741"/>
      <c r="AE340" s="741"/>
      <c r="AF340" s="741"/>
      <c r="AG340" s="741"/>
      <c r="AH340" s="741"/>
      <c r="AI340" s="741"/>
      <c r="AJ340" s="741"/>
      <c r="AK340" s="741"/>
      <c r="AL340" s="741"/>
      <c r="AM340" s="741"/>
      <c r="AN340" s="741"/>
      <c r="AO340" s="741"/>
      <c r="AP340" s="741"/>
    </row>
    <row r="341" spans="1:42" ht="12.75" customHeight="1">
      <c r="A341" s="741"/>
      <c r="B341" s="741"/>
      <c r="C341" s="741"/>
      <c r="D341" s="741"/>
      <c r="E341" s="741"/>
      <c r="F341" s="741"/>
      <c r="G341" s="741"/>
      <c r="H341" s="741"/>
      <c r="I341" s="741"/>
      <c r="J341" s="741"/>
      <c r="K341" s="741"/>
      <c r="L341" s="741"/>
      <c r="M341" s="741"/>
      <c r="N341" s="741"/>
      <c r="O341" s="741"/>
      <c r="P341" s="741"/>
      <c r="Q341" s="741"/>
      <c r="R341" s="741"/>
      <c r="S341" s="741"/>
      <c r="T341" s="741"/>
      <c r="U341" s="741"/>
      <c r="V341" s="741"/>
      <c r="W341" s="741"/>
      <c r="X341" s="741"/>
      <c r="Y341" s="741"/>
      <c r="Z341" s="741"/>
      <c r="AA341" s="741"/>
      <c r="AB341" s="741"/>
      <c r="AC341" s="741"/>
      <c r="AD341" s="741"/>
      <c r="AE341" s="741"/>
      <c r="AF341" s="741"/>
      <c r="AG341" s="741"/>
      <c r="AH341" s="741"/>
      <c r="AI341" s="741"/>
      <c r="AJ341" s="741"/>
      <c r="AK341" s="741"/>
      <c r="AL341" s="741"/>
      <c r="AM341" s="741"/>
      <c r="AN341" s="741"/>
      <c r="AO341" s="741"/>
      <c r="AP341" s="741"/>
    </row>
    <row r="342" spans="1:42" ht="12.75" customHeight="1">
      <c r="A342" s="741"/>
      <c r="B342" s="741"/>
      <c r="C342" s="741"/>
      <c r="D342" s="741"/>
      <c r="E342" s="741"/>
      <c r="F342" s="741"/>
      <c r="G342" s="741"/>
      <c r="H342" s="741"/>
      <c r="I342" s="741"/>
      <c r="J342" s="741"/>
      <c r="K342" s="741"/>
      <c r="L342" s="741"/>
      <c r="M342" s="741"/>
      <c r="N342" s="741"/>
      <c r="O342" s="741"/>
      <c r="P342" s="741"/>
      <c r="Q342" s="741"/>
      <c r="R342" s="741"/>
      <c r="S342" s="741"/>
      <c r="T342" s="741"/>
      <c r="U342" s="741"/>
      <c r="V342" s="741"/>
      <c r="W342" s="741"/>
      <c r="X342" s="741"/>
      <c r="Y342" s="741"/>
      <c r="Z342" s="741"/>
      <c r="AA342" s="741"/>
      <c r="AB342" s="741"/>
      <c r="AC342" s="741"/>
      <c r="AD342" s="741"/>
      <c r="AE342" s="741"/>
      <c r="AF342" s="741"/>
      <c r="AG342" s="741"/>
      <c r="AH342" s="741"/>
      <c r="AI342" s="741"/>
      <c r="AJ342" s="741"/>
      <c r="AK342" s="741"/>
      <c r="AL342" s="741"/>
      <c r="AM342" s="741"/>
      <c r="AN342" s="741"/>
      <c r="AO342" s="741"/>
      <c r="AP342" s="741"/>
    </row>
    <row r="343" spans="1:42" ht="12.75" customHeight="1">
      <c r="A343" s="741"/>
      <c r="B343" s="741"/>
      <c r="C343" s="741"/>
      <c r="D343" s="741"/>
      <c r="E343" s="741"/>
      <c r="F343" s="741"/>
      <c r="G343" s="741"/>
      <c r="H343" s="741"/>
      <c r="I343" s="741"/>
      <c r="J343" s="741"/>
      <c r="K343" s="741"/>
      <c r="L343" s="741"/>
      <c r="M343" s="741"/>
      <c r="N343" s="741"/>
      <c r="O343" s="741"/>
      <c r="P343" s="741"/>
      <c r="Q343" s="741"/>
      <c r="R343" s="741"/>
      <c r="S343" s="741"/>
      <c r="T343" s="741"/>
      <c r="U343" s="741"/>
      <c r="V343" s="741"/>
      <c r="W343" s="741"/>
      <c r="X343" s="741"/>
      <c r="Y343" s="741"/>
      <c r="Z343" s="741"/>
      <c r="AA343" s="741"/>
      <c r="AB343" s="741"/>
      <c r="AC343" s="741"/>
      <c r="AD343" s="741"/>
      <c r="AE343" s="741"/>
      <c r="AF343" s="741"/>
      <c r="AG343" s="741"/>
      <c r="AH343" s="741"/>
      <c r="AI343" s="741"/>
      <c r="AJ343" s="741"/>
      <c r="AK343" s="741"/>
      <c r="AL343" s="741"/>
      <c r="AM343" s="741"/>
      <c r="AN343" s="741"/>
      <c r="AO343" s="741"/>
      <c r="AP343" s="741"/>
    </row>
    <row r="344" spans="1:42" ht="12.75" customHeight="1">
      <c r="A344" s="741"/>
      <c r="B344" s="741"/>
      <c r="C344" s="741"/>
      <c r="D344" s="741"/>
      <c r="E344" s="741"/>
      <c r="F344" s="741"/>
      <c r="G344" s="741"/>
      <c r="H344" s="741"/>
      <c r="I344" s="741"/>
      <c r="J344" s="741"/>
      <c r="K344" s="741"/>
      <c r="L344" s="741"/>
      <c r="M344" s="741"/>
      <c r="N344" s="741"/>
      <c r="O344" s="741"/>
      <c r="P344" s="741"/>
      <c r="Q344" s="741"/>
      <c r="R344" s="741"/>
      <c r="S344" s="741"/>
      <c r="T344" s="741"/>
      <c r="U344" s="741"/>
      <c r="V344" s="741"/>
      <c r="W344" s="741"/>
      <c r="X344" s="741"/>
      <c r="Y344" s="741"/>
      <c r="Z344" s="741"/>
      <c r="AA344" s="741"/>
      <c r="AB344" s="741"/>
      <c r="AC344" s="741"/>
      <c r="AD344" s="741"/>
      <c r="AE344" s="741"/>
      <c r="AF344" s="741"/>
      <c r="AG344" s="741"/>
      <c r="AH344" s="741"/>
      <c r="AI344" s="741"/>
      <c r="AJ344" s="741"/>
      <c r="AK344" s="741"/>
      <c r="AL344" s="741"/>
      <c r="AM344" s="741"/>
      <c r="AN344" s="741"/>
      <c r="AO344" s="741"/>
      <c r="AP344" s="741"/>
    </row>
    <row r="345" spans="1:42" ht="12.75" customHeight="1">
      <c r="A345" s="741"/>
      <c r="B345" s="741"/>
      <c r="C345" s="741"/>
      <c r="D345" s="741"/>
      <c r="E345" s="741"/>
      <c r="F345" s="741"/>
      <c r="G345" s="741"/>
      <c r="H345" s="741"/>
      <c r="I345" s="741"/>
      <c r="J345" s="741"/>
      <c r="K345" s="741"/>
      <c r="L345" s="741"/>
      <c r="M345" s="741"/>
      <c r="N345" s="741"/>
      <c r="O345" s="741"/>
      <c r="P345" s="741"/>
      <c r="Q345" s="741"/>
      <c r="R345" s="741"/>
      <c r="S345" s="741"/>
      <c r="T345" s="741"/>
      <c r="U345" s="741"/>
      <c r="V345" s="741"/>
      <c r="W345" s="741"/>
      <c r="X345" s="741"/>
      <c r="Y345" s="741"/>
      <c r="Z345" s="741"/>
      <c r="AA345" s="741"/>
      <c r="AB345" s="741"/>
      <c r="AC345" s="741"/>
      <c r="AD345" s="741"/>
      <c r="AE345" s="741"/>
      <c r="AF345" s="741"/>
      <c r="AG345" s="741"/>
      <c r="AH345" s="741"/>
      <c r="AI345" s="741"/>
      <c r="AJ345" s="741"/>
      <c r="AK345" s="741"/>
      <c r="AL345" s="741"/>
      <c r="AM345" s="741"/>
      <c r="AN345" s="741"/>
      <c r="AO345" s="741"/>
      <c r="AP345" s="741"/>
    </row>
    <row r="346" spans="1:42" ht="12.75" customHeight="1">
      <c r="A346" s="741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1"/>
      <c r="P346" s="741"/>
      <c r="Q346" s="741"/>
      <c r="R346" s="741"/>
      <c r="S346" s="741"/>
      <c r="T346" s="741"/>
      <c r="U346" s="741"/>
      <c r="V346" s="741"/>
      <c r="W346" s="741"/>
      <c r="X346" s="741"/>
      <c r="Y346" s="741"/>
      <c r="Z346" s="741"/>
      <c r="AA346" s="741"/>
      <c r="AB346" s="741"/>
      <c r="AC346" s="741"/>
      <c r="AD346" s="741"/>
      <c r="AE346" s="741"/>
      <c r="AF346" s="741"/>
      <c r="AG346" s="741"/>
      <c r="AH346" s="741"/>
      <c r="AI346" s="741"/>
      <c r="AJ346" s="741"/>
      <c r="AK346" s="741"/>
      <c r="AL346" s="741"/>
      <c r="AM346" s="741"/>
      <c r="AN346" s="741"/>
      <c r="AO346" s="741"/>
      <c r="AP346" s="741"/>
    </row>
    <row r="347" spans="1:42" ht="12.75" customHeight="1">
      <c r="A347" s="741"/>
      <c r="B347" s="741"/>
      <c r="C347" s="741"/>
      <c r="D347" s="741"/>
      <c r="E347" s="741"/>
      <c r="F347" s="741"/>
      <c r="G347" s="741"/>
      <c r="H347" s="741"/>
      <c r="I347" s="741"/>
      <c r="J347" s="741"/>
      <c r="K347" s="741"/>
      <c r="L347" s="741"/>
      <c r="M347" s="741"/>
      <c r="N347" s="741"/>
      <c r="O347" s="741"/>
      <c r="P347" s="741"/>
      <c r="Q347" s="741"/>
      <c r="R347" s="741"/>
      <c r="S347" s="741"/>
      <c r="T347" s="741"/>
      <c r="U347" s="741"/>
      <c r="V347" s="741"/>
      <c r="W347" s="741"/>
      <c r="X347" s="741"/>
      <c r="Y347" s="741"/>
      <c r="Z347" s="741"/>
      <c r="AA347" s="741"/>
      <c r="AB347" s="741"/>
      <c r="AC347" s="741"/>
      <c r="AD347" s="741"/>
      <c r="AE347" s="741"/>
      <c r="AF347" s="741"/>
      <c r="AG347" s="741"/>
      <c r="AH347" s="741"/>
      <c r="AI347" s="741"/>
      <c r="AJ347" s="741"/>
      <c r="AK347" s="741"/>
      <c r="AL347" s="741"/>
      <c r="AM347" s="741"/>
      <c r="AN347" s="741"/>
      <c r="AO347" s="741"/>
      <c r="AP347" s="741"/>
    </row>
    <row r="348" spans="1:42" ht="12.75" customHeight="1">
      <c r="A348" s="741"/>
      <c r="B348" s="741"/>
      <c r="C348" s="741"/>
      <c r="D348" s="741"/>
      <c r="E348" s="741"/>
      <c r="F348" s="741"/>
      <c r="G348" s="741"/>
      <c r="H348" s="741"/>
      <c r="I348" s="741"/>
      <c r="J348" s="741"/>
      <c r="K348" s="741"/>
      <c r="L348" s="741"/>
      <c r="M348" s="741"/>
      <c r="N348" s="741"/>
      <c r="O348" s="741"/>
      <c r="P348" s="741"/>
      <c r="Q348" s="741"/>
      <c r="R348" s="741"/>
      <c r="S348" s="741"/>
      <c r="T348" s="741"/>
      <c r="U348" s="741"/>
      <c r="V348" s="741"/>
      <c r="W348" s="741"/>
      <c r="X348" s="741"/>
      <c r="Y348" s="741"/>
      <c r="Z348" s="741"/>
      <c r="AA348" s="741"/>
      <c r="AB348" s="741"/>
      <c r="AC348" s="741"/>
      <c r="AD348" s="741"/>
      <c r="AE348" s="741"/>
      <c r="AF348" s="741"/>
      <c r="AG348" s="741"/>
      <c r="AH348" s="741"/>
      <c r="AI348" s="741"/>
      <c r="AJ348" s="741"/>
      <c r="AK348" s="741"/>
      <c r="AL348" s="741"/>
      <c r="AM348" s="741"/>
      <c r="AN348" s="741"/>
      <c r="AO348" s="741"/>
      <c r="AP348" s="741"/>
    </row>
    <row r="349" spans="1:42" ht="12.75" customHeight="1">
      <c r="A349" s="741"/>
      <c r="B349" s="741"/>
      <c r="C349" s="741"/>
      <c r="D349" s="741"/>
      <c r="E349" s="741"/>
      <c r="F349" s="741"/>
      <c r="G349" s="741"/>
      <c r="H349" s="741"/>
      <c r="I349" s="741"/>
      <c r="J349" s="741"/>
      <c r="K349" s="741"/>
      <c r="L349" s="741"/>
      <c r="M349" s="741"/>
      <c r="N349" s="741"/>
      <c r="O349" s="741"/>
      <c r="P349" s="741"/>
      <c r="Q349" s="741"/>
      <c r="R349" s="741"/>
      <c r="S349" s="741"/>
      <c r="T349" s="741"/>
      <c r="U349" s="741"/>
      <c r="V349" s="741"/>
      <c r="W349" s="741"/>
      <c r="X349" s="741"/>
      <c r="Y349" s="741"/>
      <c r="Z349" s="741"/>
      <c r="AA349" s="741"/>
      <c r="AB349" s="741"/>
      <c r="AC349" s="741"/>
      <c r="AD349" s="741"/>
      <c r="AE349" s="741"/>
      <c r="AF349" s="741"/>
      <c r="AG349" s="741"/>
      <c r="AH349" s="741"/>
      <c r="AI349" s="741"/>
      <c r="AJ349" s="741"/>
      <c r="AK349" s="741"/>
      <c r="AL349" s="741"/>
      <c r="AM349" s="741"/>
      <c r="AN349" s="741"/>
      <c r="AO349" s="741"/>
      <c r="AP349" s="741"/>
    </row>
    <row r="350" spans="1:42" ht="12.75" customHeight="1">
      <c r="A350" s="741"/>
      <c r="B350" s="741"/>
      <c r="C350" s="741"/>
      <c r="D350" s="741"/>
      <c r="E350" s="741"/>
      <c r="F350" s="741"/>
      <c r="G350" s="741"/>
      <c r="H350" s="741"/>
      <c r="I350" s="741"/>
      <c r="J350" s="741"/>
      <c r="K350" s="741"/>
      <c r="L350" s="741"/>
      <c r="M350" s="741"/>
      <c r="N350" s="741"/>
      <c r="O350" s="741"/>
      <c r="P350" s="741"/>
      <c r="Q350" s="741"/>
      <c r="R350" s="741"/>
      <c r="S350" s="741"/>
      <c r="T350" s="741"/>
      <c r="U350" s="741"/>
      <c r="V350" s="741"/>
      <c r="W350" s="741"/>
      <c r="X350" s="741"/>
      <c r="Y350" s="741"/>
      <c r="Z350" s="741"/>
      <c r="AA350" s="741"/>
      <c r="AB350" s="741"/>
      <c r="AC350" s="741"/>
      <c r="AD350" s="741"/>
      <c r="AE350" s="741"/>
      <c r="AF350" s="741"/>
      <c r="AG350" s="741"/>
      <c r="AH350" s="741"/>
      <c r="AI350" s="741"/>
      <c r="AJ350" s="741"/>
      <c r="AK350" s="741"/>
      <c r="AL350" s="741"/>
      <c r="AM350" s="741"/>
      <c r="AN350" s="741"/>
      <c r="AO350" s="741"/>
      <c r="AP350" s="741"/>
    </row>
    <row r="351" spans="1:42" ht="12.75" customHeight="1">
      <c r="A351" s="741"/>
      <c r="B351" s="741"/>
      <c r="C351" s="741"/>
      <c r="D351" s="741"/>
      <c r="E351" s="741"/>
      <c r="F351" s="741"/>
      <c r="G351" s="741"/>
      <c r="H351" s="741"/>
      <c r="I351" s="741"/>
      <c r="J351" s="741"/>
      <c r="K351" s="741"/>
      <c r="L351" s="741"/>
      <c r="M351" s="741"/>
      <c r="N351" s="741"/>
      <c r="O351" s="741"/>
      <c r="P351" s="741"/>
      <c r="Q351" s="741"/>
      <c r="R351" s="741"/>
      <c r="S351" s="741"/>
      <c r="T351" s="741"/>
      <c r="U351" s="741"/>
      <c r="V351" s="741"/>
      <c r="W351" s="741"/>
      <c r="X351" s="741"/>
      <c r="Y351" s="741"/>
      <c r="Z351" s="741"/>
      <c r="AA351" s="741"/>
      <c r="AB351" s="741"/>
      <c r="AC351" s="741"/>
      <c r="AD351" s="741"/>
      <c r="AE351" s="741"/>
      <c r="AF351" s="741"/>
      <c r="AG351" s="741"/>
      <c r="AH351" s="741"/>
      <c r="AI351" s="741"/>
      <c r="AJ351" s="741"/>
      <c r="AK351" s="741"/>
      <c r="AL351" s="741"/>
      <c r="AM351" s="741"/>
      <c r="AN351" s="741"/>
      <c r="AO351" s="741"/>
      <c r="AP351" s="741"/>
    </row>
    <row r="352" spans="1:42" ht="12.75" customHeight="1">
      <c r="A352" s="741"/>
      <c r="B352" s="741"/>
      <c r="C352" s="741"/>
      <c r="D352" s="741"/>
      <c r="E352" s="741"/>
      <c r="F352" s="741"/>
      <c r="G352" s="741"/>
      <c r="H352" s="741"/>
      <c r="I352" s="741"/>
      <c r="J352" s="741"/>
      <c r="K352" s="741"/>
      <c r="L352" s="741"/>
      <c r="M352" s="741"/>
      <c r="N352" s="741"/>
      <c r="O352" s="741"/>
      <c r="P352" s="741"/>
      <c r="Q352" s="741"/>
      <c r="R352" s="741"/>
      <c r="S352" s="741"/>
      <c r="T352" s="741"/>
      <c r="U352" s="741"/>
      <c r="V352" s="741"/>
      <c r="W352" s="741"/>
      <c r="X352" s="741"/>
      <c r="Y352" s="741"/>
      <c r="Z352" s="741"/>
      <c r="AA352" s="741"/>
      <c r="AB352" s="741"/>
      <c r="AC352" s="741"/>
      <c r="AD352" s="741"/>
      <c r="AE352" s="741"/>
      <c r="AF352" s="741"/>
      <c r="AG352" s="741"/>
      <c r="AH352" s="741"/>
      <c r="AI352" s="741"/>
      <c r="AJ352" s="741"/>
      <c r="AK352" s="741"/>
      <c r="AL352" s="741"/>
      <c r="AM352" s="741"/>
      <c r="AN352" s="741"/>
      <c r="AO352" s="741"/>
      <c r="AP352" s="741"/>
    </row>
    <row r="353" spans="1:42" ht="12.75" customHeight="1">
      <c r="A353" s="741"/>
      <c r="B353" s="741"/>
      <c r="C353" s="741"/>
      <c r="D353" s="741"/>
      <c r="E353" s="741"/>
      <c r="F353" s="741"/>
      <c r="G353" s="741"/>
      <c r="H353" s="741"/>
      <c r="I353" s="741"/>
      <c r="J353" s="741"/>
      <c r="K353" s="741"/>
      <c r="L353" s="741"/>
      <c r="M353" s="741"/>
      <c r="N353" s="741"/>
      <c r="O353" s="741"/>
      <c r="P353" s="741"/>
      <c r="Q353" s="741"/>
      <c r="R353" s="741"/>
      <c r="S353" s="741"/>
      <c r="T353" s="741"/>
      <c r="U353" s="741"/>
      <c r="V353" s="741"/>
      <c r="W353" s="741"/>
      <c r="X353" s="741"/>
      <c r="Y353" s="741"/>
      <c r="Z353" s="741"/>
      <c r="AA353" s="741"/>
      <c r="AB353" s="741"/>
      <c r="AC353" s="741"/>
      <c r="AD353" s="741"/>
      <c r="AE353" s="741"/>
      <c r="AF353" s="741"/>
      <c r="AG353" s="741"/>
      <c r="AH353" s="741"/>
      <c r="AI353" s="741"/>
      <c r="AJ353" s="741"/>
      <c r="AK353" s="741"/>
      <c r="AL353" s="741"/>
      <c r="AM353" s="741"/>
      <c r="AN353" s="741"/>
      <c r="AO353" s="741"/>
      <c r="AP353" s="741"/>
    </row>
    <row r="354" spans="1:42" ht="12.75" customHeight="1">
      <c r="A354" s="741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1"/>
      <c r="P354" s="741"/>
      <c r="Q354" s="741"/>
      <c r="R354" s="741"/>
      <c r="S354" s="741"/>
      <c r="T354" s="741"/>
      <c r="U354" s="741"/>
      <c r="V354" s="741"/>
      <c r="W354" s="741"/>
      <c r="X354" s="741"/>
      <c r="Y354" s="741"/>
      <c r="Z354" s="741"/>
      <c r="AA354" s="741"/>
      <c r="AB354" s="741"/>
      <c r="AC354" s="741"/>
      <c r="AD354" s="741"/>
      <c r="AE354" s="741"/>
      <c r="AF354" s="741"/>
      <c r="AG354" s="741"/>
      <c r="AH354" s="741"/>
      <c r="AI354" s="741"/>
      <c r="AJ354" s="741"/>
      <c r="AK354" s="741"/>
      <c r="AL354" s="741"/>
      <c r="AM354" s="741"/>
      <c r="AN354" s="741"/>
      <c r="AO354" s="741"/>
      <c r="AP354" s="741"/>
    </row>
    <row r="355" spans="1:42" ht="12.75" customHeight="1">
      <c r="A355" s="741"/>
      <c r="B355" s="741"/>
      <c r="C355" s="741"/>
      <c r="D355" s="741"/>
      <c r="E355" s="741"/>
      <c r="F355" s="741"/>
      <c r="G355" s="741"/>
      <c r="H355" s="741"/>
      <c r="I355" s="741"/>
      <c r="J355" s="741"/>
      <c r="K355" s="741"/>
      <c r="L355" s="741"/>
      <c r="M355" s="741"/>
      <c r="N355" s="741"/>
      <c r="O355" s="741"/>
      <c r="P355" s="741"/>
      <c r="Q355" s="741"/>
      <c r="R355" s="741"/>
      <c r="S355" s="741"/>
      <c r="T355" s="741"/>
      <c r="U355" s="741"/>
      <c r="V355" s="741"/>
      <c r="W355" s="741"/>
      <c r="X355" s="741"/>
      <c r="Y355" s="741"/>
      <c r="Z355" s="741"/>
      <c r="AA355" s="741"/>
      <c r="AB355" s="741"/>
      <c r="AC355" s="741"/>
      <c r="AD355" s="741"/>
      <c r="AE355" s="741"/>
      <c r="AF355" s="741"/>
      <c r="AG355" s="741"/>
      <c r="AH355" s="741"/>
      <c r="AI355" s="741"/>
      <c r="AJ355" s="741"/>
      <c r="AK355" s="741"/>
      <c r="AL355" s="741"/>
      <c r="AM355" s="741"/>
      <c r="AN355" s="741"/>
      <c r="AO355" s="741"/>
      <c r="AP355" s="741"/>
    </row>
    <row r="356" spans="1:42" ht="12.75" customHeight="1">
      <c r="A356" s="741"/>
      <c r="B356" s="741"/>
      <c r="C356" s="741"/>
      <c r="D356" s="741"/>
      <c r="E356" s="741"/>
      <c r="F356" s="741"/>
      <c r="G356" s="741"/>
      <c r="H356" s="741"/>
      <c r="I356" s="741"/>
      <c r="J356" s="741"/>
      <c r="K356" s="741"/>
      <c r="L356" s="741"/>
      <c r="M356" s="741"/>
      <c r="N356" s="741"/>
      <c r="O356" s="741"/>
      <c r="P356" s="741"/>
      <c r="Q356" s="741"/>
      <c r="R356" s="741"/>
      <c r="S356" s="741"/>
      <c r="T356" s="741"/>
      <c r="U356" s="741"/>
      <c r="V356" s="741"/>
      <c r="W356" s="741"/>
      <c r="X356" s="741"/>
      <c r="Y356" s="741"/>
      <c r="Z356" s="741"/>
      <c r="AA356" s="741"/>
      <c r="AB356" s="741"/>
      <c r="AC356" s="741"/>
      <c r="AD356" s="741"/>
      <c r="AE356" s="741"/>
      <c r="AF356" s="741"/>
      <c r="AG356" s="741"/>
      <c r="AH356" s="741"/>
      <c r="AI356" s="741"/>
      <c r="AJ356" s="741"/>
      <c r="AK356" s="741"/>
      <c r="AL356" s="741"/>
      <c r="AM356" s="741"/>
      <c r="AN356" s="741"/>
      <c r="AO356" s="741"/>
      <c r="AP356" s="741"/>
    </row>
    <row r="357" spans="1:42" ht="12.75" customHeight="1">
      <c r="A357" s="741"/>
      <c r="B357" s="741"/>
      <c r="C357" s="741"/>
      <c r="D357" s="741"/>
      <c r="E357" s="741"/>
      <c r="F357" s="741"/>
      <c r="G357" s="741"/>
      <c r="H357" s="741"/>
      <c r="I357" s="741"/>
      <c r="J357" s="741"/>
      <c r="K357" s="741"/>
      <c r="L357" s="741"/>
      <c r="M357" s="741"/>
      <c r="N357" s="741"/>
      <c r="O357" s="741"/>
      <c r="P357" s="741"/>
      <c r="Q357" s="741"/>
      <c r="R357" s="741"/>
      <c r="S357" s="741"/>
      <c r="T357" s="741"/>
      <c r="U357" s="741"/>
      <c r="V357" s="741"/>
      <c r="W357" s="741"/>
      <c r="X357" s="741"/>
      <c r="Y357" s="741"/>
      <c r="Z357" s="741"/>
      <c r="AA357" s="741"/>
      <c r="AB357" s="741"/>
      <c r="AC357" s="741"/>
      <c r="AD357" s="741"/>
      <c r="AE357" s="741"/>
      <c r="AF357" s="741"/>
      <c r="AG357" s="741"/>
      <c r="AH357" s="741"/>
      <c r="AI357" s="741"/>
      <c r="AJ357" s="741"/>
      <c r="AK357" s="741"/>
      <c r="AL357" s="741"/>
      <c r="AM357" s="741"/>
      <c r="AN357" s="741"/>
      <c r="AO357" s="741"/>
      <c r="AP357" s="741"/>
    </row>
    <row r="358" spans="1:42" ht="12.75" customHeight="1">
      <c r="A358" s="741"/>
      <c r="B358" s="741"/>
      <c r="C358" s="741"/>
      <c r="D358" s="741"/>
      <c r="E358" s="741"/>
      <c r="F358" s="741"/>
      <c r="G358" s="741"/>
      <c r="H358" s="741"/>
      <c r="I358" s="741"/>
      <c r="J358" s="741"/>
      <c r="K358" s="741"/>
      <c r="L358" s="741"/>
      <c r="M358" s="741"/>
      <c r="N358" s="741"/>
      <c r="O358" s="741"/>
      <c r="P358" s="741"/>
      <c r="Q358" s="741"/>
      <c r="R358" s="741"/>
      <c r="S358" s="741"/>
      <c r="T358" s="741"/>
      <c r="U358" s="741"/>
      <c r="V358" s="741"/>
      <c r="W358" s="741"/>
      <c r="X358" s="741"/>
      <c r="Y358" s="741"/>
      <c r="Z358" s="741"/>
      <c r="AA358" s="741"/>
      <c r="AB358" s="741"/>
      <c r="AC358" s="741"/>
      <c r="AD358" s="741"/>
      <c r="AE358" s="741"/>
      <c r="AF358" s="741"/>
      <c r="AG358" s="741"/>
      <c r="AH358" s="741"/>
      <c r="AI358" s="741"/>
      <c r="AJ358" s="741"/>
      <c r="AK358" s="741"/>
      <c r="AL358" s="741"/>
      <c r="AM358" s="741"/>
      <c r="AN358" s="741"/>
      <c r="AO358" s="741"/>
      <c r="AP358" s="741"/>
    </row>
    <row r="359" spans="1:42" ht="12.75" customHeight="1">
      <c r="A359" s="741"/>
      <c r="B359" s="741"/>
      <c r="C359" s="741"/>
      <c r="D359" s="741"/>
      <c r="E359" s="741"/>
      <c r="F359" s="741"/>
      <c r="G359" s="741"/>
      <c r="H359" s="741"/>
      <c r="I359" s="741"/>
      <c r="J359" s="741"/>
      <c r="K359" s="741"/>
      <c r="L359" s="741"/>
      <c r="M359" s="741"/>
      <c r="N359" s="741"/>
      <c r="O359" s="741"/>
      <c r="P359" s="741"/>
      <c r="Q359" s="741"/>
      <c r="R359" s="741"/>
      <c r="S359" s="741"/>
      <c r="T359" s="741"/>
      <c r="U359" s="741"/>
      <c r="V359" s="741"/>
      <c r="W359" s="741"/>
      <c r="X359" s="741"/>
      <c r="Y359" s="741"/>
      <c r="Z359" s="741"/>
      <c r="AA359" s="741"/>
      <c r="AB359" s="741"/>
      <c r="AC359" s="741"/>
      <c r="AD359" s="741"/>
      <c r="AE359" s="741"/>
      <c r="AF359" s="741"/>
      <c r="AG359" s="741"/>
      <c r="AH359" s="741"/>
      <c r="AI359" s="741"/>
      <c r="AJ359" s="741"/>
      <c r="AK359" s="741"/>
      <c r="AL359" s="741"/>
      <c r="AM359" s="741"/>
      <c r="AN359" s="741"/>
      <c r="AO359" s="741"/>
      <c r="AP359" s="741"/>
    </row>
    <row r="360" spans="1:42" ht="12.75" customHeight="1">
      <c r="A360" s="741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1"/>
      <c r="P360" s="741"/>
      <c r="Q360" s="741"/>
      <c r="R360" s="741"/>
      <c r="S360" s="741"/>
      <c r="T360" s="741"/>
      <c r="U360" s="741"/>
      <c r="V360" s="741"/>
      <c r="W360" s="741"/>
      <c r="X360" s="741"/>
      <c r="Y360" s="741"/>
      <c r="Z360" s="741"/>
      <c r="AA360" s="741"/>
      <c r="AB360" s="741"/>
      <c r="AC360" s="741"/>
      <c r="AD360" s="741"/>
      <c r="AE360" s="741"/>
      <c r="AF360" s="741"/>
      <c r="AG360" s="741"/>
      <c r="AH360" s="741"/>
      <c r="AI360" s="741"/>
      <c r="AJ360" s="741"/>
      <c r="AK360" s="741"/>
      <c r="AL360" s="741"/>
      <c r="AM360" s="741"/>
      <c r="AN360" s="741"/>
      <c r="AO360" s="741"/>
      <c r="AP360" s="741"/>
    </row>
    <row r="361" spans="1:42" ht="12.75" customHeight="1">
      <c r="A361" s="741"/>
      <c r="B361" s="741"/>
      <c r="C361" s="741"/>
      <c r="D361" s="741"/>
      <c r="E361" s="741"/>
      <c r="F361" s="741"/>
      <c r="G361" s="741"/>
      <c r="H361" s="741"/>
      <c r="I361" s="741"/>
      <c r="J361" s="741"/>
      <c r="K361" s="741"/>
      <c r="L361" s="741"/>
      <c r="M361" s="741"/>
      <c r="N361" s="741"/>
      <c r="O361" s="741"/>
      <c r="P361" s="741"/>
      <c r="Q361" s="741"/>
      <c r="R361" s="741"/>
      <c r="S361" s="741"/>
      <c r="T361" s="741"/>
      <c r="U361" s="741"/>
      <c r="V361" s="741"/>
      <c r="W361" s="741"/>
      <c r="X361" s="741"/>
      <c r="Y361" s="741"/>
      <c r="Z361" s="741"/>
      <c r="AA361" s="741"/>
      <c r="AB361" s="741"/>
      <c r="AC361" s="741"/>
      <c r="AD361" s="741"/>
      <c r="AE361" s="741"/>
      <c r="AF361" s="741"/>
      <c r="AG361" s="741"/>
      <c r="AH361" s="741"/>
      <c r="AI361" s="741"/>
      <c r="AJ361" s="741"/>
      <c r="AK361" s="741"/>
      <c r="AL361" s="741"/>
      <c r="AM361" s="741"/>
      <c r="AN361" s="741"/>
      <c r="AO361" s="741"/>
      <c r="AP361" s="741"/>
    </row>
    <row r="362" spans="1:42" ht="12.75" customHeight="1">
      <c r="A362" s="741"/>
      <c r="B362" s="741"/>
      <c r="C362" s="741"/>
      <c r="D362" s="741"/>
      <c r="E362" s="741"/>
      <c r="F362" s="741"/>
      <c r="G362" s="741"/>
      <c r="H362" s="741"/>
      <c r="I362" s="741"/>
      <c r="J362" s="741"/>
      <c r="K362" s="741"/>
      <c r="L362" s="741"/>
      <c r="M362" s="741"/>
      <c r="N362" s="741"/>
      <c r="O362" s="741"/>
      <c r="P362" s="741"/>
      <c r="Q362" s="741"/>
      <c r="R362" s="741"/>
      <c r="S362" s="741"/>
      <c r="T362" s="741"/>
      <c r="U362" s="741"/>
      <c r="V362" s="741"/>
      <c r="W362" s="741"/>
      <c r="X362" s="741"/>
      <c r="Y362" s="741"/>
      <c r="Z362" s="741"/>
      <c r="AA362" s="741"/>
      <c r="AB362" s="741"/>
      <c r="AC362" s="741"/>
      <c r="AD362" s="741"/>
      <c r="AE362" s="741"/>
      <c r="AF362" s="741"/>
      <c r="AG362" s="741"/>
      <c r="AH362" s="741"/>
      <c r="AI362" s="741"/>
      <c r="AJ362" s="741"/>
      <c r="AK362" s="741"/>
      <c r="AL362" s="741"/>
      <c r="AM362" s="741"/>
      <c r="AN362" s="741"/>
      <c r="AO362" s="741"/>
      <c r="AP362" s="741"/>
    </row>
    <row r="363" spans="1:42" ht="12.75" customHeight="1">
      <c r="A363" s="741"/>
      <c r="B363" s="741"/>
      <c r="C363" s="741"/>
      <c r="D363" s="741"/>
      <c r="E363" s="741"/>
      <c r="F363" s="741"/>
      <c r="G363" s="741"/>
      <c r="H363" s="741"/>
      <c r="I363" s="741"/>
      <c r="J363" s="741"/>
      <c r="K363" s="741"/>
      <c r="L363" s="741"/>
      <c r="M363" s="741"/>
      <c r="N363" s="741"/>
      <c r="O363" s="741"/>
      <c r="P363" s="741"/>
      <c r="Q363" s="741"/>
      <c r="R363" s="741"/>
      <c r="S363" s="741"/>
      <c r="T363" s="741"/>
      <c r="U363" s="741"/>
      <c r="V363" s="741"/>
      <c r="W363" s="741"/>
      <c r="X363" s="741"/>
      <c r="Y363" s="741"/>
      <c r="Z363" s="741"/>
      <c r="AA363" s="741"/>
      <c r="AB363" s="741"/>
      <c r="AC363" s="741"/>
      <c r="AD363" s="741"/>
      <c r="AE363" s="741"/>
      <c r="AF363" s="741"/>
      <c r="AG363" s="741"/>
      <c r="AH363" s="741"/>
      <c r="AI363" s="741"/>
      <c r="AJ363" s="741"/>
      <c r="AK363" s="741"/>
      <c r="AL363" s="741"/>
      <c r="AM363" s="741"/>
      <c r="AN363" s="741"/>
      <c r="AO363" s="741"/>
      <c r="AP363" s="741"/>
    </row>
    <row r="364" spans="1:42" ht="12.75" customHeight="1">
      <c r="A364" s="741"/>
      <c r="B364" s="741"/>
      <c r="C364" s="741"/>
      <c r="D364" s="741"/>
      <c r="E364" s="741"/>
      <c r="F364" s="741"/>
      <c r="G364" s="741"/>
      <c r="H364" s="741"/>
      <c r="I364" s="741"/>
      <c r="J364" s="741"/>
      <c r="K364" s="741"/>
      <c r="L364" s="741"/>
      <c r="M364" s="741"/>
      <c r="N364" s="741"/>
      <c r="O364" s="741"/>
      <c r="P364" s="741"/>
      <c r="Q364" s="741"/>
      <c r="R364" s="741"/>
      <c r="S364" s="741"/>
      <c r="T364" s="741"/>
      <c r="U364" s="741"/>
      <c r="V364" s="741"/>
      <c r="W364" s="741"/>
      <c r="X364" s="741"/>
      <c r="Y364" s="741"/>
      <c r="Z364" s="741"/>
      <c r="AA364" s="741"/>
      <c r="AB364" s="741"/>
      <c r="AC364" s="741"/>
      <c r="AD364" s="741"/>
      <c r="AE364" s="741"/>
      <c r="AF364" s="741"/>
      <c r="AG364" s="741"/>
      <c r="AH364" s="741"/>
      <c r="AI364" s="741"/>
      <c r="AJ364" s="741"/>
      <c r="AK364" s="741"/>
      <c r="AL364" s="741"/>
      <c r="AM364" s="741"/>
      <c r="AN364" s="741"/>
      <c r="AO364" s="741"/>
      <c r="AP364" s="741"/>
    </row>
    <row r="365" spans="1:42" ht="12.75" customHeight="1">
      <c r="A365" s="741"/>
      <c r="B365" s="741"/>
      <c r="C365" s="741"/>
      <c r="D365" s="741"/>
      <c r="E365" s="741"/>
      <c r="F365" s="741"/>
      <c r="G365" s="741"/>
      <c r="H365" s="741"/>
      <c r="I365" s="741"/>
      <c r="J365" s="741"/>
      <c r="K365" s="741"/>
      <c r="L365" s="741"/>
      <c r="M365" s="741"/>
      <c r="N365" s="741"/>
      <c r="O365" s="741"/>
      <c r="P365" s="741"/>
      <c r="Q365" s="741"/>
      <c r="R365" s="741"/>
      <c r="S365" s="741"/>
      <c r="T365" s="741"/>
      <c r="U365" s="741"/>
      <c r="V365" s="741"/>
      <c r="W365" s="741"/>
      <c r="X365" s="741"/>
      <c r="Y365" s="741"/>
      <c r="Z365" s="741"/>
      <c r="AA365" s="741"/>
      <c r="AB365" s="741"/>
      <c r="AC365" s="741"/>
      <c r="AD365" s="741"/>
      <c r="AE365" s="741"/>
      <c r="AF365" s="741"/>
      <c r="AG365" s="741"/>
      <c r="AH365" s="741"/>
      <c r="AI365" s="741"/>
      <c r="AJ365" s="741"/>
      <c r="AK365" s="741"/>
      <c r="AL365" s="741"/>
      <c r="AM365" s="741"/>
      <c r="AN365" s="741"/>
      <c r="AO365" s="741"/>
      <c r="AP365" s="741"/>
    </row>
    <row r="366" spans="1:42" ht="12.75" customHeight="1">
      <c r="A366" s="741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1"/>
      <c r="P366" s="741"/>
      <c r="Q366" s="741"/>
      <c r="R366" s="741"/>
      <c r="S366" s="741"/>
      <c r="T366" s="741"/>
      <c r="U366" s="741"/>
      <c r="V366" s="741"/>
      <c r="W366" s="741"/>
      <c r="X366" s="741"/>
      <c r="Y366" s="741"/>
      <c r="Z366" s="741"/>
      <c r="AA366" s="741"/>
      <c r="AB366" s="741"/>
      <c r="AC366" s="741"/>
      <c r="AD366" s="741"/>
      <c r="AE366" s="741"/>
      <c r="AF366" s="741"/>
      <c r="AG366" s="741"/>
      <c r="AH366" s="741"/>
      <c r="AI366" s="741"/>
      <c r="AJ366" s="741"/>
      <c r="AK366" s="741"/>
      <c r="AL366" s="741"/>
      <c r="AM366" s="741"/>
      <c r="AN366" s="741"/>
      <c r="AO366" s="741"/>
      <c r="AP366" s="741"/>
    </row>
    <row r="367" spans="1:42" ht="12.75" customHeight="1">
      <c r="A367" s="741"/>
      <c r="B367" s="741"/>
      <c r="C367" s="741"/>
      <c r="D367" s="741"/>
      <c r="E367" s="741"/>
      <c r="F367" s="741"/>
      <c r="G367" s="741"/>
      <c r="H367" s="741"/>
      <c r="I367" s="741"/>
      <c r="J367" s="741"/>
      <c r="K367" s="741"/>
      <c r="L367" s="741"/>
      <c r="M367" s="741"/>
      <c r="N367" s="741"/>
      <c r="O367" s="741"/>
      <c r="P367" s="741"/>
      <c r="Q367" s="741"/>
      <c r="R367" s="741"/>
      <c r="S367" s="741"/>
      <c r="T367" s="741"/>
      <c r="U367" s="741"/>
      <c r="V367" s="741"/>
      <c r="W367" s="741"/>
      <c r="X367" s="741"/>
      <c r="Y367" s="741"/>
      <c r="Z367" s="741"/>
      <c r="AA367" s="741"/>
      <c r="AB367" s="741"/>
      <c r="AC367" s="741"/>
      <c r="AD367" s="741"/>
      <c r="AE367" s="741"/>
      <c r="AF367" s="741"/>
      <c r="AG367" s="741"/>
      <c r="AH367" s="741"/>
      <c r="AI367" s="741"/>
      <c r="AJ367" s="741"/>
      <c r="AK367" s="741"/>
      <c r="AL367" s="741"/>
      <c r="AM367" s="741"/>
      <c r="AN367" s="741"/>
      <c r="AO367" s="741"/>
      <c r="AP367" s="741"/>
    </row>
    <row r="368" spans="1:42" ht="12.75" customHeight="1">
      <c r="A368" s="741"/>
      <c r="B368" s="741"/>
      <c r="C368" s="741"/>
      <c r="D368" s="741"/>
      <c r="E368" s="741"/>
      <c r="F368" s="741"/>
      <c r="G368" s="741"/>
      <c r="H368" s="741"/>
      <c r="I368" s="741"/>
      <c r="J368" s="741"/>
      <c r="K368" s="741"/>
      <c r="L368" s="741"/>
      <c r="M368" s="741"/>
      <c r="N368" s="741"/>
      <c r="O368" s="741"/>
      <c r="P368" s="741"/>
      <c r="Q368" s="741"/>
      <c r="R368" s="741"/>
      <c r="S368" s="741"/>
      <c r="T368" s="741"/>
      <c r="U368" s="741"/>
      <c r="V368" s="741"/>
      <c r="W368" s="741"/>
      <c r="X368" s="741"/>
      <c r="Y368" s="741"/>
      <c r="Z368" s="741"/>
      <c r="AA368" s="741"/>
      <c r="AB368" s="741"/>
      <c r="AC368" s="741"/>
      <c r="AD368" s="741"/>
      <c r="AE368" s="741"/>
      <c r="AF368" s="741"/>
      <c r="AG368" s="741"/>
      <c r="AH368" s="741"/>
      <c r="AI368" s="741"/>
      <c r="AJ368" s="741"/>
      <c r="AK368" s="741"/>
      <c r="AL368" s="741"/>
      <c r="AM368" s="741"/>
      <c r="AN368" s="741"/>
      <c r="AO368" s="741"/>
      <c r="AP368" s="741"/>
    </row>
    <row r="369" spans="1:42" ht="12.75" customHeight="1">
      <c r="A369" s="741"/>
      <c r="B369" s="741"/>
      <c r="C369" s="741"/>
      <c r="D369" s="741"/>
      <c r="E369" s="741"/>
      <c r="F369" s="741"/>
      <c r="G369" s="741"/>
      <c r="H369" s="741"/>
      <c r="I369" s="741"/>
      <c r="J369" s="741"/>
      <c r="K369" s="741"/>
      <c r="L369" s="741"/>
      <c r="M369" s="741"/>
      <c r="N369" s="741"/>
      <c r="O369" s="741"/>
      <c r="P369" s="741"/>
      <c r="Q369" s="741"/>
      <c r="R369" s="741"/>
      <c r="S369" s="741"/>
      <c r="T369" s="741"/>
      <c r="U369" s="741"/>
      <c r="V369" s="741"/>
      <c r="W369" s="741"/>
      <c r="X369" s="741"/>
      <c r="Y369" s="741"/>
      <c r="Z369" s="741"/>
      <c r="AA369" s="741"/>
      <c r="AB369" s="741"/>
      <c r="AC369" s="741"/>
      <c r="AD369" s="741"/>
      <c r="AE369" s="741"/>
      <c r="AF369" s="741"/>
      <c r="AG369" s="741"/>
      <c r="AH369" s="741"/>
      <c r="AI369" s="741"/>
      <c r="AJ369" s="741"/>
      <c r="AK369" s="741"/>
      <c r="AL369" s="741"/>
      <c r="AM369" s="741"/>
      <c r="AN369" s="741"/>
      <c r="AO369" s="741"/>
      <c r="AP369" s="741"/>
    </row>
    <row r="370" spans="1:42" ht="12.75" customHeight="1">
      <c r="A370" s="741"/>
      <c r="B370" s="741"/>
      <c r="C370" s="741"/>
      <c r="D370" s="741"/>
      <c r="E370" s="741"/>
      <c r="F370" s="741"/>
      <c r="G370" s="741"/>
      <c r="H370" s="741"/>
      <c r="I370" s="741"/>
      <c r="J370" s="741"/>
      <c r="K370" s="741"/>
      <c r="L370" s="741"/>
      <c r="M370" s="741"/>
      <c r="N370" s="741"/>
      <c r="O370" s="741"/>
      <c r="P370" s="741"/>
      <c r="Q370" s="741"/>
      <c r="R370" s="741"/>
      <c r="S370" s="741"/>
      <c r="T370" s="741"/>
      <c r="U370" s="741"/>
      <c r="V370" s="741"/>
      <c r="W370" s="741"/>
      <c r="X370" s="741"/>
      <c r="Y370" s="741"/>
      <c r="Z370" s="741"/>
      <c r="AA370" s="741"/>
      <c r="AB370" s="741"/>
      <c r="AC370" s="741"/>
      <c r="AD370" s="741"/>
      <c r="AE370" s="741"/>
      <c r="AF370" s="741"/>
      <c r="AG370" s="741"/>
      <c r="AH370" s="741"/>
      <c r="AI370" s="741"/>
      <c r="AJ370" s="741"/>
      <c r="AK370" s="741"/>
      <c r="AL370" s="741"/>
      <c r="AM370" s="741"/>
      <c r="AN370" s="741"/>
      <c r="AO370" s="741"/>
      <c r="AP370" s="741"/>
    </row>
    <row r="371" spans="1:42" ht="12.75" customHeight="1">
      <c r="A371" s="741"/>
      <c r="B371" s="741"/>
      <c r="C371" s="741"/>
      <c r="D371" s="741"/>
      <c r="E371" s="741"/>
      <c r="F371" s="741"/>
      <c r="G371" s="741"/>
      <c r="H371" s="741"/>
      <c r="I371" s="741"/>
      <c r="J371" s="741"/>
      <c r="K371" s="741"/>
      <c r="L371" s="741"/>
      <c r="M371" s="741"/>
      <c r="N371" s="741"/>
      <c r="O371" s="741"/>
      <c r="P371" s="741"/>
      <c r="Q371" s="741"/>
      <c r="R371" s="741"/>
      <c r="S371" s="741"/>
      <c r="T371" s="741"/>
      <c r="U371" s="741"/>
      <c r="V371" s="741"/>
      <c r="W371" s="741"/>
      <c r="X371" s="741"/>
      <c r="Y371" s="741"/>
      <c r="Z371" s="741"/>
      <c r="AA371" s="741"/>
      <c r="AB371" s="741"/>
      <c r="AC371" s="741"/>
      <c r="AD371" s="741"/>
      <c r="AE371" s="741"/>
      <c r="AF371" s="741"/>
      <c r="AG371" s="741"/>
      <c r="AH371" s="741"/>
      <c r="AI371" s="741"/>
      <c r="AJ371" s="741"/>
      <c r="AK371" s="741"/>
      <c r="AL371" s="741"/>
      <c r="AM371" s="741"/>
      <c r="AN371" s="741"/>
      <c r="AO371" s="741"/>
      <c r="AP371" s="741"/>
    </row>
    <row r="372" spans="1:42" ht="12.75" customHeight="1">
      <c r="A372" s="741"/>
      <c r="B372" s="741"/>
      <c r="C372" s="741"/>
      <c r="D372" s="741"/>
      <c r="E372" s="741"/>
      <c r="F372" s="741"/>
      <c r="G372" s="741"/>
      <c r="H372" s="741"/>
      <c r="I372" s="741"/>
      <c r="J372" s="741"/>
      <c r="K372" s="741"/>
      <c r="L372" s="741"/>
      <c r="M372" s="741"/>
      <c r="N372" s="741"/>
      <c r="O372" s="741"/>
      <c r="P372" s="741"/>
      <c r="Q372" s="741"/>
      <c r="R372" s="741"/>
      <c r="S372" s="741"/>
      <c r="T372" s="741"/>
      <c r="U372" s="741"/>
      <c r="V372" s="741"/>
      <c r="W372" s="741"/>
      <c r="X372" s="741"/>
      <c r="Y372" s="741"/>
      <c r="Z372" s="741"/>
      <c r="AA372" s="741"/>
      <c r="AB372" s="741"/>
      <c r="AC372" s="741"/>
      <c r="AD372" s="741"/>
      <c r="AE372" s="741"/>
      <c r="AF372" s="741"/>
      <c r="AG372" s="741"/>
      <c r="AH372" s="741"/>
      <c r="AI372" s="741"/>
      <c r="AJ372" s="741"/>
      <c r="AK372" s="741"/>
      <c r="AL372" s="741"/>
      <c r="AM372" s="741"/>
      <c r="AN372" s="741"/>
      <c r="AO372" s="741"/>
      <c r="AP372" s="741"/>
    </row>
    <row r="373" spans="1:42" ht="12.75" customHeight="1">
      <c r="A373" s="741"/>
      <c r="B373" s="741"/>
      <c r="C373" s="741"/>
      <c r="D373" s="741"/>
      <c r="E373" s="741"/>
      <c r="F373" s="741"/>
      <c r="G373" s="741"/>
      <c r="H373" s="741"/>
      <c r="I373" s="741"/>
      <c r="J373" s="741"/>
      <c r="K373" s="741"/>
      <c r="L373" s="741"/>
      <c r="M373" s="741"/>
      <c r="N373" s="741"/>
      <c r="O373" s="741"/>
      <c r="P373" s="741"/>
      <c r="Q373" s="741"/>
      <c r="R373" s="741"/>
      <c r="S373" s="741"/>
      <c r="T373" s="741"/>
      <c r="U373" s="741"/>
      <c r="V373" s="741"/>
      <c r="W373" s="741"/>
      <c r="X373" s="741"/>
      <c r="Y373" s="741"/>
      <c r="Z373" s="741"/>
      <c r="AA373" s="741"/>
      <c r="AB373" s="741"/>
      <c r="AC373" s="741"/>
      <c r="AD373" s="741"/>
      <c r="AE373" s="741"/>
      <c r="AF373" s="741"/>
      <c r="AG373" s="741"/>
      <c r="AH373" s="741"/>
      <c r="AI373" s="741"/>
      <c r="AJ373" s="741"/>
      <c r="AK373" s="741"/>
      <c r="AL373" s="741"/>
      <c r="AM373" s="741"/>
      <c r="AN373" s="741"/>
      <c r="AO373" s="741"/>
      <c r="AP373" s="741"/>
    </row>
    <row r="374" spans="1:42" ht="12.75" customHeight="1">
      <c r="A374" s="741"/>
      <c r="B374" s="741"/>
      <c r="C374" s="741"/>
      <c r="D374" s="741"/>
      <c r="E374" s="741"/>
      <c r="F374" s="741"/>
      <c r="G374" s="741"/>
      <c r="H374" s="741"/>
      <c r="I374" s="741"/>
      <c r="J374" s="741"/>
      <c r="K374" s="741"/>
      <c r="L374" s="741"/>
      <c r="M374" s="741"/>
      <c r="N374" s="741"/>
      <c r="O374" s="741"/>
      <c r="P374" s="741"/>
      <c r="Q374" s="741"/>
      <c r="R374" s="741"/>
      <c r="S374" s="741"/>
      <c r="T374" s="741"/>
      <c r="U374" s="741"/>
      <c r="V374" s="741"/>
      <c r="W374" s="741"/>
      <c r="X374" s="741"/>
      <c r="Y374" s="741"/>
      <c r="Z374" s="741"/>
      <c r="AA374" s="741"/>
      <c r="AB374" s="741"/>
      <c r="AC374" s="741"/>
      <c r="AD374" s="741"/>
      <c r="AE374" s="741"/>
      <c r="AF374" s="741"/>
      <c r="AG374" s="741"/>
      <c r="AH374" s="741"/>
      <c r="AI374" s="741"/>
      <c r="AJ374" s="741"/>
      <c r="AK374" s="741"/>
      <c r="AL374" s="741"/>
      <c r="AM374" s="741"/>
      <c r="AN374" s="741"/>
      <c r="AO374" s="741"/>
      <c r="AP374" s="741"/>
    </row>
    <row r="375" spans="1:42" ht="12.75" customHeight="1">
      <c r="A375" s="741"/>
      <c r="B375" s="741"/>
      <c r="C375" s="741"/>
      <c r="D375" s="741"/>
      <c r="E375" s="741"/>
      <c r="F375" s="741"/>
      <c r="G375" s="741"/>
      <c r="H375" s="741"/>
      <c r="I375" s="741"/>
      <c r="J375" s="741"/>
      <c r="K375" s="741"/>
      <c r="L375" s="741"/>
      <c r="M375" s="741"/>
      <c r="N375" s="741"/>
      <c r="O375" s="741"/>
      <c r="P375" s="741"/>
      <c r="Q375" s="741"/>
      <c r="R375" s="741"/>
      <c r="S375" s="741"/>
      <c r="T375" s="741"/>
      <c r="U375" s="741"/>
      <c r="V375" s="741"/>
      <c r="W375" s="741"/>
      <c r="X375" s="741"/>
      <c r="Y375" s="741"/>
      <c r="Z375" s="741"/>
      <c r="AA375" s="741"/>
      <c r="AB375" s="741"/>
      <c r="AC375" s="741"/>
      <c r="AD375" s="741"/>
      <c r="AE375" s="741"/>
      <c r="AF375" s="741"/>
      <c r="AG375" s="741"/>
      <c r="AH375" s="741"/>
      <c r="AI375" s="741"/>
      <c r="AJ375" s="741"/>
      <c r="AK375" s="741"/>
      <c r="AL375" s="741"/>
      <c r="AM375" s="741"/>
      <c r="AN375" s="741"/>
      <c r="AO375" s="741"/>
      <c r="AP375" s="741"/>
    </row>
    <row r="376" spans="1:42" ht="12.75" customHeight="1">
      <c r="A376" s="741"/>
      <c r="B376" s="741"/>
      <c r="C376" s="741"/>
      <c r="D376" s="741"/>
      <c r="E376" s="741"/>
      <c r="F376" s="741"/>
      <c r="G376" s="741"/>
      <c r="H376" s="741"/>
      <c r="I376" s="741"/>
      <c r="J376" s="741"/>
      <c r="K376" s="741"/>
      <c r="L376" s="741"/>
      <c r="M376" s="741"/>
      <c r="N376" s="741"/>
      <c r="O376" s="741"/>
      <c r="P376" s="741"/>
      <c r="Q376" s="741"/>
      <c r="R376" s="741"/>
      <c r="S376" s="741"/>
      <c r="T376" s="741"/>
      <c r="U376" s="741"/>
      <c r="V376" s="741"/>
      <c r="W376" s="741"/>
      <c r="X376" s="741"/>
      <c r="Y376" s="741"/>
      <c r="Z376" s="741"/>
      <c r="AA376" s="741"/>
      <c r="AB376" s="741"/>
      <c r="AC376" s="741"/>
      <c r="AD376" s="741"/>
      <c r="AE376" s="741"/>
      <c r="AF376" s="741"/>
      <c r="AG376" s="741"/>
      <c r="AH376" s="741"/>
      <c r="AI376" s="741"/>
      <c r="AJ376" s="741"/>
      <c r="AK376" s="741"/>
      <c r="AL376" s="741"/>
      <c r="AM376" s="741"/>
      <c r="AN376" s="741"/>
      <c r="AO376" s="741"/>
      <c r="AP376" s="741"/>
    </row>
    <row r="377" spans="1:42" ht="12.75" customHeight="1">
      <c r="A377" s="741"/>
      <c r="B377" s="741"/>
      <c r="C377" s="741"/>
      <c r="D377" s="741"/>
      <c r="E377" s="741"/>
      <c r="F377" s="741"/>
      <c r="G377" s="741"/>
      <c r="H377" s="741"/>
      <c r="I377" s="741"/>
      <c r="J377" s="741"/>
      <c r="K377" s="741"/>
      <c r="L377" s="741"/>
      <c r="M377" s="741"/>
      <c r="N377" s="741"/>
      <c r="O377" s="741"/>
      <c r="P377" s="741"/>
      <c r="Q377" s="741"/>
      <c r="R377" s="741"/>
      <c r="S377" s="741"/>
      <c r="T377" s="741"/>
      <c r="U377" s="741"/>
      <c r="V377" s="741"/>
      <c r="W377" s="741"/>
      <c r="X377" s="741"/>
      <c r="Y377" s="741"/>
      <c r="Z377" s="741"/>
      <c r="AA377" s="741"/>
      <c r="AB377" s="741"/>
      <c r="AC377" s="741"/>
      <c r="AD377" s="741"/>
      <c r="AE377" s="741"/>
      <c r="AF377" s="741"/>
      <c r="AG377" s="741"/>
      <c r="AH377" s="741"/>
      <c r="AI377" s="741"/>
      <c r="AJ377" s="741"/>
      <c r="AK377" s="741"/>
      <c r="AL377" s="741"/>
      <c r="AM377" s="741"/>
      <c r="AN377" s="741"/>
      <c r="AO377" s="741"/>
      <c r="AP377" s="741"/>
    </row>
    <row r="378" spans="1:42" ht="12.75" customHeight="1">
      <c r="A378" s="741"/>
      <c r="B378" s="741"/>
      <c r="C378" s="741"/>
      <c r="D378" s="741"/>
      <c r="E378" s="741"/>
      <c r="F378" s="741"/>
      <c r="G378" s="741"/>
      <c r="H378" s="741"/>
      <c r="I378" s="741"/>
      <c r="J378" s="741"/>
      <c r="K378" s="741"/>
      <c r="L378" s="741"/>
      <c r="M378" s="741"/>
      <c r="N378" s="741"/>
      <c r="O378" s="741"/>
      <c r="P378" s="741"/>
      <c r="Q378" s="741"/>
      <c r="R378" s="741"/>
      <c r="S378" s="741"/>
      <c r="T378" s="741"/>
      <c r="U378" s="741"/>
      <c r="V378" s="741"/>
      <c r="W378" s="741"/>
      <c r="X378" s="741"/>
      <c r="Y378" s="741"/>
      <c r="Z378" s="741"/>
      <c r="AA378" s="741"/>
      <c r="AB378" s="741"/>
      <c r="AC378" s="741"/>
      <c r="AD378" s="741"/>
      <c r="AE378" s="741"/>
      <c r="AF378" s="741"/>
      <c r="AG378" s="741"/>
      <c r="AH378" s="741"/>
      <c r="AI378" s="741"/>
      <c r="AJ378" s="741"/>
      <c r="AK378" s="741"/>
      <c r="AL378" s="741"/>
      <c r="AM378" s="741"/>
      <c r="AN378" s="741"/>
      <c r="AO378" s="741"/>
      <c r="AP378" s="741"/>
    </row>
    <row r="379" spans="1:42" ht="12.75" customHeight="1">
      <c r="A379" s="741"/>
      <c r="B379" s="741"/>
      <c r="C379" s="741"/>
      <c r="D379" s="741"/>
      <c r="E379" s="741"/>
      <c r="F379" s="741"/>
      <c r="G379" s="741"/>
      <c r="H379" s="741"/>
      <c r="I379" s="741"/>
      <c r="J379" s="741"/>
      <c r="K379" s="741"/>
      <c r="L379" s="741"/>
      <c r="M379" s="741"/>
      <c r="N379" s="741"/>
      <c r="O379" s="741"/>
      <c r="P379" s="741"/>
      <c r="Q379" s="741"/>
      <c r="R379" s="741"/>
      <c r="S379" s="741"/>
      <c r="T379" s="741"/>
      <c r="U379" s="741"/>
      <c r="V379" s="741"/>
      <c r="W379" s="741"/>
      <c r="X379" s="741"/>
      <c r="Y379" s="741"/>
      <c r="Z379" s="741"/>
      <c r="AA379" s="741"/>
      <c r="AB379" s="741"/>
      <c r="AC379" s="741"/>
      <c r="AD379" s="741"/>
      <c r="AE379" s="741"/>
      <c r="AF379" s="741"/>
      <c r="AG379" s="741"/>
      <c r="AH379" s="741"/>
      <c r="AI379" s="741"/>
      <c r="AJ379" s="741"/>
      <c r="AK379" s="741"/>
      <c r="AL379" s="741"/>
      <c r="AM379" s="741"/>
      <c r="AN379" s="741"/>
      <c r="AO379" s="741"/>
      <c r="AP379" s="741"/>
    </row>
    <row r="380" spans="1:42" ht="12.75" customHeight="1">
      <c r="A380" s="741"/>
      <c r="B380" s="741"/>
      <c r="C380" s="741"/>
      <c r="D380" s="741"/>
      <c r="E380" s="741"/>
      <c r="F380" s="741"/>
      <c r="G380" s="741"/>
      <c r="H380" s="741"/>
      <c r="I380" s="741"/>
      <c r="J380" s="741"/>
      <c r="K380" s="741"/>
      <c r="L380" s="741"/>
      <c r="M380" s="741"/>
      <c r="N380" s="741"/>
      <c r="O380" s="741"/>
      <c r="P380" s="741"/>
      <c r="Q380" s="741"/>
      <c r="R380" s="741"/>
      <c r="S380" s="741"/>
      <c r="T380" s="741"/>
      <c r="U380" s="741"/>
      <c r="V380" s="741"/>
      <c r="W380" s="741"/>
      <c r="X380" s="741"/>
      <c r="Y380" s="741"/>
      <c r="Z380" s="741"/>
      <c r="AA380" s="741"/>
      <c r="AB380" s="741"/>
      <c r="AC380" s="741"/>
      <c r="AD380" s="741"/>
      <c r="AE380" s="741"/>
      <c r="AF380" s="741"/>
      <c r="AG380" s="741"/>
      <c r="AH380" s="741"/>
      <c r="AI380" s="741"/>
      <c r="AJ380" s="741"/>
      <c r="AK380" s="741"/>
      <c r="AL380" s="741"/>
      <c r="AM380" s="741"/>
      <c r="AN380" s="741"/>
      <c r="AO380" s="741"/>
      <c r="AP380" s="741"/>
    </row>
    <row r="381" spans="1:42" ht="12.75" customHeight="1">
      <c r="A381" s="741"/>
      <c r="B381" s="741"/>
      <c r="C381" s="741"/>
      <c r="D381" s="741"/>
      <c r="E381" s="741"/>
      <c r="F381" s="741"/>
      <c r="G381" s="741"/>
      <c r="H381" s="741"/>
      <c r="I381" s="741"/>
      <c r="J381" s="741"/>
      <c r="K381" s="741"/>
      <c r="L381" s="741"/>
      <c r="M381" s="741"/>
      <c r="N381" s="741"/>
      <c r="O381" s="741"/>
      <c r="P381" s="741"/>
      <c r="Q381" s="741"/>
      <c r="R381" s="741"/>
      <c r="S381" s="741"/>
      <c r="T381" s="741"/>
      <c r="U381" s="741"/>
      <c r="V381" s="741"/>
      <c r="W381" s="741"/>
      <c r="X381" s="741"/>
      <c r="Y381" s="741"/>
      <c r="Z381" s="741"/>
      <c r="AA381" s="741"/>
      <c r="AB381" s="741"/>
      <c r="AC381" s="741"/>
      <c r="AD381" s="741"/>
      <c r="AE381" s="741"/>
      <c r="AF381" s="741"/>
      <c r="AG381" s="741"/>
      <c r="AH381" s="741"/>
      <c r="AI381" s="741"/>
      <c r="AJ381" s="741"/>
      <c r="AK381" s="741"/>
      <c r="AL381" s="741"/>
      <c r="AM381" s="741"/>
      <c r="AN381" s="741"/>
      <c r="AO381" s="741"/>
      <c r="AP381" s="741"/>
    </row>
    <row r="382" spans="1:42" ht="12.75" customHeight="1">
      <c r="A382" s="741"/>
      <c r="B382" s="741"/>
      <c r="C382" s="741"/>
      <c r="D382" s="741"/>
      <c r="E382" s="741"/>
      <c r="F382" s="741"/>
      <c r="G382" s="741"/>
      <c r="H382" s="741"/>
      <c r="I382" s="741"/>
      <c r="J382" s="741"/>
      <c r="K382" s="741"/>
      <c r="L382" s="741"/>
      <c r="M382" s="741"/>
      <c r="N382" s="741"/>
      <c r="O382" s="741"/>
      <c r="P382" s="741"/>
      <c r="Q382" s="741"/>
      <c r="R382" s="741"/>
      <c r="S382" s="741"/>
      <c r="T382" s="741"/>
      <c r="U382" s="741"/>
      <c r="V382" s="741"/>
      <c r="W382" s="741"/>
      <c r="X382" s="741"/>
      <c r="Y382" s="741"/>
      <c r="Z382" s="741"/>
      <c r="AA382" s="741"/>
      <c r="AB382" s="741"/>
      <c r="AC382" s="741"/>
      <c r="AD382" s="741"/>
      <c r="AE382" s="741"/>
      <c r="AF382" s="741"/>
      <c r="AG382" s="741"/>
      <c r="AH382" s="741"/>
      <c r="AI382" s="741"/>
      <c r="AJ382" s="741"/>
      <c r="AK382" s="741"/>
      <c r="AL382" s="741"/>
      <c r="AM382" s="741"/>
      <c r="AN382" s="741"/>
      <c r="AO382" s="741"/>
      <c r="AP382" s="741"/>
    </row>
    <row r="383" spans="1:42" ht="12.75" customHeight="1">
      <c r="A383" s="741"/>
      <c r="B383" s="741"/>
      <c r="C383" s="741"/>
      <c r="D383" s="741"/>
      <c r="E383" s="741"/>
      <c r="F383" s="741"/>
      <c r="G383" s="741"/>
      <c r="H383" s="741"/>
      <c r="I383" s="741"/>
      <c r="J383" s="741"/>
      <c r="K383" s="741"/>
      <c r="L383" s="741"/>
      <c r="M383" s="741"/>
      <c r="N383" s="741"/>
      <c r="O383" s="741"/>
      <c r="P383" s="741"/>
      <c r="Q383" s="741"/>
      <c r="R383" s="741"/>
      <c r="S383" s="741"/>
      <c r="T383" s="741"/>
      <c r="U383" s="741"/>
      <c r="V383" s="741"/>
      <c r="W383" s="741"/>
      <c r="X383" s="741"/>
      <c r="Y383" s="741"/>
      <c r="Z383" s="741"/>
      <c r="AA383" s="741"/>
      <c r="AB383" s="741"/>
      <c r="AC383" s="741"/>
      <c r="AD383" s="741"/>
      <c r="AE383" s="741"/>
      <c r="AF383" s="741"/>
      <c r="AG383" s="741"/>
      <c r="AH383" s="741"/>
      <c r="AI383" s="741"/>
      <c r="AJ383" s="741"/>
      <c r="AK383" s="741"/>
      <c r="AL383" s="741"/>
      <c r="AM383" s="741"/>
      <c r="AN383" s="741"/>
      <c r="AO383" s="741"/>
      <c r="AP383" s="741"/>
    </row>
    <row r="384" spans="1:42" ht="12.75" customHeight="1">
      <c r="A384" s="741"/>
      <c r="B384" s="741"/>
      <c r="C384" s="741"/>
      <c r="D384" s="741"/>
      <c r="E384" s="741"/>
      <c r="F384" s="741"/>
      <c r="G384" s="741"/>
      <c r="H384" s="741"/>
      <c r="I384" s="741"/>
      <c r="J384" s="741"/>
      <c r="K384" s="741"/>
      <c r="L384" s="741"/>
      <c r="M384" s="741"/>
      <c r="N384" s="741"/>
      <c r="O384" s="741"/>
      <c r="P384" s="741"/>
      <c r="Q384" s="741"/>
      <c r="R384" s="741"/>
      <c r="S384" s="741"/>
      <c r="T384" s="741"/>
      <c r="U384" s="741"/>
      <c r="V384" s="741"/>
      <c r="W384" s="741"/>
      <c r="X384" s="741"/>
      <c r="Y384" s="741"/>
      <c r="Z384" s="741"/>
      <c r="AA384" s="741"/>
      <c r="AB384" s="741"/>
      <c r="AC384" s="741"/>
      <c r="AD384" s="741"/>
      <c r="AE384" s="741"/>
      <c r="AF384" s="741"/>
      <c r="AG384" s="741"/>
      <c r="AH384" s="741"/>
      <c r="AI384" s="741"/>
      <c r="AJ384" s="741"/>
      <c r="AK384" s="741"/>
      <c r="AL384" s="741"/>
      <c r="AM384" s="741"/>
      <c r="AN384" s="741"/>
      <c r="AO384" s="741"/>
      <c r="AP384" s="741"/>
    </row>
    <row r="385" spans="1:42" ht="12.75" customHeight="1">
      <c r="A385" s="741"/>
      <c r="B385" s="741"/>
      <c r="C385" s="741"/>
      <c r="D385" s="741"/>
      <c r="E385" s="741"/>
      <c r="F385" s="741"/>
      <c r="G385" s="741"/>
      <c r="H385" s="741"/>
      <c r="I385" s="741"/>
      <c r="J385" s="741"/>
      <c r="K385" s="741"/>
      <c r="L385" s="741"/>
      <c r="M385" s="741"/>
      <c r="N385" s="741"/>
      <c r="O385" s="741"/>
      <c r="P385" s="741"/>
      <c r="Q385" s="741"/>
      <c r="R385" s="741"/>
      <c r="S385" s="741"/>
      <c r="T385" s="741"/>
      <c r="U385" s="741"/>
      <c r="V385" s="741"/>
      <c r="W385" s="741"/>
      <c r="X385" s="741"/>
      <c r="Y385" s="741"/>
      <c r="Z385" s="741"/>
      <c r="AA385" s="741"/>
      <c r="AB385" s="741"/>
      <c r="AC385" s="741"/>
      <c r="AD385" s="741"/>
      <c r="AE385" s="741"/>
      <c r="AF385" s="741"/>
      <c r="AG385" s="741"/>
      <c r="AH385" s="741"/>
      <c r="AI385" s="741"/>
      <c r="AJ385" s="741"/>
      <c r="AK385" s="741"/>
      <c r="AL385" s="741"/>
      <c r="AM385" s="741"/>
      <c r="AN385" s="741"/>
      <c r="AO385" s="741"/>
      <c r="AP385" s="741"/>
    </row>
    <row r="386" spans="1:42" ht="12.75" customHeight="1">
      <c r="A386" s="741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1"/>
      <c r="P386" s="741"/>
      <c r="Q386" s="741"/>
      <c r="R386" s="741"/>
      <c r="S386" s="741"/>
      <c r="T386" s="741"/>
      <c r="U386" s="741"/>
      <c r="V386" s="741"/>
      <c r="W386" s="741"/>
      <c r="X386" s="741"/>
      <c r="Y386" s="741"/>
      <c r="Z386" s="741"/>
      <c r="AA386" s="741"/>
      <c r="AB386" s="741"/>
      <c r="AC386" s="741"/>
      <c r="AD386" s="741"/>
      <c r="AE386" s="741"/>
      <c r="AF386" s="741"/>
      <c r="AG386" s="741"/>
      <c r="AH386" s="741"/>
      <c r="AI386" s="741"/>
      <c r="AJ386" s="741"/>
      <c r="AK386" s="741"/>
      <c r="AL386" s="741"/>
      <c r="AM386" s="741"/>
      <c r="AN386" s="741"/>
      <c r="AO386" s="741"/>
      <c r="AP386" s="741"/>
    </row>
    <row r="387" spans="1:42" ht="12.75" customHeight="1">
      <c r="A387" s="741"/>
      <c r="B387" s="741"/>
      <c r="C387" s="741"/>
      <c r="D387" s="741"/>
      <c r="E387" s="741"/>
      <c r="F387" s="741"/>
      <c r="G387" s="741"/>
      <c r="H387" s="741"/>
      <c r="I387" s="741"/>
      <c r="J387" s="741"/>
      <c r="K387" s="741"/>
      <c r="L387" s="741"/>
      <c r="M387" s="741"/>
      <c r="N387" s="741"/>
      <c r="O387" s="741"/>
      <c r="P387" s="741"/>
      <c r="Q387" s="741"/>
      <c r="R387" s="741"/>
      <c r="S387" s="741"/>
      <c r="T387" s="741"/>
      <c r="U387" s="741"/>
      <c r="V387" s="741"/>
      <c r="W387" s="741"/>
      <c r="X387" s="741"/>
      <c r="Y387" s="741"/>
      <c r="Z387" s="741"/>
      <c r="AA387" s="741"/>
      <c r="AB387" s="741"/>
      <c r="AC387" s="741"/>
      <c r="AD387" s="741"/>
      <c r="AE387" s="741"/>
      <c r="AF387" s="741"/>
      <c r="AG387" s="741"/>
      <c r="AH387" s="741"/>
      <c r="AI387" s="741"/>
      <c r="AJ387" s="741"/>
      <c r="AK387" s="741"/>
      <c r="AL387" s="741"/>
      <c r="AM387" s="741"/>
      <c r="AN387" s="741"/>
      <c r="AO387" s="741"/>
      <c r="AP387" s="741"/>
    </row>
    <row r="388" spans="1:42" ht="12.75" customHeight="1">
      <c r="A388" s="741"/>
      <c r="B388" s="741"/>
      <c r="C388" s="741"/>
      <c r="D388" s="741"/>
      <c r="E388" s="741"/>
      <c r="F388" s="741"/>
      <c r="G388" s="741"/>
      <c r="H388" s="741"/>
      <c r="I388" s="741"/>
      <c r="J388" s="741"/>
      <c r="K388" s="741"/>
      <c r="L388" s="741"/>
      <c r="M388" s="741"/>
      <c r="N388" s="741"/>
      <c r="O388" s="741"/>
      <c r="P388" s="741"/>
      <c r="Q388" s="741"/>
      <c r="R388" s="741"/>
      <c r="S388" s="741"/>
      <c r="T388" s="741"/>
      <c r="U388" s="741"/>
      <c r="V388" s="741"/>
      <c r="W388" s="741"/>
      <c r="X388" s="741"/>
      <c r="Y388" s="741"/>
      <c r="Z388" s="741"/>
      <c r="AA388" s="741"/>
      <c r="AB388" s="741"/>
      <c r="AC388" s="741"/>
      <c r="AD388" s="741"/>
      <c r="AE388" s="741"/>
      <c r="AF388" s="741"/>
      <c r="AG388" s="741"/>
      <c r="AH388" s="741"/>
      <c r="AI388" s="741"/>
      <c r="AJ388" s="741"/>
      <c r="AK388" s="741"/>
      <c r="AL388" s="741"/>
      <c r="AM388" s="741"/>
      <c r="AN388" s="741"/>
      <c r="AO388" s="741"/>
      <c r="AP388" s="741"/>
    </row>
    <row r="389" spans="1:42" ht="12.75" customHeight="1">
      <c r="A389" s="741"/>
      <c r="B389" s="741"/>
      <c r="C389" s="741"/>
      <c r="D389" s="741"/>
      <c r="E389" s="741"/>
      <c r="F389" s="741"/>
      <c r="G389" s="741"/>
      <c r="H389" s="741"/>
      <c r="I389" s="741"/>
      <c r="J389" s="741"/>
      <c r="K389" s="741"/>
      <c r="L389" s="741"/>
      <c r="M389" s="741"/>
      <c r="N389" s="741"/>
      <c r="O389" s="741"/>
      <c r="P389" s="741"/>
      <c r="Q389" s="741"/>
      <c r="R389" s="741"/>
      <c r="S389" s="741"/>
      <c r="T389" s="741"/>
      <c r="U389" s="741"/>
      <c r="V389" s="741"/>
      <c r="W389" s="741"/>
      <c r="X389" s="741"/>
      <c r="Y389" s="741"/>
      <c r="Z389" s="741"/>
      <c r="AA389" s="741"/>
      <c r="AB389" s="741"/>
      <c r="AC389" s="741"/>
      <c r="AD389" s="741"/>
      <c r="AE389" s="741"/>
      <c r="AF389" s="741"/>
      <c r="AG389" s="741"/>
      <c r="AH389" s="741"/>
      <c r="AI389" s="741"/>
      <c r="AJ389" s="741"/>
      <c r="AK389" s="741"/>
      <c r="AL389" s="741"/>
      <c r="AM389" s="741"/>
      <c r="AN389" s="741"/>
      <c r="AO389" s="741"/>
      <c r="AP389" s="741"/>
    </row>
    <row r="390" spans="1:42" ht="12.75" customHeight="1">
      <c r="A390" s="741"/>
      <c r="B390" s="741"/>
      <c r="C390" s="741"/>
      <c r="D390" s="741"/>
      <c r="E390" s="741"/>
      <c r="F390" s="741"/>
      <c r="G390" s="741"/>
      <c r="H390" s="741"/>
      <c r="I390" s="741"/>
      <c r="J390" s="741"/>
      <c r="K390" s="741"/>
      <c r="L390" s="741"/>
      <c r="M390" s="741"/>
      <c r="N390" s="741"/>
      <c r="O390" s="741"/>
      <c r="P390" s="741"/>
      <c r="Q390" s="741"/>
      <c r="R390" s="741"/>
      <c r="S390" s="741"/>
      <c r="T390" s="741"/>
      <c r="U390" s="741"/>
      <c r="V390" s="741"/>
      <c r="W390" s="741"/>
      <c r="X390" s="741"/>
      <c r="Y390" s="741"/>
      <c r="Z390" s="741"/>
      <c r="AA390" s="741"/>
      <c r="AB390" s="741"/>
      <c r="AC390" s="741"/>
      <c r="AD390" s="741"/>
      <c r="AE390" s="741"/>
      <c r="AF390" s="741"/>
      <c r="AG390" s="741"/>
      <c r="AH390" s="741"/>
      <c r="AI390" s="741"/>
      <c r="AJ390" s="741"/>
      <c r="AK390" s="741"/>
      <c r="AL390" s="741"/>
      <c r="AM390" s="741"/>
      <c r="AN390" s="741"/>
      <c r="AO390" s="741"/>
      <c r="AP390" s="741"/>
    </row>
    <row r="391" spans="1:42" ht="12.75" customHeight="1">
      <c r="A391" s="741"/>
      <c r="B391" s="741"/>
      <c r="C391" s="741"/>
      <c r="D391" s="741"/>
      <c r="E391" s="741"/>
      <c r="F391" s="741"/>
      <c r="G391" s="741"/>
      <c r="H391" s="741"/>
      <c r="I391" s="741"/>
      <c r="J391" s="741"/>
      <c r="K391" s="741"/>
      <c r="L391" s="741"/>
      <c r="M391" s="741"/>
      <c r="N391" s="741"/>
      <c r="O391" s="741"/>
      <c r="P391" s="741"/>
      <c r="Q391" s="741"/>
      <c r="R391" s="741"/>
      <c r="S391" s="741"/>
      <c r="T391" s="741"/>
      <c r="U391" s="741"/>
      <c r="V391" s="741"/>
      <c r="W391" s="741"/>
      <c r="X391" s="741"/>
      <c r="Y391" s="741"/>
      <c r="Z391" s="741"/>
      <c r="AA391" s="741"/>
      <c r="AB391" s="741"/>
      <c r="AC391" s="741"/>
      <c r="AD391" s="741"/>
      <c r="AE391" s="741"/>
      <c r="AF391" s="741"/>
      <c r="AG391" s="741"/>
      <c r="AH391" s="741"/>
      <c r="AI391" s="741"/>
      <c r="AJ391" s="741"/>
      <c r="AK391" s="741"/>
      <c r="AL391" s="741"/>
      <c r="AM391" s="741"/>
      <c r="AN391" s="741"/>
      <c r="AO391" s="741"/>
      <c r="AP391" s="741"/>
    </row>
    <row r="392" spans="1:42" ht="12.75" customHeight="1">
      <c r="A392" s="741"/>
      <c r="B392" s="741"/>
      <c r="C392" s="741"/>
      <c r="D392" s="741"/>
      <c r="E392" s="741"/>
      <c r="F392" s="741"/>
      <c r="G392" s="741"/>
      <c r="H392" s="741"/>
      <c r="I392" s="741"/>
      <c r="J392" s="741"/>
      <c r="K392" s="741"/>
      <c r="L392" s="741"/>
      <c r="M392" s="741"/>
      <c r="N392" s="741"/>
      <c r="O392" s="741"/>
      <c r="P392" s="741"/>
      <c r="Q392" s="741"/>
      <c r="R392" s="741"/>
      <c r="S392" s="741"/>
      <c r="T392" s="741"/>
      <c r="U392" s="741"/>
      <c r="V392" s="741"/>
      <c r="W392" s="741"/>
      <c r="X392" s="741"/>
      <c r="Y392" s="741"/>
      <c r="Z392" s="741"/>
      <c r="AA392" s="741"/>
      <c r="AB392" s="741"/>
      <c r="AC392" s="741"/>
      <c r="AD392" s="741"/>
      <c r="AE392" s="741"/>
      <c r="AF392" s="741"/>
      <c r="AG392" s="741"/>
      <c r="AH392" s="741"/>
      <c r="AI392" s="741"/>
      <c r="AJ392" s="741"/>
      <c r="AK392" s="741"/>
      <c r="AL392" s="741"/>
      <c r="AM392" s="741"/>
      <c r="AN392" s="741"/>
      <c r="AO392" s="741"/>
      <c r="AP392" s="741"/>
    </row>
    <row r="393" spans="1:42" ht="12.75" customHeight="1">
      <c r="A393" s="741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1"/>
      <c r="P393" s="741"/>
      <c r="Q393" s="741"/>
      <c r="R393" s="741"/>
      <c r="S393" s="741"/>
      <c r="T393" s="741"/>
      <c r="U393" s="741"/>
      <c r="V393" s="741"/>
      <c r="W393" s="741"/>
      <c r="X393" s="741"/>
      <c r="Y393" s="741"/>
      <c r="Z393" s="741"/>
      <c r="AA393" s="741"/>
      <c r="AB393" s="741"/>
      <c r="AC393" s="741"/>
      <c r="AD393" s="741"/>
      <c r="AE393" s="741"/>
      <c r="AF393" s="741"/>
      <c r="AG393" s="741"/>
      <c r="AH393" s="741"/>
      <c r="AI393" s="741"/>
      <c r="AJ393" s="741"/>
      <c r="AK393" s="741"/>
      <c r="AL393" s="741"/>
      <c r="AM393" s="741"/>
      <c r="AN393" s="741"/>
      <c r="AO393" s="741"/>
      <c r="AP393" s="741"/>
    </row>
    <row r="394" spans="1:42" ht="12.75" customHeight="1">
      <c r="A394" s="741"/>
      <c r="B394" s="741"/>
      <c r="C394" s="741"/>
      <c r="D394" s="741"/>
      <c r="E394" s="741"/>
      <c r="F394" s="741"/>
      <c r="G394" s="741"/>
      <c r="H394" s="741"/>
      <c r="I394" s="741"/>
      <c r="J394" s="741"/>
      <c r="K394" s="741"/>
      <c r="L394" s="741"/>
      <c r="M394" s="741"/>
      <c r="N394" s="741"/>
      <c r="O394" s="741"/>
      <c r="P394" s="741"/>
      <c r="Q394" s="741"/>
      <c r="R394" s="741"/>
      <c r="S394" s="741"/>
      <c r="T394" s="741"/>
      <c r="U394" s="741"/>
      <c r="V394" s="741"/>
      <c r="W394" s="741"/>
      <c r="X394" s="741"/>
      <c r="Y394" s="741"/>
      <c r="Z394" s="741"/>
      <c r="AA394" s="741"/>
      <c r="AB394" s="741"/>
      <c r="AC394" s="741"/>
      <c r="AD394" s="741"/>
      <c r="AE394" s="741"/>
      <c r="AF394" s="741"/>
      <c r="AG394" s="741"/>
      <c r="AH394" s="741"/>
      <c r="AI394" s="741"/>
      <c r="AJ394" s="741"/>
      <c r="AK394" s="741"/>
      <c r="AL394" s="741"/>
      <c r="AM394" s="741"/>
      <c r="AN394" s="741"/>
      <c r="AO394" s="741"/>
      <c r="AP394" s="741"/>
    </row>
    <row r="395" spans="1:42" ht="12.75" customHeight="1">
      <c r="A395" s="741"/>
      <c r="B395" s="741"/>
      <c r="C395" s="741"/>
      <c r="D395" s="741"/>
      <c r="E395" s="741"/>
      <c r="F395" s="741"/>
      <c r="G395" s="741"/>
      <c r="H395" s="741"/>
      <c r="I395" s="741"/>
      <c r="J395" s="741"/>
      <c r="K395" s="741"/>
      <c r="L395" s="741"/>
      <c r="M395" s="741"/>
      <c r="N395" s="741"/>
      <c r="O395" s="741"/>
      <c r="P395" s="741"/>
      <c r="Q395" s="741"/>
      <c r="R395" s="741"/>
      <c r="S395" s="741"/>
      <c r="T395" s="741"/>
      <c r="U395" s="741"/>
      <c r="V395" s="741"/>
      <c r="W395" s="741"/>
      <c r="X395" s="741"/>
      <c r="Y395" s="741"/>
      <c r="Z395" s="741"/>
      <c r="AA395" s="741"/>
      <c r="AB395" s="741"/>
      <c r="AC395" s="741"/>
      <c r="AD395" s="741"/>
      <c r="AE395" s="741"/>
      <c r="AF395" s="741"/>
      <c r="AG395" s="741"/>
      <c r="AH395" s="741"/>
      <c r="AI395" s="741"/>
      <c r="AJ395" s="741"/>
      <c r="AK395" s="741"/>
      <c r="AL395" s="741"/>
      <c r="AM395" s="741"/>
      <c r="AN395" s="741"/>
      <c r="AO395" s="741"/>
      <c r="AP395" s="741"/>
    </row>
    <row r="396" spans="1:42" ht="12.75" customHeight="1">
      <c r="A396" s="741"/>
      <c r="B396" s="741"/>
      <c r="C396" s="741"/>
      <c r="D396" s="741"/>
      <c r="E396" s="741"/>
      <c r="F396" s="741"/>
      <c r="G396" s="741"/>
      <c r="H396" s="741"/>
      <c r="I396" s="741"/>
      <c r="J396" s="741"/>
      <c r="K396" s="741"/>
      <c r="L396" s="741"/>
      <c r="M396" s="741"/>
      <c r="N396" s="741"/>
      <c r="O396" s="741"/>
      <c r="P396" s="741"/>
      <c r="Q396" s="741"/>
      <c r="R396" s="741"/>
      <c r="S396" s="741"/>
      <c r="T396" s="741"/>
      <c r="U396" s="741"/>
      <c r="V396" s="741"/>
      <c r="W396" s="741"/>
      <c r="X396" s="741"/>
      <c r="Y396" s="741"/>
      <c r="Z396" s="741"/>
      <c r="AA396" s="741"/>
      <c r="AB396" s="741"/>
      <c r="AC396" s="741"/>
      <c r="AD396" s="741"/>
      <c r="AE396" s="741"/>
      <c r="AF396" s="741"/>
      <c r="AG396" s="741"/>
      <c r="AH396" s="741"/>
      <c r="AI396" s="741"/>
      <c r="AJ396" s="741"/>
      <c r="AK396" s="741"/>
      <c r="AL396" s="741"/>
      <c r="AM396" s="741"/>
      <c r="AN396" s="741"/>
      <c r="AO396" s="741"/>
      <c r="AP396" s="741"/>
    </row>
    <row r="397" spans="1:42" ht="12.75" customHeight="1">
      <c r="A397" s="741"/>
      <c r="B397" s="741"/>
      <c r="C397" s="741"/>
      <c r="D397" s="741"/>
      <c r="E397" s="741"/>
      <c r="F397" s="741"/>
      <c r="G397" s="741"/>
      <c r="H397" s="741"/>
      <c r="I397" s="741"/>
      <c r="J397" s="741"/>
      <c r="K397" s="741"/>
      <c r="L397" s="741"/>
      <c r="M397" s="741"/>
      <c r="N397" s="741"/>
      <c r="O397" s="741"/>
      <c r="P397" s="741"/>
      <c r="Q397" s="741"/>
      <c r="R397" s="741"/>
      <c r="S397" s="741"/>
      <c r="T397" s="741"/>
      <c r="U397" s="741"/>
      <c r="V397" s="741"/>
      <c r="W397" s="741"/>
      <c r="X397" s="741"/>
      <c r="Y397" s="741"/>
      <c r="Z397" s="741"/>
      <c r="AA397" s="741"/>
      <c r="AB397" s="741"/>
      <c r="AC397" s="741"/>
      <c r="AD397" s="741"/>
      <c r="AE397" s="741"/>
      <c r="AF397" s="741"/>
      <c r="AG397" s="741"/>
      <c r="AH397" s="741"/>
      <c r="AI397" s="741"/>
      <c r="AJ397" s="741"/>
      <c r="AK397" s="741"/>
      <c r="AL397" s="741"/>
      <c r="AM397" s="741"/>
      <c r="AN397" s="741"/>
      <c r="AO397" s="741"/>
      <c r="AP397" s="741"/>
    </row>
    <row r="398" spans="1:42" ht="12.75" customHeight="1">
      <c r="A398" s="741"/>
      <c r="B398" s="741"/>
      <c r="C398" s="741"/>
      <c r="D398" s="741"/>
      <c r="E398" s="741"/>
      <c r="F398" s="741"/>
      <c r="G398" s="741"/>
      <c r="H398" s="741"/>
      <c r="I398" s="741"/>
      <c r="J398" s="741"/>
      <c r="K398" s="741"/>
      <c r="L398" s="741"/>
      <c r="M398" s="741"/>
      <c r="N398" s="741"/>
      <c r="O398" s="741"/>
      <c r="P398" s="741"/>
      <c r="Q398" s="741"/>
      <c r="R398" s="741"/>
      <c r="S398" s="741"/>
      <c r="T398" s="741"/>
      <c r="U398" s="741"/>
      <c r="V398" s="741"/>
      <c r="W398" s="741"/>
      <c r="X398" s="741"/>
      <c r="Y398" s="741"/>
      <c r="Z398" s="741"/>
      <c r="AA398" s="741"/>
      <c r="AB398" s="741"/>
      <c r="AC398" s="741"/>
      <c r="AD398" s="741"/>
      <c r="AE398" s="741"/>
      <c r="AF398" s="741"/>
      <c r="AG398" s="741"/>
      <c r="AH398" s="741"/>
      <c r="AI398" s="741"/>
      <c r="AJ398" s="741"/>
      <c r="AK398" s="741"/>
      <c r="AL398" s="741"/>
      <c r="AM398" s="741"/>
      <c r="AN398" s="741"/>
      <c r="AO398" s="741"/>
      <c r="AP398" s="741"/>
    </row>
    <row r="399" spans="1:42" ht="12.75" customHeight="1">
      <c r="A399" s="741"/>
      <c r="B399" s="741"/>
      <c r="C399" s="741"/>
      <c r="D399" s="741"/>
      <c r="E399" s="741"/>
      <c r="F399" s="741"/>
      <c r="G399" s="741"/>
      <c r="H399" s="741"/>
      <c r="I399" s="741"/>
      <c r="J399" s="741"/>
      <c r="K399" s="741"/>
      <c r="L399" s="741"/>
      <c r="M399" s="741"/>
      <c r="N399" s="741"/>
      <c r="O399" s="741"/>
      <c r="P399" s="741"/>
      <c r="Q399" s="741"/>
      <c r="R399" s="741"/>
      <c r="S399" s="741"/>
      <c r="T399" s="741"/>
      <c r="U399" s="741"/>
      <c r="V399" s="741"/>
      <c r="W399" s="741"/>
      <c r="X399" s="741"/>
      <c r="Y399" s="741"/>
      <c r="Z399" s="741"/>
      <c r="AA399" s="741"/>
      <c r="AB399" s="741"/>
      <c r="AC399" s="741"/>
      <c r="AD399" s="741"/>
      <c r="AE399" s="741"/>
      <c r="AF399" s="741"/>
      <c r="AG399" s="741"/>
      <c r="AH399" s="741"/>
      <c r="AI399" s="741"/>
      <c r="AJ399" s="741"/>
      <c r="AK399" s="741"/>
      <c r="AL399" s="741"/>
      <c r="AM399" s="741"/>
      <c r="AN399" s="741"/>
      <c r="AO399" s="741"/>
      <c r="AP399" s="741"/>
    </row>
    <row r="400" spans="1:42" ht="12.75" customHeight="1">
      <c r="A400" s="741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1"/>
      <c r="P400" s="741"/>
      <c r="Q400" s="741"/>
      <c r="R400" s="741"/>
      <c r="S400" s="741"/>
      <c r="T400" s="741"/>
      <c r="U400" s="741"/>
      <c r="V400" s="741"/>
      <c r="W400" s="741"/>
      <c r="X400" s="741"/>
      <c r="Y400" s="741"/>
      <c r="Z400" s="741"/>
      <c r="AA400" s="741"/>
      <c r="AB400" s="741"/>
      <c r="AC400" s="741"/>
      <c r="AD400" s="741"/>
      <c r="AE400" s="741"/>
      <c r="AF400" s="741"/>
      <c r="AG400" s="741"/>
      <c r="AH400" s="741"/>
      <c r="AI400" s="741"/>
      <c r="AJ400" s="741"/>
      <c r="AK400" s="741"/>
      <c r="AL400" s="741"/>
      <c r="AM400" s="741"/>
      <c r="AN400" s="741"/>
      <c r="AO400" s="741"/>
      <c r="AP400" s="741"/>
    </row>
    <row r="401" spans="1:42" ht="12.75" customHeight="1">
      <c r="A401" s="741"/>
      <c r="B401" s="741"/>
      <c r="C401" s="741"/>
      <c r="D401" s="741"/>
      <c r="E401" s="741"/>
      <c r="F401" s="741"/>
      <c r="G401" s="741"/>
      <c r="H401" s="741"/>
      <c r="I401" s="741"/>
      <c r="J401" s="741"/>
      <c r="K401" s="741"/>
      <c r="L401" s="741"/>
      <c r="M401" s="741"/>
      <c r="N401" s="741"/>
      <c r="O401" s="741"/>
      <c r="P401" s="741"/>
      <c r="Q401" s="741"/>
      <c r="R401" s="741"/>
      <c r="S401" s="741"/>
      <c r="T401" s="741"/>
      <c r="U401" s="741"/>
      <c r="V401" s="741"/>
      <c r="W401" s="741"/>
      <c r="X401" s="741"/>
      <c r="Y401" s="741"/>
      <c r="Z401" s="741"/>
      <c r="AA401" s="741"/>
      <c r="AB401" s="741"/>
      <c r="AC401" s="741"/>
      <c r="AD401" s="741"/>
      <c r="AE401" s="741"/>
      <c r="AF401" s="741"/>
      <c r="AG401" s="741"/>
      <c r="AH401" s="741"/>
      <c r="AI401" s="741"/>
      <c r="AJ401" s="741"/>
      <c r="AK401" s="741"/>
      <c r="AL401" s="741"/>
      <c r="AM401" s="741"/>
      <c r="AN401" s="741"/>
      <c r="AO401" s="741"/>
      <c r="AP401" s="741"/>
    </row>
    <row r="402" spans="1:42" ht="12.75" customHeight="1">
      <c r="A402" s="741"/>
      <c r="B402" s="741"/>
      <c r="C402" s="741"/>
      <c r="D402" s="741"/>
      <c r="E402" s="741"/>
      <c r="F402" s="741"/>
      <c r="G402" s="741"/>
      <c r="H402" s="741"/>
      <c r="I402" s="741"/>
      <c r="J402" s="741"/>
      <c r="K402" s="741"/>
      <c r="L402" s="741"/>
      <c r="M402" s="741"/>
      <c r="N402" s="741"/>
      <c r="O402" s="741"/>
      <c r="P402" s="741"/>
      <c r="Q402" s="741"/>
      <c r="R402" s="741"/>
      <c r="S402" s="741"/>
      <c r="T402" s="741"/>
      <c r="U402" s="741"/>
      <c r="V402" s="741"/>
      <c r="W402" s="741"/>
      <c r="X402" s="741"/>
      <c r="Y402" s="741"/>
      <c r="Z402" s="741"/>
      <c r="AA402" s="741"/>
      <c r="AB402" s="741"/>
      <c r="AC402" s="741"/>
      <c r="AD402" s="741"/>
      <c r="AE402" s="741"/>
      <c r="AF402" s="741"/>
      <c r="AG402" s="741"/>
      <c r="AH402" s="741"/>
      <c r="AI402" s="741"/>
      <c r="AJ402" s="741"/>
      <c r="AK402" s="741"/>
      <c r="AL402" s="741"/>
      <c r="AM402" s="741"/>
      <c r="AN402" s="741"/>
      <c r="AO402" s="741"/>
      <c r="AP402" s="741"/>
    </row>
    <row r="403" spans="1:42" ht="12.75" customHeight="1">
      <c r="A403" s="741"/>
      <c r="B403" s="741"/>
      <c r="C403" s="741"/>
      <c r="D403" s="741"/>
      <c r="E403" s="741"/>
      <c r="F403" s="741"/>
      <c r="G403" s="741"/>
      <c r="H403" s="741"/>
      <c r="I403" s="741"/>
      <c r="J403" s="741"/>
      <c r="K403" s="741"/>
      <c r="L403" s="741"/>
      <c r="M403" s="741"/>
      <c r="N403" s="741"/>
      <c r="O403" s="741"/>
      <c r="P403" s="741"/>
      <c r="Q403" s="741"/>
      <c r="R403" s="741"/>
      <c r="S403" s="741"/>
      <c r="T403" s="741"/>
      <c r="U403" s="741"/>
      <c r="V403" s="741"/>
      <c r="W403" s="741"/>
      <c r="X403" s="741"/>
      <c r="Y403" s="741"/>
      <c r="Z403" s="741"/>
      <c r="AA403" s="741"/>
      <c r="AB403" s="741"/>
      <c r="AC403" s="741"/>
      <c r="AD403" s="741"/>
      <c r="AE403" s="741"/>
      <c r="AF403" s="741"/>
      <c r="AG403" s="741"/>
      <c r="AH403" s="741"/>
      <c r="AI403" s="741"/>
      <c r="AJ403" s="741"/>
      <c r="AK403" s="741"/>
      <c r="AL403" s="741"/>
      <c r="AM403" s="741"/>
      <c r="AN403" s="741"/>
      <c r="AO403" s="741"/>
      <c r="AP403" s="741"/>
    </row>
    <row r="404" spans="1:42" ht="12.75" customHeight="1">
      <c r="A404" s="741"/>
      <c r="B404" s="741"/>
      <c r="C404" s="741"/>
      <c r="D404" s="741"/>
      <c r="E404" s="741"/>
      <c r="F404" s="741"/>
      <c r="G404" s="741"/>
      <c r="H404" s="741"/>
      <c r="I404" s="741"/>
      <c r="J404" s="741"/>
      <c r="K404" s="741"/>
      <c r="L404" s="741"/>
      <c r="M404" s="741"/>
      <c r="N404" s="741"/>
      <c r="O404" s="741"/>
      <c r="P404" s="741"/>
      <c r="Q404" s="741"/>
      <c r="R404" s="741"/>
      <c r="S404" s="741"/>
      <c r="T404" s="741"/>
      <c r="U404" s="741"/>
      <c r="V404" s="741"/>
      <c r="W404" s="741"/>
      <c r="X404" s="741"/>
      <c r="Y404" s="741"/>
      <c r="Z404" s="741"/>
      <c r="AA404" s="741"/>
      <c r="AB404" s="741"/>
      <c r="AC404" s="741"/>
      <c r="AD404" s="741"/>
      <c r="AE404" s="741"/>
      <c r="AF404" s="741"/>
      <c r="AG404" s="741"/>
      <c r="AH404" s="741"/>
      <c r="AI404" s="741"/>
      <c r="AJ404" s="741"/>
      <c r="AK404" s="741"/>
      <c r="AL404" s="741"/>
      <c r="AM404" s="741"/>
      <c r="AN404" s="741"/>
      <c r="AO404" s="741"/>
      <c r="AP404" s="741"/>
    </row>
    <row r="405" spans="1:42" ht="12.75" customHeight="1">
      <c r="A405" s="741"/>
      <c r="B405" s="741"/>
      <c r="C405" s="741"/>
      <c r="D405" s="741"/>
      <c r="E405" s="741"/>
      <c r="F405" s="741"/>
      <c r="G405" s="741"/>
      <c r="H405" s="741"/>
      <c r="I405" s="741"/>
      <c r="J405" s="741"/>
      <c r="K405" s="741"/>
      <c r="L405" s="741"/>
      <c r="M405" s="741"/>
      <c r="N405" s="741"/>
      <c r="O405" s="741"/>
      <c r="P405" s="741"/>
      <c r="Q405" s="741"/>
      <c r="R405" s="741"/>
      <c r="S405" s="741"/>
      <c r="T405" s="741"/>
      <c r="U405" s="741"/>
      <c r="V405" s="741"/>
      <c r="W405" s="741"/>
      <c r="X405" s="741"/>
      <c r="Y405" s="741"/>
      <c r="Z405" s="741"/>
      <c r="AA405" s="741"/>
      <c r="AB405" s="741"/>
      <c r="AC405" s="741"/>
      <c r="AD405" s="741"/>
      <c r="AE405" s="741"/>
      <c r="AF405" s="741"/>
      <c r="AG405" s="741"/>
      <c r="AH405" s="741"/>
      <c r="AI405" s="741"/>
      <c r="AJ405" s="741"/>
      <c r="AK405" s="741"/>
      <c r="AL405" s="741"/>
      <c r="AM405" s="741"/>
      <c r="AN405" s="741"/>
      <c r="AO405" s="741"/>
      <c r="AP405" s="741"/>
    </row>
    <row r="406" spans="1:42" ht="12.75" customHeight="1">
      <c r="A406" s="741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1"/>
      <c r="P406" s="741"/>
      <c r="Q406" s="741"/>
      <c r="R406" s="741"/>
      <c r="S406" s="741"/>
      <c r="T406" s="741"/>
      <c r="U406" s="741"/>
      <c r="V406" s="741"/>
      <c r="W406" s="741"/>
      <c r="X406" s="741"/>
      <c r="Y406" s="741"/>
      <c r="Z406" s="741"/>
      <c r="AA406" s="741"/>
      <c r="AB406" s="741"/>
      <c r="AC406" s="741"/>
      <c r="AD406" s="741"/>
      <c r="AE406" s="741"/>
      <c r="AF406" s="741"/>
      <c r="AG406" s="741"/>
      <c r="AH406" s="741"/>
      <c r="AI406" s="741"/>
      <c r="AJ406" s="741"/>
      <c r="AK406" s="741"/>
      <c r="AL406" s="741"/>
      <c r="AM406" s="741"/>
      <c r="AN406" s="741"/>
      <c r="AO406" s="741"/>
      <c r="AP406" s="741"/>
    </row>
    <row r="407" spans="1:42" ht="12.75" customHeight="1">
      <c r="A407" s="741"/>
      <c r="B407" s="741"/>
      <c r="C407" s="741"/>
      <c r="D407" s="741"/>
      <c r="E407" s="741"/>
      <c r="F407" s="741"/>
      <c r="G407" s="741"/>
      <c r="H407" s="741"/>
      <c r="I407" s="741"/>
      <c r="J407" s="741"/>
      <c r="K407" s="741"/>
      <c r="L407" s="741"/>
      <c r="M407" s="741"/>
      <c r="N407" s="741"/>
      <c r="O407" s="741"/>
      <c r="P407" s="741"/>
      <c r="Q407" s="741"/>
      <c r="R407" s="741"/>
      <c r="S407" s="741"/>
      <c r="T407" s="741"/>
      <c r="U407" s="741"/>
      <c r="V407" s="741"/>
      <c r="W407" s="741"/>
      <c r="X407" s="741"/>
      <c r="Y407" s="741"/>
      <c r="Z407" s="741"/>
      <c r="AA407" s="741"/>
      <c r="AB407" s="741"/>
      <c r="AC407" s="741"/>
      <c r="AD407" s="741"/>
      <c r="AE407" s="741"/>
      <c r="AF407" s="741"/>
      <c r="AG407" s="741"/>
      <c r="AH407" s="741"/>
      <c r="AI407" s="741"/>
      <c r="AJ407" s="741"/>
      <c r="AK407" s="741"/>
      <c r="AL407" s="741"/>
      <c r="AM407" s="741"/>
      <c r="AN407" s="741"/>
      <c r="AO407" s="741"/>
      <c r="AP407" s="741"/>
    </row>
    <row r="408" spans="1:42" ht="12.75" customHeight="1">
      <c r="A408" s="741"/>
      <c r="B408" s="741"/>
      <c r="C408" s="741"/>
      <c r="D408" s="741"/>
      <c r="E408" s="741"/>
      <c r="F408" s="741"/>
      <c r="G408" s="741"/>
      <c r="H408" s="741"/>
      <c r="I408" s="741"/>
      <c r="J408" s="741"/>
      <c r="K408" s="741"/>
      <c r="L408" s="741"/>
      <c r="M408" s="741"/>
      <c r="N408" s="741"/>
      <c r="O408" s="741"/>
      <c r="P408" s="741"/>
      <c r="Q408" s="741"/>
      <c r="R408" s="741"/>
      <c r="S408" s="741"/>
      <c r="T408" s="741"/>
      <c r="U408" s="741"/>
      <c r="V408" s="741"/>
      <c r="W408" s="741"/>
      <c r="X408" s="741"/>
      <c r="Y408" s="741"/>
      <c r="Z408" s="741"/>
      <c r="AA408" s="741"/>
      <c r="AB408" s="741"/>
      <c r="AC408" s="741"/>
      <c r="AD408" s="741"/>
      <c r="AE408" s="741"/>
      <c r="AF408" s="741"/>
      <c r="AG408" s="741"/>
      <c r="AH408" s="741"/>
      <c r="AI408" s="741"/>
      <c r="AJ408" s="741"/>
      <c r="AK408" s="741"/>
      <c r="AL408" s="741"/>
      <c r="AM408" s="741"/>
      <c r="AN408" s="741"/>
      <c r="AO408" s="741"/>
      <c r="AP408" s="741"/>
    </row>
    <row r="409" spans="1:42" ht="12.75" customHeight="1">
      <c r="A409" s="741"/>
      <c r="B409" s="741"/>
      <c r="C409" s="741"/>
      <c r="D409" s="741"/>
      <c r="E409" s="741"/>
      <c r="F409" s="741"/>
      <c r="G409" s="741"/>
      <c r="H409" s="741"/>
      <c r="I409" s="741"/>
      <c r="J409" s="741"/>
      <c r="K409" s="741"/>
      <c r="L409" s="741"/>
      <c r="M409" s="741"/>
      <c r="N409" s="741"/>
      <c r="O409" s="741"/>
      <c r="P409" s="741"/>
      <c r="Q409" s="741"/>
      <c r="R409" s="741"/>
      <c r="S409" s="741"/>
      <c r="T409" s="741"/>
      <c r="U409" s="741"/>
      <c r="V409" s="741"/>
      <c r="W409" s="741"/>
      <c r="X409" s="741"/>
      <c r="Y409" s="741"/>
      <c r="Z409" s="741"/>
      <c r="AA409" s="741"/>
      <c r="AB409" s="741"/>
      <c r="AC409" s="741"/>
      <c r="AD409" s="741"/>
      <c r="AE409" s="741"/>
      <c r="AF409" s="741"/>
      <c r="AG409" s="741"/>
      <c r="AH409" s="741"/>
      <c r="AI409" s="741"/>
      <c r="AJ409" s="741"/>
      <c r="AK409" s="741"/>
      <c r="AL409" s="741"/>
      <c r="AM409" s="741"/>
      <c r="AN409" s="741"/>
      <c r="AO409" s="741"/>
      <c r="AP409" s="741"/>
    </row>
    <row r="410" spans="1:42" ht="12.75" customHeight="1">
      <c r="A410" s="741"/>
      <c r="B410" s="741"/>
      <c r="C410" s="741"/>
      <c r="D410" s="741"/>
      <c r="E410" s="741"/>
      <c r="F410" s="741"/>
      <c r="G410" s="741"/>
      <c r="H410" s="741"/>
      <c r="I410" s="741"/>
      <c r="J410" s="741"/>
      <c r="K410" s="741"/>
      <c r="L410" s="741"/>
      <c r="M410" s="741"/>
      <c r="N410" s="741"/>
      <c r="O410" s="741"/>
      <c r="P410" s="741"/>
      <c r="Q410" s="741"/>
      <c r="R410" s="741"/>
      <c r="S410" s="741"/>
      <c r="T410" s="741"/>
      <c r="U410" s="741"/>
      <c r="V410" s="741"/>
      <c r="W410" s="741"/>
      <c r="X410" s="741"/>
      <c r="Y410" s="741"/>
      <c r="Z410" s="741"/>
      <c r="AA410" s="741"/>
      <c r="AB410" s="741"/>
      <c r="AC410" s="741"/>
      <c r="AD410" s="741"/>
      <c r="AE410" s="741"/>
      <c r="AF410" s="741"/>
      <c r="AG410" s="741"/>
      <c r="AH410" s="741"/>
      <c r="AI410" s="741"/>
      <c r="AJ410" s="741"/>
      <c r="AK410" s="741"/>
      <c r="AL410" s="741"/>
      <c r="AM410" s="741"/>
      <c r="AN410" s="741"/>
      <c r="AO410" s="741"/>
      <c r="AP410" s="741"/>
    </row>
    <row r="411" spans="1:42" ht="12.75" customHeight="1">
      <c r="A411" s="741"/>
      <c r="B411" s="741"/>
      <c r="C411" s="741"/>
      <c r="D411" s="741"/>
      <c r="E411" s="741"/>
      <c r="F411" s="741"/>
      <c r="G411" s="741"/>
      <c r="H411" s="741"/>
      <c r="I411" s="741"/>
      <c r="J411" s="741"/>
      <c r="K411" s="741"/>
      <c r="L411" s="741"/>
      <c r="M411" s="741"/>
      <c r="N411" s="741"/>
      <c r="O411" s="741"/>
      <c r="P411" s="741"/>
      <c r="Q411" s="741"/>
      <c r="R411" s="741"/>
      <c r="S411" s="741"/>
      <c r="T411" s="741"/>
      <c r="U411" s="741"/>
      <c r="V411" s="741"/>
      <c r="W411" s="741"/>
      <c r="X411" s="741"/>
      <c r="Y411" s="741"/>
      <c r="Z411" s="741"/>
      <c r="AA411" s="741"/>
      <c r="AB411" s="741"/>
      <c r="AC411" s="741"/>
      <c r="AD411" s="741"/>
      <c r="AE411" s="741"/>
      <c r="AF411" s="741"/>
      <c r="AG411" s="741"/>
      <c r="AH411" s="741"/>
      <c r="AI411" s="741"/>
      <c r="AJ411" s="741"/>
      <c r="AK411" s="741"/>
      <c r="AL411" s="741"/>
      <c r="AM411" s="741"/>
      <c r="AN411" s="741"/>
      <c r="AO411" s="741"/>
      <c r="AP411" s="741"/>
    </row>
    <row r="412" spans="1:42" ht="12.75" customHeight="1">
      <c r="A412" s="741"/>
      <c r="B412" s="741"/>
      <c r="C412" s="741"/>
      <c r="D412" s="741"/>
      <c r="E412" s="741"/>
      <c r="F412" s="741"/>
      <c r="G412" s="741"/>
      <c r="H412" s="741"/>
      <c r="I412" s="741"/>
      <c r="J412" s="741"/>
      <c r="K412" s="741"/>
      <c r="L412" s="741"/>
      <c r="M412" s="741"/>
      <c r="N412" s="741"/>
      <c r="O412" s="741"/>
      <c r="P412" s="741"/>
      <c r="Q412" s="741"/>
      <c r="R412" s="741"/>
      <c r="S412" s="741"/>
      <c r="T412" s="741"/>
      <c r="U412" s="741"/>
      <c r="V412" s="741"/>
      <c r="W412" s="741"/>
      <c r="X412" s="741"/>
      <c r="Y412" s="741"/>
      <c r="Z412" s="741"/>
      <c r="AA412" s="741"/>
      <c r="AB412" s="741"/>
      <c r="AC412" s="741"/>
      <c r="AD412" s="741"/>
      <c r="AE412" s="741"/>
      <c r="AF412" s="741"/>
      <c r="AG412" s="741"/>
      <c r="AH412" s="741"/>
      <c r="AI412" s="741"/>
      <c r="AJ412" s="741"/>
      <c r="AK412" s="741"/>
      <c r="AL412" s="741"/>
      <c r="AM412" s="741"/>
      <c r="AN412" s="741"/>
      <c r="AO412" s="741"/>
      <c r="AP412" s="741"/>
    </row>
    <row r="413" spans="1:42" ht="12.75" customHeight="1">
      <c r="A413" s="741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1"/>
      <c r="P413" s="741"/>
      <c r="Q413" s="741"/>
      <c r="R413" s="741"/>
      <c r="S413" s="741"/>
      <c r="T413" s="741"/>
      <c r="U413" s="741"/>
      <c r="V413" s="741"/>
      <c r="W413" s="741"/>
      <c r="X413" s="741"/>
      <c r="Y413" s="741"/>
      <c r="Z413" s="741"/>
      <c r="AA413" s="741"/>
      <c r="AB413" s="741"/>
      <c r="AC413" s="741"/>
      <c r="AD413" s="741"/>
      <c r="AE413" s="741"/>
      <c r="AF413" s="741"/>
      <c r="AG413" s="741"/>
      <c r="AH413" s="741"/>
      <c r="AI413" s="741"/>
      <c r="AJ413" s="741"/>
      <c r="AK413" s="741"/>
      <c r="AL413" s="741"/>
      <c r="AM413" s="741"/>
      <c r="AN413" s="741"/>
      <c r="AO413" s="741"/>
      <c r="AP413" s="741"/>
    </row>
    <row r="414" spans="1:42" ht="12.75" customHeight="1">
      <c r="A414" s="741"/>
      <c r="B414" s="741"/>
      <c r="C414" s="741"/>
      <c r="D414" s="741"/>
      <c r="E414" s="741"/>
      <c r="F414" s="741"/>
      <c r="G414" s="741"/>
      <c r="H414" s="741"/>
      <c r="I414" s="741"/>
      <c r="J414" s="741"/>
      <c r="K414" s="741"/>
      <c r="L414" s="741"/>
      <c r="M414" s="741"/>
      <c r="N414" s="741"/>
      <c r="O414" s="741"/>
      <c r="P414" s="741"/>
      <c r="Q414" s="741"/>
      <c r="R414" s="741"/>
      <c r="S414" s="741"/>
      <c r="T414" s="741"/>
      <c r="U414" s="741"/>
      <c r="V414" s="741"/>
      <c r="W414" s="741"/>
      <c r="X414" s="741"/>
      <c r="Y414" s="741"/>
      <c r="Z414" s="741"/>
      <c r="AA414" s="741"/>
      <c r="AB414" s="741"/>
      <c r="AC414" s="741"/>
      <c r="AD414" s="741"/>
      <c r="AE414" s="741"/>
      <c r="AF414" s="741"/>
      <c r="AG414" s="741"/>
      <c r="AH414" s="741"/>
      <c r="AI414" s="741"/>
      <c r="AJ414" s="741"/>
      <c r="AK414" s="741"/>
      <c r="AL414" s="741"/>
      <c r="AM414" s="741"/>
      <c r="AN414" s="741"/>
      <c r="AO414" s="741"/>
      <c r="AP414" s="741"/>
    </row>
    <row r="415" spans="1:42" ht="12.75" customHeight="1">
      <c r="A415" s="741"/>
      <c r="B415" s="741"/>
      <c r="C415" s="741"/>
      <c r="D415" s="741"/>
      <c r="E415" s="741"/>
      <c r="F415" s="741"/>
      <c r="G415" s="741"/>
      <c r="H415" s="741"/>
      <c r="I415" s="741"/>
      <c r="J415" s="741"/>
      <c r="K415" s="741"/>
      <c r="L415" s="741"/>
      <c r="M415" s="741"/>
      <c r="N415" s="741"/>
      <c r="O415" s="741"/>
      <c r="P415" s="741"/>
      <c r="Q415" s="741"/>
      <c r="R415" s="741"/>
      <c r="S415" s="741"/>
      <c r="T415" s="741"/>
      <c r="U415" s="741"/>
      <c r="V415" s="741"/>
      <c r="W415" s="741"/>
      <c r="X415" s="741"/>
      <c r="Y415" s="741"/>
      <c r="Z415" s="741"/>
      <c r="AA415" s="741"/>
      <c r="AB415" s="741"/>
      <c r="AC415" s="741"/>
      <c r="AD415" s="741"/>
      <c r="AE415" s="741"/>
      <c r="AF415" s="741"/>
      <c r="AG415" s="741"/>
      <c r="AH415" s="741"/>
      <c r="AI415" s="741"/>
      <c r="AJ415" s="741"/>
      <c r="AK415" s="741"/>
      <c r="AL415" s="741"/>
      <c r="AM415" s="741"/>
      <c r="AN415" s="741"/>
      <c r="AO415" s="741"/>
      <c r="AP415" s="741"/>
    </row>
    <row r="416" spans="1:42" ht="12.75" customHeight="1">
      <c r="A416" s="741"/>
      <c r="B416" s="741"/>
      <c r="C416" s="741"/>
      <c r="D416" s="741"/>
      <c r="E416" s="741"/>
      <c r="F416" s="741"/>
      <c r="G416" s="741"/>
      <c r="H416" s="741"/>
      <c r="I416" s="741"/>
      <c r="J416" s="741"/>
      <c r="K416" s="741"/>
      <c r="L416" s="741"/>
      <c r="M416" s="741"/>
      <c r="N416" s="741"/>
      <c r="O416" s="741"/>
      <c r="P416" s="741"/>
      <c r="Q416" s="741"/>
      <c r="R416" s="741"/>
      <c r="S416" s="741"/>
      <c r="T416" s="741"/>
      <c r="U416" s="741"/>
      <c r="V416" s="741"/>
      <c r="W416" s="741"/>
      <c r="X416" s="741"/>
      <c r="Y416" s="741"/>
      <c r="Z416" s="741"/>
      <c r="AA416" s="741"/>
      <c r="AB416" s="741"/>
      <c r="AC416" s="741"/>
      <c r="AD416" s="741"/>
      <c r="AE416" s="741"/>
      <c r="AF416" s="741"/>
      <c r="AG416" s="741"/>
      <c r="AH416" s="741"/>
      <c r="AI416" s="741"/>
      <c r="AJ416" s="741"/>
      <c r="AK416" s="741"/>
      <c r="AL416" s="741"/>
      <c r="AM416" s="741"/>
      <c r="AN416" s="741"/>
      <c r="AO416" s="741"/>
      <c r="AP416" s="741"/>
    </row>
    <row r="417" spans="1:42" ht="12.75" customHeight="1">
      <c r="A417" s="741"/>
      <c r="B417" s="741"/>
      <c r="C417" s="741"/>
      <c r="D417" s="741"/>
      <c r="E417" s="741"/>
      <c r="F417" s="741"/>
      <c r="G417" s="741"/>
      <c r="H417" s="741"/>
      <c r="I417" s="741"/>
      <c r="J417" s="741"/>
      <c r="K417" s="741"/>
      <c r="L417" s="741"/>
      <c r="M417" s="741"/>
      <c r="N417" s="741"/>
      <c r="O417" s="741"/>
      <c r="P417" s="741"/>
      <c r="Q417" s="741"/>
      <c r="R417" s="741"/>
      <c r="S417" s="741"/>
      <c r="T417" s="741"/>
      <c r="U417" s="741"/>
      <c r="V417" s="741"/>
      <c r="W417" s="741"/>
      <c r="X417" s="741"/>
      <c r="Y417" s="741"/>
      <c r="Z417" s="741"/>
      <c r="AA417" s="741"/>
      <c r="AB417" s="741"/>
      <c r="AC417" s="741"/>
      <c r="AD417" s="741"/>
      <c r="AE417" s="741"/>
      <c r="AF417" s="741"/>
      <c r="AG417" s="741"/>
      <c r="AH417" s="741"/>
      <c r="AI417" s="741"/>
      <c r="AJ417" s="741"/>
      <c r="AK417" s="741"/>
      <c r="AL417" s="741"/>
      <c r="AM417" s="741"/>
      <c r="AN417" s="741"/>
      <c r="AO417" s="741"/>
      <c r="AP417" s="741"/>
    </row>
    <row r="418" spans="1:42" ht="12.75" customHeight="1">
      <c r="A418" s="741"/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1"/>
      <c r="P418" s="741"/>
      <c r="Q418" s="741"/>
      <c r="R418" s="741"/>
      <c r="S418" s="741"/>
      <c r="T418" s="741"/>
      <c r="U418" s="741"/>
      <c r="V418" s="741"/>
      <c r="W418" s="741"/>
      <c r="X418" s="741"/>
      <c r="Y418" s="741"/>
      <c r="Z418" s="741"/>
      <c r="AA418" s="741"/>
      <c r="AB418" s="741"/>
      <c r="AC418" s="741"/>
      <c r="AD418" s="741"/>
      <c r="AE418" s="741"/>
      <c r="AF418" s="741"/>
      <c r="AG418" s="741"/>
      <c r="AH418" s="741"/>
      <c r="AI418" s="741"/>
      <c r="AJ418" s="741"/>
      <c r="AK418" s="741"/>
      <c r="AL418" s="741"/>
      <c r="AM418" s="741"/>
      <c r="AN418" s="741"/>
      <c r="AO418" s="741"/>
      <c r="AP418" s="741"/>
    </row>
    <row r="419" spans="1:42" ht="12.75" customHeight="1">
      <c r="A419" s="741"/>
      <c r="B419" s="741"/>
      <c r="C419" s="741"/>
      <c r="D419" s="741"/>
      <c r="E419" s="741"/>
      <c r="F419" s="741"/>
      <c r="G419" s="741"/>
      <c r="H419" s="741"/>
      <c r="I419" s="741"/>
      <c r="J419" s="741"/>
      <c r="K419" s="741"/>
      <c r="L419" s="741"/>
      <c r="M419" s="741"/>
      <c r="N419" s="741"/>
      <c r="O419" s="741"/>
      <c r="P419" s="741"/>
      <c r="Q419" s="741"/>
      <c r="R419" s="741"/>
      <c r="S419" s="741"/>
      <c r="T419" s="741"/>
      <c r="U419" s="741"/>
      <c r="V419" s="741"/>
      <c r="W419" s="741"/>
      <c r="X419" s="741"/>
      <c r="Y419" s="741"/>
      <c r="Z419" s="741"/>
      <c r="AA419" s="741"/>
      <c r="AB419" s="741"/>
      <c r="AC419" s="741"/>
      <c r="AD419" s="741"/>
      <c r="AE419" s="741"/>
      <c r="AF419" s="741"/>
      <c r="AG419" s="741"/>
      <c r="AH419" s="741"/>
      <c r="AI419" s="741"/>
      <c r="AJ419" s="741"/>
      <c r="AK419" s="741"/>
      <c r="AL419" s="741"/>
      <c r="AM419" s="741"/>
      <c r="AN419" s="741"/>
      <c r="AO419" s="741"/>
      <c r="AP419" s="741"/>
    </row>
    <row r="420" spans="1:42" ht="12.75" customHeight="1">
      <c r="A420" s="741"/>
      <c r="B420" s="741"/>
      <c r="C420" s="741"/>
      <c r="D420" s="741"/>
      <c r="E420" s="741"/>
      <c r="F420" s="741"/>
      <c r="G420" s="741"/>
      <c r="H420" s="741"/>
      <c r="I420" s="741"/>
      <c r="J420" s="741"/>
      <c r="K420" s="741"/>
      <c r="L420" s="741"/>
      <c r="M420" s="741"/>
      <c r="N420" s="741"/>
      <c r="O420" s="741"/>
      <c r="P420" s="741"/>
      <c r="Q420" s="741"/>
      <c r="R420" s="741"/>
      <c r="S420" s="741"/>
      <c r="T420" s="741"/>
      <c r="U420" s="741"/>
      <c r="V420" s="741"/>
      <c r="W420" s="741"/>
      <c r="X420" s="741"/>
      <c r="Y420" s="741"/>
      <c r="Z420" s="741"/>
      <c r="AA420" s="741"/>
      <c r="AB420" s="741"/>
      <c r="AC420" s="741"/>
      <c r="AD420" s="741"/>
      <c r="AE420" s="741"/>
      <c r="AF420" s="741"/>
      <c r="AG420" s="741"/>
      <c r="AH420" s="741"/>
      <c r="AI420" s="741"/>
      <c r="AJ420" s="741"/>
      <c r="AK420" s="741"/>
      <c r="AL420" s="741"/>
      <c r="AM420" s="741"/>
      <c r="AN420" s="741"/>
      <c r="AO420" s="741"/>
      <c r="AP420" s="741"/>
    </row>
    <row r="421" spans="1:42" ht="12.75" customHeight="1">
      <c r="A421" s="741"/>
      <c r="B421" s="741"/>
      <c r="C421" s="741"/>
      <c r="D421" s="741"/>
      <c r="E421" s="741"/>
      <c r="F421" s="741"/>
      <c r="G421" s="741"/>
      <c r="H421" s="741"/>
      <c r="I421" s="741"/>
      <c r="J421" s="741"/>
      <c r="K421" s="741"/>
      <c r="L421" s="741"/>
      <c r="M421" s="741"/>
      <c r="N421" s="741"/>
      <c r="O421" s="741"/>
      <c r="P421" s="741"/>
      <c r="Q421" s="741"/>
      <c r="R421" s="741"/>
      <c r="S421" s="741"/>
      <c r="T421" s="741"/>
      <c r="U421" s="741"/>
      <c r="V421" s="741"/>
      <c r="W421" s="741"/>
      <c r="X421" s="741"/>
      <c r="Y421" s="741"/>
      <c r="Z421" s="741"/>
      <c r="AA421" s="741"/>
      <c r="AB421" s="741"/>
      <c r="AC421" s="741"/>
      <c r="AD421" s="741"/>
      <c r="AE421" s="741"/>
      <c r="AF421" s="741"/>
      <c r="AG421" s="741"/>
      <c r="AH421" s="741"/>
      <c r="AI421" s="741"/>
      <c r="AJ421" s="741"/>
      <c r="AK421" s="741"/>
      <c r="AL421" s="741"/>
      <c r="AM421" s="741"/>
      <c r="AN421" s="741"/>
      <c r="AO421" s="741"/>
      <c r="AP421" s="741"/>
    </row>
    <row r="422" spans="1:42" ht="12.75" customHeight="1">
      <c r="A422" s="741"/>
      <c r="B422" s="741"/>
      <c r="C422" s="741"/>
      <c r="D422" s="741"/>
      <c r="E422" s="741"/>
      <c r="F422" s="741"/>
      <c r="G422" s="741"/>
      <c r="H422" s="741"/>
      <c r="I422" s="741"/>
      <c r="J422" s="741"/>
      <c r="K422" s="741"/>
      <c r="L422" s="741"/>
      <c r="M422" s="741"/>
      <c r="N422" s="741"/>
      <c r="O422" s="741"/>
      <c r="P422" s="741"/>
      <c r="Q422" s="741"/>
      <c r="R422" s="741"/>
      <c r="S422" s="741"/>
      <c r="T422" s="741"/>
      <c r="U422" s="741"/>
      <c r="V422" s="741"/>
      <c r="W422" s="741"/>
      <c r="X422" s="741"/>
      <c r="Y422" s="741"/>
      <c r="Z422" s="741"/>
      <c r="AA422" s="741"/>
      <c r="AB422" s="741"/>
      <c r="AC422" s="741"/>
      <c r="AD422" s="741"/>
      <c r="AE422" s="741"/>
      <c r="AF422" s="741"/>
      <c r="AG422" s="741"/>
      <c r="AH422" s="741"/>
      <c r="AI422" s="741"/>
      <c r="AJ422" s="741"/>
      <c r="AK422" s="741"/>
      <c r="AL422" s="741"/>
      <c r="AM422" s="741"/>
      <c r="AN422" s="741"/>
      <c r="AO422" s="741"/>
      <c r="AP422" s="741"/>
    </row>
    <row r="423" spans="1:42" ht="12.75" customHeight="1">
      <c r="A423" s="741"/>
      <c r="B423" s="741"/>
      <c r="C423" s="741"/>
      <c r="D423" s="741"/>
      <c r="E423" s="741"/>
      <c r="F423" s="741"/>
      <c r="G423" s="741"/>
      <c r="H423" s="741"/>
      <c r="I423" s="741"/>
      <c r="J423" s="741"/>
      <c r="K423" s="741"/>
      <c r="L423" s="741"/>
      <c r="M423" s="741"/>
      <c r="N423" s="741"/>
      <c r="O423" s="741"/>
      <c r="P423" s="741"/>
      <c r="Q423" s="741"/>
      <c r="R423" s="741"/>
      <c r="S423" s="741"/>
      <c r="T423" s="741"/>
      <c r="U423" s="741"/>
      <c r="V423" s="741"/>
      <c r="W423" s="741"/>
      <c r="X423" s="741"/>
      <c r="Y423" s="741"/>
      <c r="Z423" s="741"/>
      <c r="AA423" s="741"/>
      <c r="AB423" s="741"/>
      <c r="AC423" s="741"/>
      <c r="AD423" s="741"/>
      <c r="AE423" s="741"/>
      <c r="AF423" s="741"/>
      <c r="AG423" s="741"/>
      <c r="AH423" s="741"/>
      <c r="AI423" s="741"/>
      <c r="AJ423" s="741"/>
      <c r="AK423" s="741"/>
      <c r="AL423" s="741"/>
      <c r="AM423" s="741"/>
      <c r="AN423" s="741"/>
      <c r="AO423" s="741"/>
      <c r="AP423" s="741"/>
    </row>
    <row r="424" spans="1:42" ht="12.75" customHeight="1">
      <c r="A424" s="741"/>
      <c r="B424" s="741"/>
      <c r="C424" s="741"/>
      <c r="D424" s="741"/>
      <c r="E424" s="741"/>
      <c r="F424" s="741"/>
      <c r="G424" s="741"/>
      <c r="H424" s="741"/>
      <c r="I424" s="741"/>
      <c r="J424" s="741"/>
      <c r="K424" s="741"/>
      <c r="L424" s="741"/>
      <c r="M424" s="741"/>
      <c r="N424" s="741"/>
      <c r="O424" s="741"/>
      <c r="P424" s="741"/>
      <c r="Q424" s="741"/>
      <c r="R424" s="741"/>
      <c r="S424" s="741"/>
      <c r="T424" s="741"/>
      <c r="U424" s="741"/>
      <c r="V424" s="741"/>
      <c r="W424" s="741"/>
      <c r="X424" s="741"/>
      <c r="Y424" s="741"/>
      <c r="Z424" s="741"/>
      <c r="AA424" s="741"/>
      <c r="AB424" s="741"/>
      <c r="AC424" s="741"/>
      <c r="AD424" s="741"/>
      <c r="AE424" s="741"/>
      <c r="AF424" s="741"/>
      <c r="AG424" s="741"/>
      <c r="AH424" s="741"/>
      <c r="AI424" s="741"/>
      <c r="AJ424" s="741"/>
      <c r="AK424" s="741"/>
      <c r="AL424" s="741"/>
      <c r="AM424" s="741"/>
      <c r="AN424" s="741"/>
      <c r="AO424" s="741"/>
      <c r="AP424" s="741"/>
    </row>
    <row r="425" spans="1:42" ht="12.75" customHeight="1">
      <c r="A425" s="741"/>
      <c r="B425" s="741"/>
      <c r="C425" s="741"/>
      <c r="D425" s="741"/>
      <c r="E425" s="741"/>
      <c r="F425" s="741"/>
      <c r="G425" s="741"/>
      <c r="H425" s="741"/>
      <c r="I425" s="741"/>
      <c r="J425" s="741"/>
      <c r="K425" s="741"/>
      <c r="L425" s="741"/>
      <c r="M425" s="741"/>
      <c r="N425" s="741"/>
      <c r="O425" s="741"/>
      <c r="P425" s="741"/>
      <c r="Q425" s="741"/>
      <c r="R425" s="741"/>
      <c r="S425" s="741"/>
      <c r="T425" s="741"/>
      <c r="U425" s="741"/>
      <c r="V425" s="741"/>
      <c r="W425" s="741"/>
      <c r="X425" s="741"/>
      <c r="Y425" s="741"/>
      <c r="Z425" s="741"/>
      <c r="AA425" s="741"/>
      <c r="AB425" s="741"/>
      <c r="AC425" s="741"/>
      <c r="AD425" s="741"/>
      <c r="AE425" s="741"/>
      <c r="AF425" s="741"/>
      <c r="AG425" s="741"/>
      <c r="AH425" s="741"/>
      <c r="AI425" s="741"/>
      <c r="AJ425" s="741"/>
      <c r="AK425" s="741"/>
      <c r="AL425" s="741"/>
      <c r="AM425" s="741"/>
      <c r="AN425" s="741"/>
      <c r="AO425" s="741"/>
      <c r="AP425" s="741"/>
    </row>
    <row r="426" spans="1:42" ht="12.75" customHeight="1">
      <c r="A426" s="741"/>
      <c r="B426" s="741"/>
      <c r="C426" s="741"/>
      <c r="D426" s="741"/>
      <c r="E426" s="741"/>
      <c r="F426" s="741"/>
      <c r="G426" s="741"/>
      <c r="H426" s="741"/>
      <c r="I426" s="741"/>
      <c r="J426" s="741"/>
      <c r="K426" s="741"/>
      <c r="L426" s="741"/>
      <c r="M426" s="741"/>
      <c r="N426" s="741"/>
      <c r="O426" s="741"/>
      <c r="P426" s="741"/>
      <c r="Q426" s="741"/>
      <c r="R426" s="741"/>
      <c r="S426" s="741"/>
      <c r="T426" s="741"/>
      <c r="U426" s="741"/>
      <c r="V426" s="741"/>
      <c r="W426" s="741"/>
      <c r="X426" s="741"/>
      <c r="Y426" s="741"/>
      <c r="Z426" s="741"/>
      <c r="AA426" s="741"/>
      <c r="AB426" s="741"/>
      <c r="AC426" s="741"/>
      <c r="AD426" s="741"/>
      <c r="AE426" s="741"/>
      <c r="AF426" s="741"/>
      <c r="AG426" s="741"/>
      <c r="AH426" s="741"/>
      <c r="AI426" s="741"/>
      <c r="AJ426" s="741"/>
      <c r="AK426" s="741"/>
      <c r="AL426" s="741"/>
      <c r="AM426" s="741"/>
      <c r="AN426" s="741"/>
      <c r="AO426" s="741"/>
      <c r="AP426" s="741"/>
    </row>
    <row r="427" spans="1:42" ht="12.75" customHeight="1">
      <c r="A427" s="741"/>
      <c r="B427" s="741"/>
      <c r="C427" s="741"/>
      <c r="D427" s="741"/>
      <c r="E427" s="741"/>
      <c r="F427" s="741"/>
      <c r="G427" s="741"/>
      <c r="H427" s="741"/>
      <c r="I427" s="741"/>
      <c r="J427" s="741"/>
      <c r="K427" s="741"/>
      <c r="L427" s="741"/>
      <c r="M427" s="741"/>
      <c r="N427" s="741"/>
      <c r="O427" s="741"/>
      <c r="P427" s="741"/>
      <c r="Q427" s="741"/>
      <c r="R427" s="741"/>
      <c r="S427" s="741"/>
      <c r="T427" s="741"/>
      <c r="U427" s="741"/>
      <c r="V427" s="741"/>
      <c r="W427" s="741"/>
      <c r="X427" s="741"/>
      <c r="Y427" s="741"/>
      <c r="Z427" s="741"/>
      <c r="AA427" s="741"/>
      <c r="AB427" s="741"/>
      <c r="AC427" s="741"/>
      <c r="AD427" s="741"/>
      <c r="AE427" s="741"/>
      <c r="AF427" s="741"/>
      <c r="AG427" s="741"/>
      <c r="AH427" s="741"/>
      <c r="AI427" s="741"/>
      <c r="AJ427" s="741"/>
      <c r="AK427" s="741"/>
      <c r="AL427" s="741"/>
      <c r="AM427" s="741"/>
      <c r="AN427" s="741"/>
      <c r="AO427" s="741"/>
      <c r="AP427" s="741"/>
    </row>
    <row r="428" spans="1:42" ht="12.75" customHeight="1">
      <c r="A428" s="741"/>
      <c r="B428" s="741"/>
      <c r="C428" s="741"/>
      <c r="D428" s="741"/>
      <c r="E428" s="741"/>
      <c r="F428" s="741"/>
      <c r="G428" s="741"/>
      <c r="H428" s="741"/>
      <c r="I428" s="741"/>
      <c r="J428" s="741"/>
      <c r="K428" s="741"/>
      <c r="L428" s="741"/>
      <c r="M428" s="741"/>
      <c r="N428" s="741"/>
      <c r="O428" s="741"/>
      <c r="P428" s="741"/>
      <c r="Q428" s="741"/>
      <c r="R428" s="741"/>
      <c r="S428" s="741"/>
      <c r="T428" s="741"/>
      <c r="U428" s="741"/>
      <c r="V428" s="741"/>
      <c r="W428" s="741"/>
      <c r="X428" s="741"/>
      <c r="Y428" s="741"/>
      <c r="Z428" s="741"/>
      <c r="AA428" s="741"/>
      <c r="AB428" s="741"/>
      <c r="AC428" s="741"/>
      <c r="AD428" s="741"/>
      <c r="AE428" s="741"/>
      <c r="AF428" s="741"/>
      <c r="AG428" s="741"/>
      <c r="AH428" s="741"/>
      <c r="AI428" s="741"/>
      <c r="AJ428" s="741"/>
      <c r="AK428" s="741"/>
      <c r="AL428" s="741"/>
      <c r="AM428" s="741"/>
      <c r="AN428" s="741"/>
      <c r="AO428" s="741"/>
      <c r="AP428" s="741"/>
    </row>
    <row r="429" spans="1:42" ht="12.75" customHeight="1">
      <c r="A429" s="741"/>
      <c r="B429" s="741"/>
      <c r="C429" s="741"/>
      <c r="D429" s="741"/>
      <c r="E429" s="741"/>
      <c r="F429" s="741"/>
      <c r="G429" s="741"/>
      <c r="H429" s="741"/>
      <c r="I429" s="741"/>
      <c r="J429" s="741"/>
      <c r="K429" s="741"/>
      <c r="L429" s="741"/>
      <c r="M429" s="741"/>
      <c r="N429" s="741"/>
      <c r="O429" s="741"/>
      <c r="P429" s="741"/>
      <c r="Q429" s="741"/>
      <c r="R429" s="741"/>
      <c r="S429" s="741"/>
      <c r="T429" s="741"/>
      <c r="U429" s="741"/>
      <c r="V429" s="741"/>
      <c r="W429" s="741"/>
      <c r="X429" s="741"/>
      <c r="Y429" s="741"/>
      <c r="Z429" s="741"/>
      <c r="AA429" s="741"/>
      <c r="AB429" s="741"/>
      <c r="AC429" s="741"/>
      <c r="AD429" s="741"/>
      <c r="AE429" s="741"/>
      <c r="AF429" s="741"/>
      <c r="AG429" s="741"/>
      <c r="AH429" s="741"/>
      <c r="AI429" s="741"/>
      <c r="AJ429" s="741"/>
      <c r="AK429" s="741"/>
      <c r="AL429" s="741"/>
      <c r="AM429" s="741"/>
      <c r="AN429" s="741"/>
      <c r="AO429" s="741"/>
      <c r="AP429" s="741"/>
    </row>
    <row r="430" spans="1:42" ht="12.75" customHeight="1">
      <c r="A430" s="741"/>
      <c r="B430" s="741"/>
      <c r="C430" s="741"/>
      <c r="D430" s="741"/>
      <c r="E430" s="741"/>
      <c r="F430" s="741"/>
      <c r="G430" s="741"/>
      <c r="H430" s="741"/>
      <c r="I430" s="741"/>
      <c r="J430" s="741"/>
      <c r="K430" s="741"/>
      <c r="L430" s="741"/>
      <c r="M430" s="741"/>
      <c r="N430" s="741"/>
      <c r="O430" s="741"/>
      <c r="P430" s="741"/>
      <c r="Q430" s="741"/>
      <c r="R430" s="741"/>
      <c r="S430" s="741"/>
      <c r="T430" s="741"/>
      <c r="U430" s="741"/>
      <c r="V430" s="741"/>
      <c r="W430" s="741"/>
      <c r="X430" s="741"/>
      <c r="Y430" s="741"/>
      <c r="Z430" s="741"/>
      <c r="AA430" s="741"/>
      <c r="AB430" s="741"/>
      <c r="AC430" s="741"/>
      <c r="AD430" s="741"/>
      <c r="AE430" s="741"/>
      <c r="AF430" s="741"/>
      <c r="AG430" s="741"/>
      <c r="AH430" s="741"/>
      <c r="AI430" s="741"/>
      <c r="AJ430" s="741"/>
      <c r="AK430" s="741"/>
      <c r="AL430" s="741"/>
      <c r="AM430" s="741"/>
      <c r="AN430" s="741"/>
      <c r="AO430" s="741"/>
      <c r="AP430" s="741"/>
    </row>
    <row r="431" spans="1:42" ht="12.75" customHeight="1">
      <c r="A431" s="741"/>
      <c r="B431" s="741"/>
      <c r="C431" s="741"/>
      <c r="D431" s="741"/>
      <c r="E431" s="741"/>
      <c r="F431" s="741"/>
      <c r="G431" s="741"/>
      <c r="H431" s="741"/>
      <c r="I431" s="741"/>
      <c r="J431" s="741"/>
      <c r="K431" s="741"/>
      <c r="L431" s="741"/>
      <c r="M431" s="741"/>
      <c r="N431" s="741"/>
      <c r="O431" s="741"/>
      <c r="P431" s="741"/>
      <c r="Q431" s="741"/>
      <c r="R431" s="741"/>
      <c r="S431" s="741"/>
      <c r="T431" s="741"/>
      <c r="U431" s="741"/>
      <c r="V431" s="741"/>
      <c r="W431" s="741"/>
      <c r="X431" s="741"/>
      <c r="Y431" s="741"/>
      <c r="Z431" s="741"/>
      <c r="AA431" s="741"/>
      <c r="AB431" s="741"/>
      <c r="AC431" s="741"/>
      <c r="AD431" s="741"/>
      <c r="AE431" s="741"/>
      <c r="AF431" s="741"/>
      <c r="AG431" s="741"/>
      <c r="AH431" s="741"/>
      <c r="AI431" s="741"/>
      <c r="AJ431" s="741"/>
      <c r="AK431" s="741"/>
      <c r="AL431" s="741"/>
      <c r="AM431" s="741"/>
      <c r="AN431" s="741"/>
      <c r="AO431" s="741"/>
      <c r="AP431" s="741"/>
    </row>
    <row r="432" spans="1:42" ht="12.75" customHeight="1">
      <c r="A432" s="741"/>
      <c r="B432" s="741"/>
      <c r="C432" s="741"/>
      <c r="D432" s="741"/>
      <c r="E432" s="741"/>
      <c r="F432" s="741"/>
      <c r="G432" s="741"/>
      <c r="H432" s="741"/>
      <c r="I432" s="741"/>
      <c r="J432" s="741"/>
      <c r="K432" s="741"/>
      <c r="L432" s="741"/>
      <c r="M432" s="741"/>
      <c r="N432" s="741"/>
      <c r="O432" s="741"/>
      <c r="P432" s="741"/>
      <c r="Q432" s="741"/>
      <c r="R432" s="741"/>
      <c r="S432" s="741"/>
      <c r="T432" s="741"/>
      <c r="U432" s="741"/>
      <c r="V432" s="741"/>
      <c r="W432" s="741"/>
      <c r="X432" s="741"/>
      <c r="Y432" s="741"/>
      <c r="Z432" s="741"/>
      <c r="AA432" s="741"/>
      <c r="AB432" s="741"/>
      <c r="AC432" s="741"/>
      <c r="AD432" s="741"/>
      <c r="AE432" s="741"/>
      <c r="AF432" s="741"/>
      <c r="AG432" s="741"/>
      <c r="AH432" s="741"/>
      <c r="AI432" s="741"/>
      <c r="AJ432" s="741"/>
      <c r="AK432" s="741"/>
      <c r="AL432" s="741"/>
      <c r="AM432" s="741"/>
      <c r="AN432" s="741"/>
      <c r="AO432" s="741"/>
      <c r="AP432" s="741"/>
    </row>
    <row r="433" spans="1:42" ht="12.75" customHeight="1">
      <c r="A433" s="741"/>
      <c r="B433" s="741"/>
      <c r="C433" s="741"/>
      <c r="D433" s="741"/>
      <c r="E433" s="741"/>
      <c r="F433" s="741"/>
      <c r="G433" s="741"/>
      <c r="H433" s="741"/>
      <c r="I433" s="741"/>
      <c r="J433" s="741"/>
      <c r="K433" s="741"/>
      <c r="L433" s="741"/>
      <c r="M433" s="741"/>
      <c r="N433" s="741"/>
      <c r="O433" s="741"/>
      <c r="P433" s="741"/>
      <c r="Q433" s="741"/>
      <c r="R433" s="741"/>
      <c r="S433" s="741"/>
      <c r="T433" s="741"/>
      <c r="U433" s="741"/>
      <c r="V433" s="741"/>
      <c r="W433" s="741"/>
      <c r="X433" s="741"/>
      <c r="Y433" s="741"/>
      <c r="Z433" s="741"/>
      <c r="AA433" s="741"/>
      <c r="AB433" s="741"/>
      <c r="AC433" s="741"/>
      <c r="AD433" s="741"/>
      <c r="AE433" s="741"/>
      <c r="AF433" s="741"/>
      <c r="AG433" s="741"/>
      <c r="AH433" s="741"/>
      <c r="AI433" s="741"/>
      <c r="AJ433" s="741"/>
      <c r="AK433" s="741"/>
      <c r="AL433" s="741"/>
      <c r="AM433" s="741"/>
      <c r="AN433" s="741"/>
      <c r="AO433" s="741"/>
      <c r="AP433" s="741"/>
    </row>
    <row r="434" spans="1:42" ht="12.75" customHeight="1">
      <c r="A434" s="741"/>
      <c r="B434" s="741"/>
      <c r="C434" s="741"/>
      <c r="D434" s="741"/>
      <c r="E434" s="741"/>
      <c r="F434" s="741"/>
      <c r="G434" s="741"/>
      <c r="H434" s="741"/>
      <c r="I434" s="741"/>
      <c r="J434" s="741"/>
      <c r="K434" s="741"/>
      <c r="L434" s="741"/>
      <c r="M434" s="741"/>
      <c r="N434" s="741"/>
      <c r="O434" s="741"/>
      <c r="P434" s="741"/>
      <c r="Q434" s="741"/>
      <c r="R434" s="741"/>
      <c r="S434" s="741"/>
      <c r="T434" s="741"/>
      <c r="U434" s="741"/>
      <c r="V434" s="741"/>
      <c r="W434" s="741"/>
      <c r="X434" s="741"/>
      <c r="Y434" s="741"/>
      <c r="Z434" s="741"/>
      <c r="AA434" s="741"/>
      <c r="AB434" s="741"/>
      <c r="AC434" s="741"/>
      <c r="AD434" s="741"/>
      <c r="AE434" s="741"/>
      <c r="AF434" s="741"/>
      <c r="AG434" s="741"/>
      <c r="AH434" s="741"/>
      <c r="AI434" s="741"/>
      <c r="AJ434" s="741"/>
      <c r="AK434" s="741"/>
      <c r="AL434" s="741"/>
      <c r="AM434" s="741"/>
      <c r="AN434" s="741"/>
      <c r="AO434" s="741"/>
      <c r="AP434" s="741"/>
    </row>
    <row r="435" spans="1:42" ht="12.75" customHeight="1">
      <c r="A435" s="741"/>
      <c r="B435" s="741"/>
      <c r="C435" s="741"/>
      <c r="D435" s="741"/>
      <c r="E435" s="741"/>
      <c r="F435" s="741"/>
      <c r="G435" s="741"/>
      <c r="H435" s="741"/>
      <c r="I435" s="741"/>
      <c r="J435" s="741"/>
      <c r="K435" s="741"/>
      <c r="L435" s="741"/>
      <c r="M435" s="741"/>
      <c r="N435" s="741"/>
      <c r="O435" s="741"/>
      <c r="P435" s="741"/>
      <c r="Q435" s="741"/>
      <c r="R435" s="741"/>
      <c r="S435" s="741"/>
      <c r="T435" s="741"/>
      <c r="U435" s="741"/>
      <c r="V435" s="741"/>
      <c r="W435" s="741"/>
      <c r="X435" s="741"/>
      <c r="Y435" s="741"/>
      <c r="Z435" s="741"/>
      <c r="AA435" s="741"/>
      <c r="AB435" s="741"/>
      <c r="AC435" s="741"/>
      <c r="AD435" s="741"/>
      <c r="AE435" s="741"/>
      <c r="AF435" s="741"/>
      <c r="AG435" s="741"/>
      <c r="AH435" s="741"/>
      <c r="AI435" s="741"/>
      <c r="AJ435" s="741"/>
      <c r="AK435" s="741"/>
      <c r="AL435" s="741"/>
      <c r="AM435" s="741"/>
      <c r="AN435" s="741"/>
      <c r="AO435" s="741"/>
      <c r="AP435" s="741"/>
    </row>
    <row r="436" spans="1:42" ht="12.75" customHeight="1">
      <c r="A436" s="741"/>
      <c r="B436" s="741"/>
      <c r="C436" s="741"/>
      <c r="D436" s="741"/>
      <c r="E436" s="741"/>
      <c r="F436" s="741"/>
      <c r="G436" s="741"/>
      <c r="H436" s="741"/>
      <c r="I436" s="741"/>
      <c r="J436" s="741"/>
      <c r="K436" s="741"/>
      <c r="L436" s="741"/>
      <c r="M436" s="741"/>
      <c r="N436" s="741"/>
      <c r="O436" s="741"/>
      <c r="P436" s="741"/>
      <c r="Q436" s="741"/>
      <c r="R436" s="741"/>
      <c r="S436" s="741"/>
      <c r="T436" s="741"/>
      <c r="U436" s="741"/>
      <c r="V436" s="741"/>
      <c r="W436" s="741"/>
      <c r="X436" s="741"/>
      <c r="Y436" s="741"/>
      <c r="Z436" s="741"/>
      <c r="AA436" s="741"/>
      <c r="AB436" s="741"/>
      <c r="AC436" s="741"/>
      <c r="AD436" s="741"/>
      <c r="AE436" s="741"/>
      <c r="AF436" s="741"/>
      <c r="AG436" s="741"/>
      <c r="AH436" s="741"/>
      <c r="AI436" s="741"/>
      <c r="AJ436" s="741"/>
      <c r="AK436" s="741"/>
      <c r="AL436" s="741"/>
      <c r="AM436" s="741"/>
      <c r="AN436" s="741"/>
      <c r="AO436" s="741"/>
      <c r="AP436" s="741"/>
    </row>
    <row r="437" spans="1:42" ht="12.75" customHeight="1">
      <c r="A437" s="741"/>
      <c r="B437" s="741"/>
      <c r="C437" s="741"/>
      <c r="D437" s="741"/>
      <c r="E437" s="741"/>
      <c r="F437" s="741"/>
      <c r="G437" s="741"/>
      <c r="H437" s="741"/>
      <c r="I437" s="741"/>
      <c r="J437" s="741"/>
      <c r="K437" s="741"/>
      <c r="L437" s="741"/>
      <c r="M437" s="741"/>
      <c r="N437" s="741"/>
      <c r="O437" s="741"/>
      <c r="P437" s="741"/>
      <c r="Q437" s="741"/>
      <c r="R437" s="741"/>
      <c r="S437" s="741"/>
      <c r="T437" s="741"/>
      <c r="U437" s="741"/>
      <c r="V437" s="741"/>
      <c r="W437" s="741"/>
      <c r="X437" s="741"/>
      <c r="Y437" s="741"/>
      <c r="Z437" s="741"/>
      <c r="AA437" s="741"/>
      <c r="AB437" s="741"/>
      <c r="AC437" s="741"/>
      <c r="AD437" s="741"/>
      <c r="AE437" s="741"/>
      <c r="AF437" s="741"/>
      <c r="AG437" s="741"/>
      <c r="AH437" s="741"/>
      <c r="AI437" s="741"/>
      <c r="AJ437" s="741"/>
      <c r="AK437" s="741"/>
      <c r="AL437" s="741"/>
      <c r="AM437" s="741"/>
      <c r="AN437" s="741"/>
      <c r="AO437" s="741"/>
      <c r="AP437" s="741"/>
    </row>
    <row r="438" spans="1:42" ht="12.75" customHeight="1">
      <c r="A438" s="741"/>
      <c r="B438" s="741"/>
      <c r="C438" s="741"/>
      <c r="D438" s="741"/>
      <c r="E438" s="741"/>
      <c r="F438" s="741"/>
      <c r="G438" s="741"/>
      <c r="H438" s="741"/>
      <c r="I438" s="741"/>
      <c r="J438" s="741"/>
      <c r="K438" s="741"/>
      <c r="L438" s="741"/>
      <c r="M438" s="741"/>
      <c r="N438" s="741"/>
      <c r="O438" s="741"/>
      <c r="P438" s="741"/>
      <c r="Q438" s="741"/>
      <c r="R438" s="741"/>
      <c r="S438" s="741"/>
      <c r="T438" s="741"/>
      <c r="U438" s="741"/>
      <c r="V438" s="741"/>
      <c r="W438" s="741"/>
      <c r="X438" s="741"/>
      <c r="Y438" s="741"/>
      <c r="Z438" s="741"/>
      <c r="AA438" s="741"/>
      <c r="AB438" s="741"/>
      <c r="AC438" s="741"/>
      <c r="AD438" s="741"/>
      <c r="AE438" s="741"/>
      <c r="AF438" s="741"/>
      <c r="AG438" s="741"/>
      <c r="AH438" s="741"/>
      <c r="AI438" s="741"/>
      <c r="AJ438" s="741"/>
      <c r="AK438" s="741"/>
      <c r="AL438" s="741"/>
      <c r="AM438" s="741"/>
      <c r="AN438" s="741"/>
      <c r="AO438" s="741"/>
      <c r="AP438" s="741"/>
    </row>
    <row r="439" spans="1:42" ht="12.75" customHeight="1">
      <c r="A439" s="741"/>
      <c r="B439" s="741"/>
      <c r="C439" s="741"/>
      <c r="D439" s="741"/>
      <c r="E439" s="741"/>
      <c r="F439" s="741"/>
      <c r="G439" s="741"/>
      <c r="H439" s="741"/>
      <c r="I439" s="741"/>
      <c r="J439" s="741"/>
      <c r="K439" s="741"/>
      <c r="L439" s="741"/>
      <c r="M439" s="741"/>
      <c r="N439" s="741"/>
      <c r="O439" s="741"/>
      <c r="P439" s="741"/>
      <c r="Q439" s="741"/>
      <c r="R439" s="741"/>
      <c r="S439" s="741"/>
      <c r="T439" s="741"/>
      <c r="U439" s="741"/>
      <c r="V439" s="741"/>
      <c r="W439" s="741"/>
      <c r="X439" s="741"/>
      <c r="Y439" s="741"/>
      <c r="Z439" s="741"/>
      <c r="AA439" s="741"/>
      <c r="AB439" s="741"/>
      <c r="AC439" s="741"/>
      <c r="AD439" s="741"/>
      <c r="AE439" s="741"/>
      <c r="AF439" s="741"/>
      <c r="AG439" s="741"/>
      <c r="AH439" s="741"/>
      <c r="AI439" s="741"/>
      <c r="AJ439" s="741"/>
      <c r="AK439" s="741"/>
      <c r="AL439" s="741"/>
      <c r="AM439" s="741"/>
      <c r="AN439" s="741"/>
      <c r="AO439" s="741"/>
      <c r="AP439" s="741"/>
    </row>
    <row r="440" spans="1:42" ht="12.75" customHeight="1">
      <c r="A440" s="741"/>
      <c r="B440" s="741"/>
      <c r="C440" s="741"/>
      <c r="D440" s="741"/>
      <c r="E440" s="741"/>
      <c r="F440" s="741"/>
      <c r="G440" s="741"/>
      <c r="H440" s="741"/>
      <c r="I440" s="741"/>
      <c r="J440" s="741"/>
      <c r="K440" s="741"/>
      <c r="L440" s="741"/>
      <c r="M440" s="741"/>
      <c r="N440" s="741"/>
      <c r="O440" s="741"/>
      <c r="P440" s="741"/>
      <c r="Q440" s="741"/>
      <c r="R440" s="741"/>
      <c r="S440" s="741"/>
      <c r="T440" s="741"/>
      <c r="U440" s="741"/>
      <c r="V440" s="741"/>
      <c r="W440" s="741"/>
      <c r="X440" s="741"/>
      <c r="Y440" s="741"/>
      <c r="Z440" s="741"/>
      <c r="AA440" s="741"/>
      <c r="AB440" s="741"/>
      <c r="AC440" s="741"/>
      <c r="AD440" s="741"/>
      <c r="AE440" s="741"/>
      <c r="AF440" s="741"/>
      <c r="AG440" s="741"/>
      <c r="AH440" s="741"/>
      <c r="AI440" s="741"/>
      <c r="AJ440" s="741"/>
      <c r="AK440" s="741"/>
      <c r="AL440" s="741"/>
      <c r="AM440" s="741"/>
      <c r="AN440" s="741"/>
      <c r="AO440" s="741"/>
      <c r="AP440" s="741"/>
    </row>
    <row r="441" spans="1:42" ht="12.75" customHeight="1">
      <c r="A441" s="741"/>
      <c r="B441" s="741"/>
      <c r="C441" s="741"/>
      <c r="D441" s="741"/>
      <c r="E441" s="741"/>
      <c r="F441" s="741"/>
      <c r="G441" s="741"/>
      <c r="H441" s="741"/>
      <c r="I441" s="741"/>
      <c r="J441" s="741"/>
      <c r="K441" s="741"/>
      <c r="L441" s="741"/>
      <c r="M441" s="741"/>
      <c r="N441" s="741"/>
      <c r="O441" s="741"/>
      <c r="P441" s="741"/>
      <c r="Q441" s="741"/>
      <c r="R441" s="741"/>
      <c r="S441" s="741"/>
      <c r="T441" s="741"/>
      <c r="U441" s="741"/>
      <c r="V441" s="741"/>
      <c r="W441" s="741"/>
      <c r="X441" s="741"/>
      <c r="Y441" s="741"/>
      <c r="Z441" s="741"/>
      <c r="AA441" s="741"/>
      <c r="AB441" s="741"/>
      <c r="AC441" s="741"/>
      <c r="AD441" s="741"/>
      <c r="AE441" s="741"/>
      <c r="AF441" s="741"/>
      <c r="AG441" s="741"/>
      <c r="AH441" s="741"/>
      <c r="AI441" s="741"/>
      <c r="AJ441" s="741"/>
      <c r="AK441" s="741"/>
      <c r="AL441" s="741"/>
      <c r="AM441" s="741"/>
      <c r="AN441" s="741"/>
      <c r="AO441" s="741"/>
      <c r="AP441" s="741"/>
    </row>
    <row r="442" spans="1:42" ht="12.75" customHeight="1">
      <c r="A442" s="741"/>
      <c r="B442" s="741"/>
      <c r="C442" s="741"/>
      <c r="D442" s="741"/>
      <c r="E442" s="741"/>
      <c r="F442" s="741"/>
      <c r="G442" s="741"/>
      <c r="H442" s="741"/>
      <c r="I442" s="741"/>
      <c r="J442" s="741"/>
      <c r="K442" s="741"/>
      <c r="L442" s="741"/>
      <c r="M442" s="741"/>
      <c r="N442" s="741"/>
      <c r="O442" s="741"/>
      <c r="P442" s="741"/>
      <c r="Q442" s="741"/>
      <c r="R442" s="741"/>
      <c r="S442" s="741"/>
      <c r="T442" s="741"/>
      <c r="U442" s="741"/>
      <c r="V442" s="741"/>
      <c r="W442" s="741"/>
      <c r="X442" s="741"/>
      <c r="Y442" s="741"/>
      <c r="Z442" s="741"/>
      <c r="AA442" s="741"/>
      <c r="AB442" s="741"/>
      <c r="AC442" s="741"/>
      <c r="AD442" s="741"/>
      <c r="AE442" s="741"/>
      <c r="AF442" s="741"/>
      <c r="AG442" s="741"/>
      <c r="AH442" s="741"/>
      <c r="AI442" s="741"/>
      <c r="AJ442" s="741"/>
      <c r="AK442" s="741"/>
      <c r="AL442" s="741"/>
      <c r="AM442" s="741"/>
      <c r="AN442" s="741"/>
      <c r="AO442" s="741"/>
      <c r="AP442" s="741"/>
    </row>
    <row r="443" spans="1:42" ht="12.75" customHeight="1">
      <c r="A443" s="741"/>
      <c r="B443" s="741"/>
      <c r="C443" s="741"/>
      <c r="D443" s="741"/>
      <c r="E443" s="741"/>
      <c r="F443" s="741"/>
      <c r="G443" s="741"/>
      <c r="H443" s="741"/>
      <c r="I443" s="741"/>
      <c r="J443" s="741"/>
      <c r="K443" s="741"/>
      <c r="L443" s="741"/>
      <c r="M443" s="741"/>
      <c r="N443" s="741"/>
      <c r="O443" s="741"/>
      <c r="P443" s="741"/>
      <c r="Q443" s="741"/>
      <c r="R443" s="741"/>
      <c r="S443" s="741"/>
      <c r="T443" s="741"/>
      <c r="U443" s="741"/>
      <c r="V443" s="741"/>
      <c r="W443" s="741"/>
      <c r="X443" s="741"/>
      <c r="Y443" s="741"/>
      <c r="Z443" s="741"/>
      <c r="AA443" s="741"/>
      <c r="AB443" s="741"/>
      <c r="AC443" s="741"/>
      <c r="AD443" s="741"/>
      <c r="AE443" s="741"/>
      <c r="AF443" s="741"/>
      <c r="AG443" s="741"/>
      <c r="AH443" s="741"/>
      <c r="AI443" s="741"/>
      <c r="AJ443" s="741"/>
      <c r="AK443" s="741"/>
      <c r="AL443" s="741"/>
      <c r="AM443" s="741"/>
      <c r="AN443" s="741"/>
      <c r="AO443" s="741"/>
      <c r="AP443" s="741"/>
    </row>
    <row r="444" spans="1:42" ht="12.75" customHeight="1">
      <c r="A444" s="741"/>
      <c r="B444" s="741"/>
      <c r="C444" s="741"/>
      <c r="D444" s="741"/>
      <c r="E444" s="741"/>
      <c r="F444" s="741"/>
      <c r="G444" s="741"/>
      <c r="H444" s="741"/>
      <c r="I444" s="741"/>
      <c r="J444" s="741"/>
      <c r="K444" s="741"/>
      <c r="L444" s="741"/>
      <c r="M444" s="741"/>
      <c r="N444" s="741"/>
      <c r="O444" s="741"/>
      <c r="P444" s="741"/>
      <c r="Q444" s="741"/>
      <c r="R444" s="741"/>
      <c r="S444" s="741"/>
      <c r="T444" s="741"/>
      <c r="U444" s="741"/>
      <c r="V444" s="741"/>
      <c r="W444" s="741"/>
      <c r="X444" s="741"/>
      <c r="Y444" s="741"/>
      <c r="Z444" s="741"/>
      <c r="AA444" s="741"/>
      <c r="AB444" s="741"/>
      <c r="AC444" s="741"/>
      <c r="AD444" s="741"/>
      <c r="AE444" s="741"/>
      <c r="AF444" s="741"/>
      <c r="AG444" s="741"/>
      <c r="AH444" s="741"/>
      <c r="AI444" s="741"/>
      <c r="AJ444" s="741"/>
      <c r="AK444" s="741"/>
      <c r="AL444" s="741"/>
      <c r="AM444" s="741"/>
      <c r="AN444" s="741"/>
      <c r="AO444" s="741"/>
      <c r="AP444" s="741"/>
    </row>
    <row r="445" spans="1:42" ht="12.75" customHeight="1">
      <c r="A445" s="741"/>
      <c r="B445" s="741"/>
      <c r="C445" s="741"/>
      <c r="D445" s="741"/>
      <c r="E445" s="741"/>
      <c r="F445" s="741"/>
      <c r="G445" s="741"/>
      <c r="H445" s="741"/>
      <c r="I445" s="741"/>
      <c r="J445" s="741"/>
      <c r="K445" s="741"/>
      <c r="L445" s="741"/>
      <c r="M445" s="741"/>
      <c r="N445" s="741"/>
      <c r="O445" s="741"/>
      <c r="P445" s="741"/>
      <c r="Q445" s="741"/>
      <c r="R445" s="741"/>
      <c r="S445" s="741"/>
      <c r="T445" s="741"/>
      <c r="U445" s="741"/>
      <c r="V445" s="741"/>
      <c r="W445" s="741"/>
      <c r="X445" s="741"/>
      <c r="Y445" s="741"/>
      <c r="Z445" s="741"/>
      <c r="AA445" s="741"/>
      <c r="AB445" s="741"/>
      <c r="AC445" s="741"/>
      <c r="AD445" s="741"/>
      <c r="AE445" s="741"/>
      <c r="AF445" s="741"/>
      <c r="AG445" s="741"/>
      <c r="AH445" s="741"/>
      <c r="AI445" s="741"/>
      <c r="AJ445" s="741"/>
      <c r="AK445" s="741"/>
      <c r="AL445" s="741"/>
      <c r="AM445" s="741"/>
      <c r="AN445" s="741"/>
      <c r="AO445" s="741"/>
      <c r="AP445" s="741"/>
    </row>
    <row r="446" spans="1:42" ht="12.75" customHeight="1">
      <c r="A446" s="741"/>
      <c r="B446" s="741"/>
      <c r="C446" s="741"/>
      <c r="D446" s="741"/>
      <c r="E446" s="741"/>
      <c r="F446" s="741"/>
      <c r="G446" s="741"/>
      <c r="H446" s="741"/>
      <c r="I446" s="741"/>
      <c r="J446" s="741"/>
      <c r="K446" s="741"/>
      <c r="L446" s="741"/>
      <c r="M446" s="741"/>
      <c r="N446" s="741"/>
      <c r="O446" s="741"/>
      <c r="P446" s="741"/>
      <c r="Q446" s="741"/>
      <c r="R446" s="741"/>
      <c r="S446" s="741"/>
      <c r="T446" s="741"/>
      <c r="U446" s="741"/>
      <c r="V446" s="741"/>
      <c r="W446" s="741"/>
      <c r="X446" s="741"/>
      <c r="Y446" s="741"/>
      <c r="Z446" s="741"/>
      <c r="AA446" s="741"/>
      <c r="AB446" s="741"/>
      <c r="AC446" s="741"/>
      <c r="AD446" s="741"/>
      <c r="AE446" s="741"/>
      <c r="AF446" s="741"/>
      <c r="AG446" s="741"/>
      <c r="AH446" s="741"/>
      <c r="AI446" s="741"/>
      <c r="AJ446" s="741"/>
      <c r="AK446" s="741"/>
      <c r="AL446" s="741"/>
      <c r="AM446" s="741"/>
      <c r="AN446" s="741"/>
      <c r="AO446" s="741"/>
      <c r="AP446" s="741"/>
    </row>
    <row r="447" spans="1:42" ht="12.75" customHeight="1">
      <c r="A447" s="741"/>
      <c r="B447" s="741"/>
      <c r="C447" s="741"/>
      <c r="D447" s="741"/>
      <c r="E447" s="741"/>
      <c r="F447" s="741"/>
      <c r="G447" s="741"/>
      <c r="H447" s="741"/>
      <c r="I447" s="741"/>
      <c r="J447" s="741"/>
      <c r="K447" s="741"/>
      <c r="L447" s="741"/>
      <c r="M447" s="741"/>
      <c r="N447" s="741"/>
      <c r="O447" s="741"/>
      <c r="P447" s="741"/>
      <c r="Q447" s="741"/>
      <c r="R447" s="741"/>
      <c r="S447" s="741"/>
      <c r="T447" s="741"/>
      <c r="U447" s="741"/>
      <c r="V447" s="741"/>
      <c r="W447" s="741"/>
      <c r="X447" s="741"/>
      <c r="Y447" s="741"/>
      <c r="Z447" s="741"/>
      <c r="AA447" s="741"/>
      <c r="AB447" s="741"/>
      <c r="AC447" s="741"/>
      <c r="AD447" s="741"/>
      <c r="AE447" s="741"/>
      <c r="AF447" s="741"/>
      <c r="AG447" s="741"/>
      <c r="AH447" s="741"/>
      <c r="AI447" s="741"/>
      <c r="AJ447" s="741"/>
      <c r="AK447" s="741"/>
      <c r="AL447" s="741"/>
      <c r="AM447" s="741"/>
      <c r="AN447" s="741"/>
      <c r="AO447" s="741"/>
      <c r="AP447" s="741"/>
    </row>
    <row r="448" spans="1:42" ht="12.75" customHeight="1">
      <c r="A448" s="741"/>
      <c r="B448" s="741"/>
      <c r="C448" s="741"/>
      <c r="D448" s="741"/>
      <c r="E448" s="741"/>
      <c r="F448" s="741"/>
      <c r="G448" s="741"/>
      <c r="H448" s="741"/>
      <c r="I448" s="741"/>
      <c r="J448" s="741"/>
      <c r="K448" s="741"/>
      <c r="L448" s="741"/>
      <c r="M448" s="741"/>
      <c r="N448" s="741"/>
      <c r="O448" s="741"/>
      <c r="P448" s="741"/>
      <c r="Q448" s="741"/>
      <c r="R448" s="741"/>
      <c r="S448" s="741"/>
      <c r="T448" s="741"/>
      <c r="U448" s="741"/>
      <c r="V448" s="741"/>
      <c r="W448" s="741"/>
      <c r="X448" s="741"/>
      <c r="Y448" s="741"/>
      <c r="Z448" s="741"/>
      <c r="AA448" s="741"/>
      <c r="AB448" s="741"/>
      <c r="AC448" s="741"/>
      <c r="AD448" s="741"/>
      <c r="AE448" s="741"/>
      <c r="AF448" s="741"/>
      <c r="AG448" s="741"/>
      <c r="AH448" s="741"/>
      <c r="AI448" s="741"/>
      <c r="AJ448" s="741"/>
      <c r="AK448" s="741"/>
      <c r="AL448" s="741"/>
      <c r="AM448" s="741"/>
      <c r="AN448" s="741"/>
      <c r="AO448" s="741"/>
      <c r="AP448" s="741"/>
    </row>
    <row r="449" spans="1:42" ht="12.75" customHeight="1">
      <c r="A449" s="741"/>
      <c r="B449" s="741"/>
      <c r="C449" s="741"/>
      <c r="D449" s="741"/>
      <c r="E449" s="741"/>
      <c r="F449" s="741"/>
      <c r="G449" s="741"/>
      <c r="H449" s="741"/>
      <c r="I449" s="741"/>
      <c r="J449" s="741"/>
      <c r="K449" s="741"/>
      <c r="L449" s="741"/>
      <c r="M449" s="741"/>
      <c r="N449" s="741"/>
      <c r="O449" s="741"/>
      <c r="P449" s="741"/>
      <c r="Q449" s="741"/>
      <c r="R449" s="741"/>
      <c r="S449" s="741"/>
      <c r="T449" s="741"/>
      <c r="U449" s="741"/>
      <c r="V449" s="741"/>
      <c r="W449" s="741"/>
      <c r="X449" s="741"/>
      <c r="Y449" s="741"/>
      <c r="Z449" s="741"/>
      <c r="AA449" s="741"/>
      <c r="AB449" s="741"/>
      <c r="AC449" s="741"/>
      <c r="AD449" s="741"/>
      <c r="AE449" s="741"/>
      <c r="AF449" s="741"/>
      <c r="AG449" s="741"/>
      <c r="AH449" s="741"/>
      <c r="AI449" s="741"/>
      <c r="AJ449" s="741"/>
      <c r="AK449" s="741"/>
      <c r="AL449" s="741"/>
      <c r="AM449" s="741"/>
      <c r="AN449" s="741"/>
      <c r="AO449" s="741"/>
      <c r="AP449" s="741"/>
    </row>
    <row r="450" spans="1:42" ht="12.75" customHeight="1">
      <c r="A450" s="741"/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1"/>
      <c r="P450" s="741"/>
      <c r="Q450" s="741"/>
      <c r="R450" s="741"/>
      <c r="S450" s="741"/>
      <c r="T450" s="741"/>
      <c r="U450" s="741"/>
      <c r="V450" s="741"/>
      <c r="W450" s="741"/>
      <c r="X450" s="741"/>
      <c r="Y450" s="741"/>
      <c r="Z450" s="741"/>
      <c r="AA450" s="741"/>
      <c r="AB450" s="741"/>
      <c r="AC450" s="741"/>
      <c r="AD450" s="741"/>
      <c r="AE450" s="741"/>
      <c r="AF450" s="741"/>
      <c r="AG450" s="741"/>
      <c r="AH450" s="741"/>
      <c r="AI450" s="741"/>
      <c r="AJ450" s="741"/>
      <c r="AK450" s="741"/>
      <c r="AL450" s="741"/>
      <c r="AM450" s="741"/>
      <c r="AN450" s="741"/>
      <c r="AO450" s="741"/>
      <c r="AP450" s="741"/>
    </row>
    <row r="451" spans="1:42" ht="12.75" customHeight="1">
      <c r="A451" s="741"/>
      <c r="B451" s="741"/>
      <c r="C451" s="741"/>
      <c r="D451" s="741"/>
      <c r="E451" s="741"/>
      <c r="F451" s="741"/>
      <c r="G451" s="741"/>
      <c r="H451" s="741"/>
      <c r="I451" s="741"/>
      <c r="J451" s="741"/>
      <c r="K451" s="741"/>
      <c r="L451" s="741"/>
      <c r="M451" s="741"/>
      <c r="N451" s="741"/>
      <c r="O451" s="741"/>
      <c r="P451" s="741"/>
      <c r="Q451" s="741"/>
      <c r="R451" s="741"/>
      <c r="S451" s="741"/>
      <c r="T451" s="741"/>
      <c r="U451" s="741"/>
      <c r="V451" s="741"/>
      <c r="W451" s="741"/>
      <c r="X451" s="741"/>
      <c r="Y451" s="741"/>
      <c r="Z451" s="741"/>
      <c r="AA451" s="741"/>
      <c r="AB451" s="741"/>
      <c r="AC451" s="741"/>
      <c r="AD451" s="741"/>
      <c r="AE451" s="741"/>
      <c r="AF451" s="741"/>
      <c r="AG451" s="741"/>
      <c r="AH451" s="741"/>
      <c r="AI451" s="741"/>
      <c r="AJ451" s="741"/>
      <c r="AK451" s="741"/>
      <c r="AL451" s="741"/>
      <c r="AM451" s="741"/>
      <c r="AN451" s="741"/>
      <c r="AO451" s="741"/>
      <c r="AP451" s="741"/>
    </row>
    <row r="452" spans="1:42" ht="12.75" customHeight="1">
      <c r="A452" s="741"/>
      <c r="B452" s="741"/>
      <c r="C452" s="741"/>
      <c r="D452" s="741"/>
      <c r="E452" s="741"/>
      <c r="F452" s="741"/>
      <c r="G452" s="741"/>
      <c r="H452" s="741"/>
      <c r="I452" s="741"/>
      <c r="J452" s="741"/>
      <c r="K452" s="741"/>
      <c r="L452" s="741"/>
      <c r="M452" s="741"/>
      <c r="N452" s="741"/>
      <c r="O452" s="741"/>
      <c r="P452" s="741"/>
      <c r="Q452" s="741"/>
      <c r="R452" s="741"/>
      <c r="S452" s="741"/>
      <c r="T452" s="741"/>
      <c r="U452" s="741"/>
      <c r="V452" s="741"/>
      <c r="W452" s="741"/>
      <c r="X452" s="741"/>
      <c r="Y452" s="741"/>
      <c r="Z452" s="741"/>
      <c r="AA452" s="741"/>
      <c r="AB452" s="741"/>
      <c r="AC452" s="741"/>
      <c r="AD452" s="741"/>
      <c r="AE452" s="741"/>
      <c r="AF452" s="741"/>
      <c r="AG452" s="741"/>
      <c r="AH452" s="741"/>
      <c r="AI452" s="741"/>
      <c r="AJ452" s="741"/>
      <c r="AK452" s="741"/>
      <c r="AL452" s="741"/>
      <c r="AM452" s="741"/>
      <c r="AN452" s="741"/>
      <c r="AO452" s="741"/>
      <c r="AP452" s="741"/>
    </row>
    <row r="453" spans="1:42" ht="12.75" customHeight="1">
      <c r="A453" s="741"/>
      <c r="B453" s="741"/>
      <c r="C453" s="741"/>
      <c r="D453" s="741"/>
      <c r="E453" s="741"/>
      <c r="F453" s="741"/>
      <c r="G453" s="741"/>
      <c r="H453" s="741"/>
      <c r="I453" s="741"/>
      <c r="J453" s="741"/>
      <c r="K453" s="741"/>
      <c r="L453" s="741"/>
      <c r="M453" s="741"/>
      <c r="N453" s="741"/>
      <c r="O453" s="741"/>
      <c r="P453" s="741"/>
      <c r="Q453" s="741"/>
      <c r="R453" s="741"/>
      <c r="S453" s="741"/>
      <c r="T453" s="741"/>
      <c r="U453" s="741"/>
      <c r="V453" s="741"/>
      <c r="W453" s="741"/>
      <c r="X453" s="741"/>
      <c r="Y453" s="741"/>
      <c r="Z453" s="741"/>
      <c r="AA453" s="741"/>
      <c r="AB453" s="741"/>
      <c r="AC453" s="741"/>
      <c r="AD453" s="741"/>
      <c r="AE453" s="741"/>
      <c r="AF453" s="741"/>
      <c r="AG453" s="741"/>
      <c r="AH453" s="741"/>
      <c r="AI453" s="741"/>
      <c r="AJ453" s="741"/>
      <c r="AK453" s="741"/>
      <c r="AL453" s="741"/>
      <c r="AM453" s="741"/>
      <c r="AN453" s="741"/>
      <c r="AO453" s="741"/>
      <c r="AP453" s="741"/>
    </row>
    <row r="454" spans="1:42" ht="12.75" customHeight="1">
      <c r="A454" s="741"/>
      <c r="B454" s="741"/>
      <c r="C454" s="741"/>
      <c r="D454" s="741"/>
      <c r="E454" s="741"/>
      <c r="F454" s="741"/>
      <c r="G454" s="741"/>
      <c r="H454" s="741"/>
      <c r="I454" s="741"/>
      <c r="J454" s="741"/>
      <c r="K454" s="741"/>
      <c r="L454" s="741"/>
      <c r="M454" s="741"/>
      <c r="N454" s="741"/>
      <c r="O454" s="741"/>
      <c r="P454" s="741"/>
      <c r="Q454" s="741"/>
      <c r="R454" s="741"/>
      <c r="S454" s="741"/>
      <c r="T454" s="741"/>
      <c r="U454" s="741"/>
      <c r="V454" s="741"/>
      <c r="W454" s="741"/>
      <c r="X454" s="741"/>
      <c r="Y454" s="741"/>
      <c r="Z454" s="741"/>
      <c r="AA454" s="741"/>
      <c r="AB454" s="741"/>
      <c r="AC454" s="741"/>
      <c r="AD454" s="741"/>
      <c r="AE454" s="741"/>
      <c r="AF454" s="741"/>
      <c r="AG454" s="741"/>
      <c r="AH454" s="741"/>
      <c r="AI454" s="741"/>
      <c r="AJ454" s="741"/>
      <c r="AK454" s="741"/>
      <c r="AL454" s="741"/>
      <c r="AM454" s="741"/>
      <c r="AN454" s="741"/>
      <c r="AO454" s="741"/>
      <c r="AP454" s="741"/>
    </row>
    <row r="455" spans="1:42" ht="12.75" customHeight="1">
      <c r="A455" s="741"/>
      <c r="B455" s="741"/>
      <c r="C455" s="741"/>
      <c r="D455" s="741"/>
      <c r="E455" s="741"/>
      <c r="F455" s="741"/>
      <c r="G455" s="741"/>
      <c r="H455" s="741"/>
      <c r="I455" s="741"/>
      <c r="J455" s="741"/>
      <c r="K455" s="741"/>
      <c r="L455" s="741"/>
      <c r="M455" s="741"/>
      <c r="N455" s="741"/>
      <c r="O455" s="741"/>
      <c r="P455" s="741"/>
      <c r="Q455" s="741"/>
      <c r="R455" s="741"/>
      <c r="S455" s="741"/>
      <c r="T455" s="741"/>
      <c r="U455" s="741"/>
      <c r="V455" s="741"/>
      <c r="W455" s="741"/>
      <c r="X455" s="741"/>
      <c r="Y455" s="741"/>
      <c r="Z455" s="741"/>
      <c r="AA455" s="741"/>
      <c r="AB455" s="741"/>
      <c r="AC455" s="741"/>
      <c r="AD455" s="741"/>
      <c r="AE455" s="741"/>
      <c r="AF455" s="741"/>
      <c r="AG455" s="741"/>
      <c r="AH455" s="741"/>
      <c r="AI455" s="741"/>
      <c r="AJ455" s="741"/>
      <c r="AK455" s="741"/>
      <c r="AL455" s="741"/>
      <c r="AM455" s="741"/>
      <c r="AN455" s="741"/>
      <c r="AO455" s="741"/>
      <c r="AP455" s="741"/>
    </row>
    <row r="456" spans="1:42" ht="12.75" customHeight="1">
      <c r="A456" s="741"/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1"/>
      <c r="P456" s="741"/>
      <c r="Q456" s="741"/>
      <c r="R456" s="741"/>
      <c r="S456" s="741"/>
      <c r="T456" s="741"/>
      <c r="U456" s="741"/>
      <c r="V456" s="741"/>
      <c r="W456" s="741"/>
      <c r="X456" s="741"/>
      <c r="Y456" s="741"/>
      <c r="Z456" s="741"/>
      <c r="AA456" s="741"/>
      <c r="AB456" s="741"/>
      <c r="AC456" s="741"/>
      <c r="AD456" s="741"/>
      <c r="AE456" s="741"/>
      <c r="AF456" s="741"/>
      <c r="AG456" s="741"/>
      <c r="AH456" s="741"/>
      <c r="AI456" s="741"/>
      <c r="AJ456" s="741"/>
      <c r="AK456" s="741"/>
      <c r="AL456" s="741"/>
      <c r="AM456" s="741"/>
      <c r="AN456" s="741"/>
      <c r="AO456" s="741"/>
      <c r="AP456" s="741"/>
    </row>
    <row r="457" spans="1:42" ht="12.75" customHeight="1">
      <c r="A457" s="741"/>
      <c r="B457" s="741"/>
      <c r="C457" s="741"/>
      <c r="D457" s="741"/>
      <c r="E457" s="741"/>
      <c r="F457" s="741"/>
      <c r="G457" s="741"/>
      <c r="H457" s="741"/>
      <c r="I457" s="741"/>
      <c r="J457" s="741"/>
      <c r="K457" s="741"/>
      <c r="L457" s="741"/>
      <c r="M457" s="741"/>
      <c r="N457" s="741"/>
      <c r="O457" s="741"/>
      <c r="P457" s="741"/>
      <c r="Q457" s="741"/>
      <c r="R457" s="741"/>
      <c r="S457" s="741"/>
      <c r="T457" s="741"/>
      <c r="U457" s="741"/>
      <c r="V457" s="741"/>
      <c r="W457" s="741"/>
      <c r="X457" s="741"/>
      <c r="Y457" s="741"/>
      <c r="Z457" s="741"/>
      <c r="AA457" s="741"/>
      <c r="AB457" s="741"/>
      <c r="AC457" s="741"/>
      <c r="AD457" s="741"/>
      <c r="AE457" s="741"/>
      <c r="AF457" s="741"/>
      <c r="AG457" s="741"/>
      <c r="AH457" s="741"/>
      <c r="AI457" s="741"/>
      <c r="AJ457" s="741"/>
      <c r="AK457" s="741"/>
      <c r="AL457" s="741"/>
      <c r="AM457" s="741"/>
      <c r="AN457" s="741"/>
      <c r="AO457" s="741"/>
      <c r="AP457" s="741"/>
    </row>
    <row r="458" spans="1:42" ht="12.75" customHeight="1">
      <c r="A458" s="741"/>
      <c r="B458" s="741"/>
      <c r="C458" s="741"/>
      <c r="D458" s="741"/>
      <c r="E458" s="741"/>
      <c r="F458" s="741"/>
      <c r="G458" s="741"/>
      <c r="H458" s="741"/>
      <c r="I458" s="741"/>
      <c r="J458" s="741"/>
      <c r="K458" s="741"/>
      <c r="L458" s="741"/>
      <c r="M458" s="741"/>
      <c r="N458" s="741"/>
      <c r="O458" s="741"/>
      <c r="P458" s="741"/>
      <c r="Q458" s="741"/>
      <c r="R458" s="741"/>
      <c r="S458" s="741"/>
      <c r="T458" s="741"/>
      <c r="U458" s="741"/>
      <c r="V458" s="741"/>
      <c r="W458" s="741"/>
      <c r="X458" s="741"/>
      <c r="Y458" s="741"/>
      <c r="Z458" s="741"/>
      <c r="AA458" s="741"/>
      <c r="AB458" s="741"/>
      <c r="AC458" s="741"/>
      <c r="AD458" s="741"/>
      <c r="AE458" s="741"/>
      <c r="AF458" s="741"/>
      <c r="AG458" s="741"/>
      <c r="AH458" s="741"/>
      <c r="AI458" s="741"/>
      <c r="AJ458" s="741"/>
      <c r="AK458" s="741"/>
      <c r="AL458" s="741"/>
      <c r="AM458" s="741"/>
      <c r="AN458" s="741"/>
      <c r="AO458" s="741"/>
      <c r="AP458" s="741"/>
    </row>
    <row r="459" spans="1:42" ht="12.75" customHeight="1">
      <c r="A459" s="741"/>
      <c r="B459" s="741"/>
      <c r="C459" s="741"/>
      <c r="D459" s="741"/>
      <c r="E459" s="741"/>
      <c r="F459" s="741"/>
      <c r="G459" s="741"/>
      <c r="H459" s="741"/>
      <c r="I459" s="741"/>
      <c r="J459" s="741"/>
      <c r="K459" s="741"/>
      <c r="L459" s="741"/>
      <c r="M459" s="741"/>
      <c r="N459" s="741"/>
      <c r="O459" s="741"/>
      <c r="P459" s="741"/>
      <c r="Q459" s="741"/>
      <c r="R459" s="741"/>
      <c r="S459" s="741"/>
      <c r="T459" s="741"/>
      <c r="U459" s="741"/>
      <c r="V459" s="741"/>
      <c r="W459" s="741"/>
      <c r="X459" s="741"/>
      <c r="Y459" s="741"/>
      <c r="Z459" s="741"/>
      <c r="AA459" s="741"/>
      <c r="AB459" s="741"/>
      <c r="AC459" s="741"/>
      <c r="AD459" s="741"/>
      <c r="AE459" s="741"/>
      <c r="AF459" s="741"/>
      <c r="AG459" s="741"/>
      <c r="AH459" s="741"/>
      <c r="AI459" s="741"/>
      <c r="AJ459" s="741"/>
      <c r="AK459" s="741"/>
      <c r="AL459" s="741"/>
      <c r="AM459" s="741"/>
      <c r="AN459" s="741"/>
      <c r="AO459" s="741"/>
      <c r="AP459" s="741"/>
    </row>
    <row r="460" spans="1:42" ht="12.75" customHeight="1">
      <c r="A460" s="741"/>
      <c r="B460" s="741"/>
      <c r="C460" s="741"/>
      <c r="D460" s="741"/>
      <c r="E460" s="741"/>
      <c r="F460" s="741"/>
      <c r="G460" s="741"/>
      <c r="H460" s="741"/>
      <c r="I460" s="741"/>
      <c r="J460" s="741"/>
      <c r="K460" s="741"/>
      <c r="L460" s="741"/>
      <c r="M460" s="741"/>
      <c r="N460" s="741"/>
      <c r="O460" s="741"/>
      <c r="P460" s="741"/>
      <c r="Q460" s="741"/>
      <c r="R460" s="741"/>
      <c r="S460" s="741"/>
      <c r="T460" s="741"/>
      <c r="U460" s="741"/>
      <c r="V460" s="741"/>
      <c r="W460" s="741"/>
      <c r="X460" s="741"/>
      <c r="Y460" s="741"/>
      <c r="Z460" s="741"/>
      <c r="AA460" s="741"/>
      <c r="AB460" s="741"/>
      <c r="AC460" s="741"/>
      <c r="AD460" s="741"/>
      <c r="AE460" s="741"/>
      <c r="AF460" s="741"/>
      <c r="AG460" s="741"/>
      <c r="AH460" s="741"/>
      <c r="AI460" s="741"/>
      <c r="AJ460" s="741"/>
      <c r="AK460" s="741"/>
      <c r="AL460" s="741"/>
      <c r="AM460" s="741"/>
      <c r="AN460" s="741"/>
      <c r="AO460" s="741"/>
      <c r="AP460" s="741"/>
    </row>
    <row r="461" spans="1:42" ht="12.75" customHeight="1">
      <c r="A461" s="741"/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1"/>
      <c r="P461" s="741"/>
      <c r="Q461" s="741"/>
      <c r="R461" s="741"/>
      <c r="S461" s="741"/>
      <c r="T461" s="741"/>
      <c r="U461" s="741"/>
      <c r="V461" s="741"/>
      <c r="W461" s="741"/>
      <c r="X461" s="741"/>
      <c r="Y461" s="741"/>
      <c r="Z461" s="741"/>
      <c r="AA461" s="741"/>
      <c r="AB461" s="741"/>
      <c r="AC461" s="741"/>
      <c r="AD461" s="741"/>
      <c r="AE461" s="741"/>
      <c r="AF461" s="741"/>
      <c r="AG461" s="741"/>
      <c r="AH461" s="741"/>
      <c r="AI461" s="741"/>
      <c r="AJ461" s="741"/>
      <c r="AK461" s="741"/>
      <c r="AL461" s="741"/>
      <c r="AM461" s="741"/>
      <c r="AN461" s="741"/>
      <c r="AO461" s="741"/>
      <c r="AP461" s="741"/>
    </row>
    <row r="462" spans="1:42" ht="12.75" customHeight="1">
      <c r="A462" s="741"/>
      <c r="B462" s="741"/>
      <c r="C462" s="741"/>
      <c r="D462" s="741"/>
      <c r="E462" s="741"/>
      <c r="F462" s="741"/>
      <c r="G462" s="741"/>
      <c r="H462" s="741"/>
      <c r="I462" s="741"/>
      <c r="J462" s="741"/>
      <c r="K462" s="741"/>
      <c r="L462" s="741"/>
      <c r="M462" s="741"/>
      <c r="N462" s="741"/>
      <c r="O462" s="741"/>
      <c r="P462" s="741"/>
      <c r="Q462" s="741"/>
      <c r="R462" s="741"/>
      <c r="S462" s="741"/>
      <c r="T462" s="741"/>
      <c r="U462" s="741"/>
      <c r="V462" s="741"/>
      <c r="W462" s="741"/>
      <c r="X462" s="741"/>
      <c r="Y462" s="741"/>
      <c r="Z462" s="741"/>
      <c r="AA462" s="741"/>
      <c r="AB462" s="741"/>
      <c r="AC462" s="741"/>
      <c r="AD462" s="741"/>
      <c r="AE462" s="741"/>
      <c r="AF462" s="741"/>
      <c r="AG462" s="741"/>
      <c r="AH462" s="741"/>
      <c r="AI462" s="741"/>
      <c r="AJ462" s="741"/>
      <c r="AK462" s="741"/>
      <c r="AL462" s="741"/>
      <c r="AM462" s="741"/>
      <c r="AN462" s="741"/>
      <c r="AO462" s="741"/>
      <c r="AP462" s="741"/>
    </row>
    <row r="463" spans="1:42" ht="12.75" customHeight="1">
      <c r="A463" s="741"/>
      <c r="B463" s="741"/>
      <c r="C463" s="741"/>
      <c r="D463" s="741"/>
      <c r="E463" s="741"/>
      <c r="F463" s="741"/>
      <c r="G463" s="741"/>
      <c r="H463" s="741"/>
      <c r="I463" s="741"/>
      <c r="J463" s="741"/>
      <c r="K463" s="741"/>
      <c r="L463" s="741"/>
      <c r="M463" s="741"/>
      <c r="N463" s="741"/>
      <c r="O463" s="741"/>
      <c r="P463" s="741"/>
      <c r="Q463" s="741"/>
      <c r="R463" s="741"/>
      <c r="S463" s="741"/>
      <c r="T463" s="741"/>
      <c r="U463" s="741"/>
      <c r="V463" s="741"/>
      <c r="W463" s="741"/>
      <c r="X463" s="741"/>
      <c r="Y463" s="741"/>
      <c r="Z463" s="741"/>
      <c r="AA463" s="741"/>
      <c r="AB463" s="741"/>
      <c r="AC463" s="741"/>
      <c r="AD463" s="741"/>
      <c r="AE463" s="741"/>
      <c r="AF463" s="741"/>
      <c r="AG463" s="741"/>
      <c r="AH463" s="741"/>
      <c r="AI463" s="741"/>
      <c r="AJ463" s="741"/>
      <c r="AK463" s="741"/>
      <c r="AL463" s="741"/>
      <c r="AM463" s="741"/>
      <c r="AN463" s="741"/>
      <c r="AO463" s="741"/>
      <c r="AP463" s="741"/>
    </row>
    <row r="464" spans="1:42" ht="12.75" customHeight="1">
      <c r="A464" s="741"/>
      <c r="B464" s="741"/>
      <c r="C464" s="741"/>
      <c r="D464" s="741"/>
      <c r="E464" s="741"/>
      <c r="F464" s="741"/>
      <c r="G464" s="741"/>
      <c r="H464" s="741"/>
      <c r="I464" s="741"/>
      <c r="J464" s="741"/>
      <c r="K464" s="741"/>
      <c r="L464" s="741"/>
      <c r="M464" s="741"/>
      <c r="N464" s="741"/>
      <c r="O464" s="741"/>
      <c r="P464" s="741"/>
      <c r="Q464" s="741"/>
      <c r="R464" s="741"/>
      <c r="S464" s="741"/>
      <c r="T464" s="741"/>
      <c r="U464" s="741"/>
      <c r="V464" s="741"/>
      <c r="W464" s="741"/>
      <c r="X464" s="741"/>
      <c r="Y464" s="741"/>
      <c r="Z464" s="741"/>
      <c r="AA464" s="741"/>
      <c r="AB464" s="741"/>
      <c r="AC464" s="741"/>
      <c r="AD464" s="741"/>
      <c r="AE464" s="741"/>
      <c r="AF464" s="741"/>
      <c r="AG464" s="741"/>
      <c r="AH464" s="741"/>
      <c r="AI464" s="741"/>
      <c r="AJ464" s="741"/>
      <c r="AK464" s="741"/>
      <c r="AL464" s="741"/>
      <c r="AM464" s="741"/>
      <c r="AN464" s="741"/>
      <c r="AO464" s="741"/>
      <c r="AP464" s="741"/>
    </row>
    <row r="465" spans="1:42" ht="12.75" customHeight="1">
      <c r="A465" s="741"/>
      <c r="B465" s="741"/>
      <c r="C465" s="741"/>
      <c r="D465" s="741"/>
      <c r="E465" s="741"/>
      <c r="F465" s="741"/>
      <c r="G465" s="741"/>
      <c r="H465" s="741"/>
      <c r="I465" s="741"/>
      <c r="J465" s="741"/>
      <c r="K465" s="741"/>
      <c r="L465" s="741"/>
      <c r="M465" s="741"/>
      <c r="N465" s="741"/>
      <c r="O465" s="741"/>
      <c r="P465" s="741"/>
      <c r="Q465" s="741"/>
      <c r="R465" s="741"/>
      <c r="S465" s="741"/>
      <c r="T465" s="741"/>
      <c r="U465" s="741"/>
      <c r="V465" s="741"/>
      <c r="W465" s="741"/>
      <c r="X465" s="741"/>
      <c r="Y465" s="741"/>
      <c r="Z465" s="741"/>
      <c r="AA465" s="741"/>
      <c r="AB465" s="741"/>
      <c r="AC465" s="741"/>
      <c r="AD465" s="741"/>
      <c r="AE465" s="741"/>
      <c r="AF465" s="741"/>
      <c r="AG465" s="741"/>
      <c r="AH465" s="741"/>
      <c r="AI465" s="741"/>
      <c r="AJ465" s="741"/>
      <c r="AK465" s="741"/>
      <c r="AL465" s="741"/>
      <c r="AM465" s="741"/>
      <c r="AN465" s="741"/>
      <c r="AO465" s="741"/>
      <c r="AP465" s="741"/>
    </row>
    <row r="466" spans="1:42" ht="12.75" customHeight="1">
      <c r="A466" s="741"/>
      <c r="B466" s="741"/>
      <c r="C466" s="741"/>
      <c r="D466" s="741"/>
      <c r="E466" s="741"/>
      <c r="F466" s="741"/>
      <c r="G466" s="741"/>
      <c r="H466" s="741"/>
      <c r="I466" s="741"/>
      <c r="J466" s="741"/>
      <c r="K466" s="741"/>
      <c r="L466" s="741"/>
      <c r="M466" s="741"/>
      <c r="N466" s="741"/>
      <c r="O466" s="741"/>
      <c r="P466" s="741"/>
      <c r="Q466" s="741"/>
      <c r="R466" s="741"/>
      <c r="S466" s="741"/>
      <c r="T466" s="741"/>
      <c r="U466" s="741"/>
      <c r="V466" s="741"/>
      <c r="W466" s="741"/>
      <c r="X466" s="741"/>
      <c r="Y466" s="741"/>
      <c r="Z466" s="741"/>
      <c r="AA466" s="741"/>
      <c r="AB466" s="741"/>
      <c r="AC466" s="741"/>
      <c r="AD466" s="741"/>
      <c r="AE466" s="741"/>
      <c r="AF466" s="741"/>
      <c r="AG466" s="741"/>
      <c r="AH466" s="741"/>
      <c r="AI466" s="741"/>
      <c r="AJ466" s="741"/>
      <c r="AK466" s="741"/>
      <c r="AL466" s="741"/>
      <c r="AM466" s="741"/>
      <c r="AN466" s="741"/>
      <c r="AO466" s="741"/>
      <c r="AP466" s="741"/>
    </row>
    <row r="467" spans="1:42" ht="12.75" customHeight="1">
      <c r="A467" s="741"/>
      <c r="B467" s="741"/>
      <c r="C467" s="741"/>
      <c r="D467" s="741"/>
      <c r="E467" s="741"/>
      <c r="F467" s="741"/>
      <c r="G467" s="741"/>
      <c r="H467" s="741"/>
      <c r="I467" s="741"/>
      <c r="J467" s="741"/>
      <c r="K467" s="741"/>
      <c r="L467" s="741"/>
      <c r="M467" s="741"/>
      <c r="N467" s="741"/>
      <c r="O467" s="741"/>
      <c r="P467" s="741"/>
      <c r="Q467" s="741"/>
      <c r="R467" s="741"/>
      <c r="S467" s="741"/>
      <c r="T467" s="741"/>
      <c r="U467" s="741"/>
      <c r="V467" s="741"/>
      <c r="W467" s="741"/>
      <c r="X467" s="741"/>
      <c r="Y467" s="741"/>
      <c r="Z467" s="741"/>
      <c r="AA467" s="741"/>
      <c r="AB467" s="741"/>
      <c r="AC467" s="741"/>
      <c r="AD467" s="741"/>
      <c r="AE467" s="741"/>
      <c r="AF467" s="741"/>
      <c r="AG467" s="741"/>
      <c r="AH467" s="741"/>
      <c r="AI467" s="741"/>
      <c r="AJ467" s="741"/>
      <c r="AK467" s="741"/>
      <c r="AL467" s="741"/>
      <c r="AM467" s="741"/>
      <c r="AN467" s="741"/>
      <c r="AO467" s="741"/>
      <c r="AP467" s="741"/>
    </row>
    <row r="468" spans="1:42" ht="12.75" customHeight="1">
      <c r="A468" s="741"/>
      <c r="B468" s="741"/>
      <c r="C468" s="741"/>
      <c r="D468" s="741"/>
      <c r="E468" s="741"/>
      <c r="F468" s="741"/>
      <c r="G468" s="741"/>
      <c r="H468" s="741"/>
      <c r="I468" s="741"/>
      <c r="J468" s="741"/>
      <c r="K468" s="741"/>
      <c r="L468" s="741"/>
      <c r="M468" s="741"/>
      <c r="N468" s="741"/>
      <c r="O468" s="741"/>
      <c r="P468" s="741"/>
      <c r="Q468" s="741"/>
      <c r="R468" s="741"/>
      <c r="S468" s="741"/>
      <c r="T468" s="741"/>
      <c r="U468" s="741"/>
      <c r="V468" s="741"/>
      <c r="W468" s="741"/>
      <c r="X468" s="741"/>
      <c r="Y468" s="741"/>
      <c r="Z468" s="741"/>
      <c r="AA468" s="741"/>
      <c r="AB468" s="741"/>
      <c r="AC468" s="741"/>
      <c r="AD468" s="741"/>
      <c r="AE468" s="741"/>
      <c r="AF468" s="741"/>
      <c r="AG468" s="741"/>
      <c r="AH468" s="741"/>
      <c r="AI468" s="741"/>
      <c r="AJ468" s="741"/>
      <c r="AK468" s="741"/>
      <c r="AL468" s="741"/>
      <c r="AM468" s="741"/>
      <c r="AN468" s="741"/>
      <c r="AO468" s="741"/>
      <c r="AP468" s="741"/>
    </row>
    <row r="469" spans="1:42" ht="12.75" customHeight="1">
      <c r="A469" s="741"/>
      <c r="B469" s="741"/>
      <c r="C469" s="741"/>
      <c r="D469" s="741"/>
      <c r="E469" s="741"/>
      <c r="F469" s="741"/>
      <c r="G469" s="741"/>
      <c r="H469" s="741"/>
      <c r="I469" s="741"/>
      <c r="J469" s="741"/>
      <c r="K469" s="741"/>
      <c r="L469" s="741"/>
      <c r="M469" s="741"/>
      <c r="N469" s="741"/>
      <c r="O469" s="741"/>
      <c r="P469" s="741"/>
      <c r="Q469" s="741"/>
      <c r="R469" s="741"/>
      <c r="S469" s="741"/>
      <c r="T469" s="741"/>
      <c r="U469" s="741"/>
      <c r="V469" s="741"/>
      <c r="W469" s="741"/>
      <c r="X469" s="741"/>
      <c r="Y469" s="741"/>
      <c r="Z469" s="741"/>
      <c r="AA469" s="741"/>
      <c r="AB469" s="741"/>
      <c r="AC469" s="741"/>
      <c r="AD469" s="741"/>
      <c r="AE469" s="741"/>
      <c r="AF469" s="741"/>
      <c r="AG469" s="741"/>
      <c r="AH469" s="741"/>
      <c r="AI469" s="741"/>
      <c r="AJ469" s="741"/>
      <c r="AK469" s="741"/>
      <c r="AL469" s="741"/>
      <c r="AM469" s="741"/>
      <c r="AN469" s="741"/>
      <c r="AO469" s="741"/>
      <c r="AP469" s="741"/>
    </row>
    <row r="470" spans="1:42" ht="12.75" customHeight="1">
      <c r="A470" s="741"/>
      <c r="B470" s="741"/>
      <c r="C470" s="741"/>
      <c r="D470" s="741"/>
      <c r="E470" s="741"/>
      <c r="F470" s="741"/>
      <c r="G470" s="741"/>
      <c r="H470" s="741"/>
      <c r="I470" s="741"/>
      <c r="J470" s="741"/>
      <c r="K470" s="741"/>
      <c r="L470" s="741"/>
      <c r="M470" s="741"/>
      <c r="N470" s="741"/>
      <c r="O470" s="741"/>
      <c r="P470" s="741"/>
      <c r="Q470" s="741"/>
      <c r="R470" s="741"/>
      <c r="S470" s="741"/>
      <c r="T470" s="741"/>
      <c r="U470" s="741"/>
      <c r="V470" s="741"/>
      <c r="W470" s="741"/>
      <c r="X470" s="741"/>
      <c r="Y470" s="741"/>
      <c r="Z470" s="741"/>
      <c r="AA470" s="741"/>
      <c r="AB470" s="741"/>
      <c r="AC470" s="741"/>
      <c r="AD470" s="741"/>
      <c r="AE470" s="741"/>
      <c r="AF470" s="741"/>
      <c r="AG470" s="741"/>
      <c r="AH470" s="741"/>
      <c r="AI470" s="741"/>
      <c r="AJ470" s="741"/>
      <c r="AK470" s="741"/>
      <c r="AL470" s="741"/>
      <c r="AM470" s="741"/>
      <c r="AN470" s="741"/>
      <c r="AO470" s="741"/>
      <c r="AP470" s="741"/>
    </row>
    <row r="471" spans="1:42" ht="12.75" customHeight="1">
      <c r="A471" s="741"/>
      <c r="B471" s="741"/>
      <c r="C471" s="741"/>
      <c r="D471" s="741"/>
      <c r="E471" s="741"/>
      <c r="F471" s="741"/>
      <c r="G471" s="741"/>
      <c r="H471" s="741"/>
      <c r="I471" s="741"/>
      <c r="J471" s="741"/>
      <c r="K471" s="741"/>
      <c r="L471" s="741"/>
      <c r="M471" s="741"/>
      <c r="N471" s="741"/>
      <c r="O471" s="741"/>
      <c r="P471" s="741"/>
      <c r="Q471" s="741"/>
      <c r="R471" s="741"/>
      <c r="S471" s="741"/>
      <c r="T471" s="741"/>
      <c r="U471" s="741"/>
      <c r="V471" s="741"/>
      <c r="W471" s="741"/>
      <c r="X471" s="741"/>
      <c r="Y471" s="741"/>
      <c r="Z471" s="741"/>
      <c r="AA471" s="741"/>
      <c r="AB471" s="741"/>
      <c r="AC471" s="741"/>
      <c r="AD471" s="741"/>
      <c r="AE471" s="741"/>
      <c r="AF471" s="741"/>
      <c r="AG471" s="741"/>
      <c r="AH471" s="741"/>
      <c r="AI471" s="741"/>
      <c r="AJ471" s="741"/>
      <c r="AK471" s="741"/>
      <c r="AL471" s="741"/>
      <c r="AM471" s="741"/>
      <c r="AN471" s="741"/>
      <c r="AO471" s="741"/>
      <c r="AP471" s="741"/>
    </row>
    <row r="472" spans="1:42" ht="12.75" customHeight="1">
      <c r="A472" s="741"/>
      <c r="B472" s="741"/>
      <c r="C472" s="741"/>
      <c r="D472" s="741"/>
      <c r="E472" s="741"/>
      <c r="F472" s="741"/>
      <c r="G472" s="741"/>
      <c r="H472" s="741"/>
      <c r="I472" s="741"/>
      <c r="J472" s="741"/>
      <c r="K472" s="741"/>
      <c r="L472" s="741"/>
      <c r="M472" s="741"/>
      <c r="N472" s="741"/>
      <c r="O472" s="741"/>
      <c r="P472" s="741"/>
      <c r="Q472" s="741"/>
      <c r="R472" s="741"/>
      <c r="S472" s="741"/>
      <c r="T472" s="741"/>
      <c r="U472" s="741"/>
      <c r="V472" s="741"/>
      <c r="W472" s="741"/>
      <c r="X472" s="741"/>
      <c r="Y472" s="741"/>
      <c r="Z472" s="741"/>
      <c r="AA472" s="741"/>
      <c r="AB472" s="741"/>
      <c r="AC472" s="741"/>
      <c r="AD472" s="741"/>
      <c r="AE472" s="741"/>
      <c r="AF472" s="741"/>
      <c r="AG472" s="741"/>
      <c r="AH472" s="741"/>
      <c r="AI472" s="741"/>
      <c r="AJ472" s="741"/>
      <c r="AK472" s="741"/>
      <c r="AL472" s="741"/>
      <c r="AM472" s="741"/>
      <c r="AN472" s="741"/>
      <c r="AO472" s="741"/>
      <c r="AP472" s="741"/>
    </row>
    <row r="473" spans="1:42" ht="12.75" customHeight="1">
      <c r="A473" s="741"/>
      <c r="B473" s="741"/>
      <c r="C473" s="741"/>
      <c r="D473" s="741"/>
      <c r="E473" s="741"/>
      <c r="F473" s="741"/>
      <c r="G473" s="741"/>
      <c r="H473" s="741"/>
      <c r="I473" s="741"/>
      <c r="J473" s="741"/>
      <c r="K473" s="741"/>
      <c r="L473" s="741"/>
      <c r="M473" s="741"/>
      <c r="N473" s="741"/>
      <c r="O473" s="741"/>
      <c r="P473" s="741"/>
      <c r="Q473" s="741"/>
      <c r="R473" s="741"/>
      <c r="S473" s="741"/>
      <c r="T473" s="741"/>
      <c r="U473" s="741"/>
      <c r="V473" s="741"/>
      <c r="W473" s="741"/>
      <c r="X473" s="741"/>
      <c r="Y473" s="741"/>
      <c r="Z473" s="741"/>
      <c r="AA473" s="741"/>
      <c r="AB473" s="741"/>
      <c r="AC473" s="741"/>
      <c r="AD473" s="741"/>
      <c r="AE473" s="741"/>
      <c r="AF473" s="741"/>
      <c r="AG473" s="741"/>
      <c r="AH473" s="741"/>
      <c r="AI473" s="741"/>
      <c r="AJ473" s="741"/>
      <c r="AK473" s="741"/>
      <c r="AL473" s="741"/>
      <c r="AM473" s="741"/>
      <c r="AN473" s="741"/>
      <c r="AO473" s="741"/>
      <c r="AP473" s="741"/>
    </row>
    <row r="474" spans="1:42" ht="12.75" customHeight="1">
      <c r="A474" s="741"/>
      <c r="B474" s="741"/>
      <c r="C474" s="741"/>
      <c r="D474" s="741"/>
      <c r="E474" s="741"/>
      <c r="F474" s="741"/>
      <c r="G474" s="741"/>
      <c r="H474" s="741"/>
      <c r="I474" s="741"/>
      <c r="J474" s="741"/>
      <c r="K474" s="741"/>
      <c r="L474" s="741"/>
      <c r="M474" s="741"/>
      <c r="N474" s="741"/>
      <c r="O474" s="741"/>
      <c r="P474" s="741"/>
      <c r="Q474" s="741"/>
      <c r="R474" s="741"/>
      <c r="S474" s="741"/>
      <c r="T474" s="741"/>
      <c r="U474" s="741"/>
      <c r="V474" s="741"/>
      <c r="W474" s="741"/>
      <c r="X474" s="741"/>
      <c r="Y474" s="741"/>
      <c r="Z474" s="741"/>
      <c r="AA474" s="741"/>
      <c r="AB474" s="741"/>
      <c r="AC474" s="741"/>
      <c r="AD474" s="741"/>
      <c r="AE474" s="741"/>
      <c r="AF474" s="741"/>
      <c r="AG474" s="741"/>
      <c r="AH474" s="741"/>
      <c r="AI474" s="741"/>
      <c r="AJ474" s="741"/>
      <c r="AK474" s="741"/>
      <c r="AL474" s="741"/>
      <c r="AM474" s="741"/>
      <c r="AN474" s="741"/>
      <c r="AO474" s="741"/>
      <c r="AP474" s="741"/>
    </row>
    <row r="475" spans="1:42" ht="12.75" customHeight="1">
      <c r="A475" s="741"/>
      <c r="B475" s="741"/>
      <c r="C475" s="741"/>
      <c r="D475" s="741"/>
      <c r="E475" s="741"/>
      <c r="F475" s="741"/>
      <c r="G475" s="741"/>
      <c r="H475" s="741"/>
      <c r="I475" s="741"/>
      <c r="J475" s="741"/>
      <c r="K475" s="741"/>
      <c r="L475" s="741"/>
      <c r="M475" s="741"/>
      <c r="N475" s="741"/>
      <c r="O475" s="741"/>
      <c r="P475" s="741"/>
      <c r="Q475" s="741"/>
      <c r="R475" s="741"/>
      <c r="S475" s="741"/>
      <c r="T475" s="741"/>
      <c r="U475" s="741"/>
      <c r="V475" s="741"/>
      <c r="W475" s="741"/>
      <c r="X475" s="741"/>
      <c r="Y475" s="741"/>
      <c r="Z475" s="741"/>
      <c r="AA475" s="741"/>
      <c r="AB475" s="741"/>
      <c r="AC475" s="741"/>
      <c r="AD475" s="741"/>
      <c r="AE475" s="741"/>
      <c r="AF475" s="741"/>
      <c r="AG475" s="741"/>
      <c r="AH475" s="741"/>
      <c r="AI475" s="741"/>
      <c r="AJ475" s="741"/>
      <c r="AK475" s="741"/>
      <c r="AL475" s="741"/>
      <c r="AM475" s="741"/>
      <c r="AN475" s="741"/>
      <c r="AO475" s="741"/>
      <c r="AP475" s="741"/>
    </row>
    <row r="476" spans="1:42" ht="12.75" customHeight="1">
      <c r="A476" s="741"/>
      <c r="B476" s="741"/>
      <c r="C476" s="741"/>
      <c r="D476" s="741"/>
      <c r="E476" s="741"/>
      <c r="F476" s="741"/>
      <c r="G476" s="741"/>
      <c r="H476" s="741"/>
      <c r="I476" s="741"/>
      <c r="J476" s="741"/>
      <c r="K476" s="741"/>
      <c r="L476" s="741"/>
      <c r="M476" s="741"/>
      <c r="N476" s="741"/>
      <c r="O476" s="741"/>
      <c r="P476" s="741"/>
      <c r="Q476" s="741"/>
      <c r="R476" s="741"/>
      <c r="S476" s="741"/>
      <c r="T476" s="741"/>
      <c r="U476" s="741"/>
      <c r="V476" s="741"/>
      <c r="W476" s="741"/>
      <c r="X476" s="741"/>
      <c r="Y476" s="741"/>
      <c r="Z476" s="741"/>
      <c r="AA476" s="741"/>
      <c r="AB476" s="741"/>
      <c r="AC476" s="741"/>
      <c r="AD476" s="741"/>
      <c r="AE476" s="741"/>
      <c r="AF476" s="741"/>
      <c r="AG476" s="741"/>
      <c r="AH476" s="741"/>
      <c r="AI476" s="741"/>
      <c r="AJ476" s="741"/>
      <c r="AK476" s="741"/>
      <c r="AL476" s="741"/>
      <c r="AM476" s="741"/>
      <c r="AN476" s="741"/>
      <c r="AO476" s="741"/>
      <c r="AP476" s="741"/>
    </row>
    <row r="477" spans="1:42" ht="12.75" customHeight="1">
      <c r="A477" s="741"/>
      <c r="B477" s="741"/>
      <c r="C477" s="741"/>
      <c r="D477" s="741"/>
      <c r="E477" s="741"/>
      <c r="F477" s="741"/>
      <c r="G477" s="741"/>
      <c r="H477" s="741"/>
      <c r="I477" s="741"/>
      <c r="J477" s="741"/>
      <c r="K477" s="741"/>
      <c r="L477" s="741"/>
      <c r="M477" s="741"/>
      <c r="N477" s="741"/>
      <c r="O477" s="741"/>
      <c r="P477" s="741"/>
      <c r="Q477" s="741"/>
      <c r="R477" s="741"/>
      <c r="S477" s="741"/>
      <c r="T477" s="741"/>
      <c r="U477" s="741"/>
      <c r="V477" s="741"/>
      <c r="W477" s="741"/>
      <c r="X477" s="741"/>
      <c r="Y477" s="741"/>
      <c r="Z477" s="741"/>
      <c r="AA477" s="741"/>
      <c r="AB477" s="741"/>
      <c r="AC477" s="741"/>
      <c r="AD477" s="741"/>
      <c r="AE477" s="741"/>
      <c r="AF477" s="741"/>
      <c r="AG477" s="741"/>
      <c r="AH477" s="741"/>
      <c r="AI477" s="741"/>
      <c r="AJ477" s="741"/>
      <c r="AK477" s="741"/>
      <c r="AL477" s="741"/>
      <c r="AM477" s="741"/>
      <c r="AN477" s="741"/>
      <c r="AO477" s="741"/>
      <c r="AP477" s="741"/>
    </row>
    <row r="478" spans="1:42" ht="12.75" customHeight="1">
      <c r="A478" s="741"/>
      <c r="B478" s="741"/>
      <c r="C478" s="741"/>
      <c r="D478" s="741"/>
      <c r="E478" s="741"/>
      <c r="F478" s="741"/>
      <c r="G478" s="741"/>
      <c r="H478" s="741"/>
      <c r="I478" s="741"/>
      <c r="J478" s="741"/>
      <c r="K478" s="741"/>
      <c r="L478" s="741"/>
      <c r="M478" s="741"/>
      <c r="N478" s="741"/>
      <c r="O478" s="741"/>
      <c r="P478" s="741"/>
      <c r="Q478" s="741"/>
      <c r="R478" s="741"/>
      <c r="S478" s="741"/>
      <c r="T478" s="741"/>
      <c r="U478" s="741"/>
      <c r="V478" s="741"/>
      <c r="W478" s="741"/>
      <c r="X478" s="741"/>
      <c r="Y478" s="741"/>
      <c r="Z478" s="741"/>
      <c r="AA478" s="741"/>
      <c r="AB478" s="741"/>
      <c r="AC478" s="741"/>
      <c r="AD478" s="741"/>
      <c r="AE478" s="741"/>
      <c r="AF478" s="741"/>
      <c r="AG478" s="741"/>
      <c r="AH478" s="741"/>
      <c r="AI478" s="741"/>
      <c r="AJ478" s="741"/>
      <c r="AK478" s="741"/>
      <c r="AL478" s="741"/>
      <c r="AM478" s="741"/>
      <c r="AN478" s="741"/>
      <c r="AO478" s="741"/>
      <c r="AP478" s="741"/>
    </row>
    <row r="479" spans="1:42" ht="12.75" customHeight="1">
      <c r="A479" s="741"/>
      <c r="B479" s="741"/>
      <c r="C479" s="741"/>
      <c r="D479" s="741"/>
      <c r="E479" s="741"/>
      <c r="F479" s="741"/>
      <c r="G479" s="741"/>
      <c r="H479" s="741"/>
      <c r="I479" s="741"/>
      <c r="J479" s="741"/>
      <c r="K479" s="741"/>
      <c r="L479" s="741"/>
      <c r="M479" s="741"/>
      <c r="N479" s="741"/>
      <c r="O479" s="741"/>
      <c r="P479" s="741"/>
      <c r="Q479" s="741"/>
      <c r="R479" s="741"/>
      <c r="S479" s="741"/>
      <c r="T479" s="741"/>
      <c r="U479" s="741"/>
      <c r="V479" s="741"/>
      <c r="W479" s="741"/>
      <c r="X479" s="741"/>
      <c r="Y479" s="741"/>
      <c r="Z479" s="741"/>
      <c r="AA479" s="741"/>
      <c r="AB479" s="741"/>
      <c r="AC479" s="741"/>
      <c r="AD479" s="741"/>
      <c r="AE479" s="741"/>
      <c r="AF479" s="741"/>
      <c r="AG479" s="741"/>
      <c r="AH479" s="741"/>
      <c r="AI479" s="741"/>
      <c r="AJ479" s="741"/>
      <c r="AK479" s="741"/>
      <c r="AL479" s="741"/>
      <c r="AM479" s="741"/>
      <c r="AN479" s="741"/>
      <c r="AO479" s="741"/>
      <c r="AP479" s="741"/>
    </row>
    <row r="480" spans="1:42" ht="12.75" customHeight="1">
      <c r="A480" s="741"/>
      <c r="B480" s="741"/>
      <c r="C480" s="741"/>
      <c r="D480" s="741"/>
      <c r="E480" s="741"/>
      <c r="F480" s="741"/>
      <c r="G480" s="741"/>
      <c r="H480" s="741"/>
      <c r="I480" s="741"/>
      <c r="J480" s="741"/>
      <c r="K480" s="741"/>
      <c r="L480" s="741"/>
      <c r="M480" s="741"/>
      <c r="N480" s="741"/>
      <c r="O480" s="741"/>
      <c r="P480" s="741"/>
      <c r="Q480" s="741"/>
      <c r="R480" s="741"/>
      <c r="S480" s="741"/>
      <c r="T480" s="741"/>
      <c r="U480" s="741"/>
      <c r="V480" s="741"/>
      <c r="W480" s="741"/>
      <c r="X480" s="741"/>
      <c r="Y480" s="741"/>
      <c r="Z480" s="741"/>
      <c r="AA480" s="741"/>
      <c r="AB480" s="741"/>
      <c r="AC480" s="741"/>
      <c r="AD480" s="741"/>
      <c r="AE480" s="741"/>
      <c r="AF480" s="741"/>
      <c r="AG480" s="741"/>
      <c r="AH480" s="741"/>
      <c r="AI480" s="741"/>
      <c r="AJ480" s="741"/>
      <c r="AK480" s="741"/>
      <c r="AL480" s="741"/>
      <c r="AM480" s="741"/>
      <c r="AN480" s="741"/>
      <c r="AO480" s="741"/>
      <c r="AP480" s="741"/>
    </row>
    <row r="481" spans="1:42" ht="12.75" customHeight="1">
      <c r="A481" s="741"/>
      <c r="B481" s="741"/>
      <c r="C481" s="741"/>
      <c r="D481" s="741"/>
      <c r="E481" s="741"/>
      <c r="F481" s="741"/>
      <c r="G481" s="741"/>
      <c r="H481" s="741"/>
      <c r="I481" s="741"/>
      <c r="J481" s="741"/>
      <c r="K481" s="741"/>
      <c r="L481" s="741"/>
      <c r="M481" s="741"/>
      <c r="N481" s="741"/>
      <c r="O481" s="741"/>
      <c r="P481" s="741"/>
      <c r="Q481" s="741"/>
      <c r="R481" s="741"/>
      <c r="S481" s="741"/>
      <c r="T481" s="741"/>
      <c r="U481" s="741"/>
      <c r="V481" s="741"/>
      <c r="W481" s="741"/>
      <c r="X481" s="741"/>
      <c r="Y481" s="741"/>
      <c r="Z481" s="741"/>
      <c r="AA481" s="741"/>
      <c r="AB481" s="741"/>
      <c r="AC481" s="741"/>
      <c r="AD481" s="741"/>
      <c r="AE481" s="741"/>
      <c r="AF481" s="741"/>
      <c r="AG481" s="741"/>
      <c r="AH481" s="741"/>
      <c r="AI481" s="741"/>
      <c r="AJ481" s="741"/>
      <c r="AK481" s="741"/>
      <c r="AL481" s="741"/>
      <c r="AM481" s="741"/>
      <c r="AN481" s="741"/>
      <c r="AO481" s="741"/>
      <c r="AP481" s="741"/>
    </row>
    <row r="482" spans="1:42" ht="12.75" customHeight="1">
      <c r="A482" s="741"/>
      <c r="B482" s="741"/>
      <c r="C482" s="741"/>
      <c r="D482" s="741"/>
      <c r="E482" s="741"/>
      <c r="F482" s="741"/>
      <c r="G482" s="741"/>
      <c r="H482" s="741"/>
      <c r="I482" s="741"/>
      <c r="J482" s="741"/>
      <c r="K482" s="741"/>
      <c r="L482" s="741"/>
      <c r="M482" s="741"/>
      <c r="N482" s="741"/>
      <c r="O482" s="741"/>
      <c r="P482" s="741"/>
      <c r="Q482" s="741"/>
      <c r="R482" s="741"/>
      <c r="S482" s="741"/>
      <c r="T482" s="741"/>
      <c r="U482" s="741"/>
      <c r="V482" s="741"/>
      <c r="W482" s="741"/>
      <c r="X482" s="741"/>
      <c r="Y482" s="741"/>
      <c r="Z482" s="741"/>
      <c r="AA482" s="741"/>
      <c r="AB482" s="741"/>
      <c r="AC482" s="741"/>
      <c r="AD482" s="741"/>
      <c r="AE482" s="741"/>
      <c r="AF482" s="741"/>
      <c r="AG482" s="741"/>
      <c r="AH482" s="741"/>
      <c r="AI482" s="741"/>
      <c r="AJ482" s="741"/>
      <c r="AK482" s="741"/>
      <c r="AL482" s="741"/>
      <c r="AM482" s="741"/>
      <c r="AN482" s="741"/>
      <c r="AO482" s="741"/>
      <c r="AP482" s="741"/>
    </row>
    <row r="483" spans="1:42" ht="12.75" customHeight="1">
      <c r="A483" s="741"/>
      <c r="B483" s="741"/>
      <c r="C483" s="741"/>
      <c r="D483" s="741"/>
      <c r="E483" s="741"/>
      <c r="F483" s="741"/>
      <c r="G483" s="741"/>
      <c r="H483" s="741"/>
      <c r="I483" s="741"/>
      <c r="J483" s="741"/>
      <c r="K483" s="741"/>
      <c r="L483" s="741"/>
      <c r="M483" s="741"/>
      <c r="N483" s="741"/>
      <c r="O483" s="741"/>
      <c r="P483" s="741"/>
      <c r="Q483" s="741"/>
      <c r="R483" s="741"/>
      <c r="S483" s="741"/>
      <c r="T483" s="741"/>
      <c r="U483" s="741"/>
      <c r="V483" s="741"/>
      <c r="W483" s="741"/>
      <c r="X483" s="741"/>
      <c r="Y483" s="741"/>
      <c r="Z483" s="741"/>
      <c r="AA483" s="741"/>
      <c r="AB483" s="741"/>
      <c r="AC483" s="741"/>
      <c r="AD483" s="741"/>
      <c r="AE483" s="741"/>
      <c r="AF483" s="741"/>
      <c r="AG483" s="741"/>
      <c r="AH483" s="741"/>
      <c r="AI483" s="741"/>
      <c r="AJ483" s="741"/>
      <c r="AK483" s="741"/>
      <c r="AL483" s="741"/>
      <c r="AM483" s="741"/>
      <c r="AN483" s="741"/>
      <c r="AO483" s="741"/>
      <c r="AP483" s="741"/>
    </row>
    <row r="484" spans="1:42" ht="12.75" customHeight="1">
      <c r="A484" s="741"/>
      <c r="B484" s="741"/>
      <c r="C484" s="741"/>
      <c r="D484" s="741"/>
      <c r="E484" s="741"/>
      <c r="F484" s="741"/>
      <c r="G484" s="741"/>
      <c r="H484" s="741"/>
      <c r="I484" s="741"/>
      <c r="J484" s="741"/>
      <c r="K484" s="741"/>
      <c r="L484" s="741"/>
      <c r="M484" s="741"/>
      <c r="N484" s="741"/>
      <c r="O484" s="741"/>
      <c r="P484" s="741"/>
      <c r="Q484" s="741"/>
      <c r="R484" s="741"/>
      <c r="S484" s="741"/>
      <c r="T484" s="741"/>
      <c r="U484" s="741"/>
      <c r="V484" s="741"/>
      <c r="W484" s="741"/>
      <c r="X484" s="741"/>
      <c r="Y484" s="741"/>
      <c r="Z484" s="741"/>
      <c r="AA484" s="741"/>
      <c r="AB484" s="741"/>
      <c r="AC484" s="741"/>
      <c r="AD484" s="741"/>
      <c r="AE484" s="741"/>
      <c r="AF484" s="741"/>
      <c r="AG484" s="741"/>
      <c r="AH484" s="741"/>
      <c r="AI484" s="741"/>
      <c r="AJ484" s="741"/>
      <c r="AK484" s="741"/>
      <c r="AL484" s="741"/>
      <c r="AM484" s="741"/>
      <c r="AN484" s="741"/>
      <c r="AO484" s="741"/>
      <c r="AP484" s="741"/>
    </row>
    <row r="485" spans="1:42" ht="12.75" customHeight="1">
      <c r="A485" s="741"/>
      <c r="B485" s="741"/>
      <c r="C485" s="741"/>
      <c r="D485" s="741"/>
      <c r="E485" s="741"/>
      <c r="F485" s="741"/>
      <c r="G485" s="741"/>
      <c r="H485" s="741"/>
      <c r="I485" s="741"/>
      <c r="J485" s="741"/>
      <c r="K485" s="741"/>
      <c r="L485" s="741"/>
      <c r="M485" s="741"/>
      <c r="N485" s="741"/>
      <c r="O485" s="741"/>
      <c r="P485" s="741"/>
      <c r="Q485" s="741"/>
      <c r="R485" s="741"/>
      <c r="S485" s="741"/>
      <c r="T485" s="741"/>
      <c r="U485" s="741"/>
      <c r="V485" s="741"/>
      <c r="W485" s="741"/>
      <c r="X485" s="741"/>
      <c r="Y485" s="741"/>
      <c r="Z485" s="741"/>
      <c r="AA485" s="741"/>
      <c r="AB485" s="741"/>
      <c r="AC485" s="741"/>
      <c r="AD485" s="741"/>
      <c r="AE485" s="741"/>
      <c r="AF485" s="741"/>
      <c r="AG485" s="741"/>
      <c r="AH485" s="741"/>
      <c r="AI485" s="741"/>
      <c r="AJ485" s="741"/>
      <c r="AK485" s="741"/>
      <c r="AL485" s="741"/>
      <c r="AM485" s="741"/>
      <c r="AN485" s="741"/>
      <c r="AO485" s="741"/>
      <c r="AP485" s="741"/>
    </row>
    <row r="486" spans="1:42" ht="12.75" customHeight="1">
      <c r="A486" s="741"/>
      <c r="B486" s="741"/>
      <c r="C486" s="741"/>
      <c r="D486" s="741"/>
      <c r="E486" s="741"/>
      <c r="F486" s="741"/>
      <c r="G486" s="741"/>
      <c r="H486" s="741"/>
      <c r="I486" s="741"/>
      <c r="J486" s="741"/>
      <c r="K486" s="741"/>
      <c r="L486" s="741"/>
      <c r="M486" s="741"/>
      <c r="N486" s="741"/>
      <c r="O486" s="741"/>
      <c r="P486" s="741"/>
      <c r="Q486" s="741"/>
      <c r="R486" s="741"/>
      <c r="S486" s="741"/>
      <c r="T486" s="741"/>
      <c r="U486" s="741"/>
      <c r="V486" s="741"/>
      <c r="W486" s="741"/>
      <c r="X486" s="741"/>
      <c r="Y486" s="741"/>
      <c r="Z486" s="741"/>
      <c r="AA486" s="741"/>
      <c r="AB486" s="741"/>
      <c r="AC486" s="741"/>
      <c r="AD486" s="741"/>
      <c r="AE486" s="741"/>
      <c r="AF486" s="741"/>
      <c r="AG486" s="741"/>
      <c r="AH486" s="741"/>
      <c r="AI486" s="741"/>
      <c r="AJ486" s="741"/>
      <c r="AK486" s="741"/>
      <c r="AL486" s="741"/>
      <c r="AM486" s="741"/>
      <c r="AN486" s="741"/>
      <c r="AO486" s="741"/>
      <c r="AP486" s="741"/>
    </row>
    <row r="487" spans="1:42" ht="12.75" customHeight="1">
      <c r="A487" s="741"/>
      <c r="B487" s="741"/>
      <c r="C487" s="741"/>
      <c r="D487" s="741"/>
      <c r="E487" s="741"/>
      <c r="F487" s="741"/>
      <c r="G487" s="741"/>
      <c r="H487" s="741"/>
      <c r="I487" s="741"/>
      <c r="J487" s="741"/>
      <c r="K487" s="741"/>
      <c r="L487" s="741"/>
      <c r="M487" s="741"/>
      <c r="N487" s="741"/>
      <c r="O487" s="741"/>
      <c r="P487" s="741"/>
      <c r="Q487" s="741"/>
      <c r="R487" s="741"/>
      <c r="S487" s="741"/>
      <c r="T487" s="741"/>
      <c r="U487" s="741"/>
      <c r="V487" s="741"/>
      <c r="W487" s="741"/>
      <c r="X487" s="741"/>
      <c r="Y487" s="741"/>
      <c r="Z487" s="741"/>
      <c r="AA487" s="741"/>
      <c r="AB487" s="741"/>
      <c r="AC487" s="741"/>
      <c r="AD487" s="741"/>
      <c r="AE487" s="741"/>
      <c r="AF487" s="741"/>
      <c r="AG487" s="741"/>
      <c r="AH487" s="741"/>
      <c r="AI487" s="741"/>
      <c r="AJ487" s="741"/>
      <c r="AK487" s="741"/>
      <c r="AL487" s="741"/>
      <c r="AM487" s="741"/>
      <c r="AN487" s="741"/>
      <c r="AO487" s="741"/>
      <c r="AP487" s="741"/>
    </row>
    <row r="488" spans="1:42" ht="12.75" customHeight="1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1"/>
      <c r="P488" s="741"/>
      <c r="Q488" s="741"/>
      <c r="R488" s="741"/>
      <c r="S488" s="741"/>
      <c r="T488" s="741"/>
      <c r="U488" s="741"/>
      <c r="V488" s="741"/>
      <c r="W488" s="741"/>
      <c r="X488" s="741"/>
      <c r="Y488" s="741"/>
      <c r="Z488" s="741"/>
      <c r="AA488" s="741"/>
      <c r="AB488" s="741"/>
      <c r="AC488" s="741"/>
      <c r="AD488" s="741"/>
      <c r="AE488" s="741"/>
      <c r="AF488" s="741"/>
      <c r="AG488" s="741"/>
      <c r="AH488" s="741"/>
      <c r="AI488" s="741"/>
      <c r="AJ488" s="741"/>
      <c r="AK488" s="741"/>
      <c r="AL488" s="741"/>
      <c r="AM488" s="741"/>
      <c r="AN488" s="741"/>
      <c r="AO488" s="741"/>
      <c r="AP488" s="741"/>
    </row>
    <row r="489" spans="1:42" ht="12.75" customHeight="1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1"/>
      <c r="P489" s="741"/>
      <c r="Q489" s="741"/>
      <c r="R489" s="741"/>
      <c r="S489" s="741"/>
      <c r="T489" s="741"/>
      <c r="U489" s="741"/>
      <c r="V489" s="741"/>
      <c r="W489" s="741"/>
      <c r="X489" s="741"/>
      <c r="Y489" s="741"/>
      <c r="Z489" s="741"/>
      <c r="AA489" s="741"/>
      <c r="AB489" s="741"/>
      <c r="AC489" s="741"/>
      <c r="AD489" s="741"/>
      <c r="AE489" s="741"/>
      <c r="AF489" s="741"/>
      <c r="AG489" s="741"/>
      <c r="AH489" s="741"/>
      <c r="AI489" s="741"/>
      <c r="AJ489" s="741"/>
      <c r="AK489" s="741"/>
      <c r="AL489" s="741"/>
      <c r="AM489" s="741"/>
      <c r="AN489" s="741"/>
      <c r="AO489" s="741"/>
      <c r="AP489" s="741"/>
    </row>
    <row r="490" spans="1:42" ht="12.75" customHeight="1">
      <c r="A490" s="741"/>
      <c r="B490" s="741"/>
      <c r="C490" s="741"/>
      <c r="D490" s="741"/>
      <c r="E490" s="741"/>
      <c r="F490" s="741"/>
      <c r="G490" s="741"/>
      <c r="H490" s="741"/>
      <c r="I490" s="741"/>
      <c r="J490" s="741"/>
      <c r="K490" s="741"/>
      <c r="L490" s="741"/>
      <c r="M490" s="741"/>
      <c r="N490" s="741"/>
      <c r="O490" s="741"/>
      <c r="P490" s="741"/>
      <c r="Q490" s="741"/>
      <c r="R490" s="741"/>
      <c r="S490" s="741"/>
      <c r="T490" s="741"/>
      <c r="U490" s="741"/>
      <c r="V490" s="741"/>
      <c r="W490" s="741"/>
      <c r="X490" s="741"/>
      <c r="Y490" s="741"/>
      <c r="Z490" s="741"/>
      <c r="AA490" s="741"/>
      <c r="AB490" s="741"/>
      <c r="AC490" s="741"/>
      <c r="AD490" s="741"/>
      <c r="AE490" s="741"/>
      <c r="AF490" s="741"/>
      <c r="AG490" s="741"/>
      <c r="AH490" s="741"/>
      <c r="AI490" s="741"/>
      <c r="AJ490" s="741"/>
      <c r="AK490" s="741"/>
      <c r="AL490" s="741"/>
      <c r="AM490" s="741"/>
      <c r="AN490" s="741"/>
      <c r="AO490" s="741"/>
      <c r="AP490" s="741"/>
    </row>
    <row r="491" spans="1:42" ht="12.75" customHeight="1">
      <c r="A491" s="741"/>
      <c r="B491" s="741"/>
      <c r="C491" s="741"/>
      <c r="D491" s="741"/>
      <c r="E491" s="741"/>
      <c r="F491" s="741"/>
      <c r="G491" s="741"/>
      <c r="H491" s="741"/>
      <c r="I491" s="741"/>
      <c r="J491" s="741"/>
      <c r="K491" s="741"/>
      <c r="L491" s="741"/>
      <c r="M491" s="741"/>
      <c r="N491" s="741"/>
      <c r="O491" s="741"/>
      <c r="P491" s="741"/>
      <c r="Q491" s="741"/>
      <c r="R491" s="741"/>
      <c r="S491" s="741"/>
      <c r="T491" s="741"/>
      <c r="U491" s="741"/>
      <c r="V491" s="741"/>
      <c r="W491" s="741"/>
      <c r="X491" s="741"/>
      <c r="Y491" s="741"/>
      <c r="Z491" s="741"/>
      <c r="AA491" s="741"/>
      <c r="AB491" s="741"/>
      <c r="AC491" s="741"/>
      <c r="AD491" s="741"/>
      <c r="AE491" s="741"/>
      <c r="AF491" s="741"/>
      <c r="AG491" s="741"/>
      <c r="AH491" s="741"/>
      <c r="AI491" s="741"/>
      <c r="AJ491" s="741"/>
      <c r="AK491" s="741"/>
      <c r="AL491" s="741"/>
      <c r="AM491" s="741"/>
      <c r="AN491" s="741"/>
      <c r="AO491" s="741"/>
      <c r="AP491" s="741"/>
    </row>
    <row r="492" spans="1:42" ht="12.75" customHeight="1">
      <c r="A492" s="741"/>
      <c r="B492" s="741"/>
      <c r="C492" s="741"/>
      <c r="D492" s="741"/>
      <c r="E492" s="741"/>
      <c r="F492" s="741"/>
      <c r="G492" s="741"/>
      <c r="H492" s="741"/>
      <c r="I492" s="741"/>
      <c r="J492" s="741"/>
      <c r="K492" s="741"/>
      <c r="L492" s="741"/>
      <c r="M492" s="741"/>
      <c r="N492" s="741"/>
      <c r="O492" s="741"/>
      <c r="P492" s="741"/>
      <c r="Q492" s="741"/>
      <c r="R492" s="741"/>
      <c r="S492" s="741"/>
      <c r="T492" s="741"/>
      <c r="U492" s="741"/>
      <c r="V492" s="741"/>
      <c r="W492" s="741"/>
      <c r="X492" s="741"/>
      <c r="Y492" s="741"/>
      <c r="Z492" s="741"/>
      <c r="AA492" s="741"/>
      <c r="AB492" s="741"/>
      <c r="AC492" s="741"/>
      <c r="AD492" s="741"/>
      <c r="AE492" s="741"/>
      <c r="AF492" s="741"/>
      <c r="AG492" s="741"/>
      <c r="AH492" s="741"/>
      <c r="AI492" s="741"/>
      <c r="AJ492" s="741"/>
      <c r="AK492" s="741"/>
      <c r="AL492" s="741"/>
      <c r="AM492" s="741"/>
      <c r="AN492" s="741"/>
      <c r="AO492" s="741"/>
      <c r="AP492" s="741"/>
    </row>
    <row r="493" spans="1:42" ht="12.75" customHeight="1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1"/>
      <c r="P493" s="741"/>
      <c r="Q493" s="741"/>
      <c r="R493" s="741"/>
      <c r="S493" s="741"/>
      <c r="T493" s="741"/>
      <c r="U493" s="741"/>
      <c r="V493" s="741"/>
      <c r="W493" s="741"/>
      <c r="X493" s="741"/>
      <c r="Y493" s="741"/>
      <c r="Z493" s="741"/>
      <c r="AA493" s="741"/>
      <c r="AB493" s="741"/>
      <c r="AC493" s="741"/>
      <c r="AD493" s="741"/>
      <c r="AE493" s="741"/>
      <c r="AF493" s="741"/>
      <c r="AG493" s="741"/>
      <c r="AH493" s="741"/>
      <c r="AI493" s="741"/>
      <c r="AJ493" s="741"/>
      <c r="AK493" s="741"/>
      <c r="AL493" s="741"/>
      <c r="AM493" s="741"/>
      <c r="AN493" s="741"/>
      <c r="AO493" s="741"/>
      <c r="AP493" s="741"/>
    </row>
    <row r="494" spans="1:42" ht="12.75" customHeight="1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1"/>
      <c r="P494" s="741"/>
      <c r="Q494" s="741"/>
      <c r="R494" s="741"/>
      <c r="S494" s="741"/>
      <c r="T494" s="741"/>
      <c r="U494" s="741"/>
      <c r="V494" s="741"/>
      <c r="W494" s="741"/>
      <c r="X494" s="741"/>
      <c r="Y494" s="741"/>
      <c r="Z494" s="741"/>
      <c r="AA494" s="741"/>
      <c r="AB494" s="741"/>
      <c r="AC494" s="741"/>
      <c r="AD494" s="741"/>
      <c r="AE494" s="741"/>
      <c r="AF494" s="741"/>
      <c r="AG494" s="741"/>
      <c r="AH494" s="741"/>
      <c r="AI494" s="741"/>
      <c r="AJ494" s="741"/>
      <c r="AK494" s="741"/>
      <c r="AL494" s="741"/>
      <c r="AM494" s="741"/>
      <c r="AN494" s="741"/>
      <c r="AO494" s="741"/>
      <c r="AP494" s="741"/>
    </row>
    <row r="495" spans="1:42" ht="12.75" customHeight="1">
      <c r="A495" s="741"/>
      <c r="B495" s="741"/>
      <c r="C495" s="741"/>
      <c r="D495" s="741"/>
      <c r="E495" s="741"/>
      <c r="F495" s="741"/>
      <c r="G495" s="741"/>
      <c r="H495" s="741"/>
      <c r="I495" s="741"/>
      <c r="J495" s="741"/>
      <c r="K495" s="741"/>
      <c r="L495" s="741"/>
      <c r="M495" s="741"/>
      <c r="N495" s="741"/>
      <c r="O495" s="741"/>
      <c r="P495" s="741"/>
      <c r="Q495" s="741"/>
      <c r="R495" s="741"/>
      <c r="S495" s="741"/>
      <c r="T495" s="741"/>
      <c r="U495" s="741"/>
      <c r="V495" s="741"/>
      <c r="W495" s="741"/>
      <c r="X495" s="741"/>
      <c r="Y495" s="741"/>
      <c r="Z495" s="741"/>
      <c r="AA495" s="741"/>
      <c r="AB495" s="741"/>
      <c r="AC495" s="741"/>
      <c r="AD495" s="741"/>
      <c r="AE495" s="741"/>
      <c r="AF495" s="741"/>
      <c r="AG495" s="741"/>
      <c r="AH495" s="741"/>
      <c r="AI495" s="741"/>
      <c r="AJ495" s="741"/>
      <c r="AK495" s="741"/>
      <c r="AL495" s="741"/>
      <c r="AM495" s="741"/>
      <c r="AN495" s="741"/>
      <c r="AO495" s="741"/>
      <c r="AP495" s="741"/>
    </row>
    <row r="496" spans="1:42" ht="12.75" customHeight="1">
      <c r="A496" s="741"/>
      <c r="B496" s="741"/>
      <c r="C496" s="741"/>
      <c r="D496" s="741"/>
      <c r="E496" s="741"/>
      <c r="F496" s="741"/>
      <c r="G496" s="741"/>
      <c r="H496" s="741"/>
      <c r="I496" s="741"/>
      <c r="J496" s="741"/>
      <c r="K496" s="741"/>
      <c r="L496" s="741"/>
      <c r="M496" s="741"/>
      <c r="N496" s="741"/>
      <c r="O496" s="741"/>
      <c r="P496" s="741"/>
      <c r="Q496" s="741"/>
      <c r="R496" s="741"/>
      <c r="S496" s="741"/>
      <c r="T496" s="741"/>
      <c r="U496" s="741"/>
      <c r="V496" s="741"/>
      <c r="W496" s="741"/>
      <c r="X496" s="741"/>
      <c r="Y496" s="741"/>
      <c r="Z496" s="741"/>
      <c r="AA496" s="741"/>
      <c r="AB496" s="741"/>
      <c r="AC496" s="741"/>
      <c r="AD496" s="741"/>
      <c r="AE496" s="741"/>
      <c r="AF496" s="741"/>
      <c r="AG496" s="741"/>
      <c r="AH496" s="741"/>
      <c r="AI496" s="741"/>
      <c r="AJ496" s="741"/>
      <c r="AK496" s="741"/>
      <c r="AL496" s="741"/>
      <c r="AM496" s="741"/>
      <c r="AN496" s="741"/>
      <c r="AO496" s="741"/>
      <c r="AP496" s="741"/>
    </row>
    <row r="497" spans="1:42" ht="12.75" customHeight="1">
      <c r="A497" s="741"/>
      <c r="B497" s="741"/>
      <c r="C497" s="741"/>
      <c r="D497" s="741"/>
      <c r="E497" s="741"/>
      <c r="F497" s="741"/>
      <c r="G497" s="741"/>
      <c r="H497" s="741"/>
      <c r="I497" s="741"/>
      <c r="J497" s="741"/>
      <c r="K497" s="741"/>
      <c r="L497" s="741"/>
      <c r="M497" s="741"/>
      <c r="N497" s="741"/>
      <c r="O497" s="741"/>
      <c r="P497" s="741"/>
      <c r="Q497" s="741"/>
      <c r="R497" s="741"/>
      <c r="S497" s="741"/>
      <c r="T497" s="741"/>
      <c r="U497" s="741"/>
      <c r="V497" s="741"/>
      <c r="W497" s="741"/>
      <c r="X497" s="741"/>
      <c r="Y497" s="741"/>
      <c r="Z497" s="741"/>
      <c r="AA497" s="741"/>
      <c r="AB497" s="741"/>
      <c r="AC497" s="741"/>
      <c r="AD497" s="741"/>
      <c r="AE497" s="741"/>
      <c r="AF497" s="741"/>
      <c r="AG497" s="741"/>
      <c r="AH497" s="741"/>
      <c r="AI497" s="741"/>
      <c r="AJ497" s="741"/>
      <c r="AK497" s="741"/>
      <c r="AL497" s="741"/>
      <c r="AM497" s="741"/>
      <c r="AN497" s="741"/>
      <c r="AO497" s="741"/>
      <c r="AP497" s="741"/>
    </row>
    <row r="498" spans="1:42" ht="12.75" customHeight="1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1"/>
      <c r="P498" s="741"/>
      <c r="Q498" s="741"/>
      <c r="R498" s="741"/>
      <c r="S498" s="741"/>
      <c r="T498" s="741"/>
      <c r="U498" s="741"/>
      <c r="V498" s="741"/>
      <c r="W498" s="741"/>
      <c r="X498" s="741"/>
      <c r="Y498" s="741"/>
      <c r="Z498" s="741"/>
      <c r="AA498" s="741"/>
      <c r="AB498" s="741"/>
      <c r="AC498" s="741"/>
      <c r="AD498" s="741"/>
      <c r="AE498" s="741"/>
      <c r="AF498" s="741"/>
      <c r="AG498" s="741"/>
      <c r="AH498" s="741"/>
      <c r="AI498" s="741"/>
      <c r="AJ498" s="741"/>
      <c r="AK498" s="741"/>
      <c r="AL498" s="741"/>
      <c r="AM498" s="741"/>
      <c r="AN498" s="741"/>
      <c r="AO498" s="741"/>
      <c r="AP498" s="741"/>
    </row>
    <row r="499" spans="1:42" ht="12.75" customHeight="1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1"/>
      <c r="P499" s="741"/>
      <c r="Q499" s="741"/>
      <c r="R499" s="741"/>
      <c r="S499" s="741"/>
      <c r="T499" s="741"/>
      <c r="U499" s="741"/>
      <c r="V499" s="741"/>
      <c r="W499" s="741"/>
      <c r="X499" s="741"/>
      <c r="Y499" s="741"/>
      <c r="Z499" s="741"/>
      <c r="AA499" s="741"/>
      <c r="AB499" s="741"/>
      <c r="AC499" s="741"/>
      <c r="AD499" s="741"/>
      <c r="AE499" s="741"/>
      <c r="AF499" s="741"/>
      <c r="AG499" s="741"/>
      <c r="AH499" s="741"/>
      <c r="AI499" s="741"/>
      <c r="AJ499" s="741"/>
      <c r="AK499" s="741"/>
      <c r="AL499" s="741"/>
      <c r="AM499" s="741"/>
      <c r="AN499" s="741"/>
      <c r="AO499" s="741"/>
      <c r="AP499" s="741"/>
    </row>
    <row r="500" spans="1:42" ht="12.75" customHeight="1">
      <c r="A500" s="741"/>
      <c r="B500" s="741"/>
      <c r="C500" s="741"/>
      <c r="D500" s="741"/>
      <c r="E500" s="741"/>
      <c r="F500" s="741"/>
      <c r="G500" s="741"/>
      <c r="H500" s="741"/>
      <c r="I500" s="741"/>
      <c r="J500" s="741"/>
      <c r="K500" s="741"/>
      <c r="L500" s="741"/>
      <c r="M500" s="741"/>
      <c r="N500" s="741"/>
      <c r="O500" s="741"/>
      <c r="P500" s="741"/>
      <c r="Q500" s="741"/>
      <c r="R500" s="741"/>
      <c r="S500" s="741"/>
      <c r="T500" s="741"/>
      <c r="U500" s="741"/>
      <c r="V500" s="741"/>
      <c r="W500" s="741"/>
      <c r="X500" s="741"/>
      <c r="Y500" s="741"/>
      <c r="Z500" s="741"/>
      <c r="AA500" s="741"/>
      <c r="AB500" s="741"/>
      <c r="AC500" s="741"/>
      <c r="AD500" s="741"/>
      <c r="AE500" s="741"/>
      <c r="AF500" s="741"/>
      <c r="AG500" s="741"/>
      <c r="AH500" s="741"/>
      <c r="AI500" s="741"/>
      <c r="AJ500" s="741"/>
      <c r="AK500" s="741"/>
      <c r="AL500" s="741"/>
      <c r="AM500" s="741"/>
      <c r="AN500" s="741"/>
      <c r="AO500" s="741"/>
      <c r="AP500" s="741"/>
    </row>
    <row r="501" spans="1:42" ht="12.75" customHeight="1">
      <c r="A501" s="741"/>
      <c r="B501" s="741"/>
      <c r="C501" s="741"/>
      <c r="D501" s="741"/>
      <c r="E501" s="741"/>
      <c r="F501" s="741"/>
      <c r="G501" s="741"/>
      <c r="H501" s="741"/>
      <c r="I501" s="741"/>
      <c r="J501" s="741"/>
      <c r="K501" s="741"/>
      <c r="L501" s="741"/>
      <c r="M501" s="741"/>
      <c r="N501" s="741"/>
      <c r="O501" s="741"/>
      <c r="P501" s="741"/>
      <c r="Q501" s="741"/>
      <c r="R501" s="741"/>
      <c r="S501" s="741"/>
      <c r="T501" s="741"/>
      <c r="U501" s="741"/>
      <c r="V501" s="741"/>
      <c r="W501" s="741"/>
      <c r="X501" s="741"/>
      <c r="Y501" s="741"/>
      <c r="Z501" s="741"/>
      <c r="AA501" s="741"/>
      <c r="AB501" s="741"/>
      <c r="AC501" s="741"/>
      <c r="AD501" s="741"/>
      <c r="AE501" s="741"/>
      <c r="AF501" s="741"/>
      <c r="AG501" s="741"/>
      <c r="AH501" s="741"/>
      <c r="AI501" s="741"/>
      <c r="AJ501" s="741"/>
      <c r="AK501" s="741"/>
      <c r="AL501" s="741"/>
      <c r="AM501" s="741"/>
      <c r="AN501" s="741"/>
      <c r="AO501" s="741"/>
      <c r="AP501" s="741"/>
    </row>
    <row r="502" spans="1:42" ht="12.75" customHeight="1">
      <c r="A502" s="741"/>
      <c r="B502" s="741"/>
      <c r="C502" s="741"/>
      <c r="D502" s="741"/>
      <c r="E502" s="741"/>
      <c r="F502" s="741"/>
      <c r="G502" s="741"/>
      <c r="H502" s="741"/>
      <c r="I502" s="741"/>
      <c r="J502" s="741"/>
      <c r="K502" s="741"/>
      <c r="L502" s="741"/>
      <c r="M502" s="741"/>
      <c r="N502" s="741"/>
      <c r="O502" s="741"/>
      <c r="P502" s="741"/>
      <c r="Q502" s="741"/>
      <c r="R502" s="741"/>
      <c r="S502" s="741"/>
      <c r="T502" s="741"/>
      <c r="U502" s="741"/>
      <c r="V502" s="741"/>
      <c r="W502" s="741"/>
      <c r="X502" s="741"/>
      <c r="Y502" s="741"/>
      <c r="Z502" s="741"/>
      <c r="AA502" s="741"/>
      <c r="AB502" s="741"/>
      <c r="AC502" s="741"/>
      <c r="AD502" s="741"/>
      <c r="AE502" s="741"/>
      <c r="AF502" s="741"/>
      <c r="AG502" s="741"/>
      <c r="AH502" s="741"/>
      <c r="AI502" s="741"/>
      <c r="AJ502" s="741"/>
      <c r="AK502" s="741"/>
      <c r="AL502" s="741"/>
      <c r="AM502" s="741"/>
      <c r="AN502" s="741"/>
      <c r="AO502" s="741"/>
      <c r="AP502" s="741"/>
    </row>
    <row r="503" spans="1:42" ht="12.75" customHeight="1">
      <c r="A503" s="741"/>
      <c r="B503" s="741"/>
      <c r="C503" s="741"/>
      <c r="D503" s="741"/>
      <c r="E503" s="741"/>
      <c r="F503" s="741"/>
      <c r="G503" s="741"/>
      <c r="H503" s="741"/>
      <c r="I503" s="741"/>
      <c r="J503" s="741"/>
      <c r="K503" s="741"/>
      <c r="L503" s="741"/>
      <c r="M503" s="741"/>
      <c r="N503" s="741"/>
      <c r="O503" s="741"/>
      <c r="P503" s="741"/>
      <c r="Q503" s="741"/>
      <c r="R503" s="741"/>
      <c r="S503" s="741"/>
      <c r="T503" s="741"/>
      <c r="U503" s="741"/>
      <c r="V503" s="741"/>
      <c r="W503" s="741"/>
      <c r="X503" s="741"/>
      <c r="Y503" s="741"/>
      <c r="Z503" s="741"/>
      <c r="AA503" s="741"/>
      <c r="AB503" s="741"/>
      <c r="AC503" s="741"/>
      <c r="AD503" s="741"/>
      <c r="AE503" s="741"/>
      <c r="AF503" s="741"/>
      <c r="AG503" s="741"/>
      <c r="AH503" s="741"/>
      <c r="AI503" s="741"/>
      <c r="AJ503" s="741"/>
      <c r="AK503" s="741"/>
      <c r="AL503" s="741"/>
      <c r="AM503" s="741"/>
      <c r="AN503" s="741"/>
      <c r="AO503" s="741"/>
      <c r="AP503" s="741"/>
    </row>
    <row r="504" spans="1:42" ht="12.75" customHeight="1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1"/>
      <c r="P504" s="741"/>
      <c r="Q504" s="741"/>
      <c r="R504" s="741"/>
      <c r="S504" s="741"/>
      <c r="T504" s="741"/>
      <c r="U504" s="741"/>
      <c r="V504" s="741"/>
      <c r="W504" s="741"/>
      <c r="X504" s="741"/>
      <c r="Y504" s="741"/>
      <c r="Z504" s="741"/>
      <c r="AA504" s="741"/>
      <c r="AB504" s="741"/>
      <c r="AC504" s="741"/>
      <c r="AD504" s="741"/>
      <c r="AE504" s="741"/>
      <c r="AF504" s="741"/>
      <c r="AG504" s="741"/>
      <c r="AH504" s="741"/>
      <c r="AI504" s="741"/>
      <c r="AJ504" s="741"/>
      <c r="AK504" s="741"/>
      <c r="AL504" s="741"/>
      <c r="AM504" s="741"/>
      <c r="AN504" s="741"/>
      <c r="AO504" s="741"/>
      <c r="AP504" s="741"/>
    </row>
    <row r="505" spans="1:42" ht="12.75" customHeight="1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1"/>
      <c r="P505" s="741"/>
      <c r="Q505" s="741"/>
      <c r="R505" s="741"/>
      <c r="S505" s="741"/>
      <c r="T505" s="741"/>
      <c r="U505" s="741"/>
      <c r="V505" s="741"/>
      <c r="W505" s="741"/>
      <c r="X505" s="741"/>
      <c r="Y505" s="741"/>
      <c r="Z505" s="741"/>
      <c r="AA505" s="741"/>
      <c r="AB505" s="741"/>
      <c r="AC505" s="741"/>
      <c r="AD505" s="741"/>
      <c r="AE505" s="741"/>
      <c r="AF505" s="741"/>
      <c r="AG505" s="741"/>
      <c r="AH505" s="741"/>
      <c r="AI505" s="741"/>
      <c r="AJ505" s="741"/>
      <c r="AK505" s="741"/>
      <c r="AL505" s="741"/>
      <c r="AM505" s="741"/>
      <c r="AN505" s="741"/>
      <c r="AO505" s="741"/>
      <c r="AP505" s="741"/>
    </row>
    <row r="506" spans="1:42" ht="12.75" customHeight="1">
      <c r="A506" s="741"/>
      <c r="B506" s="741"/>
      <c r="C506" s="741"/>
      <c r="D506" s="741"/>
      <c r="E506" s="741"/>
      <c r="F506" s="741"/>
      <c r="G506" s="741"/>
      <c r="H506" s="741"/>
      <c r="I506" s="741"/>
      <c r="J506" s="741"/>
      <c r="K506" s="741"/>
      <c r="L506" s="741"/>
      <c r="M506" s="741"/>
      <c r="N506" s="741"/>
      <c r="O506" s="741"/>
      <c r="P506" s="741"/>
      <c r="Q506" s="741"/>
      <c r="R506" s="741"/>
      <c r="S506" s="741"/>
      <c r="T506" s="741"/>
      <c r="U506" s="741"/>
      <c r="V506" s="741"/>
      <c r="W506" s="741"/>
      <c r="X506" s="741"/>
      <c r="Y506" s="741"/>
      <c r="Z506" s="741"/>
      <c r="AA506" s="741"/>
      <c r="AB506" s="741"/>
      <c r="AC506" s="741"/>
      <c r="AD506" s="741"/>
      <c r="AE506" s="741"/>
      <c r="AF506" s="741"/>
      <c r="AG506" s="741"/>
      <c r="AH506" s="741"/>
      <c r="AI506" s="741"/>
      <c r="AJ506" s="741"/>
      <c r="AK506" s="741"/>
      <c r="AL506" s="741"/>
      <c r="AM506" s="741"/>
      <c r="AN506" s="741"/>
      <c r="AO506" s="741"/>
      <c r="AP506" s="741"/>
    </row>
    <row r="507" spans="1:42" ht="12.75" customHeight="1">
      <c r="A507" s="741"/>
      <c r="B507" s="741"/>
      <c r="C507" s="741"/>
      <c r="D507" s="741"/>
      <c r="E507" s="741"/>
      <c r="F507" s="741"/>
      <c r="G507" s="741"/>
      <c r="H507" s="741"/>
      <c r="I507" s="741"/>
      <c r="J507" s="741"/>
      <c r="K507" s="741"/>
      <c r="L507" s="741"/>
      <c r="M507" s="741"/>
      <c r="N507" s="741"/>
      <c r="O507" s="741"/>
      <c r="P507" s="741"/>
      <c r="Q507" s="741"/>
      <c r="R507" s="741"/>
      <c r="S507" s="741"/>
      <c r="T507" s="741"/>
      <c r="U507" s="741"/>
      <c r="V507" s="741"/>
      <c r="W507" s="741"/>
      <c r="X507" s="741"/>
      <c r="Y507" s="741"/>
      <c r="Z507" s="741"/>
      <c r="AA507" s="741"/>
      <c r="AB507" s="741"/>
      <c r="AC507" s="741"/>
      <c r="AD507" s="741"/>
      <c r="AE507" s="741"/>
      <c r="AF507" s="741"/>
      <c r="AG507" s="741"/>
      <c r="AH507" s="741"/>
      <c r="AI507" s="741"/>
      <c r="AJ507" s="741"/>
      <c r="AK507" s="741"/>
      <c r="AL507" s="741"/>
      <c r="AM507" s="741"/>
      <c r="AN507" s="741"/>
      <c r="AO507" s="741"/>
      <c r="AP507" s="741"/>
    </row>
    <row r="508" spans="1:42" ht="12.75" customHeight="1">
      <c r="A508" s="741"/>
      <c r="B508" s="741"/>
      <c r="C508" s="741"/>
      <c r="D508" s="741"/>
      <c r="E508" s="741"/>
      <c r="F508" s="741"/>
      <c r="G508" s="741"/>
      <c r="H508" s="741"/>
      <c r="I508" s="741"/>
      <c r="J508" s="741"/>
      <c r="K508" s="741"/>
      <c r="L508" s="741"/>
      <c r="M508" s="741"/>
      <c r="N508" s="741"/>
      <c r="O508" s="741"/>
      <c r="P508" s="741"/>
      <c r="Q508" s="741"/>
      <c r="R508" s="741"/>
      <c r="S508" s="741"/>
      <c r="T508" s="741"/>
      <c r="U508" s="741"/>
      <c r="V508" s="741"/>
      <c r="W508" s="741"/>
      <c r="X508" s="741"/>
      <c r="Y508" s="741"/>
      <c r="Z508" s="741"/>
      <c r="AA508" s="741"/>
      <c r="AB508" s="741"/>
      <c r="AC508" s="741"/>
      <c r="AD508" s="741"/>
      <c r="AE508" s="741"/>
      <c r="AF508" s="741"/>
      <c r="AG508" s="741"/>
      <c r="AH508" s="741"/>
      <c r="AI508" s="741"/>
      <c r="AJ508" s="741"/>
      <c r="AK508" s="741"/>
      <c r="AL508" s="741"/>
      <c r="AM508" s="741"/>
      <c r="AN508" s="741"/>
      <c r="AO508" s="741"/>
      <c r="AP508" s="741"/>
    </row>
    <row r="509" spans="1:42" ht="12.75" customHeight="1">
      <c r="A509" s="741"/>
      <c r="B509" s="741"/>
      <c r="C509" s="741"/>
      <c r="D509" s="741"/>
      <c r="E509" s="741"/>
      <c r="F509" s="741"/>
      <c r="G509" s="741"/>
      <c r="H509" s="741"/>
      <c r="I509" s="741"/>
      <c r="J509" s="741"/>
      <c r="K509" s="741"/>
      <c r="L509" s="741"/>
      <c r="M509" s="741"/>
      <c r="N509" s="741"/>
      <c r="O509" s="741"/>
      <c r="P509" s="741"/>
      <c r="Q509" s="741"/>
      <c r="R509" s="741"/>
      <c r="S509" s="741"/>
      <c r="T509" s="741"/>
      <c r="U509" s="741"/>
      <c r="V509" s="741"/>
      <c r="W509" s="741"/>
      <c r="X509" s="741"/>
      <c r="Y509" s="741"/>
      <c r="Z509" s="741"/>
      <c r="AA509" s="741"/>
      <c r="AB509" s="741"/>
      <c r="AC509" s="741"/>
      <c r="AD509" s="741"/>
      <c r="AE509" s="741"/>
      <c r="AF509" s="741"/>
      <c r="AG509" s="741"/>
      <c r="AH509" s="741"/>
      <c r="AI509" s="741"/>
      <c r="AJ509" s="741"/>
      <c r="AK509" s="741"/>
      <c r="AL509" s="741"/>
      <c r="AM509" s="741"/>
      <c r="AN509" s="741"/>
      <c r="AO509" s="741"/>
      <c r="AP509" s="741"/>
    </row>
    <row r="510" spans="1:42" ht="12.75" customHeight="1">
      <c r="A510" s="741"/>
      <c r="B510" s="741"/>
      <c r="C510" s="741"/>
      <c r="D510" s="741"/>
      <c r="E510" s="741"/>
      <c r="F510" s="741"/>
      <c r="G510" s="741"/>
      <c r="H510" s="741"/>
      <c r="I510" s="741"/>
      <c r="J510" s="741"/>
      <c r="K510" s="741"/>
      <c r="L510" s="741"/>
      <c r="M510" s="741"/>
      <c r="N510" s="741"/>
      <c r="O510" s="741"/>
      <c r="P510" s="741"/>
      <c r="Q510" s="741"/>
      <c r="R510" s="741"/>
      <c r="S510" s="741"/>
      <c r="T510" s="741"/>
      <c r="U510" s="741"/>
      <c r="V510" s="741"/>
      <c r="W510" s="741"/>
      <c r="X510" s="741"/>
      <c r="Y510" s="741"/>
      <c r="Z510" s="741"/>
      <c r="AA510" s="741"/>
      <c r="AB510" s="741"/>
      <c r="AC510" s="741"/>
      <c r="AD510" s="741"/>
      <c r="AE510" s="741"/>
      <c r="AF510" s="741"/>
      <c r="AG510" s="741"/>
      <c r="AH510" s="741"/>
      <c r="AI510" s="741"/>
      <c r="AJ510" s="741"/>
      <c r="AK510" s="741"/>
      <c r="AL510" s="741"/>
      <c r="AM510" s="741"/>
      <c r="AN510" s="741"/>
      <c r="AO510" s="741"/>
      <c r="AP510" s="741"/>
    </row>
    <row r="511" spans="1:42" ht="12.75" customHeight="1">
      <c r="A511" s="741"/>
      <c r="B511" s="741"/>
      <c r="C511" s="741"/>
      <c r="D511" s="741"/>
      <c r="E511" s="741"/>
      <c r="F511" s="741"/>
      <c r="G511" s="741"/>
      <c r="H511" s="741"/>
      <c r="I511" s="741"/>
      <c r="J511" s="741"/>
      <c r="K511" s="741"/>
      <c r="L511" s="741"/>
      <c r="M511" s="741"/>
      <c r="N511" s="741"/>
      <c r="O511" s="741"/>
      <c r="P511" s="741"/>
      <c r="Q511" s="741"/>
      <c r="R511" s="741"/>
      <c r="S511" s="741"/>
      <c r="T511" s="741"/>
      <c r="U511" s="741"/>
      <c r="V511" s="741"/>
      <c r="W511" s="741"/>
      <c r="X511" s="741"/>
      <c r="Y511" s="741"/>
      <c r="Z511" s="741"/>
      <c r="AA511" s="741"/>
      <c r="AB511" s="741"/>
      <c r="AC511" s="741"/>
      <c r="AD511" s="741"/>
      <c r="AE511" s="741"/>
      <c r="AF511" s="741"/>
      <c r="AG511" s="741"/>
      <c r="AH511" s="741"/>
      <c r="AI511" s="741"/>
      <c r="AJ511" s="741"/>
      <c r="AK511" s="741"/>
      <c r="AL511" s="741"/>
      <c r="AM511" s="741"/>
      <c r="AN511" s="741"/>
      <c r="AO511" s="741"/>
      <c r="AP511" s="741"/>
    </row>
    <row r="512" spans="1:42" ht="12.75" customHeight="1">
      <c r="A512" s="741"/>
      <c r="B512" s="741"/>
      <c r="C512" s="741"/>
      <c r="D512" s="741"/>
      <c r="E512" s="741"/>
      <c r="F512" s="741"/>
      <c r="G512" s="741"/>
      <c r="H512" s="741"/>
      <c r="I512" s="741"/>
      <c r="J512" s="741"/>
      <c r="K512" s="741"/>
      <c r="L512" s="741"/>
      <c r="M512" s="741"/>
      <c r="N512" s="741"/>
      <c r="O512" s="741"/>
      <c r="P512" s="741"/>
      <c r="Q512" s="741"/>
      <c r="R512" s="741"/>
      <c r="S512" s="741"/>
      <c r="T512" s="741"/>
      <c r="U512" s="741"/>
      <c r="V512" s="741"/>
      <c r="W512" s="741"/>
      <c r="X512" s="741"/>
      <c r="Y512" s="741"/>
      <c r="Z512" s="741"/>
      <c r="AA512" s="741"/>
      <c r="AB512" s="741"/>
      <c r="AC512" s="741"/>
      <c r="AD512" s="741"/>
      <c r="AE512" s="741"/>
      <c r="AF512" s="741"/>
      <c r="AG512" s="741"/>
      <c r="AH512" s="741"/>
      <c r="AI512" s="741"/>
      <c r="AJ512" s="741"/>
      <c r="AK512" s="741"/>
      <c r="AL512" s="741"/>
      <c r="AM512" s="741"/>
      <c r="AN512" s="741"/>
      <c r="AO512" s="741"/>
      <c r="AP512" s="741"/>
    </row>
    <row r="513" spans="1:42" ht="12.75" customHeight="1">
      <c r="A513" s="741"/>
      <c r="B513" s="741"/>
      <c r="C513" s="741"/>
      <c r="D513" s="741"/>
      <c r="E513" s="741"/>
      <c r="F513" s="741"/>
      <c r="G513" s="741"/>
      <c r="H513" s="741"/>
      <c r="I513" s="741"/>
      <c r="J513" s="741"/>
      <c r="K513" s="741"/>
      <c r="L513" s="741"/>
      <c r="M513" s="741"/>
      <c r="N513" s="741"/>
      <c r="O513" s="741"/>
      <c r="P513" s="741"/>
      <c r="Q513" s="741"/>
      <c r="R513" s="741"/>
      <c r="S513" s="741"/>
      <c r="T513" s="741"/>
      <c r="U513" s="741"/>
      <c r="V513" s="741"/>
      <c r="W513" s="741"/>
      <c r="X513" s="741"/>
      <c r="Y513" s="741"/>
      <c r="Z513" s="741"/>
      <c r="AA513" s="741"/>
      <c r="AB513" s="741"/>
      <c r="AC513" s="741"/>
      <c r="AD513" s="741"/>
      <c r="AE513" s="741"/>
      <c r="AF513" s="741"/>
      <c r="AG513" s="741"/>
      <c r="AH513" s="741"/>
      <c r="AI513" s="741"/>
      <c r="AJ513" s="741"/>
      <c r="AK513" s="741"/>
      <c r="AL513" s="741"/>
      <c r="AM513" s="741"/>
      <c r="AN513" s="741"/>
      <c r="AO513" s="741"/>
      <c r="AP513" s="741"/>
    </row>
    <row r="514" spans="1:42" ht="12.75" customHeight="1">
      <c r="A514" s="741"/>
      <c r="B514" s="741"/>
      <c r="C514" s="741"/>
      <c r="D514" s="741"/>
      <c r="E514" s="741"/>
      <c r="F514" s="741"/>
      <c r="G514" s="741"/>
      <c r="H514" s="741"/>
      <c r="I514" s="741"/>
      <c r="J514" s="741"/>
      <c r="K514" s="741"/>
      <c r="L514" s="741"/>
      <c r="M514" s="741"/>
      <c r="N514" s="741"/>
      <c r="O514" s="741"/>
      <c r="P514" s="741"/>
      <c r="Q514" s="741"/>
      <c r="R514" s="741"/>
      <c r="S514" s="741"/>
      <c r="T514" s="741"/>
      <c r="U514" s="741"/>
      <c r="V514" s="741"/>
      <c r="W514" s="741"/>
      <c r="X514" s="741"/>
      <c r="Y514" s="741"/>
      <c r="Z514" s="741"/>
      <c r="AA514" s="741"/>
      <c r="AB514" s="741"/>
      <c r="AC514" s="741"/>
      <c r="AD514" s="741"/>
      <c r="AE514" s="741"/>
      <c r="AF514" s="741"/>
      <c r="AG514" s="741"/>
      <c r="AH514" s="741"/>
      <c r="AI514" s="741"/>
      <c r="AJ514" s="741"/>
      <c r="AK514" s="741"/>
      <c r="AL514" s="741"/>
      <c r="AM514" s="741"/>
      <c r="AN514" s="741"/>
      <c r="AO514" s="741"/>
      <c r="AP514" s="741"/>
    </row>
    <row r="515" spans="1:42" ht="12.75" customHeight="1">
      <c r="A515" s="741"/>
      <c r="B515" s="741"/>
      <c r="C515" s="741"/>
      <c r="D515" s="741"/>
      <c r="E515" s="741"/>
      <c r="F515" s="741"/>
      <c r="G515" s="741"/>
      <c r="H515" s="741"/>
      <c r="I515" s="741"/>
      <c r="J515" s="741"/>
      <c r="K515" s="741"/>
      <c r="L515" s="741"/>
      <c r="M515" s="741"/>
      <c r="N515" s="741"/>
      <c r="O515" s="741"/>
      <c r="P515" s="741"/>
      <c r="Q515" s="741"/>
      <c r="R515" s="741"/>
      <c r="S515" s="741"/>
      <c r="T515" s="741"/>
      <c r="U515" s="741"/>
      <c r="V515" s="741"/>
      <c r="W515" s="741"/>
      <c r="X515" s="741"/>
      <c r="Y515" s="741"/>
      <c r="Z515" s="741"/>
      <c r="AA515" s="741"/>
      <c r="AB515" s="741"/>
      <c r="AC515" s="741"/>
      <c r="AD515" s="741"/>
      <c r="AE515" s="741"/>
      <c r="AF515" s="741"/>
      <c r="AG515" s="741"/>
      <c r="AH515" s="741"/>
      <c r="AI515" s="741"/>
      <c r="AJ515" s="741"/>
      <c r="AK515" s="741"/>
      <c r="AL515" s="741"/>
      <c r="AM515" s="741"/>
      <c r="AN515" s="741"/>
      <c r="AO515" s="741"/>
      <c r="AP515" s="741"/>
    </row>
    <row r="516" spans="1:42" ht="12.75" customHeight="1">
      <c r="A516" s="741"/>
      <c r="B516" s="741"/>
      <c r="C516" s="741"/>
      <c r="D516" s="741"/>
      <c r="E516" s="741"/>
      <c r="F516" s="741"/>
      <c r="G516" s="741"/>
      <c r="H516" s="741"/>
      <c r="I516" s="741"/>
      <c r="J516" s="741"/>
      <c r="K516" s="741"/>
      <c r="L516" s="741"/>
      <c r="M516" s="741"/>
      <c r="N516" s="741"/>
      <c r="O516" s="741"/>
      <c r="P516" s="741"/>
      <c r="Q516" s="741"/>
      <c r="R516" s="741"/>
      <c r="S516" s="741"/>
      <c r="T516" s="741"/>
      <c r="U516" s="741"/>
      <c r="V516" s="741"/>
      <c r="W516" s="741"/>
      <c r="X516" s="741"/>
      <c r="Y516" s="741"/>
      <c r="Z516" s="741"/>
      <c r="AA516" s="741"/>
      <c r="AB516" s="741"/>
      <c r="AC516" s="741"/>
      <c r="AD516" s="741"/>
      <c r="AE516" s="741"/>
      <c r="AF516" s="741"/>
      <c r="AG516" s="741"/>
      <c r="AH516" s="741"/>
      <c r="AI516" s="741"/>
      <c r="AJ516" s="741"/>
      <c r="AK516" s="741"/>
      <c r="AL516" s="741"/>
      <c r="AM516" s="741"/>
      <c r="AN516" s="741"/>
      <c r="AO516" s="741"/>
      <c r="AP516" s="741"/>
    </row>
    <row r="517" spans="1:42" ht="12.75" customHeight="1">
      <c r="A517" s="741"/>
      <c r="B517" s="741"/>
      <c r="C517" s="741"/>
      <c r="D517" s="741"/>
      <c r="E517" s="741"/>
      <c r="F517" s="741"/>
      <c r="G517" s="741"/>
      <c r="H517" s="741"/>
      <c r="I517" s="741"/>
      <c r="J517" s="741"/>
      <c r="K517" s="741"/>
      <c r="L517" s="741"/>
      <c r="M517" s="741"/>
      <c r="N517" s="741"/>
      <c r="O517" s="741"/>
      <c r="P517" s="741"/>
      <c r="Q517" s="741"/>
      <c r="R517" s="741"/>
      <c r="S517" s="741"/>
      <c r="T517" s="741"/>
      <c r="U517" s="741"/>
      <c r="V517" s="741"/>
      <c r="W517" s="741"/>
      <c r="X517" s="741"/>
      <c r="Y517" s="741"/>
      <c r="Z517" s="741"/>
      <c r="AA517" s="741"/>
      <c r="AB517" s="741"/>
      <c r="AC517" s="741"/>
      <c r="AD517" s="741"/>
      <c r="AE517" s="741"/>
      <c r="AF517" s="741"/>
      <c r="AG517" s="741"/>
      <c r="AH517" s="741"/>
      <c r="AI517" s="741"/>
      <c r="AJ517" s="741"/>
      <c r="AK517" s="741"/>
      <c r="AL517" s="741"/>
      <c r="AM517" s="741"/>
      <c r="AN517" s="741"/>
      <c r="AO517" s="741"/>
      <c r="AP517" s="741"/>
    </row>
    <row r="518" spans="1:42" ht="12.75" customHeight="1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1"/>
      <c r="P518" s="741"/>
      <c r="Q518" s="741"/>
      <c r="R518" s="741"/>
      <c r="S518" s="741"/>
      <c r="T518" s="741"/>
      <c r="U518" s="741"/>
      <c r="V518" s="741"/>
      <c r="W518" s="741"/>
      <c r="X518" s="741"/>
      <c r="Y518" s="741"/>
      <c r="Z518" s="741"/>
      <c r="AA518" s="741"/>
      <c r="AB518" s="741"/>
      <c r="AC518" s="741"/>
      <c r="AD518" s="741"/>
      <c r="AE518" s="741"/>
      <c r="AF518" s="741"/>
      <c r="AG518" s="741"/>
      <c r="AH518" s="741"/>
      <c r="AI518" s="741"/>
      <c r="AJ518" s="741"/>
      <c r="AK518" s="741"/>
      <c r="AL518" s="741"/>
      <c r="AM518" s="741"/>
      <c r="AN518" s="741"/>
      <c r="AO518" s="741"/>
      <c r="AP518" s="741"/>
    </row>
    <row r="519" spans="1:42" ht="12.75" customHeight="1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1"/>
      <c r="P519" s="741"/>
      <c r="Q519" s="741"/>
      <c r="R519" s="741"/>
      <c r="S519" s="741"/>
      <c r="T519" s="741"/>
      <c r="U519" s="741"/>
      <c r="V519" s="741"/>
      <c r="W519" s="741"/>
      <c r="X519" s="741"/>
      <c r="Y519" s="741"/>
      <c r="Z519" s="741"/>
      <c r="AA519" s="741"/>
      <c r="AB519" s="741"/>
      <c r="AC519" s="741"/>
      <c r="AD519" s="741"/>
      <c r="AE519" s="741"/>
      <c r="AF519" s="741"/>
      <c r="AG519" s="741"/>
      <c r="AH519" s="741"/>
      <c r="AI519" s="741"/>
      <c r="AJ519" s="741"/>
      <c r="AK519" s="741"/>
      <c r="AL519" s="741"/>
      <c r="AM519" s="741"/>
      <c r="AN519" s="741"/>
      <c r="AO519" s="741"/>
      <c r="AP519" s="741"/>
    </row>
    <row r="520" spans="1:42" ht="12.75" customHeight="1">
      <c r="A520" s="741"/>
      <c r="B520" s="741"/>
      <c r="C520" s="741"/>
      <c r="D520" s="741"/>
      <c r="E520" s="741"/>
      <c r="F520" s="741"/>
      <c r="G520" s="741"/>
      <c r="H520" s="741"/>
      <c r="I520" s="741"/>
      <c r="J520" s="741"/>
      <c r="K520" s="741"/>
      <c r="L520" s="741"/>
      <c r="M520" s="741"/>
      <c r="N520" s="741"/>
      <c r="O520" s="741"/>
      <c r="P520" s="741"/>
      <c r="Q520" s="741"/>
      <c r="R520" s="741"/>
      <c r="S520" s="741"/>
      <c r="T520" s="741"/>
      <c r="U520" s="741"/>
      <c r="V520" s="741"/>
      <c r="W520" s="741"/>
      <c r="X520" s="741"/>
      <c r="Y520" s="741"/>
      <c r="Z520" s="741"/>
      <c r="AA520" s="741"/>
      <c r="AB520" s="741"/>
      <c r="AC520" s="741"/>
      <c r="AD520" s="741"/>
      <c r="AE520" s="741"/>
      <c r="AF520" s="741"/>
      <c r="AG520" s="741"/>
      <c r="AH520" s="741"/>
      <c r="AI520" s="741"/>
      <c r="AJ520" s="741"/>
      <c r="AK520" s="741"/>
      <c r="AL520" s="741"/>
      <c r="AM520" s="741"/>
      <c r="AN520" s="741"/>
      <c r="AO520" s="741"/>
      <c r="AP520" s="741"/>
    </row>
    <row r="521" spans="1:42" ht="12.75" customHeight="1">
      <c r="A521" s="741"/>
      <c r="B521" s="741"/>
      <c r="C521" s="741"/>
      <c r="D521" s="741"/>
      <c r="E521" s="741"/>
      <c r="F521" s="741"/>
      <c r="G521" s="741"/>
      <c r="H521" s="741"/>
      <c r="I521" s="741"/>
      <c r="J521" s="741"/>
      <c r="K521" s="741"/>
      <c r="L521" s="741"/>
      <c r="M521" s="741"/>
      <c r="N521" s="741"/>
      <c r="O521" s="741"/>
      <c r="P521" s="741"/>
      <c r="Q521" s="741"/>
      <c r="R521" s="741"/>
      <c r="S521" s="741"/>
      <c r="T521" s="741"/>
      <c r="U521" s="741"/>
      <c r="V521" s="741"/>
      <c r="W521" s="741"/>
      <c r="X521" s="741"/>
      <c r="Y521" s="741"/>
      <c r="Z521" s="741"/>
      <c r="AA521" s="741"/>
      <c r="AB521" s="741"/>
      <c r="AC521" s="741"/>
      <c r="AD521" s="741"/>
      <c r="AE521" s="741"/>
      <c r="AF521" s="741"/>
      <c r="AG521" s="741"/>
      <c r="AH521" s="741"/>
      <c r="AI521" s="741"/>
      <c r="AJ521" s="741"/>
      <c r="AK521" s="741"/>
      <c r="AL521" s="741"/>
      <c r="AM521" s="741"/>
      <c r="AN521" s="741"/>
      <c r="AO521" s="741"/>
      <c r="AP521" s="741"/>
    </row>
    <row r="522" spans="1:42" ht="12.75" customHeight="1">
      <c r="A522" s="741"/>
      <c r="B522" s="741"/>
      <c r="C522" s="741"/>
      <c r="D522" s="741"/>
      <c r="E522" s="741"/>
      <c r="F522" s="741"/>
      <c r="G522" s="741"/>
      <c r="H522" s="741"/>
      <c r="I522" s="741"/>
      <c r="J522" s="741"/>
      <c r="K522" s="741"/>
      <c r="L522" s="741"/>
      <c r="M522" s="741"/>
      <c r="N522" s="741"/>
      <c r="O522" s="741"/>
      <c r="P522" s="741"/>
      <c r="Q522" s="741"/>
      <c r="R522" s="741"/>
      <c r="S522" s="741"/>
      <c r="T522" s="741"/>
      <c r="U522" s="741"/>
      <c r="V522" s="741"/>
      <c r="W522" s="741"/>
      <c r="X522" s="741"/>
      <c r="Y522" s="741"/>
      <c r="Z522" s="741"/>
      <c r="AA522" s="741"/>
      <c r="AB522" s="741"/>
      <c r="AC522" s="741"/>
      <c r="AD522" s="741"/>
      <c r="AE522" s="741"/>
      <c r="AF522" s="741"/>
      <c r="AG522" s="741"/>
      <c r="AH522" s="741"/>
      <c r="AI522" s="741"/>
      <c r="AJ522" s="741"/>
      <c r="AK522" s="741"/>
      <c r="AL522" s="741"/>
      <c r="AM522" s="741"/>
      <c r="AN522" s="741"/>
      <c r="AO522" s="741"/>
      <c r="AP522" s="741"/>
    </row>
    <row r="523" spans="1:42" ht="12.75" customHeight="1">
      <c r="A523" s="741"/>
      <c r="B523" s="741"/>
      <c r="C523" s="741"/>
      <c r="D523" s="741"/>
      <c r="E523" s="741"/>
      <c r="F523" s="741"/>
      <c r="G523" s="741"/>
      <c r="H523" s="741"/>
      <c r="I523" s="741"/>
      <c r="J523" s="741"/>
      <c r="K523" s="741"/>
      <c r="L523" s="741"/>
      <c r="M523" s="741"/>
      <c r="N523" s="741"/>
      <c r="O523" s="741"/>
      <c r="P523" s="741"/>
      <c r="Q523" s="741"/>
      <c r="R523" s="741"/>
      <c r="S523" s="741"/>
      <c r="T523" s="741"/>
      <c r="U523" s="741"/>
      <c r="V523" s="741"/>
      <c r="W523" s="741"/>
      <c r="X523" s="741"/>
      <c r="Y523" s="741"/>
      <c r="Z523" s="741"/>
      <c r="AA523" s="741"/>
      <c r="AB523" s="741"/>
      <c r="AC523" s="741"/>
      <c r="AD523" s="741"/>
      <c r="AE523" s="741"/>
      <c r="AF523" s="741"/>
      <c r="AG523" s="741"/>
      <c r="AH523" s="741"/>
      <c r="AI523" s="741"/>
      <c r="AJ523" s="741"/>
      <c r="AK523" s="741"/>
      <c r="AL523" s="741"/>
      <c r="AM523" s="741"/>
      <c r="AN523" s="741"/>
      <c r="AO523" s="741"/>
      <c r="AP523" s="741"/>
    </row>
    <row r="524" spans="1:42" ht="12.75" customHeight="1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1"/>
      <c r="P524" s="741"/>
      <c r="Q524" s="741"/>
      <c r="R524" s="741"/>
      <c r="S524" s="741"/>
      <c r="T524" s="741"/>
      <c r="U524" s="741"/>
      <c r="V524" s="741"/>
      <c r="W524" s="741"/>
      <c r="X524" s="741"/>
      <c r="Y524" s="741"/>
      <c r="Z524" s="741"/>
      <c r="AA524" s="741"/>
      <c r="AB524" s="741"/>
      <c r="AC524" s="741"/>
      <c r="AD524" s="741"/>
      <c r="AE524" s="741"/>
      <c r="AF524" s="741"/>
      <c r="AG524" s="741"/>
      <c r="AH524" s="741"/>
      <c r="AI524" s="741"/>
      <c r="AJ524" s="741"/>
      <c r="AK524" s="741"/>
      <c r="AL524" s="741"/>
      <c r="AM524" s="741"/>
      <c r="AN524" s="741"/>
      <c r="AO524" s="741"/>
      <c r="AP524" s="741"/>
    </row>
    <row r="525" spans="1:42" ht="12.75" customHeight="1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1"/>
      <c r="P525" s="741"/>
      <c r="Q525" s="741"/>
      <c r="R525" s="741"/>
      <c r="S525" s="741"/>
      <c r="T525" s="741"/>
      <c r="U525" s="741"/>
      <c r="V525" s="741"/>
      <c r="W525" s="741"/>
      <c r="X525" s="741"/>
      <c r="Y525" s="741"/>
      <c r="Z525" s="741"/>
      <c r="AA525" s="741"/>
      <c r="AB525" s="741"/>
      <c r="AC525" s="741"/>
      <c r="AD525" s="741"/>
      <c r="AE525" s="741"/>
      <c r="AF525" s="741"/>
      <c r="AG525" s="741"/>
      <c r="AH525" s="741"/>
      <c r="AI525" s="741"/>
      <c r="AJ525" s="741"/>
      <c r="AK525" s="741"/>
      <c r="AL525" s="741"/>
      <c r="AM525" s="741"/>
      <c r="AN525" s="741"/>
      <c r="AO525" s="741"/>
      <c r="AP525" s="741"/>
    </row>
    <row r="526" spans="1:42" ht="12.75" customHeight="1">
      <c r="A526" s="741"/>
      <c r="B526" s="741"/>
      <c r="C526" s="741"/>
      <c r="D526" s="741"/>
      <c r="E526" s="741"/>
      <c r="F526" s="741"/>
      <c r="G526" s="741"/>
      <c r="H526" s="741"/>
      <c r="I526" s="741"/>
      <c r="J526" s="741"/>
      <c r="K526" s="741"/>
      <c r="L526" s="741"/>
      <c r="M526" s="741"/>
      <c r="N526" s="741"/>
      <c r="O526" s="741"/>
      <c r="P526" s="741"/>
      <c r="Q526" s="741"/>
      <c r="R526" s="741"/>
      <c r="S526" s="741"/>
      <c r="T526" s="741"/>
      <c r="U526" s="741"/>
      <c r="V526" s="741"/>
      <c r="W526" s="741"/>
      <c r="X526" s="741"/>
      <c r="Y526" s="741"/>
      <c r="Z526" s="741"/>
      <c r="AA526" s="741"/>
      <c r="AB526" s="741"/>
      <c r="AC526" s="741"/>
      <c r="AD526" s="741"/>
      <c r="AE526" s="741"/>
      <c r="AF526" s="741"/>
      <c r="AG526" s="741"/>
      <c r="AH526" s="741"/>
      <c r="AI526" s="741"/>
      <c r="AJ526" s="741"/>
      <c r="AK526" s="741"/>
      <c r="AL526" s="741"/>
      <c r="AM526" s="741"/>
      <c r="AN526" s="741"/>
      <c r="AO526" s="741"/>
      <c r="AP526" s="741"/>
    </row>
    <row r="527" spans="1:42" ht="12.75" customHeight="1">
      <c r="A527" s="741"/>
      <c r="B527" s="741"/>
      <c r="C527" s="741"/>
      <c r="D527" s="741"/>
      <c r="E527" s="741"/>
      <c r="F527" s="741"/>
      <c r="G527" s="741"/>
      <c r="H527" s="741"/>
      <c r="I527" s="741"/>
      <c r="J527" s="741"/>
      <c r="K527" s="741"/>
      <c r="L527" s="741"/>
      <c r="M527" s="741"/>
      <c r="N527" s="741"/>
      <c r="O527" s="741"/>
      <c r="P527" s="741"/>
      <c r="Q527" s="741"/>
      <c r="R527" s="741"/>
      <c r="S527" s="741"/>
      <c r="T527" s="741"/>
      <c r="U527" s="741"/>
      <c r="V527" s="741"/>
      <c r="W527" s="741"/>
      <c r="X527" s="741"/>
      <c r="Y527" s="741"/>
      <c r="Z527" s="741"/>
      <c r="AA527" s="741"/>
      <c r="AB527" s="741"/>
      <c r="AC527" s="741"/>
      <c r="AD527" s="741"/>
      <c r="AE527" s="741"/>
      <c r="AF527" s="741"/>
      <c r="AG527" s="741"/>
      <c r="AH527" s="741"/>
      <c r="AI527" s="741"/>
      <c r="AJ527" s="741"/>
      <c r="AK527" s="741"/>
      <c r="AL527" s="741"/>
      <c r="AM527" s="741"/>
      <c r="AN527" s="741"/>
      <c r="AO527" s="741"/>
      <c r="AP527" s="741"/>
    </row>
    <row r="528" spans="1:42" ht="12.75" customHeight="1">
      <c r="A528" s="741"/>
      <c r="B528" s="741"/>
      <c r="C528" s="741"/>
      <c r="D528" s="741"/>
      <c r="E528" s="741"/>
      <c r="F528" s="741"/>
      <c r="G528" s="741"/>
      <c r="H528" s="741"/>
      <c r="I528" s="741"/>
      <c r="J528" s="741"/>
      <c r="K528" s="741"/>
      <c r="L528" s="741"/>
      <c r="M528" s="741"/>
      <c r="N528" s="741"/>
      <c r="O528" s="741"/>
      <c r="P528" s="741"/>
      <c r="Q528" s="741"/>
      <c r="R528" s="741"/>
      <c r="S528" s="741"/>
      <c r="T528" s="741"/>
      <c r="U528" s="741"/>
      <c r="V528" s="741"/>
      <c r="W528" s="741"/>
      <c r="X528" s="741"/>
      <c r="Y528" s="741"/>
      <c r="Z528" s="741"/>
      <c r="AA528" s="741"/>
      <c r="AB528" s="741"/>
      <c r="AC528" s="741"/>
      <c r="AD528" s="741"/>
      <c r="AE528" s="741"/>
      <c r="AF528" s="741"/>
      <c r="AG528" s="741"/>
      <c r="AH528" s="741"/>
      <c r="AI528" s="741"/>
      <c r="AJ528" s="741"/>
      <c r="AK528" s="741"/>
      <c r="AL528" s="741"/>
      <c r="AM528" s="741"/>
      <c r="AN528" s="741"/>
      <c r="AO528" s="741"/>
      <c r="AP528" s="741"/>
    </row>
    <row r="529" spans="1:42" ht="12.75" customHeight="1">
      <c r="A529" s="741"/>
      <c r="B529" s="741"/>
      <c r="C529" s="741"/>
      <c r="D529" s="741"/>
      <c r="E529" s="741"/>
      <c r="F529" s="741"/>
      <c r="G529" s="741"/>
      <c r="H529" s="741"/>
      <c r="I529" s="741"/>
      <c r="J529" s="741"/>
      <c r="K529" s="741"/>
      <c r="L529" s="741"/>
      <c r="M529" s="741"/>
      <c r="N529" s="741"/>
      <c r="O529" s="741"/>
      <c r="P529" s="741"/>
      <c r="Q529" s="741"/>
      <c r="R529" s="741"/>
      <c r="S529" s="741"/>
      <c r="T529" s="741"/>
      <c r="U529" s="741"/>
      <c r="V529" s="741"/>
      <c r="W529" s="741"/>
      <c r="X529" s="741"/>
      <c r="Y529" s="741"/>
      <c r="Z529" s="741"/>
      <c r="AA529" s="741"/>
      <c r="AB529" s="741"/>
      <c r="AC529" s="741"/>
      <c r="AD529" s="741"/>
      <c r="AE529" s="741"/>
      <c r="AF529" s="741"/>
      <c r="AG529" s="741"/>
      <c r="AH529" s="741"/>
      <c r="AI529" s="741"/>
      <c r="AJ529" s="741"/>
      <c r="AK529" s="741"/>
      <c r="AL529" s="741"/>
      <c r="AM529" s="741"/>
      <c r="AN529" s="741"/>
      <c r="AO529" s="741"/>
      <c r="AP529" s="741"/>
    </row>
    <row r="530" spans="1:42" ht="12.75" customHeight="1">
      <c r="A530" s="741"/>
      <c r="B530" s="741"/>
      <c r="C530" s="741"/>
      <c r="D530" s="741"/>
      <c r="E530" s="741"/>
      <c r="F530" s="741"/>
      <c r="G530" s="741"/>
      <c r="H530" s="741"/>
      <c r="I530" s="741"/>
      <c r="J530" s="741"/>
      <c r="K530" s="741"/>
      <c r="L530" s="741"/>
      <c r="M530" s="741"/>
      <c r="N530" s="741"/>
      <c r="O530" s="741"/>
      <c r="P530" s="741"/>
      <c r="Q530" s="741"/>
      <c r="R530" s="741"/>
      <c r="S530" s="741"/>
      <c r="T530" s="741"/>
      <c r="U530" s="741"/>
      <c r="V530" s="741"/>
      <c r="W530" s="741"/>
      <c r="X530" s="741"/>
      <c r="Y530" s="741"/>
      <c r="Z530" s="741"/>
      <c r="AA530" s="741"/>
      <c r="AB530" s="741"/>
      <c r="AC530" s="741"/>
      <c r="AD530" s="741"/>
      <c r="AE530" s="741"/>
      <c r="AF530" s="741"/>
      <c r="AG530" s="741"/>
      <c r="AH530" s="741"/>
      <c r="AI530" s="741"/>
      <c r="AJ530" s="741"/>
      <c r="AK530" s="741"/>
      <c r="AL530" s="741"/>
      <c r="AM530" s="741"/>
      <c r="AN530" s="741"/>
      <c r="AO530" s="741"/>
      <c r="AP530" s="741"/>
    </row>
    <row r="531" spans="1:42" ht="12.75" customHeight="1">
      <c r="A531" s="741"/>
      <c r="B531" s="741"/>
      <c r="C531" s="741"/>
      <c r="D531" s="741"/>
      <c r="E531" s="741"/>
      <c r="F531" s="741"/>
      <c r="G531" s="741"/>
      <c r="H531" s="741"/>
      <c r="I531" s="741"/>
      <c r="J531" s="741"/>
      <c r="K531" s="741"/>
      <c r="L531" s="741"/>
      <c r="M531" s="741"/>
      <c r="N531" s="741"/>
      <c r="O531" s="741"/>
      <c r="P531" s="741"/>
      <c r="Q531" s="741"/>
      <c r="R531" s="741"/>
      <c r="S531" s="741"/>
      <c r="T531" s="741"/>
      <c r="U531" s="741"/>
      <c r="V531" s="741"/>
      <c r="W531" s="741"/>
      <c r="X531" s="741"/>
      <c r="Y531" s="741"/>
      <c r="Z531" s="741"/>
      <c r="AA531" s="741"/>
      <c r="AB531" s="741"/>
      <c r="AC531" s="741"/>
      <c r="AD531" s="741"/>
      <c r="AE531" s="741"/>
      <c r="AF531" s="741"/>
      <c r="AG531" s="741"/>
      <c r="AH531" s="741"/>
      <c r="AI531" s="741"/>
      <c r="AJ531" s="741"/>
      <c r="AK531" s="741"/>
      <c r="AL531" s="741"/>
      <c r="AM531" s="741"/>
      <c r="AN531" s="741"/>
      <c r="AO531" s="741"/>
      <c r="AP531" s="741"/>
    </row>
    <row r="532" spans="1:42" ht="12.75" customHeight="1">
      <c r="A532" s="741"/>
      <c r="B532" s="741"/>
      <c r="C532" s="741"/>
      <c r="D532" s="741"/>
      <c r="E532" s="741"/>
      <c r="F532" s="741"/>
      <c r="G532" s="741"/>
      <c r="H532" s="741"/>
      <c r="I532" s="741"/>
      <c r="J532" s="741"/>
      <c r="K532" s="741"/>
      <c r="L532" s="741"/>
      <c r="M532" s="741"/>
      <c r="N532" s="741"/>
      <c r="O532" s="741"/>
      <c r="P532" s="741"/>
      <c r="Q532" s="741"/>
      <c r="R532" s="741"/>
      <c r="S532" s="741"/>
      <c r="T532" s="741"/>
      <c r="U532" s="741"/>
      <c r="V532" s="741"/>
      <c r="W532" s="741"/>
      <c r="X532" s="741"/>
      <c r="Y532" s="741"/>
      <c r="Z532" s="741"/>
      <c r="AA532" s="741"/>
      <c r="AB532" s="741"/>
      <c r="AC532" s="741"/>
      <c r="AD532" s="741"/>
      <c r="AE532" s="741"/>
      <c r="AF532" s="741"/>
      <c r="AG532" s="741"/>
      <c r="AH532" s="741"/>
      <c r="AI532" s="741"/>
      <c r="AJ532" s="741"/>
      <c r="AK532" s="741"/>
      <c r="AL532" s="741"/>
      <c r="AM532" s="741"/>
      <c r="AN532" s="741"/>
      <c r="AO532" s="741"/>
      <c r="AP532" s="741"/>
    </row>
    <row r="533" spans="1:42" ht="12.75" customHeight="1">
      <c r="A533" s="741"/>
      <c r="B533" s="741"/>
      <c r="C533" s="741"/>
      <c r="D533" s="741"/>
      <c r="E533" s="741"/>
      <c r="F533" s="741"/>
      <c r="G533" s="741"/>
      <c r="H533" s="741"/>
      <c r="I533" s="741"/>
      <c r="J533" s="741"/>
      <c r="K533" s="741"/>
      <c r="L533" s="741"/>
      <c r="M533" s="741"/>
      <c r="N533" s="741"/>
      <c r="O533" s="741"/>
      <c r="P533" s="741"/>
      <c r="Q533" s="741"/>
      <c r="R533" s="741"/>
      <c r="S533" s="741"/>
      <c r="T533" s="741"/>
      <c r="U533" s="741"/>
      <c r="V533" s="741"/>
      <c r="W533" s="741"/>
      <c r="X533" s="741"/>
      <c r="Y533" s="741"/>
      <c r="Z533" s="741"/>
      <c r="AA533" s="741"/>
      <c r="AB533" s="741"/>
      <c r="AC533" s="741"/>
      <c r="AD533" s="741"/>
      <c r="AE533" s="741"/>
      <c r="AF533" s="741"/>
      <c r="AG533" s="741"/>
      <c r="AH533" s="741"/>
      <c r="AI533" s="741"/>
      <c r="AJ533" s="741"/>
      <c r="AK533" s="741"/>
      <c r="AL533" s="741"/>
      <c r="AM533" s="741"/>
      <c r="AN533" s="741"/>
      <c r="AO533" s="741"/>
      <c r="AP533" s="741"/>
    </row>
    <row r="534" spans="1:42" ht="12.75" customHeight="1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1"/>
      <c r="P534" s="741"/>
      <c r="Q534" s="741"/>
      <c r="R534" s="741"/>
      <c r="S534" s="741"/>
      <c r="T534" s="741"/>
      <c r="U534" s="741"/>
      <c r="V534" s="741"/>
      <c r="W534" s="741"/>
      <c r="X534" s="741"/>
      <c r="Y534" s="741"/>
      <c r="Z534" s="741"/>
      <c r="AA534" s="741"/>
      <c r="AB534" s="741"/>
      <c r="AC534" s="741"/>
      <c r="AD534" s="741"/>
      <c r="AE534" s="741"/>
      <c r="AF534" s="741"/>
      <c r="AG534" s="741"/>
      <c r="AH534" s="741"/>
      <c r="AI534" s="741"/>
      <c r="AJ534" s="741"/>
      <c r="AK534" s="741"/>
      <c r="AL534" s="741"/>
      <c r="AM534" s="741"/>
      <c r="AN534" s="741"/>
      <c r="AO534" s="741"/>
      <c r="AP534" s="741"/>
    </row>
    <row r="535" spans="1:42" ht="12.75" customHeight="1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1"/>
      <c r="P535" s="741"/>
      <c r="Q535" s="741"/>
      <c r="R535" s="741"/>
      <c r="S535" s="741"/>
      <c r="T535" s="741"/>
      <c r="U535" s="741"/>
      <c r="V535" s="741"/>
      <c r="W535" s="741"/>
      <c r="X535" s="741"/>
      <c r="Y535" s="741"/>
      <c r="Z535" s="741"/>
      <c r="AA535" s="741"/>
      <c r="AB535" s="741"/>
      <c r="AC535" s="741"/>
      <c r="AD535" s="741"/>
      <c r="AE535" s="741"/>
      <c r="AF535" s="741"/>
      <c r="AG535" s="741"/>
      <c r="AH535" s="741"/>
      <c r="AI535" s="741"/>
      <c r="AJ535" s="741"/>
      <c r="AK535" s="741"/>
      <c r="AL535" s="741"/>
      <c r="AM535" s="741"/>
      <c r="AN535" s="741"/>
      <c r="AO535" s="741"/>
      <c r="AP535" s="741"/>
    </row>
    <row r="536" spans="1:42" ht="12.75" customHeight="1">
      <c r="A536" s="741"/>
      <c r="B536" s="741"/>
      <c r="C536" s="741"/>
      <c r="D536" s="741"/>
      <c r="E536" s="741"/>
      <c r="F536" s="741"/>
      <c r="G536" s="741"/>
      <c r="H536" s="741"/>
      <c r="I536" s="741"/>
      <c r="J536" s="741"/>
      <c r="K536" s="741"/>
      <c r="L536" s="741"/>
      <c r="M536" s="741"/>
      <c r="N536" s="741"/>
      <c r="O536" s="741"/>
      <c r="P536" s="741"/>
      <c r="Q536" s="741"/>
      <c r="R536" s="741"/>
      <c r="S536" s="741"/>
      <c r="T536" s="741"/>
      <c r="U536" s="741"/>
      <c r="V536" s="741"/>
      <c r="W536" s="741"/>
      <c r="X536" s="741"/>
      <c r="Y536" s="741"/>
      <c r="Z536" s="741"/>
      <c r="AA536" s="741"/>
      <c r="AB536" s="741"/>
      <c r="AC536" s="741"/>
      <c r="AD536" s="741"/>
      <c r="AE536" s="741"/>
      <c r="AF536" s="741"/>
      <c r="AG536" s="741"/>
      <c r="AH536" s="741"/>
      <c r="AI536" s="741"/>
      <c r="AJ536" s="741"/>
      <c r="AK536" s="741"/>
      <c r="AL536" s="741"/>
      <c r="AM536" s="741"/>
      <c r="AN536" s="741"/>
      <c r="AO536" s="741"/>
      <c r="AP536" s="741"/>
    </row>
    <row r="537" spans="1:42" ht="12.75" customHeight="1">
      <c r="A537" s="741"/>
      <c r="B537" s="741"/>
      <c r="C537" s="741"/>
      <c r="D537" s="741"/>
      <c r="E537" s="741"/>
      <c r="F537" s="741"/>
      <c r="G537" s="741"/>
      <c r="H537" s="741"/>
      <c r="I537" s="741"/>
      <c r="J537" s="741"/>
      <c r="K537" s="741"/>
      <c r="L537" s="741"/>
      <c r="M537" s="741"/>
      <c r="N537" s="741"/>
      <c r="O537" s="741"/>
      <c r="P537" s="741"/>
      <c r="Q537" s="741"/>
      <c r="R537" s="741"/>
      <c r="S537" s="741"/>
      <c r="T537" s="741"/>
      <c r="U537" s="741"/>
      <c r="V537" s="741"/>
      <c r="W537" s="741"/>
      <c r="X537" s="741"/>
      <c r="Y537" s="741"/>
      <c r="Z537" s="741"/>
      <c r="AA537" s="741"/>
      <c r="AB537" s="741"/>
      <c r="AC537" s="741"/>
      <c r="AD537" s="741"/>
      <c r="AE537" s="741"/>
      <c r="AF537" s="741"/>
      <c r="AG537" s="741"/>
      <c r="AH537" s="741"/>
      <c r="AI537" s="741"/>
      <c r="AJ537" s="741"/>
      <c r="AK537" s="741"/>
      <c r="AL537" s="741"/>
      <c r="AM537" s="741"/>
      <c r="AN537" s="741"/>
      <c r="AO537" s="741"/>
      <c r="AP537" s="741"/>
    </row>
    <row r="538" spans="1:42" ht="12.75" customHeight="1">
      <c r="A538" s="741"/>
      <c r="B538" s="741"/>
      <c r="C538" s="741"/>
      <c r="D538" s="741"/>
      <c r="E538" s="741"/>
      <c r="F538" s="741"/>
      <c r="G538" s="741"/>
      <c r="H538" s="741"/>
      <c r="I538" s="741"/>
      <c r="J538" s="741"/>
      <c r="K538" s="741"/>
      <c r="L538" s="741"/>
      <c r="M538" s="741"/>
      <c r="N538" s="741"/>
      <c r="O538" s="741"/>
      <c r="P538" s="741"/>
      <c r="Q538" s="741"/>
      <c r="R538" s="741"/>
      <c r="S538" s="741"/>
      <c r="T538" s="741"/>
      <c r="U538" s="741"/>
      <c r="V538" s="741"/>
      <c r="W538" s="741"/>
      <c r="X538" s="741"/>
      <c r="Y538" s="741"/>
      <c r="Z538" s="741"/>
      <c r="AA538" s="741"/>
      <c r="AB538" s="741"/>
      <c r="AC538" s="741"/>
      <c r="AD538" s="741"/>
      <c r="AE538" s="741"/>
      <c r="AF538" s="741"/>
      <c r="AG538" s="741"/>
      <c r="AH538" s="741"/>
      <c r="AI538" s="741"/>
      <c r="AJ538" s="741"/>
      <c r="AK538" s="741"/>
      <c r="AL538" s="741"/>
      <c r="AM538" s="741"/>
      <c r="AN538" s="741"/>
      <c r="AO538" s="741"/>
      <c r="AP538" s="741"/>
    </row>
    <row r="539" spans="1:42" ht="12.75" customHeight="1">
      <c r="A539" s="741"/>
      <c r="B539" s="741"/>
      <c r="C539" s="741"/>
      <c r="D539" s="741"/>
      <c r="E539" s="741"/>
      <c r="F539" s="741"/>
      <c r="G539" s="741"/>
      <c r="H539" s="741"/>
      <c r="I539" s="741"/>
      <c r="J539" s="741"/>
      <c r="K539" s="741"/>
      <c r="L539" s="741"/>
      <c r="M539" s="741"/>
      <c r="N539" s="741"/>
      <c r="O539" s="741"/>
      <c r="P539" s="741"/>
      <c r="Q539" s="741"/>
      <c r="R539" s="741"/>
      <c r="S539" s="741"/>
      <c r="T539" s="741"/>
      <c r="U539" s="741"/>
      <c r="V539" s="741"/>
      <c r="W539" s="741"/>
      <c r="X539" s="741"/>
      <c r="Y539" s="741"/>
      <c r="Z539" s="741"/>
      <c r="AA539" s="741"/>
      <c r="AB539" s="741"/>
      <c r="AC539" s="741"/>
      <c r="AD539" s="741"/>
      <c r="AE539" s="741"/>
      <c r="AF539" s="741"/>
      <c r="AG539" s="741"/>
      <c r="AH539" s="741"/>
      <c r="AI539" s="741"/>
      <c r="AJ539" s="741"/>
      <c r="AK539" s="741"/>
      <c r="AL539" s="741"/>
      <c r="AM539" s="741"/>
      <c r="AN539" s="741"/>
      <c r="AO539" s="741"/>
      <c r="AP539" s="741"/>
    </row>
    <row r="540" spans="1:42" ht="12.75" customHeight="1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1"/>
      <c r="P540" s="741"/>
      <c r="Q540" s="741"/>
      <c r="R540" s="741"/>
      <c r="S540" s="741"/>
      <c r="T540" s="741"/>
      <c r="U540" s="741"/>
      <c r="V540" s="741"/>
      <c r="W540" s="741"/>
      <c r="X540" s="741"/>
      <c r="Y540" s="741"/>
      <c r="Z540" s="741"/>
      <c r="AA540" s="741"/>
      <c r="AB540" s="741"/>
      <c r="AC540" s="741"/>
      <c r="AD540" s="741"/>
      <c r="AE540" s="741"/>
      <c r="AF540" s="741"/>
      <c r="AG540" s="741"/>
      <c r="AH540" s="741"/>
      <c r="AI540" s="741"/>
      <c r="AJ540" s="741"/>
      <c r="AK540" s="741"/>
      <c r="AL540" s="741"/>
      <c r="AM540" s="741"/>
      <c r="AN540" s="741"/>
      <c r="AO540" s="741"/>
      <c r="AP540" s="741"/>
    </row>
    <row r="541" spans="1:42" ht="12.75" customHeight="1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1"/>
      <c r="P541" s="741"/>
      <c r="Q541" s="741"/>
      <c r="R541" s="741"/>
      <c r="S541" s="741"/>
      <c r="T541" s="741"/>
      <c r="U541" s="741"/>
      <c r="V541" s="741"/>
      <c r="W541" s="741"/>
      <c r="X541" s="741"/>
      <c r="Y541" s="741"/>
      <c r="Z541" s="741"/>
      <c r="AA541" s="741"/>
      <c r="AB541" s="741"/>
      <c r="AC541" s="741"/>
      <c r="AD541" s="741"/>
      <c r="AE541" s="741"/>
      <c r="AF541" s="741"/>
      <c r="AG541" s="741"/>
      <c r="AH541" s="741"/>
      <c r="AI541" s="741"/>
      <c r="AJ541" s="741"/>
      <c r="AK541" s="741"/>
      <c r="AL541" s="741"/>
      <c r="AM541" s="741"/>
      <c r="AN541" s="741"/>
      <c r="AO541" s="741"/>
      <c r="AP541" s="741"/>
    </row>
    <row r="542" spans="1:42" ht="12.75" customHeight="1">
      <c r="A542" s="741"/>
      <c r="B542" s="741"/>
      <c r="C542" s="741"/>
      <c r="D542" s="741"/>
      <c r="E542" s="741"/>
      <c r="F542" s="741"/>
      <c r="G542" s="741"/>
      <c r="H542" s="741"/>
      <c r="I542" s="741"/>
      <c r="J542" s="741"/>
      <c r="K542" s="741"/>
      <c r="L542" s="741"/>
      <c r="M542" s="741"/>
      <c r="N542" s="741"/>
      <c r="O542" s="741"/>
      <c r="P542" s="741"/>
      <c r="Q542" s="741"/>
      <c r="R542" s="741"/>
      <c r="S542" s="741"/>
      <c r="T542" s="741"/>
      <c r="U542" s="741"/>
      <c r="V542" s="741"/>
      <c r="W542" s="741"/>
      <c r="X542" s="741"/>
      <c r="Y542" s="741"/>
      <c r="Z542" s="741"/>
      <c r="AA542" s="741"/>
      <c r="AB542" s="741"/>
      <c r="AC542" s="741"/>
      <c r="AD542" s="741"/>
      <c r="AE542" s="741"/>
      <c r="AF542" s="741"/>
      <c r="AG542" s="741"/>
      <c r="AH542" s="741"/>
      <c r="AI542" s="741"/>
      <c r="AJ542" s="741"/>
      <c r="AK542" s="741"/>
      <c r="AL542" s="741"/>
      <c r="AM542" s="741"/>
      <c r="AN542" s="741"/>
      <c r="AO542" s="741"/>
      <c r="AP542" s="741"/>
    </row>
    <row r="543" spans="1:42" ht="12.75" customHeight="1">
      <c r="A543" s="741"/>
      <c r="B543" s="741"/>
      <c r="C543" s="741"/>
      <c r="D543" s="741"/>
      <c r="E543" s="741"/>
      <c r="F543" s="741"/>
      <c r="G543" s="741"/>
      <c r="H543" s="741"/>
      <c r="I543" s="741"/>
      <c r="J543" s="741"/>
      <c r="K543" s="741"/>
      <c r="L543" s="741"/>
      <c r="M543" s="741"/>
      <c r="N543" s="741"/>
      <c r="O543" s="741"/>
      <c r="P543" s="741"/>
      <c r="Q543" s="741"/>
      <c r="R543" s="741"/>
      <c r="S543" s="741"/>
      <c r="T543" s="741"/>
      <c r="U543" s="741"/>
      <c r="V543" s="741"/>
      <c r="W543" s="741"/>
      <c r="X543" s="741"/>
      <c r="Y543" s="741"/>
      <c r="Z543" s="741"/>
      <c r="AA543" s="741"/>
      <c r="AB543" s="741"/>
      <c r="AC543" s="741"/>
      <c r="AD543" s="741"/>
      <c r="AE543" s="741"/>
      <c r="AF543" s="741"/>
      <c r="AG543" s="741"/>
      <c r="AH543" s="741"/>
      <c r="AI543" s="741"/>
      <c r="AJ543" s="741"/>
      <c r="AK543" s="741"/>
      <c r="AL543" s="741"/>
      <c r="AM543" s="741"/>
      <c r="AN543" s="741"/>
      <c r="AO543" s="741"/>
      <c r="AP543" s="741"/>
    </row>
    <row r="544" spans="1:42" ht="12.75" customHeight="1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1"/>
      <c r="P544" s="741"/>
      <c r="Q544" s="741"/>
      <c r="R544" s="741"/>
      <c r="S544" s="741"/>
      <c r="T544" s="741"/>
      <c r="U544" s="741"/>
      <c r="V544" s="741"/>
      <c r="W544" s="741"/>
      <c r="X544" s="741"/>
      <c r="Y544" s="741"/>
      <c r="Z544" s="741"/>
      <c r="AA544" s="741"/>
      <c r="AB544" s="741"/>
      <c r="AC544" s="741"/>
      <c r="AD544" s="741"/>
      <c r="AE544" s="741"/>
      <c r="AF544" s="741"/>
      <c r="AG544" s="741"/>
      <c r="AH544" s="741"/>
      <c r="AI544" s="741"/>
      <c r="AJ544" s="741"/>
      <c r="AK544" s="741"/>
      <c r="AL544" s="741"/>
      <c r="AM544" s="741"/>
      <c r="AN544" s="741"/>
      <c r="AO544" s="741"/>
      <c r="AP544" s="741"/>
    </row>
    <row r="545" spans="1:42" ht="12.75" customHeight="1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1"/>
      <c r="P545" s="741"/>
      <c r="Q545" s="741"/>
      <c r="R545" s="741"/>
      <c r="S545" s="741"/>
      <c r="T545" s="741"/>
      <c r="U545" s="741"/>
      <c r="V545" s="741"/>
      <c r="W545" s="741"/>
      <c r="X545" s="741"/>
      <c r="Y545" s="741"/>
      <c r="Z545" s="741"/>
      <c r="AA545" s="741"/>
      <c r="AB545" s="741"/>
      <c r="AC545" s="741"/>
      <c r="AD545" s="741"/>
      <c r="AE545" s="741"/>
      <c r="AF545" s="741"/>
      <c r="AG545" s="741"/>
      <c r="AH545" s="741"/>
      <c r="AI545" s="741"/>
      <c r="AJ545" s="741"/>
      <c r="AK545" s="741"/>
      <c r="AL545" s="741"/>
      <c r="AM545" s="741"/>
      <c r="AN545" s="741"/>
      <c r="AO545" s="741"/>
      <c r="AP545" s="741"/>
    </row>
    <row r="546" spans="1:42" ht="12.75" customHeight="1">
      <c r="A546" s="741"/>
      <c r="B546" s="741"/>
      <c r="C546" s="741"/>
      <c r="D546" s="741"/>
      <c r="E546" s="741"/>
      <c r="F546" s="741"/>
      <c r="G546" s="741"/>
      <c r="H546" s="741"/>
      <c r="I546" s="741"/>
      <c r="J546" s="741"/>
      <c r="K546" s="741"/>
      <c r="L546" s="741"/>
      <c r="M546" s="741"/>
      <c r="N546" s="741"/>
      <c r="O546" s="741"/>
      <c r="P546" s="741"/>
      <c r="Q546" s="741"/>
      <c r="R546" s="741"/>
      <c r="S546" s="741"/>
      <c r="T546" s="741"/>
      <c r="U546" s="741"/>
      <c r="V546" s="741"/>
      <c r="W546" s="741"/>
      <c r="X546" s="741"/>
      <c r="Y546" s="741"/>
      <c r="Z546" s="741"/>
      <c r="AA546" s="741"/>
      <c r="AB546" s="741"/>
      <c r="AC546" s="741"/>
      <c r="AD546" s="741"/>
      <c r="AE546" s="741"/>
      <c r="AF546" s="741"/>
      <c r="AG546" s="741"/>
      <c r="AH546" s="741"/>
      <c r="AI546" s="741"/>
      <c r="AJ546" s="741"/>
      <c r="AK546" s="741"/>
      <c r="AL546" s="741"/>
      <c r="AM546" s="741"/>
      <c r="AN546" s="741"/>
      <c r="AO546" s="741"/>
      <c r="AP546" s="741"/>
    </row>
    <row r="547" spans="1:42" ht="12.75" customHeight="1">
      <c r="A547" s="741"/>
      <c r="B547" s="741"/>
      <c r="C547" s="741"/>
      <c r="D547" s="741"/>
      <c r="E547" s="741"/>
      <c r="F547" s="741"/>
      <c r="G547" s="741"/>
      <c r="H547" s="741"/>
      <c r="I547" s="741"/>
      <c r="J547" s="741"/>
      <c r="K547" s="741"/>
      <c r="L547" s="741"/>
      <c r="M547" s="741"/>
      <c r="N547" s="741"/>
      <c r="O547" s="741"/>
      <c r="P547" s="741"/>
      <c r="Q547" s="741"/>
      <c r="R547" s="741"/>
      <c r="S547" s="741"/>
      <c r="T547" s="741"/>
      <c r="U547" s="741"/>
      <c r="V547" s="741"/>
      <c r="W547" s="741"/>
      <c r="X547" s="741"/>
      <c r="Y547" s="741"/>
      <c r="Z547" s="741"/>
      <c r="AA547" s="741"/>
      <c r="AB547" s="741"/>
      <c r="AC547" s="741"/>
      <c r="AD547" s="741"/>
      <c r="AE547" s="741"/>
      <c r="AF547" s="741"/>
      <c r="AG547" s="741"/>
      <c r="AH547" s="741"/>
      <c r="AI547" s="741"/>
      <c r="AJ547" s="741"/>
      <c r="AK547" s="741"/>
      <c r="AL547" s="741"/>
      <c r="AM547" s="741"/>
      <c r="AN547" s="741"/>
      <c r="AO547" s="741"/>
      <c r="AP547" s="741"/>
    </row>
    <row r="548" spans="1:42" ht="12.75" customHeight="1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1"/>
      <c r="P548" s="741"/>
      <c r="Q548" s="741"/>
      <c r="R548" s="741"/>
      <c r="S548" s="741"/>
      <c r="T548" s="741"/>
      <c r="U548" s="741"/>
      <c r="V548" s="741"/>
      <c r="W548" s="741"/>
      <c r="X548" s="741"/>
      <c r="Y548" s="741"/>
      <c r="Z548" s="741"/>
      <c r="AA548" s="741"/>
      <c r="AB548" s="741"/>
      <c r="AC548" s="741"/>
      <c r="AD548" s="741"/>
      <c r="AE548" s="741"/>
      <c r="AF548" s="741"/>
      <c r="AG548" s="741"/>
      <c r="AH548" s="741"/>
      <c r="AI548" s="741"/>
      <c r="AJ548" s="741"/>
      <c r="AK548" s="741"/>
      <c r="AL548" s="741"/>
      <c r="AM548" s="741"/>
      <c r="AN548" s="741"/>
      <c r="AO548" s="741"/>
      <c r="AP548" s="741"/>
    </row>
    <row r="549" spans="1:42" ht="12.75" customHeight="1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1"/>
      <c r="P549" s="741"/>
      <c r="Q549" s="741"/>
      <c r="R549" s="741"/>
      <c r="S549" s="741"/>
      <c r="T549" s="741"/>
      <c r="U549" s="741"/>
      <c r="V549" s="741"/>
      <c r="W549" s="741"/>
      <c r="X549" s="741"/>
      <c r="Y549" s="741"/>
      <c r="Z549" s="741"/>
      <c r="AA549" s="741"/>
      <c r="AB549" s="741"/>
      <c r="AC549" s="741"/>
      <c r="AD549" s="741"/>
      <c r="AE549" s="741"/>
      <c r="AF549" s="741"/>
      <c r="AG549" s="741"/>
      <c r="AH549" s="741"/>
      <c r="AI549" s="741"/>
      <c r="AJ549" s="741"/>
      <c r="AK549" s="741"/>
      <c r="AL549" s="741"/>
      <c r="AM549" s="741"/>
      <c r="AN549" s="741"/>
      <c r="AO549" s="741"/>
      <c r="AP549" s="741"/>
    </row>
    <row r="550" spans="1:42" ht="12.75" customHeight="1">
      <c r="A550" s="741"/>
      <c r="B550" s="741"/>
      <c r="C550" s="741"/>
      <c r="D550" s="741"/>
      <c r="E550" s="741"/>
      <c r="F550" s="741"/>
      <c r="G550" s="741"/>
      <c r="H550" s="741"/>
      <c r="I550" s="741"/>
      <c r="J550" s="741"/>
      <c r="K550" s="741"/>
      <c r="L550" s="741"/>
      <c r="M550" s="741"/>
      <c r="N550" s="741"/>
      <c r="O550" s="741"/>
      <c r="P550" s="741"/>
      <c r="Q550" s="741"/>
      <c r="R550" s="741"/>
      <c r="S550" s="741"/>
      <c r="T550" s="741"/>
      <c r="U550" s="741"/>
      <c r="V550" s="741"/>
      <c r="W550" s="741"/>
      <c r="X550" s="741"/>
      <c r="Y550" s="741"/>
      <c r="Z550" s="741"/>
      <c r="AA550" s="741"/>
      <c r="AB550" s="741"/>
      <c r="AC550" s="741"/>
      <c r="AD550" s="741"/>
      <c r="AE550" s="741"/>
      <c r="AF550" s="741"/>
      <c r="AG550" s="741"/>
      <c r="AH550" s="741"/>
      <c r="AI550" s="741"/>
      <c r="AJ550" s="741"/>
      <c r="AK550" s="741"/>
      <c r="AL550" s="741"/>
      <c r="AM550" s="741"/>
      <c r="AN550" s="741"/>
      <c r="AO550" s="741"/>
      <c r="AP550" s="741"/>
    </row>
    <row r="551" spans="1:42" ht="12.75" customHeight="1">
      <c r="A551" s="741"/>
      <c r="B551" s="741"/>
      <c r="C551" s="741"/>
      <c r="D551" s="741"/>
      <c r="E551" s="741"/>
      <c r="F551" s="741"/>
      <c r="G551" s="741"/>
      <c r="H551" s="741"/>
      <c r="I551" s="741"/>
      <c r="J551" s="741"/>
      <c r="K551" s="741"/>
      <c r="L551" s="741"/>
      <c r="M551" s="741"/>
      <c r="N551" s="741"/>
      <c r="O551" s="741"/>
      <c r="P551" s="741"/>
      <c r="Q551" s="741"/>
      <c r="R551" s="741"/>
      <c r="S551" s="741"/>
      <c r="T551" s="741"/>
      <c r="U551" s="741"/>
      <c r="V551" s="741"/>
      <c r="W551" s="741"/>
      <c r="X551" s="741"/>
      <c r="Y551" s="741"/>
      <c r="Z551" s="741"/>
      <c r="AA551" s="741"/>
      <c r="AB551" s="741"/>
      <c r="AC551" s="741"/>
      <c r="AD551" s="741"/>
      <c r="AE551" s="741"/>
      <c r="AF551" s="741"/>
      <c r="AG551" s="741"/>
      <c r="AH551" s="741"/>
      <c r="AI551" s="741"/>
      <c r="AJ551" s="741"/>
      <c r="AK551" s="741"/>
      <c r="AL551" s="741"/>
      <c r="AM551" s="741"/>
      <c r="AN551" s="741"/>
      <c r="AO551" s="741"/>
      <c r="AP551" s="741"/>
    </row>
    <row r="552" spans="1:42" ht="12.75" customHeight="1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1"/>
      <c r="P552" s="741"/>
      <c r="Q552" s="741"/>
      <c r="R552" s="741"/>
      <c r="S552" s="741"/>
      <c r="T552" s="741"/>
      <c r="U552" s="741"/>
      <c r="V552" s="741"/>
      <c r="W552" s="741"/>
      <c r="X552" s="741"/>
      <c r="Y552" s="741"/>
      <c r="Z552" s="741"/>
      <c r="AA552" s="741"/>
      <c r="AB552" s="741"/>
      <c r="AC552" s="741"/>
      <c r="AD552" s="741"/>
      <c r="AE552" s="741"/>
      <c r="AF552" s="741"/>
      <c r="AG552" s="741"/>
      <c r="AH552" s="741"/>
      <c r="AI552" s="741"/>
      <c r="AJ552" s="741"/>
      <c r="AK552" s="741"/>
      <c r="AL552" s="741"/>
      <c r="AM552" s="741"/>
      <c r="AN552" s="741"/>
      <c r="AO552" s="741"/>
      <c r="AP552" s="741"/>
    </row>
    <row r="553" spans="1:42" ht="12.75" customHeight="1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1"/>
      <c r="P553" s="741"/>
      <c r="Q553" s="741"/>
      <c r="R553" s="741"/>
      <c r="S553" s="741"/>
      <c r="T553" s="741"/>
      <c r="U553" s="741"/>
      <c r="V553" s="741"/>
      <c r="W553" s="741"/>
      <c r="X553" s="741"/>
      <c r="Y553" s="741"/>
      <c r="Z553" s="741"/>
      <c r="AA553" s="741"/>
      <c r="AB553" s="741"/>
      <c r="AC553" s="741"/>
      <c r="AD553" s="741"/>
      <c r="AE553" s="741"/>
      <c r="AF553" s="741"/>
      <c r="AG553" s="741"/>
      <c r="AH553" s="741"/>
      <c r="AI553" s="741"/>
      <c r="AJ553" s="741"/>
      <c r="AK553" s="741"/>
      <c r="AL553" s="741"/>
      <c r="AM553" s="741"/>
      <c r="AN553" s="741"/>
      <c r="AO553" s="741"/>
      <c r="AP553" s="741"/>
    </row>
    <row r="554" spans="1:42" ht="12.75" customHeight="1">
      <c r="A554" s="741"/>
      <c r="B554" s="741"/>
      <c r="C554" s="741"/>
      <c r="D554" s="741"/>
      <c r="E554" s="741"/>
      <c r="F554" s="741"/>
      <c r="G554" s="741"/>
      <c r="H554" s="741"/>
      <c r="I554" s="741"/>
      <c r="J554" s="741"/>
      <c r="K554" s="741"/>
      <c r="L554" s="741"/>
      <c r="M554" s="741"/>
      <c r="N554" s="741"/>
      <c r="O554" s="741"/>
      <c r="P554" s="741"/>
      <c r="Q554" s="741"/>
      <c r="R554" s="741"/>
      <c r="S554" s="741"/>
      <c r="T554" s="741"/>
      <c r="U554" s="741"/>
      <c r="V554" s="741"/>
      <c r="W554" s="741"/>
      <c r="X554" s="741"/>
      <c r="Y554" s="741"/>
      <c r="Z554" s="741"/>
      <c r="AA554" s="741"/>
      <c r="AB554" s="741"/>
      <c r="AC554" s="741"/>
      <c r="AD554" s="741"/>
      <c r="AE554" s="741"/>
      <c r="AF554" s="741"/>
      <c r="AG554" s="741"/>
      <c r="AH554" s="741"/>
      <c r="AI554" s="741"/>
      <c r="AJ554" s="741"/>
      <c r="AK554" s="741"/>
      <c r="AL554" s="741"/>
      <c r="AM554" s="741"/>
      <c r="AN554" s="741"/>
      <c r="AO554" s="741"/>
      <c r="AP554" s="741"/>
    </row>
    <row r="555" spans="1:42" ht="12.75" customHeight="1">
      <c r="A555" s="741"/>
      <c r="B555" s="741"/>
      <c r="C555" s="741"/>
      <c r="D555" s="741"/>
      <c r="E555" s="741"/>
      <c r="F555" s="741"/>
      <c r="G555" s="741"/>
      <c r="H555" s="741"/>
      <c r="I555" s="741"/>
      <c r="J555" s="741"/>
      <c r="K555" s="741"/>
      <c r="L555" s="741"/>
      <c r="M555" s="741"/>
      <c r="N555" s="741"/>
      <c r="O555" s="741"/>
      <c r="P555" s="741"/>
      <c r="Q555" s="741"/>
      <c r="R555" s="741"/>
      <c r="S555" s="741"/>
      <c r="T555" s="741"/>
      <c r="U555" s="741"/>
      <c r="V555" s="741"/>
      <c r="W555" s="741"/>
      <c r="X555" s="741"/>
      <c r="Y555" s="741"/>
      <c r="Z555" s="741"/>
      <c r="AA555" s="741"/>
      <c r="AB555" s="741"/>
      <c r="AC555" s="741"/>
      <c r="AD555" s="741"/>
      <c r="AE555" s="741"/>
      <c r="AF555" s="741"/>
      <c r="AG555" s="741"/>
      <c r="AH555" s="741"/>
      <c r="AI555" s="741"/>
      <c r="AJ555" s="741"/>
      <c r="AK555" s="741"/>
      <c r="AL555" s="741"/>
      <c r="AM555" s="741"/>
      <c r="AN555" s="741"/>
      <c r="AO555" s="741"/>
      <c r="AP555" s="741"/>
    </row>
    <row r="556" spans="1:42" ht="12.75" customHeight="1">
      <c r="A556" s="741"/>
      <c r="B556" s="741"/>
      <c r="C556" s="741"/>
      <c r="D556" s="741"/>
      <c r="E556" s="741"/>
      <c r="F556" s="741"/>
      <c r="G556" s="741"/>
      <c r="H556" s="741"/>
      <c r="I556" s="741"/>
      <c r="J556" s="741"/>
      <c r="K556" s="741"/>
      <c r="L556" s="741"/>
      <c r="M556" s="741"/>
      <c r="N556" s="741"/>
      <c r="O556" s="741"/>
      <c r="P556" s="741"/>
      <c r="Q556" s="741"/>
      <c r="R556" s="741"/>
      <c r="S556" s="741"/>
      <c r="T556" s="741"/>
      <c r="U556" s="741"/>
      <c r="V556" s="741"/>
      <c r="W556" s="741"/>
      <c r="X556" s="741"/>
      <c r="Y556" s="741"/>
      <c r="Z556" s="741"/>
      <c r="AA556" s="741"/>
      <c r="AB556" s="741"/>
      <c r="AC556" s="741"/>
      <c r="AD556" s="741"/>
      <c r="AE556" s="741"/>
      <c r="AF556" s="741"/>
      <c r="AG556" s="741"/>
      <c r="AH556" s="741"/>
      <c r="AI556" s="741"/>
      <c r="AJ556" s="741"/>
      <c r="AK556" s="741"/>
      <c r="AL556" s="741"/>
      <c r="AM556" s="741"/>
      <c r="AN556" s="741"/>
      <c r="AO556" s="741"/>
      <c r="AP556" s="741"/>
    </row>
    <row r="557" spans="1:42" ht="12.75" customHeight="1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1"/>
      <c r="P557" s="741"/>
      <c r="Q557" s="741"/>
      <c r="R557" s="741"/>
      <c r="S557" s="741"/>
      <c r="T557" s="741"/>
      <c r="U557" s="741"/>
      <c r="V557" s="741"/>
      <c r="W557" s="741"/>
      <c r="X557" s="741"/>
      <c r="Y557" s="741"/>
      <c r="Z557" s="741"/>
      <c r="AA557" s="741"/>
      <c r="AB557" s="741"/>
      <c r="AC557" s="741"/>
      <c r="AD557" s="741"/>
      <c r="AE557" s="741"/>
      <c r="AF557" s="741"/>
      <c r="AG557" s="741"/>
      <c r="AH557" s="741"/>
      <c r="AI557" s="741"/>
      <c r="AJ557" s="741"/>
      <c r="AK557" s="741"/>
      <c r="AL557" s="741"/>
      <c r="AM557" s="741"/>
      <c r="AN557" s="741"/>
      <c r="AO557" s="741"/>
      <c r="AP557" s="741"/>
    </row>
    <row r="558" spans="1:42" ht="12.75" customHeight="1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1"/>
      <c r="P558" s="741"/>
      <c r="Q558" s="741"/>
      <c r="R558" s="741"/>
      <c r="S558" s="741"/>
      <c r="T558" s="741"/>
      <c r="U558" s="741"/>
      <c r="V558" s="741"/>
      <c r="W558" s="741"/>
      <c r="X558" s="741"/>
      <c r="Y558" s="741"/>
      <c r="Z558" s="741"/>
      <c r="AA558" s="741"/>
      <c r="AB558" s="741"/>
      <c r="AC558" s="741"/>
      <c r="AD558" s="741"/>
      <c r="AE558" s="741"/>
      <c r="AF558" s="741"/>
      <c r="AG558" s="741"/>
      <c r="AH558" s="741"/>
      <c r="AI558" s="741"/>
      <c r="AJ558" s="741"/>
      <c r="AK558" s="741"/>
      <c r="AL558" s="741"/>
      <c r="AM558" s="741"/>
      <c r="AN558" s="741"/>
      <c r="AO558" s="741"/>
      <c r="AP558" s="741"/>
    </row>
    <row r="559" spans="1:42" ht="12.75" customHeight="1">
      <c r="A559" s="741"/>
      <c r="B559" s="741"/>
      <c r="C559" s="741"/>
      <c r="D559" s="741"/>
      <c r="E559" s="741"/>
      <c r="F559" s="741"/>
      <c r="G559" s="741"/>
      <c r="H559" s="741"/>
      <c r="I559" s="741"/>
      <c r="J559" s="741"/>
      <c r="K559" s="741"/>
      <c r="L559" s="741"/>
      <c r="M559" s="741"/>
      <c r="N559" s="741"/>
      <c r="O559" s="741"/>
      <c r="P559" s="741"/>
      <c r="Q559" s="741"/>
      <c r="R559" s="741"/>
      <c r="S559" s="741"/>
      <c r="T559" s="741"/>
      <c r="U559" s="741"/>
      <c r="V559" s="741"/>
      <c r="W559" s="741"/>
      <c r="X559" s="741"/>
      <c r="Y559" s="741"/>
      <c r="Z559" s="741"/>
      <c r="AA559" s="741"/>
      <c r="AB559" s="741"/>
      <c r="AC559" s="741"/>
      <c r="AD559" s="741"/>
      <c r="AE559" s="741"/>
      <c r="AF559" s="741"/>
      <c r="AG559" s="741"/>
      <c r="AH559" s="741"/>
      <c r="AI559" s="741"/>
      <c r="AJ559" s="741"/>
      <c r="AK559" s="741"/>
      <c r="AL559" s="741"/>
      <c r="AM559" s="741"/>
      <c r="AN559" s="741"/>
      <c r="AO559" s="741"/>
      <c r="AP559" s="741"/>
    </row>
    <row r="560" spans="1:42" ht="12.75" customHeight="1">
      <c r="A560" s="741"/>
      <c r="B560" s="741"/>
      <c r="C560" s="741"/>
      <c r="D560" s="741"/>
      <c r="E560" s="741"/>
      <c r="F560" s="741"/>
      <c r="G560" s="741"/>
      <c r="H560" s="741"/>
      <c r="I560" s="741"/>
      <c r="J560" s="741"/>
      <c r="K560" s="741"/>
      <c r="L560" s="741"/>
      <c r="M560" s="741"/>
      <c r="N560" s="741"/>
      <c r="O560" s="741"/>
      <c r="P560" s="741"/>
      <c r="Q560" s="741"/>
      <c r="R560" s="741"/>
      <c r="S560" s="741"/>
      <c r="T560" s="741"/>
      <c r="U560" s="741"/>
      <c r="V560" s="741"/>
      <c r="W560" s="741"/>
      <c r="X560" s="741"/>
      <c r="Y560" s="741"/>
      <c r="Z560" s="741"/>
      <c r="AA560" s="741"/>
      <c r="AB560" s="741"/>
      <c r="AC560" s="741"/>
      <c r="AD560" s="741"/>
      <c r="AE560" s="741"/>
      <c r="AF560" s="741"/>
      <c r="AG560" s="741"/>
      <c r="AH560" s="741"/>
      <c r="AI560" s="741"/>
      <c r="AJ560" s="741"/>
      <c r="AK560" s="741"/>
      <c r="AL560" s="741"/>
      <c r="AM560" s="741"/>
      <c r="AN560" s="741"/>
      <c r="AO560" s="741"/>
      <c r="AP560" s="741"/>
    </row>
    <row r="561" spans="1:42" ht="12.75" customHeight="1">
      <c r="A561" s="741"/>
      <c r="B561" s="741"/>
      <c r="C561" s="741"/>
      <c r="D561" s="741"/>
      <c r="E561" s="741"/>
      <c r="F561" s="741"/>
      <c r="G561" s="741"/>
      <c r="H561" s="741"/>
      <c r="I561" s="741"/>
      <c r="J561" s="741"/>
      <c r="K561" s="741"/>
      <c r="L561" s="741"/>
      <c r="M561" s="741"/>
      <c r="N561" s="741"/>
      <c r="O561" s="741"/>
      <c r="P561" s="741"/>
      <c r="Q561" s="741"/>
      <c r="R561" s="741"/>
      <c r="S561" s="741"/>
      <c r="T561" s="741"/>
      <c r="U561" s="741"/>
      <c r="V561" s="741"/>
      <c r="W561" s="741"/>
      <c r="X561" s="741"/>
      <c r="Y561" s="741"/>
      <c r="Z561" s="741"/>
      <c r="AA561" s="741"/>
      <c r="AB561" s="741"/>
      <c r="AC561" s="741"/>
      <c r="AD561" s="741"/>
      <c r="AE561" s="741"/>
      <c r="AF561" s="741"/>
      <c r="AG561" s="741"/>
      <c r="AH561" s="741"/>
      <c r="AI561" s="741"/>
      <c r="AJ561" s="741"/>
      <c r="AK561" s="741"/>
      <c r="AL561" s="741"/>
      <c r="AM561" s="741"/>
      <c r="AN561" s="741"/>
      <c r="AO561" s="741"/>
      <c r="AP561" s="741"/>
    </row>
    <row r="562" spans="1:42" ht="12.75" customHeight="1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1"/>
      <c r="P562" s="741"/>
      <c r="Q562" s="741"/>
      <c r="R562" s="741"/>
      <c r="S562" s="741"/>
      <c r="T562" s="741"/>
      <c r="U562" s="741"/>
      <c r="V562" s="741"/>
      <c r="W562" s="741"/>
      <c r="X562" s="741"/>
      <c r="Y562" s="741"/>
      <c r="Z562" s="741"/>
      <c r="AA562" s="741"/>
      <c r="AB562" s="741"/>
      <c r="AC562" s="741"/>
      <c r="AD562" s="741"/>
      <c r="AE562" s="741"/>
      <c r="AF562" s="741"/>
      <c r="AG562" s="741"/>
      <c r="AH562" s="741"/>
      <c r="AI562" s="741"/>
      <c r="AJ562" s="741"/>
      <c r="AK562" s="741"/>
      <c r="AL562" s="741"/>
      <c r="AM562" s="741"/>
      <c r="AN562" s="741"/>
      <c r="AO562" s="741"/>
      <c r="AP562" s="741"/>
    </row>
    <row r="563" spans="1:42" ht="12.75" customHeight="1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1"/>
      <c r="P563" s="741"/>
      <c r="Q563" s="741"/>
      <c r="R563" s="741"/>
      <c r="S563" s="741"/>
      <c r="T563" s="741"/>
      <c r="U563" s="741"/>
      <c r="V563" s="741"/>
      <c r="W563" s="741"/>
      <c r="X563" s="741"/>
      <c r="Y563" s="741"/>
      <c r="Z563" s="741"/>
      <c r="AA563" s="741"/>
      <c r="AB563" s="741"/>
      <c r="AC563" s="741"/>
      <c r="AD563" s="741"/>
      <c r="AE563" s="741"/>
      <c r="AF563" s="741"/>
      <c r="AG563" s="741"/>
      <c r="AH563" s="741"/>
      <c r="AI563" s="741"/>
      <c r="AJ563" s="741"/>
      <c r="AK563" s="741"/>
      <c r="AL563" s="741"/>
      <c r="AM563" s="741"/>
      <c r="AN563" s="741"/>
      <c r="AO563" s="741"/>
      <c r="AP563" s="741"/>
    </row>
    <row r="564" spans="1:42" ht="12.75" customHeight="1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741"/>
      <c r="P564" s="741"/>
      <c r="Q564" s="741"/>
      <c r="R564" s="741"/>
      <c r="S564" s="741"/>
      <c r="T564" s="741"/>
      <c r="U564" s="741"/>
      <c r="V564" s="741"/>
      <c r="W564" s="741"/>
      <c r="X564" s="741"/>
      <c r="Y564" s="741"/>
      <c r="Z564" s="741"/>
      <c r="AA564" s="741"/>
      <c r="AB564" s="741"/>
      <c r="AC564" s="741"/>
      <c r="AD564" s="741"/>
      <c r="AE564" s="741"/>
      <c r="AF564" s="741"/>
      <c r="AG564" s="741"/>
      <c r="AH564" s="741"/>
      <c r="AI564" s="741"/>
      <c r="AJ564" s="741"/>
      <c r="AK564" s="741"/>
      <c r="AL564" s="741"/>
      <c r="AM564" s="741"/>
      <c r="AN564" s="741"/>
      <c r="AO564" s="741"/>
      <c r="AP564" s="741"/>
    </row>
    <row r="565" spans="1:42" ht="12.75" customHeight="1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741"/>
      <c r="P565" s="741"/>
      <c r="Q565" s="741"/>
      <c r="R565" s="741"/>
      <c r="S565" s="741"/>
      <c r="T565" s="741"/>
      <c r="U565" s="741"/>
      <c r="V565" s="741"/>
      <c r="W565" s="741"/>
      <c r="X565" s="741"/>
      <c r="Y565" s="741"/>
      <c r="Z565" s="741"/>
      <c r="AA565" s="741"/>
      <c r="AB565" s="741"/>
      <c r="AC565" s="741"/>
      <c r="AD565" s="741"/>
      <c r="AE565" s="741"/>
      <c r="AF565" s="741"/>
      <c r="AG565" s="741"/>
      <c r="AH565" s="741"/>
      <c r="AI565" s="741"/>
      <c r="AJ565" s="741"/>
      <c r="AK565" s="741"/>
      <c r="AL565" s="741"/>
      <c r="AM565" s="741"/>
      <c r="AN565" s="741"/>
      <c r="AO565" s="741"/>
      <c r="AP565" s="741"/>
    </row>
    <row r="566" spans="1:42" ht="12.75" customHeight="1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741"/>
      <c r="P566" s="741"/>
      <c r="Q566" s="741"/>
      <c r="R566" s="741"/>
      <c r="S566" s="741"/>
      <c r="T566" s="741"/>
      <c r="U566" s="741"/>
      <c r="V566" s="741"/>
      <c r="W566" s="741"/>
      <c r="X566" s="741"/>
      <c r="Y566" s="741"/>
      <c r="Z566" s="741"/>
      <c r="AA566" s="741"/>
      <c r="AB566" s="741"/>
      <c r="AC566" s="741"/>
      <c r="AD566" s="741"/>
      <c r="AE566" s="741"/>
      <c r="AF566" s="741"/>
      <c r="AG566" s="741"/>
      <c r="AH566" s="741"/>
      <c r="AI566" s="741"/>
      <c r="AJ566" s="741"/>
      <c r="AK566" s="741"/>
      <c r="AL566" s="741"/>
      <c r="AM566" s="741"/>
      <c r="AN566" s="741"/>
      <c r="AO566" s="741"/>
      <c r="AP566" s="741"/>
    </row>
    <row r="567" spans="1:42" ht="12.75" customHeight="1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741"/>
      <c r="P567" s="741"/>
      <c r="Q567" s="741"/>
      <c r="R567" s="741"/>
      <c r="S567" s="741"/>
      <c r="T567" s="741"/>
      <c r="U567" s="741"/>
      <c r="V567" s="741"/>
      <c r="W567" s="741"/>
      <c r="X567" s="741"/>
      <c r="Y567" s="741"/>
      <c r="Z567" s="741"/>
      <c r="AA567" s="741"/>
      <c r="AB567" s="741"/>
      <c r="AC567" s="741"/>
      <c r="AD567" s="741"/>
      <c r="AE567" s="741"/>
      <c r="AF567" s="741"/>
      <c r="AG567" s="741"/>
      <c r="AH567" s="741"/>
      <c r="AI567" s="741"/>
      <c r="AJ567" s="741"/>
      <c r="AK567" s="741"/>
      <c r="AL567" s="741"/>
      <c r="AM567" s="741"/>
      <c r="AN567" s="741"/>
      <c r="AO567" s="741"/>
      <c r="AP567" s="741"/>
    </row>
    <row r="568" spans="1:42" ht="12.75" customHeight="1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741"/>
      <c r="P568" s="741"/>
      <c r="Q568" s="741"/>
      <c r="R568" s="741"/>
      <c r="S568" s="741"/>
      <c r="T568" s="741"/>
      <c r="U568" s="741"/>
      <c r="V568" s="741"/>
      <c r="W568" s="741"/>
      <c r="X568" s="741"/>
      <c r="Y568" s="741"/>
      <c r="Z568" s="741"/>
      <c r="AA568" s="741"/>
      <c r="AB568" s="741"/>
      <c r="AC568" s="741"/>
      <c r="AD568" s="741"/>
      <c r="AE568" s="741"/>
      <c r="AF568" s="741"/>
      <c r="AG568" s="741"/>
      <c r="AH568" s="741"/>
      <c r="AI568" s="741"/>
      <c r="AJ568" s="741"/>
      <c r="AK568" s="741"/>
      <c r="AL568" s="741"/>
      <c r="AM568" s="741"/>
      <c r="AN568" s="741"/>
      <c r="AO568" s="741"/>
      <c r="AP568" s="741"/>
    </row>
    <row r="569" spans="1:42" ht="12.75" customHeight="1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741"/>
      <c r="P569" s="741"/>
      <c r="Q569" s="741"/>
      <c r="R569" s="741"/>
      <c r="S569" s="741"/>
      <c r="T569" s="741"/>
      <c r="U569" s="741"/>
      <c r="V569" s="741"/>
      <c r="W569" s="741"/>
      <c r="X569" s="741"/>
      <c r="Y569" s="741"/>
      <c r="Z569" s="741"/>
      <c r="AA569" s="741"/>
      <c r="AB569" s="741"/>
      <c r="AC569" s="741"/>
      <c r="AD569" s="741"/>
      <c r="AE569" s="741"/>
      <c r="AF569" s="741"/>
      <c r="AG569" s="741"/>
      <c r="AH569" s="741"/>
      <c r="AI569" s="741"/>
      <c r="AJ569" s="741"/>
      <c r="AK569" s="741"/>
      <c r="AL569" s="741"/>
      <c r="AM569" s="741"/>
      <c r="AN569" s="741"/>
      <c r="AO569" s="741"/>
      <c r="AP569" s="741"/>
    </row>
    <row r="570" spans="1:42" ht="12.75" customHeight="1">
      <c r="A570" s="741"/>
      <c r="B570" s="741"/>
      <c r="C570" s="741"/>
      <c r="D570" s="741"/>
      <c r="E570" s="741"/>
      <c r="F570" s="741"/>
      <c r="G570" s="741"/>
      <c r="H570" s="741"/>
      <c r="I570" s="741"/>
      <c r="J570" s="741"/>
      <c r="K570" s="741"/>
      <c r="L570" s="741"/>
      <c r="M570" s="741"/>
      <c r="N570" s="741"/>
      <c r="O570" s="741"/>
      <c r="P570" s="741"/>
      <c r="Q570" s="741"/>
      <c r="R570" s="741"/>
      <c r="S570" s="741"/>
      <c r="T570" s="741"/>
      <c r="U570" s="741"/>
      <c r="V570" s="741"/>
      <c r="W570" s="741"/>
      <c r="X570" s="741"/>
      <c r="Y570" s="741"/>
      <c r="Z570" s="741"/>
      <c r="AA570" s="741"/>
      <c r="AB570" s="741"/>
      <c r="AC570" s="741"/>
      <c r="AD570" s="741"/>
      <c r="AE570" s="741"/>
      <c r="AF570" s="741"/>
      <c r="AG570" s="741"/>
      <c r="AH570" s="741"/>
      <c r="AI570" s="741"/>
      <c r="AJ570" s="741"/>
      <c r="AK570" s="741"/>
      <c r="AL570" s="741"/>
      <c r="AM570" s="741"/>
      <c r="AN570" s="741"/>
      <c r="AO570" s="741"/>
      <c r="AP570" s="741"/>
    </row>
    <row r="571" spans="1:42" ht="12.75" customHeight="1">
      <c r="A571" s="741"/>
      <c r="B571" s="741"/>
      <c r="C571" s="741"/>
      <c r="D571" s="741"/>
      <c r="E571" s="741"/>
      <c r="F571" s="741"/>
      <c r="G571" s="741"/>
      <c r="H571" s="741"/>
      <c r="I571" s="741"/>
      <c r="J571" s="741"/>
      <c r="K571" s="741"/>
      <c r="L571" s="741"/>
      <c r="M571" s="741"/>
      <c r="N571" s="741"/>
      <c r="O571" s="741"/>
      <c r="P571" s="741"/>
      <c r="Q571" s="741"/>
      <c r="R571" s="741"/>
      <c r="S571" s="741"/>
      <c r="T571" s="741"/>
      <c r="U571" s="741"/>
      <c r="V571" s="741"/>
      <c r="W571" s="741"/>
      <c r="X571" s="741"/>
      <c r="Y571" s="741"/>
      <c r="Z571" s="741"/>
      <c r="AA571" s="741"/>
      <c r="AB571" s="741"/>
      <c r="AC571" s="741"/>
      <c r="AD571" s="741"/>
      <c r="AE571" s="741"/>
      <c r="AF571" s="741"/>
      <c r="AG571" s="741"/>
      <c r="AH571" s="741"/>
      <c r="AI571" s="741"/>
      <c r="AJ571" s="741"/>
      <c r="AK571" s="741"/>
      <c r="AL571" s="741"/>
      <c r="AM571" s="741"/>
      <c r="AN571" s="741"/>
      <c r="AO571" s="741"/>
      <c r="AP571" s="741"/>
    </row>
    <row r="572" spans="1:42" ht="12.75" customHeight="1">
      <c r="A572" s="741"/>
      <c r="B572" s="741"/>
      <c r="C572" s="741"/>
      <c r="D572" s="741"/>
      <c r="E572" s="741"/>
      <c r="F572" s="741"/>
      <c r="G572" s="741"/>
      <c r="H572" s="741"/>
      <c r="I572" s="741"/>
      <c r="J572" s="741"/>
      <c r="K572" s="741"/>
      <c r="L572" s="741"/>
      <c r="M572" s="741"/>
      <c r="N572" s="741"/>
      <c r="O572" s="741"/>
      <c r="P572" s="741"/>
      <c r="Q572" s="741"/>
      <c r="R572" s="741"/>
      <c r="S572" s="741"/>
      <c r="T572" s="741"/>
      <c r="U572" s="741"/>
      <c r="V572" s="741"/>
      <c r="W572" s="741"/>
      <c r="X572" s="741"/>
      <c r="Y572" s="741"/>
      <c r="Z572" s="741"/>
      <c r="AA572" s="741"/>
      <c r="AB572" s="741"/>
      <c r="AC572" s="741"/>
      <c r="AD572" s="741"/>
      <c r="AE572" s="741"/>
      <c r="AF572" s="741"/>
      <c r="AG572" s="741"/>
      <c r="AH572" s="741"/>
      <c r="AI572" s="741"/>
      <c r="AJ572" s="741"/>
      <c r="AK572" s="741"/>
      <c r="AL572" s="741"/>
      <c r="AM572" s="741"/>
      <c r="AN572" s="741"/>
      <c r="AO572" s="741"/>
      <c r="AP572" s="741"/>
    </row>
    <row r="573" spans="1:42" ht="12.75" customHeight="1">
      <c r="A573" s="741"/>
      <c r="B573" s="741"/>
      <c r="C573" s="741"/>
      <c r="D573" s="741"/>
      <c r="E573" s="741"/>
      <c r="F573" s="741"/>
      <c r="G573" s="741"/>
      <c r="H573" s="741"/>
      <c r="I573" s="741"/>
      <c r="J573" s="741"/>
      <c r="K573" s="741"/>
      <c r="L573" s="741"/>
      <c r="M573" s="741"/>
      <c r="N573" s="741"/>
      <c r="O573" s="741"/>
      <c r="P573" s="741"/>
      <c r="Q573" s="741"/>
      <c r="R573" s="741"/>
      <c r="S573" s="741"/>
      <c r="T573" s="741"/>
      <c r="U573" s="741"/>
      <c r="V573" s="741"/>
      <c r="W573" s="741"/>
      <c r="X573" s="741"/>
      <c r="Y573" s="741"/>
      <c r="Z573" s="741"/>
      <c r="AA573" s="741"/>
      <c r="AB573" s="741"/>
      <c r="AC573" s="741"/>
      <c r="AD573" s="741"/>
      <c r="AE573" s="741"/>
      <c r="AF573" s="741"/>
      <c r="AG573" s="741"/>
      <c r="AH573" s="741"/>
      <c r="AI573" s="741"/>
      <c r="AJ573" s="741"/>
      <c r="AK573" s="741"/>
      <c r="AL573" s="741"/>
      <c r="AM573" s="741"/>
      <c r="AN573" s="741"/>
      <c r="AO573" s="741"/>
      <c r="AP573" s="741"/>
    </row>
    <row r="574" spans="1:42" ht="12.75" customHeight="1">
      <c r="A574" s="741"/>
      <c r="B574" s="741"/>
      <c r="C574" s="741"/>
      <c r="D574" s="741"/>
      <c r="E574" s="741"/>
      <c r="F574" s="741"/>
      <c r="G574" s="741"/>
      <c r="H574" s="741"/>
      <c r="I574" s="741"/>
      <c r="J574" s="741"/>
      <c r="K574" s="741"/>
      <c r="L574" s="741"/>
      <c r="M574" s="741"/>
      <c r="N574" s="741"/>
      <c r="O574" s="741"/>
      <c r="P574" s="741"/>
      <c r="Q574" s="741"/>
      <c r="R574" s="741"/>
      <c r="S574" s="741"/>
      <c r="T574" s="741"/>
      <c r="U574" s="741"/>
      <c r="V574" s="741"/>
      <c r="W574" s="741"/>
      <c r="X574" s="741"/>
      <c r="Y574" s="741"/>
      <c r="Z574" s="741"/>
      <c r="AA574" s="741"/>
      <c r="AB574" s="741"/>
      <c r="AC574" s="741"/>
      <c r="AD574" s="741"/>
      <c r="AE574" s="741"/>
      <c r="AF574" s="741"/>
      <c r="AG574" s="741"/>
      <c r="AH574" s="741"/>
      <c r="AI574" s="741"/>
      <c r="AJ574" s="741"/>
      <c r="AK574" s="741"/>
      <c r="AL574" s="741"/>
      <c r="AM574" s="741"/>
      <c r="AN574" s="741"/>
      <c r="AO574" s="741"/>
      <c r="AP574" s="741"/>
    </row>
    <row r="575" spans="1:42" ht="12.75" customHeight="1">
      <c r="A575" s="741"/>
      <c r="B575" s="741"/>
      <c r="C575" s="741"/>
      <c r="D575" s="741"/>
      <c r="E575" s="741"/>
      <c r="F575" s="741"/>
      <c r="G575" s="741"/>
      <c r="H575" s="741"/>
      <c r="I575" s="741"/>
      <c r="J575" s="741"/>
      <c r="K575" s="741"/>
      <c r="L575" s="741"/>
      <c r="M575" s="741"/>
      <c r="N575" s="741"/>
      <c r="O575" s="741"/>
      <c r="P575" s="741"/>
      <c r="Q575" s="741"/>
      <c r="R575" s="741"/>
      <c r="S575" s="741"/>
      <c r="T575" s="741"/>
      <c r="U575" s="741"/>
      <c r="V575" s="741"/>
      <c r="W575" s="741"/>
      <c r="X575" s="741"/>
      <c r="Y575" s="741"/>
      <c r="Z575" s="741"/>
      <c r="AA575" s="741"/>
      <c r="AB575" s="741"/>
      <c r="AC575" s="741"/>
      <c r="AD575" s="741"/>
      <c r="AE575" s="741"/>
      <c r="AF575" s="741"/>
      <c r="AG575" s="741"/>
      <c r="AH575" s="741"/>
      <c r="AI575" s="741"/>
      <c r="AJ575" s="741"/>
      <c r="AK575" s="741"/>
      <c r="AL575" s="741"/>
      <c r="AM575" s="741"/>
      <c r="AN575" s="741"/>
      <c r="AO575" s="741"/>
      <c r="AP575" s="741"/>
    </row>
    <row r="576" spans="1:42" ht="12.75" customHeight="1">
      <c r="A576" s="741"/>
      <c r="B576" s="741"/>
      <c r="C576" s="741"/>
      <c r="D576" s="741"/>
      <c r="E576" s="741"/>
      <c r="F576" s="741"/>
      <c r="G576" s="741"/>
      <c r="H576" s="741"/>
      <c r="I576" s="741"/>
      <c r="J576" s="741"/>
      <c r="K576" s="741"/>
      <c r="L576" s="741"/>
      <c r="M576" s="741"/>
      <c r="N576" s="741"/>
      <c r="O576" s="741"/>
      <c r="P576" s="741"/>
      <c r="Q576" s="741"/>
      <c r="R576" s="741"/>
      <c r="S576" s="741"/>
      <c r="T576" s="741"/>
      <c r="U576" s="741"/>
      <c r="V576" s="741"/>
      <c r="W576" s="741"/>
      <c r="X576" s="741"/>
      <c r="Y576" s="741"/>
      <c r="Z576" s="741"/>
      <c r="AA576" s="741"/>
      <c r="AB576" s="741"/>
      <c r="AC576" s="741"/>
      <c r="AD576" s="741"/>
      <c r="AE576" s="741"/>
      <c r="AF576" s="741"/>
      <c r="AG576" s="741"/>
      <c r="AH576" s="741"/>
      <c r="AI576" s="741"/>
      <c r="AJ576" s="741"/>
      <c r="AK576" s="741"/>
      <c r="AL576" s="741"/>
      <c r="AM576" s="741"/>
      <c r="AN576" s="741"/>
      <c r="AO576" s="741"/>
      <c r="AP576" s="741"/>
    </row>
    <row r="577" spans="1:42" ht="12.75" customHeight="1">
      <c r="A577" s="741"/>
      <c r="B577" s="741"/>
      <c r="C577" s="741"/>
      <c r="D577" s="741"/>
      <c r="E577" s="741"/>
      <c r="F577" s="741"/>
      <c r="G577" s="741"/>
      <c r="H577" s="741"/>
      <c r="I577" s="741"/>
      <c r="J577" s="741"/>
      <c r="K577" s="741"/>
      <c r="L577" s="741"/>
      <c r="M577" s="741"/>
      <c r="N577" s="741"/>
      <c r="O577" s="741"/>
      <c r="P577" s="741"/>
      <c r="Q577" s="741"/>
      <c r="R577" s="741"/>
      <c r="S577" s="741"/>
      <c r="T577" s="741"/>
      <c r="U577" s="741"/>
      <c r="V577" s="741"/>
      <c r="W577" s="741"/>
      <c r="X577" s="741"/>
      <c r="Y577" s="741"/>
      <c r="Z577" s="741"/>
      <c r="AA577" s="741"/>
      <c r="AB577" s="741"/>
      <c r="AC577" s="741"/>
      <c r="AD577" s="741"/>
      <c r="AE577" s="741"/>
      <c r="AF577" s="741"/>
      <c r="AG577" s="741"/>
      <c r="AH577" s="741"/>
      <c r="AI577" s="741"/>
      <c r="AJ577" s="741"/>
      <c r="AK577" s="741"/>
      <c r="AL577" s="741"/>
      <c r="AM577" s="741"/>
      <c r="AN577" s="741"/>
      <c r="AO577" s="741"/>
      <c r="AP577" s="741"/>
    </row>
    <row r="578" spans="1:42" ht="12.75" customHeight="1">
      <c r="A578" s="741"/>
      <c r="B578" s="741"/>
      <c r="C578" s="741"/>
      <c r="D578" s="741"/>
      <c r="E578" s="741"/>
      <c r="F578" s="741"/>
      <c r="G578" s="741"/>
      <c r="H578" s="741"/>
      <c r="I578" s="741"/>
      <c r="J578" s="741"/>
      <c r="K578" s="741"/>
      <c r="L578" s="741"/>
      <c r="M578" s="741"/>
      <c r="N578" s="741"/>
      <c r="O578" s="741"/>
      <c r="P578" s="741"/>
      <c r="Q578" s="741"/>
      <c r="R578" s="741"/>
      <c r="S578" s="741"/>
      <c r="T578" s="741"/>
      <c r="U578" s="741"/>
      <c r="V578" s="741"/>
      <c r="W578" s="741"/>
      <c r="X578" s="741"/>
      <c r="Y578" s="741"/>
      <c r="Z578" s="741"/>
      <c r="AA578" s="741"/>
      <c r="AB578" s="741"/>
      <c r="AC578" s="741"/>
      <c r="AD578" s="741"/>
      <c r="AE578" s="741"/>
      <c r="AF578" s="741"/>
      <c r="AG578" s="741"/>
      <c r="AH578" s="741"/>
      <c r="AI578" s="741"/>
      <c r="AJ578" s="741"/>
      <c r="AK578" s="741"/>
      <c r="AL578" s="741"/>
      <c r="AM578" s="741"/>
      <c r="AN578" s="741"/>
      <c r="AO578" s="741"/>
      <c r="AP578" s="741"/>
    </row>
    <row r="579" spans="1:42" ht="12.75" customHeight="1">
      <c r="A579" s="741"/>
      <c r="B579" s="741"/>
      <c r="C579" s="741"/>
      <c r="D579" s="741"/>
      <c r="E579" s="741"/>
      <c r="F579" s="741"/>
      <c r="G579" s="741"/>
      <c r="H579" s="741"/>
      <c r="I579" s="741"/>
      <c r="J579" s="741"/>
      <c r="K579" s="741"/>
      <c r="L579" s="741"/>
      <c r="M579" s="741"/>
      <c r="N579" s="741"/>
      <c r="O579" s="741"/>
      <c r="P579" s="741"/>
      <c r="Q579" s="741"/>
      <c r="R579" s="741"/>
      <c r="S579" s="741"/>
      <c r="T579" s="741"/>
      <c r="U579" s="741"/>
      <c r="V579" s="741"/>
      <c r="W579" s="741"/>
      <c r="X579" s="741"/>
      <c r="Y579" s="741"/>
      <c r="Z579" s="741"/>
      <c r="AA579" s="741"/>
      <c r="AB579" s="741"/>
      <c r="AC579" s="741"/>
      <c r="AD579" s="741"/>
      <c r="AE579" s="741"/>
      <c r="AF579" s="741"/>
      <c r="AG579" s="741"/>
      <c r="AH579" s="741"/>
      <c r="AI579" s="741"/>
      <c r="AJ579" s="741"/>
      <c r="AK579" s="741"/>
      <c r="AL579" s="741"/>
      <c r="AM579" s="741"/>
      <c r="AN579" s="741"/>
      <c r="AO579" s="741"/>
      <c r="AP579" s="741"/>
    </row>
    <row r="580" spans="1:42" ht="12.75" customHeight="1">
      <c r="A580" s="741"/>
      <c r="B580" s="741"/>
      <c r="C580" s="741"/>
      <c r="D580" s="741"/>
      <c r="E580" s="741"/>
      <c r="F580" s="741"/>
      <c r="G580" s="741"/>
      <c r="H580" s="741"/>
      <c r="I580" s="741"/>
      <c r="J580" s="741"/>
      <c r="K580" s="741"/>
      <c r="L580" s="741"/>
      <c r="M580" s="741"/>
      <c r="N580" s="741"/>
      <c r="O580" s="741"/>
      <c r="P580" s="741"/>
      <c r="Q580" s="741"/>
      <c r="R580" s="741"/>
      <c r="S580" s="741"/>
      <c r="T580" s="741"/>
      <c r="U580" s="741"/>
      <c r="V580" s="741"/>
      <c r="W580" s="741"/>
      <c r="X580" s="741"/>
      <c r="Y580" s="741"/>
      <c r="Z580" s="741"/>
      <c r="AA580" s="741"/>
      <c r="AB580" s="741"/>
      <c r="AC580" s="741"/>
      <c r="AD580" s="741"/>
      <c r="AE580" s="741"/>
      <c r="AF580" s="741"/>
      <c r="AG580" s="741"/>
      <c r="AH580" s="741"/>
      <c r="AI580" s="741"/>
      <c r="AJ580" s="741"/>
      <c r="AK580" s="741"/>
      <c r="AL580" s="741"/>
      <c r="AM580" s="741"/>
      <c r="AN580" s="741"/>
      <c r="AO580" s="741"/>
      <c r="AP580" s="741"/>
    </row>
    <row r="581" spans="1:42" ht="12.75" customHeight="1">
      <c r="A581" s="741"/>
      <c r="B581" s="741"/>
      <c r="C581" s="741"/>
      <c r="D581" s="741"/>
      <c r="E581" s="741"/>
      <c r="F581" s="741"/>
      <c r="G581" s="741"/>
      <c r="H581" s="741"/>
      <c r="I581" s="741"/>
      <c r="J581" s="741"/>
      <c r="K581" s="741"/>
      <c r="L581" s="741"/>
      <c r="M581" s="741"/>
      <c r="N581" s="741"/>
      <c r="O581" s="741"/>
      <c r="P581" s="741"/>
      <c r="Q581" s="741"/>
      <c r="R581" s="741"/>
      <c r="S581" s="741"/>
      <c r="T581" s="741"/>
      <c r="U581" s="741"/>
      <c r="V581" s="741"/>
      <c r="W581" s="741"/>
      <c r="X581" s="741"/>
      <c r="Y581" s="741"/>
      <c r="Z581" s="741"/>
      <c r="AA581" s="741"/>
      <c r="AB581" s="741"/>
      <c r="AC581" s="741"/>
      <c r="AD581" s="741"/>
      <c r="AE581" s="741"/>
      <c r="AF581" s="741"/>
      <c r="AG581" s="741"/>
      <c r="AH581" s="741"/>
      <c r="AI581" s="741"/>
      <c r="AJ581" s="741"/>
      <c r="AK581" s="741"/>
      <c r="AL581" s="741"/>
      <c r="AM581" s="741"/>
      <c r="AN581" s="741"/>
      <c r="AO581" s="741"/>
      <c r="AP581" s="741"/>
    </row>
    <row r="582" spans="1:42" ht="12.75" customHeight="1">
      <c r="A582" s="741"/>
      <c r="B582" s="741"/>
      <c r="C582" s="741"/>
      <c r="D582" s="741"/>
      <c r="E582" s="741"/>
      <c r="F582" s="741"/>
      <c r="G582" s="741"/>
      <c r="H582" s="741"/>
      <c r="I582" s="741"/>
      <c r="J582" s="741"/>
      <c r="K582" s="741"/>
      <c r="L582" s="741"/>
      <c r="M582" s="741"/>
      <c r="N582" s="741"/>
      <c r="O582" s="741"/>
      <c r="P582" s="741"/>
      <c r="Q582" s="741"/>
      <c r="R582" s="741"/>
      <c r="S582" s="741"/>
      <c r="T582" s="741"/>
      <c r="U582" s="741"/>
      <c r="V582" s="741"/>
      <c r="W582" s="741"/>
      <c r="X582" s="741"/>
      <c r="Y582" s="741"/>
      <c r="Z582" s="741"/>
      <c r="AA582" s="741"/>
      <c r="AB582" s="741"/>
      <c r="AC582" s="741"/>
      <c r="AD582" s="741"/>
      <c r="AE582" s="741"/>
      <c r="AF582" s="741"/>
      <c r="AG582" s="741"/>
      <c r="AH582" s="741"/>
      <c r="AI582" s="741"/>
      <c r="AJ582" s="741"/>
      <c r="AK582" s="741"/>
      <c r="AL582" s="741"/>
      <c r="AM582" s="741"/>
      <c r="AN582" s="741"/>
      <c r="AO582" s="741"/>
      <c r="AP582" s="741"/>
    </row>
    <row r="583" spans="1:42" ht="12.75" customHeight="1">
      <c r="A583" s="741"/>
      <c r="B583" s="741"/>
      <c r="C583" s="741"/>
      <c r="D583" s="741"/>
      <c r="E583" s="741"/>
      <c r="F583" s="741"/>
      <c r="G583" s="741"/>
      <c r="H583" s="741"/>
      <c r="I583" s="741"/>
      <c r="J583" s="741"/>
      <c r="K583" s="741"/>
      <c r="L583" s="741"/>
      <c r="M583" s="741"/>
      <c r="N583" s="741"/>
      <c r="O583" s="741"/>
      <c r="P583" s="741"/>
      <c r="Q583" s="741"/>
      <c r="R583" s="741"/>
      <c r="S583" s="741"/>
      <c r="T583" s="741"/>
      <c r="U583" s="741"/>
      <c r="V583" s="741"/>
      <c r="W583" s="741"/>
      <c r="X583" s="741"/>
      <c r="Y583" s="741"/>
      <c r="Z583" s="741"/>
      <c r="AA583" s="741"/>
      <c r="AB583" s="741"/>
      <c r="AC583" s="741"/>
      <c r="AD583" s="741"/>
      <c r="AE583" s="741"/>
      <c r="AF583" s="741"/>
      <c r="AG583" s="741"/>
      <c r="AH583" s="741"/>
      <c r="AI583" s="741"/>
      <c r="AJ583" s="741"/>
      <c r="AK583" s="741"/>
      <c r="AL583" s="741"/>
      <c r="AM583" s="741"/>
      <c r="AN583" s="741"/>
      <c r="AO583" s="741"/>
      <c r="AP583" s="741"/>
    </row>
    <row r="584" spans="1:42" ht="12.75" customHeight="1">
      <c r="A584" s="741"/>
      <c r="B584" s="741"/>
      <c r="C584" s="741"/>
      <c r="D584" s="741"/>
      <c r="E584" s="741"/>
      <c r="F584" s="741"/>
      <c r="G584" s="741"/>
      <c r="H584" s="741"/>
      <c r="I584" s="741"/>
      <c r="J584" s="741"/>
      <c r="K584" s="741"/>
      <c r="L584" s="741"/>
      <c r="M584" s="741"/>
      <c r="N584" s="741"/>
      <c r="O584" s="741"/>
      <c r="P584" s="741"/>
      <c r="Q584" s="741"/>
      <c r="R584" s="741"/>
      <c r="S584" s="741"/>
      <c r="T584" s="741"/>
      <c r="U584" s="741"/>
      <c r="V584" s="741"/>
      <c r="W584" s="741"/>
      <c r="X584" s="741"/>
      <c r="Y584" s="741"/>
      <c r="Z584" s="741"/>
      <c r="AA584" s="741"/>
      <c r="AB584" s="741"/>
      <c r="AC584" s="741"/>
      <c r="AD584" s="741"/>
      <c r="AE584" s="741"/>
      <c r="AF584" s="741"/>
      <c r="AG584" s="741"/>
      <c r="AH584" s="741"/>
      <c r="AI584" s="741"/>
      <c r="AJ584" s="741"/>
      <c r="AK584" s="741"/>
      <c r="AL584" s="741"/>
      <c r="AM584" s="741"/>
      <c r="AN584" s="741"/>
      <c r="AO584" s="741"/>
      <c r="AP584" s="741"/>
    </row>
    <row r="585" spans="1:42" ht="12.75" customHeight="1">
      <c r="A585" s="741"/>
      <c r="B585" s="741"/>
      <c r="C585" s="741"/>
      <c r="D585" s="741"/>
      <c r="E585" s="741"/>
      <c r="F585" s="741"/>
      <c r="G585" s="741"/>
      <c r="H585" s="741"/>
      <c r="I585" s="741"/>
      <c r="J585" s="741"/>
      <c r="K585" s="741"/>
      <c r="L585" s="741"/>
      <c r="M585" s="741"/>
      <c r="N585" s="741"/>
      <c r="O585" s="741"/>
      <c r="P585" s="741"/>
      <c r="Q585" s="741"/>
      <c r="R585" s="741"/>
      <c r="S585" s="741"/>
      <c r="T585" s="741"/>
      <c r="U585" s="741"/>
      <c r="V585" s="741"/>
      <c r="W585" s="741"/>
      <c r="X585" s="741"/>
      <c r="Y585" s="741"/>
      <c r="Z585" s="741"/>
      <c r="AA585" s="741"/>
      <c r="AB585" s="741"/>
      <c r="AC585" s="741"/>
      <c r="AD585" s="741"/>
      <c r="AE585" s="741"/>
      <c r="AF585" s="741"/>
      <c r="AG585" s="741"/>
      <c r="AH585" s="741"/>
      <c r="AI585" s="741"/>
      <c r="AJ585" s="741"/>
      <c r="AK585" s="741"/>
      <c r="AL585" s="741"/>
      <c r="AM585" s="741"/>
      <c r="AN585" s="741"/>
      <c r="AO585" s="741"/>
      <c r="AP585" s="741"/>
    </row>
    <row r="586" spans="1:42" ht="12.75" customHeight="1">
      <c r="A586" s="741"/>
      <c r="B586" s="741"/>
      <c r="C586" s="741"/>
      <c r="D586" s="741"/>
      <c r="E586" s="741"/>
      <c r="F586" s="741"/>
      <c r="G586" s="741"/>
      <c r="H586" s="741"/>
      <c r="I586" s="741"/>
      <c r="J586" s="741"/>
      <c r="K586" s="741"/>
      <c r="L586" s="741"/>
      <c r="M586" s="741"/>
      <c r="N586" s="741"/>
      <c r="O586" s="741"/>
      <c r="P586" s="741"/>
      <c r="Q586" s="741"/>
      <c r="R586" s="741"/>
      <c r="S586" s="741"/>
      <c r="T586" s="741"/>
      <c r="U586" s="741"/>
      <c r="V586" s="741"/>
      <c r="W586" s="741"/>
      <c r="X586" s="741"/>
      <c r="Y586" s="741"/>
      <c r="Z586" s="741"/>
      <c r="AA586" s="741"/>
      <c r="AB586" s="741"/>
      <c r="AC586" s="741"/>
      <c r="AD586" s="741"/>
      <c r="AE586" s="741"/>
      <c r="AF586" s="741"/>
      <c r="AG586" s="741"/>
      <c r="AH586" s="741"/>
      <c r="AI586" s="741"/>
      <c r="AJ586" s="741"/>
      <c r="AK586" s="741"/>
      <c r="AL586" s="741"/>
      <c r="AM586" s="741"/>
      <c r="AN586" s="741"/>
      <c r="AO586" s="741"/>
      <c r="AP586" s="741"/>
    </row>
    <row r="587" spans="1:42" ht="12.75" customHeight="1">
      <c r="A587" s="741"/>
      <c r="B587" s="741"/>
      <c r="C587" s="741"/>
      <c r="D587" s="741"/>
      <c r="E587" s="741"/>
      <c r="F587" s="741"/>
      <c r="G587" s="741"/>
      <c r="H587" s="741"/>
      <c r="I587" s="741"/>
      <c r="J587" s="741"/>
      <c r="K587" s="741"/>
      <c r="L587" s="741"/>
      <c r="M587" s="741"/>
      <c r="N587" s="741"/>
      <c r="O587" s="741"/>
      <c r="P587" s="741"/>
      <c r="Q587" s="741"/>
      <c r="R587" s="741"/>
      <c r="S587" s="741"/>
      <c r="T587" s="741"/>
      <c r="U587" s="741"/>
      <c r="V587" s="741"/>
      <c r="W587" s="741"/>
      <c r="X587" s="741"/>
      <c r="Y587" s="741"/>
      <c r="Z587" s="741"/>
      <c r="AA587" s="741"/>
      <c r="AB587" s="741"/>
      <c r="AC587" s="741"/>
      <c r="AD587" s="741"/>
      <c r="AE587" s="741"/>
      <c r="AF587" s="741"/>
      <c r="AG587" s="741"/>
      <c r="AH587" s="741"/>
      <c r="AI587" s="741"/>
      <c r="AJ587" s="741"/>
      <c r="AK587" s="741"/>
      <c r="AL587" s="741"/>
      <c r="AM587" s="741"/>
      <c r="AN587" s="741"/>
      <c r="AO587" s="741"/>
      <c r="AP587" s="741"/>
    </row>
    <row r="588" spans="1:42" ht="12.75" customHeight="1">
      <c r="A588" s="741"/>
      <c r="B588" s="741"/>
      <c r="C588" s="741"/>
      <c r="D588" s="741"/>
      <c r="E588" s="741"/>
      <c r="F588" s="741"/>
      <c r="G588" s="741"/>
      <c r="H588" s="741"/>
      <c r="I588" s="741"/>
      <c r="J588" s="741"/>
      <c r="K588" s="741"/>
      <c r="L588" s="741"/>
      <c r="M588" s="741"/>
      <c r="N588" s="741"/>
      <c r="O588" s="741"/>
      <c r="P588" s="741"/>
      <c r="Q588" s="741"/>
      <c r="R588" s="741"/>
      <c r="S588" s="741"/>
      <c r="T588" s="741"/>
      <c r="U588" s="741"/>
      <c r="V588" s="741"/>
      <c r="W588" s="741"/>
      <c r="X588" s="741"/>
      <c r="Y588" s="741"/>
      <c r="Z588" s="741"/>
      <c r="AA588" s="741"/>
      <c r="AB588" s="741"/>
      <c r="AC588" s="741"/>
      <c r="AD588" s="741"/>
      <c r="AE588" s="741"/>
      <c r="AF588" s="741"/>
      <c r="AG588" s="741"/>
      <c r="AH588" s="741"/>
      <c r="AI588" s="741"/>
      <c r="AJ588" s="741"/>
      <c r="AK588" s="741"/>
      <c r="AL588" s="741"/>
      <c r="AM588" s="741"/>
      <c r="AN588" s="741"/>
      <c r="AO588" s="741"/>
      <c r="AP588" s="741"/>
    </row>
    <row r="589" spans="1:42" ht="12.75" customHeight="1">
      <c r="A589" s="741"/>
      <c r="B589" s="741"/>
      <c r="C589" s="741"/>
      <c r="D589" s="741"/>
      <c r="E589" s="741"/>
      <c r="F589" s="741"/>
      <c r="G589" s="741"/>
      <c r="H589" s="741"/>
      <c r="I589" s="741"/>
      <c r="J589" s="741"/>
      <c r="K589" s="741"/>
      <c r="L589" s="741"/>
      <c r="M589" s="741"/>
      <c r="N589" s="741"/>
      <c r="O589" s="741"/>
      <c r="P589" s="741"/>
      <c r="Q589" s="741"/>
      <c r="R589" s="741"/>
      <c r="S589" s="741"/>
      <c r="T589" s="741"/>
      <c r="U589" s="741"/>
      <c r="V589" s="741"/>
      <c r="W589" s="741"/>
      <c r="X589" s="741"/>
      <c r="Y589" s="741"/>
      <c r="Z589" s="741"/>
      <c r="AA589" s="741"/>
      <c r="AB589" s="741"/>
      <c r="AC589" s="741"/>
      <c r="AD589" s="741"/>
      <c r="AE589" s="741"/>
      <c r="AF589" s="741"/>
      <c r="AG589" s="741"/>
      <c r="AH589" s="741"/>
      <c r="AI589" s="741"/>
      <c r="AJ589" s="741"/>
      <c r="AK589" s="741"/>
      <c r="AL589" s="741"/>
      <c r="AM589" s="741"/>
      <c r="AN589" s="741"/>
      <c r="AO589" s="741"/>
      <c r="AP589" s="741"/>
    </row>
    <row r="590" spans="1:42" ht="12.75" customHeight="1">
      <c r="A590" s="741"/>
      <c r="B590" s="741"/>
      <c r="C590" s="741"/>
      <c r="D590" s="741"/>
      <c r="E590" s="741"/>
      <c r="F590" s="741"/>
      <c r="G590" s="741"/>
      <c r="H590" s="741"/>
      <c r="I590" s="741"/>
      <c r="J590" s="741"/>
      <c r="K590" s="741"/>
      <c r="L590" s="741"/>
      <c r="M590" s="741"/>
      <c r="N590" s="741"/>
      <c r="O590" s="741"/>
      <c r="P590" s="741"/>
      <c r="Q590" s="741"/>
      <c r="R590" s="741"/>
      <c r="S590" s="741"/>
      <c r="T590" s="741"/>
      <c r="U590" s="741"/>
      <c r="V590" s="741"/>
      <c r="W590" s="741"/>
      <c r="X590" s="741"/>
      <c r="Y590" s="741"/>
      <c r="Z590" s="741"/>
      <c r="AA590" s="741"/>
      <c r="AB590" s="741"/>
      <c r="AC590" s="741"/>
      <c r="AD590" s="741"/>
      <c r="AE590" s="741"/>
      <c r="AF590" s="741"/>
      <c r="AG590" s="741"/>
      <c r="AH590" s="741"/>
      <c r="AI590" s="741"/>
      <c r="AJ590" s="741"/>
      <c r="AK590" s="741"/>
      <c r="AL590" s="741"/>
      <c r="AM590" s="741"/>
      <c r="AN590" s="741"/>
      <c r="AO590" s="741"/>
      <c r="AP590" s="741"/>
    </row>
    <row r="591" spans="1:42" ht="12.75" customHeight="1">
      <c r="A591" s="741"/>
      <c r="B591" s="741"/>
      <c r="C591" s="741"/>
      <c r="D591" s="741"/>
      <c r="E591" s="741"/>
      <c r="F591" s="741"/>
      <c r="G591" s="741"/>
      <c r="H591" s="741"/>
      <c r="I591" s="741"/>
      <c r="J591" s="741"/>
      <c r="K591" s="741"/>
      <c r="L591" s="741"/>
      <c r="M591" s="741"/>
      <c r="N591" s="741"/>
      <c r="O591" s="741"/>
      <c r="P591" s="741"/>
      <c r="Q591" s="741"/>
      <c r="R591" s="741"/>
      <c r="S591" s="741"/>
      <c r="T591" s="741"/>
      <c r="U591" s="741"/>
      <c r="V591" s="741"/>
      <c r="W591" s="741"/>
      <c r="X591" s="741"/>
      <c r="Y591" s="741"/>
      <c r="Z591" s="741"/>
      <c r="AA591" s="741"/>
      <c r="AB591" s="741"/>
      <c r="AC591" s="741"/>
      <c r="AD591" s="741"/>
      <c r="AE591" s="741"/>
      <c r="AF591" s="741"/>
      <c r="AG591" s="741"/>
      <c r="AH591" s="741"/>
      <c r="AI591" s="741"/>
      <c r="AJ591" s="741"/>
      <c r="AK591" s="741"/>
      <c r="AL591" s="741"/>
      <c r="AM591" s="741"/>
      <c r="AN591" s="741"/>
      <c r="AO591" s="741"/>
      <c r="AP591" s="741"/>
    </row>
    <row r="592" spans="1:42" ht="12.75" customHeight="1">
      <c r="A592" s="741"/>
      <c r="B592" s="741"/>
      <c r="C592" s="741"/>
      <c r="D592" s="741"/>
      <c r="E592" s="741"/>
      <c r="F592" s="741"/>
      <c r="G592" s="741"/>
      <c r="H592" s="741"/>
      <c r="I592" s="741"/>
      <c r="J592" s="741"/>
      <c r="K592" s="741"/>
      <c r="L592" s="741"/>
      <c r="M592" s="741"/>
      <c r="N592" s="741"/>
      <c r="O592" s="741"/>
      <c r="P592" s="741"/>
      <c r="Q592" s="741"/>
      <c r="R592" s="741"/>
      <c r="S592" s="741"/>
      <c r="T592" s="741"/>
      <c r="U592" s="741"/>
      <c r="V592" s="741"/>
      <c r="W592" s="741"/>
      <c r="X592" s="741"/>
      <c r="Y592" s="741"/>
      <c r="Z592" s="741"/>
      <c r="AA592" s="741"/>
      <c r="AB592" s="741"/>
      <c r="AC592" s="741"/>
      <c r="AD592" s="741"/>
      <c r="AE592" s="741"/>
      <c r="AF592" s="741"/>
      <c r="AG592" s="741"/>
      <c r="AH592" s="741"/>
      <c r="AI592" s="741"/>
      <c r="AJ592" s="741"/>
      <c r="AK592" s="741"/>
      <c r="AL592" s="741"/>
      <c r="AM592" s="741"/>
      <c r="AN592" s="741"/>
      <c r="AO592" s="741"/>
      <c r="AP592" s="741"/>
    </row>
    <row r="593" spans="1:42" ht="12.75" customHeight="1">
      <c r="A593" s="741"/>
      <c r="B593" s="741"/>
      <c r="C593" s="741"/>
      <c r="D593" s="741"/>
      <c r="E593" s="741"/>
      <c r="F593" s="741"/>
      <c r="G593" s="741"/>
      <c r="H593" s="741"/>
      <c r="I593" s="741"/>
      <c r="J593" s="741"/>
      <c r="K593" s="741"/>
      <c r="L593" s="741"/>
      <c r="M593" s="741"/>
      <c r="N593" s="741"/>
      <c r="O593" s="741"/>
      <c r="P593" s="741"/>
      <c r="Q593" s="741"/>
      <c r="R593" s="741"/>
      <c r="S593" s="741"/>
      <c r="T593" s="741"/>
      <c r="U593" s="741"/>
      <c r="V593" s="741"/>
      <c r="W593" s="741"/>
      <c r="X593" s="741"/>
      <c r="Y593" s="741"/>
      <c r="Z593" s="741"/>
      <c r="AA593" s="741"/>
      <c r="AB593" s="741"/>
      <c r="AC593" s="741"/>
      <c r="AD593" s="741"/>
      <c r="AE593" s="741"/>
      <c r="AF593" s="741"/>
      <c r="AG593" s="741"/>
      <c r="AH593" s="741"/>
      <c r="AI593" s="741"/>
      <c r="AJ593" s="741"/>
      <c r="AK593" s="741"/>
      <c r="AL593" s="741"/>
      <c r="AM593" s="741"/>
      <c r="AN593" s="741"/>
      <c r="AO593" s="741"/>
      <c r="AP593" s="741"/>
    </row>
    <row r="594" spans="1:42" ht="12.75" customHeight="1">
      <c r="A594" s="741"/>
      <c r="B594" s="741"/>
      <c r="C594" s="741"/>
      <c r="D594" s="741"/>
      <c r="E594" s="741"/>
      <c r="F594" s="741"/>
      <c r="G594" s="741"/>
      <c r="H594" s="741"/>
      <c r="I594" s="741"/>
      <c r="J594" s="741"/>
      <c r="K594" s="741"/>
      <c r="L594" s="741"/>
      <c r="M594" s="741"/>
      <c r="N594" s="741"/>
      <c r="O594" s="741"/>
      <c r="P594" s="741"/>
      <c r="Q594" s="741"/>
      <c r="R594" s="741"/>
      <c r="S594" s="741"/>
      <c r="T594" s="741"/>
      <c r="U594" s="741"/>
      <c r="V594" s="741"/>
      <c r="W594" s="741"/>
      <c r="X594" s="741"/>
      <c r="Y594" s="741"/>
      <c r="Z594" s="741"/>
      <c r="AA594" s="741"/>
      <c r="AB594" s="741"/>
      <c r="AC594" s="741"/>
      <c r="AD594" s="741"/>
      <c r="AE594" s="741"/>
      <c r="AF594" s="741"/>
      <c r="AG594" s="741"/>
      <c r="AH594" s="741"/>
      <c r="AI594" s="741"/>
      <c r="AJ594" s="741"/>
      <c r="AK594" s="741"/>
      <c r="AL594" s="741"/>
      <c r="AM594" s="741"/>
      <c r="AN594" s="741"/>
      <c r="AO594" s="741"/>
      <c r="AP594" s="741"/>
    </row>
    <row r="595" spans="1:42" ht="12.75" customHeight="1">
      <c r="A595" s="741"/>
      <c r="B595" s="741"/>
      <c r="C595" s="741"/>
      <c r="D595" s="741"/>
      <c r="E595" s="741"/>
      <c r="F595" s="741"/>
      <c r="G595" s="741"/>
      <c r="H595" s="741"/>
      <c r="I595" s="741"/>
      <c r="J595" s="741"/>
      <c r="K595" s="741"/>
      <c r="L595" s="741"/>
      <c r="M595" s="741"/>
      <c r="N595" s="741"/>
      <c r="O595" s="741"/>
      <c r="P595" s="741"/>
      <c r="Q595" s="741"/>
      <c r="R595" s="741"/>
      <c r="S595" s="741"/>
      <c r="T595" s="741"/>
      <c r="U595" s="741"/>
      <c r="V595" s="741"/>
      <c r="W595" s="741"/>
      <c r="X595" s="741"/>
      <c r="Y595" s="741"/>
      <c r="Z595" s="741"/>
      <c r="AA595" s="741"/>
      <c r="AB595" s="741"/>
      <c r="AC595" s="741"/>
      <c r="AD595" s="741"/>
      <c r="AE595" s="741"/>
      <c r="AF595" s="741"/>
      <c r="AG595" s="741"/>
      <c r="AH595" s="741"/>
      <c r="AI595" s="741"/>
      <c r="AJ595" s="741"/>
      <c r="AK595" s="741"/>
      <c r="AL595" s="741"/>
      <c r="AM595" s="741"/>
      <c r="AN595" s="741"/>
      <c r="AO595" s="741"/>
      <c r="AP595" s="741"/>
    </row>
    <row r="596" spans="1:42" ht="12.75" customHeight="1">
      <c r="A596" s="741"/>
      <c r="B596" s="741"/>
      <c r="C596" s="741"/>
      <c r="D596" s="741"/>
      <c r="E596" s="741"/>
      <c r="F596" s="741"/>
      <c r="G596" s="741"/>
      <c r="H596" s="741"/>
      <c r="I596" s="741"/>
      <c r="J596" s="741"/>
      <c r="K596" s="741"/>
      <c r="L596" s="741"/>
      <c r="M596" s="741"/>
      <c r="N596" s="741"/>
      <c r="O596" s="741"/>
      <c r="P596" s="741"/>
      <c r="Q596" s="741"/>
      <c r="R596" s="741"/>
      <c r="S596" s="741"/>
      <c r="T596" s="741"/>
      <c r="U596" s="741"/>
      <c r="V596" s="741"/>
      <c r="W596" s="741"/>
      <c r="X596" s="741"/>
      <c r="Y596" s="741"/>
      <c r="Z596" s="741"/>
      <c r="AA596" s="741"/>
      <c r="AB596" s="741"/>
      <c r="AC596" s="741"/>
      <c r="AD596" s="741"/>
      <c r="AE596" s="741"/>
      <c r="AF596" s="741"/>
      <c r="AG596" s="741"/>
      <c r="AH596" s="741"/>
      <c r="AI596" s="741"/>
      <c r="AJ596" s="741"/>
      <c r="AK596" s="741"/>
      <c r="AL596" s="741"/>
      <c r="AM596" s="741"/>
      <c r="AN596" s="741"/>
      <c r="AO596" s="741"/>
      <c r="AP596" s="741"/>
    </row>
    <row r="597" spans="1:42" ht="12.75" customHeight="1">
      <c r="A597" s="741"/>
      <c r="B597" s="741"/>
      <c r="C597" s="741"/>
      <c r="D597" s="741"/>
      <c r="E597" s="741"/>
      <c r="F597" s="741"/>
      <c r="G597" s="741"/>
      <c r="H597" s="741"/>
      <c r="I597" s="741"/>
      <c r="J597" s="741"/>
      <c r="K597" s="741"/>
      <c r="L597" s="741"/>
      <c r="M597" s="741"/>
      <c r="N597" s="741"/>
      <c r="O597" s="741"/>
      <c r="P597" s="741"/>
      <c r="Q597" s="741"/>
      <c r="R597" s="741"/>
      <c r="S597" s="741"/>
      <c r="T597" s="741"/>
      <c r="U597" s="741"/>
      <c r="V597" s="741"/>
      <c r="W597" s="741"/>
      <c r="X597" s="741"/>
      <c r="Y597" s="741"/>
      <c r="Z597" s="741"/>
      <c r="AA597" s="741"/>
      <c r="AB597" s="741"/>
      <c r="AC597" s="741"/>
      <c r="AD597" s="741"/>
      <c r="AE597" s="741"/>
      <c r="AF597" s="741"/>
      <c r="AG597" s="741"/>
      <c r="AH597" s="741"/>
      <c r="AI597" s="741"/>
      <c r="AJ597" s="741"/>
      <c r="AK597" s="741"/>
      <c r="AL597" s="741"/>
      <c r="AM597" s="741"/>
      <c r="AN597" s="741"/>
      <c r="AO597" s="741"/>
      <c r="AP597" s="741"/>
    </row>
    <row r="598" spans="1:42" ht="12.75" customHeight="1">
      <c r="A598" s="741"/>
      <c r="B598" s="741"/>
      <c r="C598" s="741"/>
      <c r="D598" s="741"/>
      <c r="E598" s="741"/>
      <c r="F598" s="741"/>
      <c r="G598" s="741"/>
      <c r="H598" s="741"/>
      <c r="I598" s="741"/>
      <c r="J598" s="741"/>
      <c r="K598" s="741"/>
      <c r="L598" s="741"/>
      <c r="M598" s="741"/>
      <c r="N598" s="741"/>
      <c r="O598" s="741"/>
      <c r="P598" s="741"/>
      <c r="Q598" s="741"/>
      <c r="R598" s="741"/>
      <c r="S598" s="741"/>
      <c r="T598" s="741"/>
      <c r="U598" s="741"/>
      <c r="V598" s="741"/>
      <c r="W598" s="741"/>
      <c r="X598" s="741"/>
      <c r="Y598" s="741"/>
      <c r="Z598" s="741"/>
      <c r="AA598" s="741"/>
      <c r="AB598" s="741"/>
      <c r="AC598" s="741"/>
      <c r="AD598" s="741"/>
      <c r="AE598" s="741"/>
      <c r="AF598" s="741"/>
      <c r="AG598" s="741"/>
      <c r="AH598" s="741"/>
      <c r="AI598" s="741"/>
      <c r="AJ598" s="741"/>
      <c r="AK598" s="741"/>
      <c r="AL598" s="741"/>
      <c r="AM598" s="741"/>
      <c r="AN598" s="741"/>
      <c r="AO598" s="741"/>
      <c r="AP598" s="741"/>
    </row>
    <row r="599" spans="1:42" ht="12.75" customHeight="1">
      <c r="A599" s="741"/>
      <c r="B599" s="741"/>
      <c r="C599" s="741"/>
      <c r="D599" s="741"/>
      <c r="E599" s="741"/>
      <c r="F599" s="741"/>
      <c r="G599" s="741"/>
      <c r="H599" s="741"/>
      <c r="I599" s="741"/>
      <c r="J599" s="741"/>
      <c r="K599" s="741"/>
      <c r="L599" s="741"/>
      <c r="M599" s="741"/>
      <c r="N599" s="741"/>
      <c r="O599" s="741"/>
      <c r="P599" s="741"/>
      <c r="Q599" s="741"/>
      <c r="R599" s="741"/>
      <c r="S599" s="741"/>
      <c r="T599" s="741"/>
      <c r="U599" s="741"/>
      <c r="V599" s="741"/>
      <c r="W599" s="741"/>
      <c r="X599" s="741"/>
      <c r="Y599" s="741"/>
      <c r="Z599" s="741"/>
      <c r="AA599" s="741"/>
      <c r="AB599" s="741"/>
      <c r="AC599" s="741"/>
      <c r="AD599" s="741"/>
      <c r="AE599" s="741"/>
      <c r="AF599" s="741"/>
      <c r="AG599" s="741"/>
      <c r="AH599" s="741"/>
      <c r="AI599" s="741"/>
      <c r="AJ599" s="741"/>
      <c r="AK599" s="741"/>
      <c r="AL599" s="741"/>
      <c r="AM599" s="741"/>
      <c r="AN599" s="741"/>
      <c r="AO599" s="741"/>
      <c r="AP599" s="741"/>
    </row>
    <row r="600" spans="1:42" ht="12.75" customHeight="1">
      <c r="A600" s="741"/>
      <c r="B600" s="741"/>
      <c r="C600" s="741"/>
      <c r="D600" s="741"/>
      <c r="E600" s="741"/>
      <c r="F600" s="741"/>
      <c r="G600" s="741"/>
      <c r="H600" s="741"/>
      <c r="I600" s="741"/>
      <c r="J600" s="741"/>
      <c r="K600" s="741"/>
      <c r="L600" s="741"/>
      <c r="M600" s="741"/>
      <c r="N600" s="741"/>
      <c r="O600" s="741"/>
      <c r="P600" s="741"/>
      <c r="Q600" s="741"/>
      <c r="R600" s="741"/>
      <c r="S600" s="741"/>
      <c r="T600" s="741"/>
      <c r="U600" s="741"/>
      <c r="V600" s="741"/>
      <c r="W600" s="741"/>
      <c r="X600" s="741"/>
      <c r="Y600" s="741"/>
      <c r="Z600" s="741"/>
      <c r="AA600" s="741"/>
      <c r="AB600" s="741"/>
      <c r="AC600" s="741"/>
      <c r="AD600" s="741"/>
      <c r="AE600" s="741"/>
      <c r="AF600" s="741"/>
      <c r="AG600" s="741"/>
      <c r="AH600" s="741"/>
      <c r="AI600" s="741"/>
      <c r="AJ600" s="741"/>
      <c r="AK600" s="741"/>
      <c r="AL600" s="741"/>
      <c r="AM600" s="741"/>
      <c r="AN600" s="741"/>
      <c r="AO600" s="741"/>
      <c r="AP600" s="741"/>
    </row>
    <row r="601" spans="1:42" ht="12.75" customHeight="1">
      <c r="A601" s="741"/>
      <c r="B601" s="741"/>
      <c r="C601" s="741"/>
      <c r="D601" s="741"/>
      <c r="E601" s="741"/>
      <c r="F601" s="741"/>
      <c r="G601" s="741"/>
      <c r="H601" s="741"/>
      <c r="I601" s="741"/>
      <c r="J601" s="741"/>
      <c r="K601" s="741"/>
      <c r="L601" s="741"/>
      <c r="M601" s="741"/>
      <c r="N601" s="741"/>
      <c r="O601" s="741"/>
      <c r="P601" s="741"/>
      <c r="Q601" s="741"/>
      <c r="R601" s="741"/>
      <c r="S601" s="741"/>
      <c r="T601" s="741"/>
      <c r="U601" s="741"/>
      <c r="V601" s="741"/>
      <c r="W601" s="741"/>
      <c r="X601" s="741"/>
      <c r="Y601" s="741"/>
      <c r="Z601" s="741"/>
      <c r="AA601" s="741"/>
      <c r="AB601" s="741"/>
      <c r="AC601" s="741"/>
      <c r="AD601" s="741"/>
      <c r="AE601" s="741"/>
      <c r="AF601" s="741"/>
      <c r="AG601" s="741"/>
      <c r="AH601" s="741"/>
      <c r="AI601" s="741"/>
      <c r="AJ601" s="741"/>
      <c r="AK601" s="741"/>
      <c r="AL601" s="741"/>
      <c r="AM601" s="741"/>
      <c r="AN601" s="741"/>
      <c r="AO601" s="741"/>
      <c r="AP601" s="741"/>
    </row>
    <row r="602" spans="1:42" ht="12.75" customHeight="1">
      <c r="A602" s="741"/>
      <c r="B602" s="741"/>
      <c r="C602" s="741"/>
      <c r="D602" s="741"/>
      <c r="E602" s="741"/>
      <c r="F602" s="741"/>
      <c r="G602" s="741"/>
      <c r="H602" s="741"/>
      <c r="I602" s="741"/>
      <c r="J602" s="741"/>
      <c r="K602" s="741"/>
      <c r="L602" s="741"/>
      <c r="M602" s="741"/>
      <c r="N602" s="741"/>
      <c r="O602" s="741"/>
      <c r="P602" s="741"/>
      <c r="Q602" s="741"/>
      <c r="R602" s="741"/>
      <c r="S602" s="741"/>
      <c r="T602" s="741"/>
      <c r="U602" s="741"/>
      <c r="V602" s="741"/>
      <c r="W602" s="741"/>
      <c r="X602" s="741"/>
      <c r="Y602" s="741"/>
      <c r="Z602" s="741"/>
      <c r="AA602" s="741"/>
      <c r="AB602" s="741"/>
      <c r="AC602" s="741"/>
      <c r="AD602" s="741"/>
      <c r="AE602" s="741"/>
      <c r="AF602" s="741"/>
      <c r="AG602" s="741"/>
      <c r="AH602" s="741"/>
      <c r="AI602" s="741"/>
      <c r="AJ602" s="741"/>
      <c r="AK602" s="741"/>
      <c r="AL602" s="741"/>
      <c r="AM602" s="741"/>
      <c r="AN602" s="741"/>
      <c r="AO602" s="741"/>
      <c r="AP602" s="741"/>
    </row>
    <row r="603" spans="1:42" ht="12.75" customHeight="1">
      <c r="A603" s="741"/>
      <c r="B603" s="741"/>
      <c r="C603" s="741"/>
      <c r="D603" s="741"/>
      <c r="E603" s="741"/>
      <c r="F603" s="741"/>
      <c r="G603" s="741"/>
      <c r="H603" s="741"/>
      <c r="I603" s="741"/>
      <c r="J603" s="741"/>
      <c r="K603" s="741"/>
      <c r="L603" s="741"/>
      <c r="M603" s="741"/>
      <c r="N603" s="741"/>
      <c r="O603" s="741"/>
      <c r="P603" s="741"/>
      <c r="Q603" s="741"/>
      <c r="R603" s="741"/>
      <c r="S603" s="741"/>
      <c r="T603" s="741"/>
      <c r="U603" s="741"/>
      <c r="V603" s="741"/>
      <c r="W603" s="741"/>
      <c r="X603" s="741"/>
      <c r="Y603" s="741"/>
      <c r="Z603" s="741"/>
      <c r="AA603" s="741"/>
      <c r="AB603" s="741"/>
      <c r="AC603" s="741"/>
      <c r="AD603" s="741"/>
      <c r="AE603" s="741"/>
      <c r="AF603" s="741"/>
      <c r="AG603" s="741"/>
      <c r="AH603" s="741"/>
      <c r="AI603" s="741"/>
      <c r="AJ603" s="741"/>
      <c r="AK603" s="741"/>
      <c r="AL603" s="741"/>
      <c r="AM603" s="741"/>
      <c r="AN603" s="741"/>
      <c r="AO603" s="741"/>
      <c r="AP603" s="741"/>
    </row>
    <row r="604" spans="1:42" ht="12.75" customHeight="1">
      <c r="A604" s="741"/>
      <c r="B604" s="741"/>
      <c r="C604" s="741"/>
      <c r="D604" s="741"/>
      <c r="E604" s="741"/>
      <c r="F604" s="741"/>
      <c r="G604" s="741"/>
      <c r="H604" s="741"/>
      <c r="I604" s="741"/>
      <c r="J604" s="741"/>
      <c r="K604" s="741"/>
      <c r="L604" s="741"/>
      <c r="M604" s="741"/>
      <c r="N604" s="741"/>
      <c r="O604" s="741"/>
      <c r="P604" s="741"/>
      <c r="Q604" s="741"/>
      <c r="R604" s="741"/>
      <c r="S604" s="741"/>
      <c r="T604" s="741"/>
      <c r="U604" s="741"/>
      <c r="V604" s="741"/>
      <c r="W604" s="741"/>
      <c r="X604" s="741"/>
      <c r="Y604" s="741"/>
      <c r="Z604" s="741"/>
      <c r="AA604" s="741"/>
      <c r="AB604" s="741"/>
      <c r="AC604" s="741"/>
      <c r="AD604" s="741"/>
      <c r="AE604" s="741"/>
      <c r="AF604" s="741"/>
      <c r="AG604" s="741"/>
      <c r="AH604" s="741"/>
      <c r="AI604" s="741"/>
      <c r="AJ604" s="741"/>
      <c r="AK604" s="741"/>
      <c r="AL604" s="741"/>
      <c r="AM604" s="741"/>
      <c r="AN604" s="741"/>
      <c r="AO604" s="741"/>
      <c r="AP604" s="741"/>
    </row>
    <row r="605" spans="1:42" ht="12.75" customHeight="1">
      <c r="A605" s="741"/>
      <c r="B605" s="741"/>
      <c r="C605" s="741"/>
      <c r="D605" s="741"/>
      <c r="E605" s="741"/>
      <c r="F605" s="741"/>
      <c r="G605" s="741"/>
      <c r="H605" s="741"/>
      <c r="I605" s="741"/>
      <c r="J605" s="741"/>
      <c r="K605" s="741"/>
      <c r="L605" s="741"/>
      <c r="M605" s="741"/>
      <c r="N605" s="741"/>
      <c r="O605" s="741"/>
      <c r="P605" s="741"/>
      <c r="Q605" s="741"/>
      <c r="R605" s="741"/>
      <c r="S605" s="741"/>
      <c r="T605" s="741"/>
      <c r="U605" s="741"/>
      <c r="V605" s="741"/>
      <c r="W605" s="741"/>
      <c r="X605" s="741"/>
      <c r="Y605" s="741"/>
      <c r="Z605" s="741"/>
      <c r="AA605" s="741"/>
      <c r="AB605" s="741"/>
      <c r="AC605" s="741"/>
      <c r="AD605" s="741"/>
      <c r="AE605" s="741"/>
      <c r="AF605" s="741"/>
      <c r="AG605" s="741"/>
      <c r="AH605" s="741"/>
      <c r="AI605" s="741"/>
      <c r="AJ605" s="741"/>
      <c r="AK605" s="741"/>
      <c r="AL605" s="741"/>
      <c r="AM605" s="741"/>
      <c r="AN605" s="741"/>
      <c r="AO605" s="741"/>
      <c r="AP605" s="741"/>
    </row>
    <row r="606" spans="1:42" ht="12.75" customHeight="1">
      <c r="A606" s="741"/>
      <c r="B606" s="741"/>
      <c r="C606" s="741"/>
      <c r="D606" s="741"/>
      <c r="E606" s="741"/>
      <c r="F606" s="741"/>
      <c r="G606" s="741"/>
      <c r="H606" s="741"/>
      <c r="I606" s="741"/>
      <c r="J606" s="741"/>
      <c r="K606" s="741"/>
      <c r="L606" s="741"/>
      <c r="M606" s="741"/>
      <c r="N606" s="741"/>
      <c r="O606" s="741"/>
      <c r="P606" s="741"/>
      <c r="Q606" s="741"/>
      <c r="R606" s="741"/>
      <c r="S606" s="741"/>
      <c r="T606" s="741"/>
      <c r="U606" s="741"/>
      <c r="V606" s="741"/>
      <c r="W606" s="741"/>
      <c r="X606" s="741"/>
      <c r="Y606" s="741"/>
      <c r="Z606" s="741"/>
      <c r="AA606" s="741"/>
      <c r="AB606" s="741"/>
      <c r="AC606" s="741"/>
      <c r="AD606" s="741"/>
      <c r="AE606" s="741"/>
      <c r="AF606" s="741"/>
      <c r="AG606" s="741"/>
      <c r="AH606" s="741"/>
      <c r="AI606" s="741"/>
      <c r="AJ606" s="741"/>
      <c r="AK606" s="741"/>
      <c r="AL606" s="741"/>
      <c r="AM606" s="741"/>
      <c r="AN606" s="741"/>
      <c r="AO606" s="741"/>
      <c r="AP606" s="741"/>
    </row>
    <row r="607" spans="1:42" ht="12.75" customHeight="1">
      <c r="A607" s="741"/>
      <c r="B607" s="741"/>
      <c r="C607" s="741"/>
      <c r="D607" s="741"/>
      <c r="E607" s="741"/>
      <c r="F607" s="741"/>
      <c r="G607" s="741"/>
      <c r="H607" s="741"/>
      <c r="I607" s="741"/>
      <c r="J607" s="741"/>
      <c r="K607" s="741"/>
      <c r="L607" s="741"/>
      <c r="M607" s="741"/>
      <c r="N607" s="741"/>
      <c r="O607" s="741"/>
      <c r="P607" s="741"/>
      <c r="Q607" s="741"/>
      <c r="R607" s="741"/>
      <c r="S607" s="741"/>
      <c r="T607" s="741"/>
      <c r="U607" s="741"/>
      <c r="V607" s="741"/>
      <c r="W607" s="741"/>
      <c r="X607" s="741"/>
      <c r="Y607" s="741"/>
      <c r="Z607" s="741"/>
      <c r="AA607" s="741"/>
      <c r="AB607" s="741"/>
      <c r="AC607" s="741"/>
      <c r="AD607" s="741"/>
      <c r="AE607" s="741"/>
      <c r="AF607" s="741"/>
      <c r="AG607" s="741"/>
      <c r="AH607" s="741"/>
      <c r="AI607" s="741"/>
      <c r="AJ607" s="741"/>
      <c r="AK607" s="741"/>
      <c r="AL607" s="741"/>
      <c r="AM607" s="741"/>
      <c r="AN607" s="741"/>
      <c r="AO607" s="741"/>
      <c r="AP607" s="741"/>
    </row>
    <row r="608" spans="1:42" ht="12.75" customHeight="1">
      <c r="A608" s="741"/>
      <c r="B608" s="741"/>
      <c r="C608" s="741"/>
      <c r="D608" s="741"/>
      <c r="E608" s="741"/>
      <c r="F608" s="741"/>
      <c r="G608" s="741"/>
      <c r="H608" s="741"/>
      <c r="I608" s="741"/>
      <c r="J608" s="741"/>
      <c r="K608" s="741"/>
      <c r="L608" s="741"/>
      <c r="M608" s="741"/>
      <c r="N608" s="741"/>
      <c r="O608" s="741"/>
      <c r="P608" s="741"/>
      <c r="Q608" s="741"/>
      <c r="R608" s="741"/>
      <c r="S608" s="741"/>
      <c r="T608" s="741"/>
      <c r="U608" s="741"/>
      <c r="V608" s="741"/>
      <c r="W608" s="741"/>
      <c r="X608" s="741"/>
      <c r="Y608" s="741"/>
      <c r="Z608" s="741"/>
      <c r="AA608" s="741"/>
      <c r="AB608" s="741"/>
      <c r="AC608" s="741"/>
      <c r="AD608" s="741"/>
      <c r="AE608" s="741"/>
      <c r="AF608" s="741"/>
      <c r="AG608" s="741"/>
      <c r="AH608" s="741"/>
      <c r="AI608" s="741"/>
      <c r="AJ608" s="741"/>
      <c r="AK608" s="741"/>
      <c r="AL608" s="741"/>
      <c r="AM608" s="741"/>
      <c r="AN608" s="741"/>
      <c r="AO608" s="741"/>
      <c r="AP608" s="741"/>
    </row>
    <row r="609" spans="1:42" ht="12.75" customHeight="1">
      <c r="A609" s="741"/>
      <c r="B609" s="741"/>
      <c r="C609" s="741"/>
      <c r="D609" s="741"/>
      <c r="E609" s="741"/>
      <c r="F609" s="741"/>
      <c r="G609" s="741"/>
      <c r="H609" s="741"/>
      <c r="I609" s="741"/>
      <c r="J609" s="741"/>
      <c r="K609" s="741"/>
      <c r="L609" s="741"/>
      <c r="M609" s="741"/>
      <c r="N609" s="741"/>
      <c r="O609" s="741"/>
      <c r="P609" s="741"/>
      <c r="Q609" s="741"/>
      <c r="R609" s="741"/>
      <c r="S609" s="741"/>
      <c r="T609" s="741"/>
      <c r="U609" s="741"/>
      <c r="V609" s="741"/>
      <c r="W609" s="741"/>
      <c r="X609" s="741"/>
      <c r="Y609" s="741"/>
      <c r="Z609" s="741"/>
      <c r="AA609" s="741"/>
      <c r="AB609" s="741"/>
      <c r="AC609" s="741"/>
      <c r="AD609" s="741"/>
      <c r="AE609" s="741"/>
      <c r="AF609" s="741"/>
      <c r="AG609" s="741"/>
      <c r="AH609" s="741"/>
      <c r="AI609" s="741"/>
      <c r="AJ609" s="741"/>
      <c r="AK609" s="741"/>
      <c r="AL609" s="741"/>
      <c r="AM609" s="741"/>
      <c r="AN609" s="741"/>
      <c r="AO609" s="741"/>
      <c r="AP609" s="741"/>
    </row>
    <row r="610" spans="1:42" ht="12.75" customHeight="1">
      <c r="A610" s="741"/>
      <c r="B610" s="741"/>
      <c r="C610" s="741"/>
      <c r="D610" s="741"/>
      <c r="E610" s="741"/>
      <c r="F610" s="741"/>
      <c r="G610" s="741"/>
      <c r="H610" s="741"/>
      <c r="I610" s="741"/>
      <c r="J610" s="741"/>
      <c r="K610" s="741"/>
      <c r="L610" s="741"/>
      <c r="M610" s="741"/>
      <c r="N610" s="741"/>
      <c r="O610" s="741"/>
      <c r="P610" s="741"/>
      <c r="Q610" s="741"/>
      <c r="R610" s="741"/>
      <c r="S610" s="741"/>
      <c r="T610" s="741"/>
      <c r="U610" s="741"/>
      <c r="V610" s="741"/>
      <c r="W610" s="741"/>
      <c r="X610" s="741"/>
      <c r="Y610" s="741"/>
      <c r="Z610" s="741"/>
      <c r="AA610" s="741"/>
      <c r="AB610" s="741"/>
      <c r="AC610" s="741"/>
      <c r="AD610" s="741"/>
      <c r="AE610" s="741"/>
      <c r="AF610" s="741"/>
      <c r="AG610" s="741"/>
      <c r="AH610" s="741"/>
      <c r="AI610" s="741"/>
      <c r="AJ610" s="741"/>
      <c r="AK610" s="741"/>
      <c r="AL610" s="741"/>
      <c r="AM610" s="741"/>
      <c r="AN610" s="741"/>
      <c r="AO610" s="741"/>
      <c r="AP610" s="741"/>
    </row>
    <row r="611" spans="1:42" ht="12.75" customHeight="1">
      <c r="A611" s="741"/>
      <c r="B611" s="741"/>
      <c r="C611" s="741"/>
      <c r="D611" s="741"/>
      <c r="E611" s="741"/>
      <c r="F611" s="741"/>
      <c r="G611" s="741"/>
      <c r="H611" s="741"/>
      <c r="I611" s="741"/>
      <c r="J611" s="741"/>
      <c r="K611" s="741"/>
      <c r="L611" s="741"/>
      <c r="M611" s="741"/>
      <c r="N611" s="741"/>
      <c r="O611" s="741"/>
      <c r="P611" s="741"/>
      <c r="Q611" s="741"/>
      <c r="R611" s="741"/>
      <c r="S611" s="741"/>
      <c r="T611" s="741"/>
      <c r="U611" s="741"/>
      <c r="V611" s="741"/>
      <c r="W611" s="741"/>
      <c r="X611" s="741"/>
      <c r="Y611" s="741"/>
      <c r="Z611" s="741"/>
      <c r="AA611" s="741"/>
      <c r="AB611" s="741"/>
      <c r="AC611" s="741"/>
      <c r="AD611" s="741"/>
      <c r="AE611" s="741"/>
      <c r="AF611" s="741"/>
      <c r="AG611" s="741"/>
      <c r="AH611" s="741"/>
      <c r="AI611" s="741"/>
      <c r="AJ611" s="741"/>
      <c r="AK611" s="741"/>
      <c r="AL611" s="741"/>
      <c r="AM611" s="741"/>
      <c r="AN611" s="741"/>
      <c r="AO611" s="741"/>
      <c r="AP611" s="741"/>
    </row>
    <row r="612" spans="1:42" ht="12.75" customHeight="1">
      <c r="A612" s="741"/>
      <c r="B612" s="741"/>
      <c r="C612" s="741"/>
      <c r="D612" s="741"/>
      <c r="E612" s="741"/>
      <c r="F612" s="741"/>
      <c r="G612" s="741"/>
      <c r="H612" s="741"/>
      <c r="I612" s="741"/>
      <c r="J612" s="741"/>
      <c r="K612" s="741"/>
      <c r="L612" s="741"/>
      <c r="M612" s="741"/>
      <c r="N612" s="741"/>
      <c r="O612" s="741"/>
      <c r="P612" s="741"/>
      <c r="Q612" s="741"/>
      <c r="R612" s="741"/>
      <c r="S612" s="741"/>
      <c r="T612" s="741"/>
      <c r="U612" s="741"/>
      <c r="V612" s="741"/>
      <c r="W612" s="741"/>
      <c r="X612" s="741"/>
      <c r="Y612" s="741"/>
      <c r="Z612" s="741"/>
      <c r="AA612" s="741"/>
      <c r="AB612" s="741"/>
      <c r="AC612" s="741"/>
      <c r="AD612" s="741"/>
      <c r="AE612" s="741"/>
      <c r="AF612" s="741"/>
      <c r="AG612" s="741"/>
      <c r="AH612" s="741"/>
      <c r="AI612" s="741"/>
      <c r="AJ612" s="741"/>
      <c r="AK612" s="741"/>
      <c r="AL612" s="741"/>
      <c r="AM612" s="741"/>
      <c r="AN612" s="741"/>
      <c r="AO612" s="741"/>
      <c r="AP612" s="741"/>
    </row>
    <row r="613" spans="1:42" ht="12.75" customHeight="1">
      <c r="A613" s="741"/>
      <c r="B613" s="741"/>
      <c r="C613" s="741"/>
      <c r="D613" s="741"/>
      <c r="E613" s="741"/>
      <c r="F613" s="741"/>
      <c r="G613" s="741"/>
      <c r="H613" s="741"/>
      <c r="I613" s="741"/>
      <c r="J613" s="741"/>
      <c r="K613" s="741"/>
      <c r="L613" s="741"/>
      <c r="M613" s="741"/>
      <c r="N613" s="741"/>
      <c r="O613" s="741"/>
      <c r="P613" s="741"/>
      <c r="Q613" s="741"/>
      <c r="R613" s="741"/>
      <c r="S613" s="741"/>
      <c r="T613" s="741"/>
      <c r="U613" s="741"/>
      <c r="V613" s="741"/>
      <c r="W613" s="741"/>
      <c r="X613" s="741"/>
      <c r="Y613" s="741"/>
      <c r="Z613" s="741"/>
      <c r="AA613" s="741"/>
      <c r="AB613" s="741"/>
      <c r="AC613" s="741"/>
      <c r="AD613" s="741"/>
      <c r="AE613" s="741"/>
      <c r="AF613" s="741"/>
      <c r="AG613" s="741"/>
      <c r="AH613" s="741"/>
      <c r="AI613" s="741"/>
      <c r="AJ613" s="741"/>
      <c r="AK613" s="741"/>
      <c r="AL613" s="741"/>
      <c r="AM613" s="741"/>
      <c r="AN613" s="741"/>
      <c r="AO613" s="741"/>
      <c r="AP613" s="741"/>
    </row>
    <row r="614" spans="1:42" ht="12.75" customHeight="1">
      <c r="A614" s="741"/>
      <c r="B614" s="741"/>
      <c r="C614" s="741"/>
      <c r="D614" s="741"/>
      <c r="E614" s="741"/>
      <c r="F614" s="741"/>
      <c r="G614" s="741"/>
      <c r="H614" s="741"/>
      <c r="I614" s="741"/>
      <c r="J614" s="741"/>
      <c r="K614" s="741"/>
      <c r="L614" s="741"/>
      <c r="M614" s="741"/>
      <c r="N614" s="741"/>
      <c r="O614" s="741"/>
      <c r="P614" s="741"/>
      <c r="Q614" s="741"/>
      <c r="R614" s="741"/>
      <c r="S614" s="741"/>
      <c r="T614" s="741"/>
      <c r="U614" s="741"/>
      <c r="V614" s="741"/>
      <c r="W614" s="741"/>
      <c r="X614" s="741"/>
      <c r="Y614" s="741"/>
      <c r="Z614" s="741"/>
      <c r="AA614" s="741"/>
      <c r="AB614" s="741"/>
      <c r="AC614" s="741"/>
      <c r="AD614" s="741"/>
      <c r="AE614" s="741"/>
      <c r="AF614" s="741"/>
      <c r="AG614" s="741"/>
      <c r="AH614" s="741"/>
      <c r="AI614" s="741"/>
      <c r="AJ614" s="741"/>
      <c r="AK614" s="741"/>
      <c r="AL614" s="741"/>
      <c r="AM614" s="741"/>
      <c r="AN614" s="741"/>
      <c r="AO614" s="741"/>
      <c r="AP614" s="741"/>
    </row>
    <row r="615" spans="1:42" ht="12.75" customHeight="1">
      <c r="A615" s="741"/>
      <c r="B615" s="741"/>
      <c r="C615" s="741"/>
      <c r="D615" s="741"/>
      <c r="E615" s="741"/>
      <c r="F615" s="741"/>
      <c r="G615" s="741"/>
      <c r="H615" s="741"/>
      <c r="I615" s="741"/>
      <c r="J615" s="741"/>
      <c r="K615" s="741"/>
      <c r="L615" s="741"/>
      <c r="M615" s="741"/>
      <c r="N615" s="741"/>
      <c r="O615" s="741"/>
      <c r="P615" s="741"/>
      <c r="Q615" s="741"/>
      <c r="R615" s="741"/>
      <c r="S615" s="741"/>
      <c r="T615" s="741"/>
      <c r="U615" s="741"/>
      <c r="V615" s="741"/>
      <c r="W615" s="741"/>
      <c r="X615" s="741"/>
      <c r="Y615" s="741"/>
      <c r="Z615" s="741"/>
      <c r="AA615" s="741"/>
      <c r="AB615" s="741"/>
      <c r="AC615" s="741"/>
      <c r="AD615" s="741"/>
      <c r="AE615" s="741"/>
      <c r="AF615" s="741"/>
      <c r="AG615" s="741"/>
      <c r="AH615" s="741"/>
      <c r="AI615" s="741"/>
      <c r="AJ615" s="741"/>
      <c r="AK615" s="741"/>
      <c r="AL615" s="741"/>
      <c r="AM615" s="741"/>
      <c r="AN615" s="741"/>
      <c r="AO615" s="741"/>
      <c r="AP615" s="741"/>
    </row>
    <row r="616" spans="1:42" ht="12.75" customHeight="1">
      <c r="A616" s="741"/>
      <c r="B616" s="741"/>
      <c r="C616" s="741"/>
      <c r="D616" s="741"/>
      <c r="E616" s="741"/>
      <c r="F616" s="741"/>
      <c r="G616" s="741"/>
      <c r="H616" s="741"/>
      <c r="I616" s="741"/>
      <c r="J616" s="741"/>
      <c r="K616" s="741"/>
      <c r="L616" s="741"/>
      <c r="M616" s="741"/>
      <c r="N616" s="741"/>
      <c r="O616" s="741"/>
      <c r="P616" s="741"/>
      <c r="Q616" s="741"/>
      <c r="R616" s="741"/>
      <c r="S616" s="741"/>
      <c r="T616" s="741"/>
      <c r="U616" s="741"/>
      <c r="V616" s="741"/>
      <c r="W616" s="741"/>
      <c r="X616" s="741"/>
      <c r="Y616" s="741"/>
      <c r="Z616" s="741"/>
      <c r="AA616" s="741"/>
      <c r="AB616" s="741"/>
      <c r="AC616" s="741"/>
      <c r="AD616" s="741"/>
      <c r="AE616" s="741"/>
      <c r="AF616" s="741"/>
      <c r="AG616" s="741"/>
      <c r="AH616" s="741"/>
      <c r="AI616" s="741"/>
      <c r="AJ616" s="741"/>
      <c r="AK616" s="741"/>
      <c r="AL616" s="741"/>
      <c r="AM616" s="741"/>
      <c r="AN616" s="741"/>
      <c r="AO616" s="741"/>
      <c r="AP616" s="741"/>
    </row>
    <row r="617" spans="1:42" ht="12.75" customHeight="1">
      <c r="A617" s="741"/>
      <c r="B617" s="741"/>
      <c r="C617" s="741"/>
      <c r="D617" s="741"/>
      <c r="E617" s="741"/>
      <c r="F617" s="741"/>
      <c r="G617" s="741"/>
      <c r="H617" s="741"/>
      <c r="I617" s="741"/>
      <c r="J617" s="741"/>
      <c r="K617" s="741"/>
      <c r="L617" s="741"/>
      <c r="M617" s="741"/>
      <c r="N617" s="741"/>
      <c r="O617" s="741"/>
      <c r="P617" s="741"/>
      <c r="Q617" s="741"/>
      <c r="R617" s="741"/>
      <c r="S617" s="741"/>
      <c r="T617" s="741"/>
      <c r="U617" s="741"/>
      <c r="V617" s="741"/>
      <c r="W617" s="741"/>
      <c r="X617" s="741"/>
      <c r="Y617" s="741"/>
      <c r="Z617" s="741"/>
      <c r="AA617" s="741"/>
      <c r="AB617" s="741"/>
      <c r="AC617" s="741"/>
      <c r="AD617" s="741"/>
      <c r="AE617" s="741"/>
      <c r="AF617" s="741"/>
      <c r="AG617" s="741"/>
      <c r="AH617" s="741"/>
      <c r="AI617" s="741"/>
      <c r="AJ617" s="741"/>
      <c r="AK617" s="741"/>
      <c r="AL617" s="741"/>
      <c r="AM617" s="741"/>
      <c r="AN617" s="741"/>
      <c r="AO617" s="741"/>
      <c r="AP617" s="741"/>
    </row>
    <row r="618" spans="1:42" ht="12.75" customHeight="1">
      <c r="A618" s="741"/>
      <c r="B618" s="741"/>
      <c r="C618" s="741"/>
      <c r="D618" s="741"/>
      <c r="E618" s="741"/>
      <c r="F618" s="741"/>
      <c r="G618" s="741"/>
      <c r="H618" s="741"/>
      <c r="I618" s="741"/>
      <c r="J618" s="741"/>
      <c r="K618" s="741"/>
      <c r="L618" s="741"/>
      <c r="M618" s="741"/>
      <c r="N618" s="741"/>
      <c r="O618" s="741"/>
      <c r="P618" s="741"/>
      <c r="Q618" s="741"/>
      <c r="R618" s="741"/>
      <c r="S618" s="741"/>
      <c r="T618" s="741"/>
      <c r="U618" s="741"/>
      <c r="V618" s="741"/>
      <c r="W618" s="741"/>
      <c r="X618" s="741"/>
      <c r="Y618" s="741"/>
      <c r="Z618" s="741"/>
      <c r="AA618" s="741"/>
      <c r="AB618" s="741"/>
      <c r="AC618" s="741"/>
      <c r="AD618" s="741"/>
      <c r="AE618" s="741"/>
      <c r="AF618" s="741"/>
      <c r="AG618" s="741"/>
      <c r="AH618" s="741"/>
      <c r="AI618" s="741"/>
      <c r="AJ618" s="741"/>
      <c r="AK618" s="741"/>
      <c r="AL618" s="741"/>
      <c r="AM618" s="741"/>
      <c r="AN618" s="741"/>
      <c r="AO618" s="741"/>
      <c r="AP618" s="741"/>
    </row>
    <row r="619" spans="1:42" ht="12.75" customHeight="1">
      <c r="A619" s="741"/>
      <c r="B619" s="741"/>
      <c r="C619" s="741"/>
      <c r="D619" s="741"/>
      <c r="E619" s="741"/>
      <c r="F619" s="741"/>
      <c r="G619" s="741"/>
      <c r="H619" s="741"/>
      <c r="I619" s="741"/>
      <c r="J619" s="741"/>
      <c r="K619" s="741"/>
      <c r="L619" s="741"/>
      <c r="M619" s="741"/>
      <c r="N619" s="741"/>
      <c r="O619" s="741"/>
      <c r="P619" s="741"/>
      <c r="Q619" s="741"/>
      <c r="R619" s="741"/>
      <c r="S619" s="741"/>
      <c r="T619" s="741"/>
      <c r="U619" s="741"/>
      <c r="V619" s="741"/>
      <c r="W619" s="741"/>
      <c r="X619" s="741"/>
      <c r="Y619" s="741"/>
      <c r="Z619" s="741"/>
      <c r="AA619" s="741"/>
      <c r="AB619" s="741"/>
      <c r="AC619" s="741"/>
      <c r="AD619" s="741"/>
      <c r="AE619" s="741"/>
      <c r="AF619" s="741"/>
      <c r="AG619" s="741"/>
      <c r="AH619" s="741"/>
      <c r="AI619" s="741"/>
      <c r="AJ619" s="741"/>
      <c r="AK619" s="741"/>
      <c r="AL619" s="741"/>
      <c r="AM619" s="741"/>
      <c r="AN619" s="741"/>
      <c r="AO619" s="741"/>
      <c r="AP619" s="741"/>
    </row>
    <row r="620" spans="1:42" ht="12.75" customHeight="1">
      <c r="A620" s="741"/>
      <c r="B620" s="741"/>
      <c r="C620" s="741"/>
      <c r="D620" s="741"/>
      <c r="E620" s="741"/>
      <c r="F620" s="741"/>
      <c r="G620" s="741"/>
      <c r="H620" s="741"/>
      <c r="I620" s="741"/>
      <c r="J620" s="741"/>
      <c r="K620" s="741"/>
      <c r="L620" s="741"/>
      <c r="M620" s="741"/>
      <c r="N620" s="741"/>
      <c r="O620" s="741"/>
      <c r="P620" s="741"/>
      <c r="Q620" s="741"/>
      <c r="R620" s="741"/>
      <c r="S620" s="741"/>
      <c r="T620" s="741"/>
      <c r="U620" s="741"/>
      <c r="V620" s="741"/>
      <c r="W620" s="741"/>
      <c r="X620" s="741"/>
      <c r="Y620" s="741"/>
      <c r="Z620" s="741"/>
      <c r="AA620" s="741"/>
      <c r="AB620" s="741"/>
      <c r="AC620" s="741"/>
      <c r="AD620" s="741"/>
      <c r="AE620" s="741"/>
      <c r="AF620" s="741"/>
      <c r="AG620" s="741"/>
      <c r="AH620" s="741"/>
      <c r="AI620" s="741"/>
      <c r="AJ620" s="741"/>
      <c r="AK620" s="741"/>
      <c r="AL620" s="741"/>
      <c r="AM620" s="741"/>
      <c r="AN620" s="741"/>
      <c r="AO620" s="741"/>
      <c r="AP620" s="741"/>
    </row>
    <row r="621" spans="1:42" ht="12.75" customHeight="1">
      <c r="A621" s="741"/>
      <c r="B621" s="741"/>
      <c r="C621" s="741"/>
      <c r="D621" s="741"/>
      <c r="E621" s="741"/>
      <c r="F621" s="741"/>
      <c r="G621" s="741"/>
      <c r="H621" s="741"/>
      <c r="I621" s="741"/>
      <c r="J621" s="741"/>
      <c r="K621" s="741"/>
      <c r="L621" s="741"/>
      <c r="M621" s="741"/>
      <c r="N621" s="741"/>
      <c r="O621" s="741"/>
      <c r="P621" s="741"/>
      <c r="Q621" s="741"/>
      <c r="R621" s="741"/>
      <c r="S621" s="741"/>
      <c r="T621" s="741"/>
      <c r="U621" s="741"/>
      <c r="V621" s="741"/>
      <c r="W621" s="741"/>
      <c r="X621" s="741"/>
      <c r="Y621" s="741"/>
      <c r="Z621" s="741"/>
      <c r="AA621" s="741"/>
      <c r="AB621" s="741"/>
      <c r="AC621" s="741"/>
      <c r="AD621" s="741"/>
      <c r="AE621" s="741"/>
      <c r="AF621" s="741"/>
      <c r="AG621" s="741"/>
      <c r="AH621" s="741"/>
      <c r="AI621" s="741"/>
      <c r="AJ621" s="741"/>
      <c r="AK621" s="741"/>
      <c r="AL621" s="741"/>
      <c r="AM621" s="741"/>
      <c r="AN621" s="741"/>
      <c r="AO621" s="741"/>
      <c r="AP621" s="741"/>
    </row>
    <row r="622" spans="1:42" ht="12.75" customHeight="1">
      <c r="A622" s="741"/>
      <c r="B622" s="741"/>
      <c r="C622" s="741"/>
      <c r="D622" s="741"/>
      <c r="E622" s="741"/>
      <c r="F622" s="741"/>
      <c r="G622" s="741"/>
      <c r="H622" s="741"/>
      <c r="I622" s="741"/>
      <c r="J622" s="741"/>
      <c r="K622" s="741"/>
      <c r="L622" s="741"/>
      <c r="M622" s="741"/>
      <c r="N622" s="741"/>
      <c r="O622" s="741"/>
      <c r="P622" s="741"/>
      <c r="Q622" s="741"/>
      <c r="R622" s="741"/>
      <c r="S622" s="741"/>
      <c r="T622" s="741"/>
      <c r="U622" s="741"/>
      <c r="V622" s="741"/>
      <c r="W622" s="741"/>
      <c r="X622" s="741"/>
      <c r="Y622" s="741"/>
      <c r="Z622" s="741"/>
      <c r="AA622" s="741"/>
      <c r="AB622" s="741"/>
      <c r="AC622" s="741"/>
      <c r="AD622" s="741"/>
      <c r="AE622" s="741"/>
      <c r="AF622" s="741"/>
      <c r="AG622" s="741"/>
      <c r="AH622" s="741"/>
      <c r="AI622" s="741"/>
      <c r="AJ622" s="741"/>
      <c r="AK622" s="741"/>
      <c r="AL622" s="741"/>
      <c r="AM622" s="741"/>
      <c r="AN622" s="741"/>
      <c r="AO622" s="741"/>
      <c r="AP622" s="741"/>
    </row>
    <row r="623" spans="1:42" ht="12.75" customHeight="1">
      <c r="A623" s="741"/>
      <c r="B623" s="741"/>
      <c r="C623" s="741"/>
      <c r="D623" s="741"/>
      <c r="E623" s="741"/>
      <c r="F623" s="741"/>
      <c r="G623" s="741"/>
      <c r="H623" s="741"/>
      <c r="I623" s="741"/>
      <c r="J623" s="741"/>
      <c r="K623" s="741"/>
      <c r="L623" s="741"/>
      <c r="M623" s="741"/>
      <c r="N623" s="741"/>
      <c r="O623" s="741"/>
      <c r="P623" s="741"/>
      <c r="Q623" s="741"/>
      <c r="R623" s="741"/>
      <c r="S623" s="741"/>
      <c r="T623" s="741"/>
      <c r="U623" s="741"/>
      <c r="V623" s="741"/>
      <c r="W623" s="741"/>
      <c r="X623" s="741"/>
      <c r="Y623" s="741"/>
      <c r="Z623" s="741"/>
      <c r="AA623" s="741"/>
      <c r="AB623" s="741"/>
      <c r="AC623" s="741"/>
      <c r="AD623" s="741"/>
      <c r="AE623" s="741"/>
      <c r="AF623" s="741"/>
      <c r="AG623" s="741"/>
      <c r="AH623" s="741"/>
      <c r="AI623" s="741"/>
      <c r="AJ623" s="741"/>
      <c r="AK623" s="741"/>
      <c r="AL623" s="741"/>
      <c r="AM623" s="741"/>
      <c r="AN623" s="741"/>
      <c r="AO623" s="741"/>
      <c r="AP623" s="741"/>
    </row>
    <row r="624" spans="1:42" ht="12.75" customHeight="1">
      <c r="A624" s="741"/>
      <c r="B624" s="741"/>
      <c r="C624" s="741"/>
      <c r="D624" s="741"/>
      <c r="E624" s="741"/>
      <c r="F624" s="741"/>
      <c r="G624" s="741"/>
      <c r="H624" s="741"/>
      <c r="I624" s="741"/>
      <c r="J624" s="741"/>
      <c r="K624" s="741"/>
      <c r="L624" s="741"/>
      <c r="M624" s="741"/>
      <c r="N624" s="741"/>
      <c r="O624" s="741"/>
      <c r="P624" s="741"/>
      <c r="Q624" s="741"/>
      <c r="R624" s="741"/>
      <c r="S624" s="741"/>
      <c r="T624" s="741"/>
      <c r="U624" s="741"/>
      <c r="V624" s="741"/>
      <c r="W624" s="741"/>
      <c r="X624" s="741"/>
      <c r="Y624" s="741"/>
      <c r="Z624" s="741"/>
      <c r="AA624" s="741"/>
      <c r="AB624" s="741"/>
      <c r="AC624" s="741"/>
      <c r="AD624" s="741"/>
      <c r="AE624" s="741"/>
      <c r="AF624" s="741"/>
      <c r="AG624" s="741"/>
      <c r="AH624" s="741"/>
      <c r="AI624" s="741"/>
      <c r="AJ624" s="741"/>
      <c r="AK624" s="741"/>
      <c r="AL624" s="741"/>
      <c r="AM624" s="741"/>
      <c r="AN624" s="741"/>
      <c r="AO624" s="741"/>
      <c r="AP624" s="741"/>
    </row>
    <row r="625" spans="1:42" ht="12.75" customHeight="1">
      <c r="A625" s="741"/>
      <c r="B625" s="741"/>
      <c r="C625" s="741"/>
      <c r="D625" s="741"/>
      <c r="E625" s="741"/>
      <c r="F625" s="741"/>
      <c r="G625" s="741"/>
      <c r="H625" s="741"/>
      <c r="I625" s="741"/>
      <c r="J625" s="741"/>
      <c r="K625" s="741"/>
      <c r="L625" s="741"/>
      <c r="M625" s="741"/>
      <c r="N625" s="741"/>
      <c r="O625" s="741"/>
      <c r="P625" s="741"/>
      <c r="Q625" s="741"/>
      <c r="R625" s="741"/>
      <c r="S625" s="741"/>
      <c r="T625" s="741"/>
      <c r="U625" s="741"/>
      <c r="V625" s="741"/>
      <c r="W625" s="741"/>
      <c r="X625" s="741"/>
      <c r="Y625" s="741"/>
      <c r="Z625" s="741"/>
      <c r="AA625" s="741"/>
      <c r="AB625" s="741"/>
      <c r="AC625" s="741"/>
      <c r="AD625" s="741"/>
      <c r="AE625" s="741"/>
      <c r="AF625" s="741"/>
      <c r="AG625" s="741"/>
      <c r="AH625" s="741"/>
      <c r="AI625" s="741"/>
      <c r="AJ625" s="741"/>
      <c r="AK625" s="741"/>
      <c r="AL625" s="741"/>
      <c r="AM625" s="741"/>
      <c r="AN625" s="741"/>
      <c r="AO625" s="741"/>
      <c r="AP625" s="741"/>
    </row>
    <row r="626" spans="1:42" ht="12.75" customHeight="1">
      <c r="A626" s="741"/>
      <c r="B626" s="741"/>
      <c r="C626" s="741"/>
      <c r="D626" s="741"/>
      <c r="E626" s="741"/>
      <c r="F626" s="741"/>
      <c r="G626" s="741"/>
      <c r="H626" s="741"/>
      <c r="I626" s="741"/>
      <c r="J626" s="741"/>
      <c r="K626" s="741"/>
      <c r="L626" s="741"/>
      <c r="M626" s="741"/>
      <c r="N626" s="741"/>
      <c r="O626" s="741"/>
      <c r="P626" s="741"/>
      <c r="Q626" s="741"/>
      <c r="R626" s="741"/>
      <c r="S626" s="741"/>
      <c r="T626" s="741"/>
      <c r="U626" s="741"/>
      <c r="V626" s="741"/>
      <c r="W626" s="741"/>
      <c r="X626" s="741"/>
      <c r="Y626" s="741"/>
      <c r="Z626" s="741"/>
      <c r="AA626" s="741"/>
      <c r="AB626" s="741"/>
      <c r="AC626" s="741"/>
      <c r="AD626" s="741"/>
      <c r="AE626" s="741"/>
      <c r="AF626" s="741"/>
      <c r="AG626" s="741"/>
      <c r="AH626" s="741"/>
      <c r="AI626" s="741"/>
      <c r="AJ626" s="741"/>
      <c r="AK626" s="741"/>
      <c r="AL626" s="741"/>
      <c r="AM626" s="741"/>
      <c r="AN626" s="741"/>
      <c r="AO626" s="741"/>
      <c r="AP626" s="741"/>
    </row>
    <row r="627" spans="1:42" ht="12.75" customHeight="1">
      <c r="A627" s="741"/>
      <c r="B627" s="741"/>
      <c r="C627" s="741"/>
      <c r="D627" s="741"/>
      <c r="E627" s="741"/>
      <c r="F627" s="741"/>
      <c r="G627" s="741"/>
      <c r="H627" s="741"/>
      <c r="I627" s="741"/>
      <c r="J627" s="741"/>
      <c r="K627" s="741"/>
      <c r="L627" s="741"/>
      <c r="M627" s="741"/>
      <c r="N627" s="741"/>
      <c r="O627" s="741"/>
      <c r="P627" s="741"/>
      <c r="Q627" s="741"/>
      <c r="R627" s="741"/>
      <c r="S627" s="741"/>
      <c r="T627" s="741"/>
      <c r="U627" s="741"/>
      <c r="V627" s="741"/>
      <c r="W627" s="741"/>
      <c r="X627" s="741"/>
      <c r="Y627" s="741"/>
      <c r="Z627" s="741"/>
      <c r="AA627" s="741"/>
      <c r="AB627" s="741"/>
      <c r="AC627" s="741"/>
      <c r="AD627" s="741"/>
      <c r="AE627" s="741"/>
      <c r="AF627" s="741"/>
      <c r="AG627" s="741"/>
      <c r="AH627" s="741"/>
      <c r="AI627" s="741"/>
      <c r="AJ627" s="741"/>
      <c r="AK627" s="741"/>
      <c r="AL627" s="741"/>
      <c r="AM627" s="741"/>
      <c r="AN627" s="741"/>
      <c r="AO627" s="741"/>
      <c r="AP627" s="741"/>
    </row>
    <row r="628" spans="1:42" ht="12.75" customHeight="1">
      <c r="A628" s="741"/>
      <c r="B628" s="741"/>
      <c r="C628" s="741"/>
      <c r="D628" s="741"/>
      <c r="E628" s="741"/>
      <c r="F628" s="741"/>
      <c r="G628" s="741"/>
      <c r="H628" s="741"/>
      <c r="I628" s="741"/>
      <c r="J628" s="741"/>
      <c r="K628" s="741"/>
      <c r="L628" s="741"/>
      <c r="M628" s="741"/>
      <c r="N628" s="741"/>
      <c r="O628" s="741"/>
      <c r="P628" s="741"/>
      <c r="Q628" s="741"/>
      <c r="R628" s="741"/>
      <c r="S628" s="741"/>
      <c r="T628" s="741"/>
      <c r="U628" s="741"/>
      <c r="V628" s="741"/>
      <c r="W628" s="741"/>
      <c r="X628" s="741"/>
      <c r="Y628" s="741"/>
      <c r="Z628" s="741"/>
      <c r="AA628" s="741"/>
      <c r="AB628" s="741"/>
      <c r="AC628" s="741"/>
      <c r="AD628" s="741"/>
      <c r="AE628" s="741"/>
      <c r="AF628" s="741"/>
      <c r="AG628" s="741"/>
      <c r="AH628" s="741"/>
      <c r="AI628" s="741"/>
      <c r="AJ628" s="741"/>
      <c r="AK628" s="741"/>
      <c r="AL628" s="741"/>
      <c r="AM628" s="741"/>
      <c r="AN628" s="741"/>
      <c r="AO628" s="741"/>
      <c r="AP628" s="741"/>
    </row>
    <row r="629" spans="1:42" ht="12.75" customHeight="1">
      <c r="A629" s="741"/>
      <c r="B629" s="741"/>
      <c r="C629" s="741"/>
      <c r="D629" s="741"/>
      <c r="E629" s="741"/>
      <c r="F629" s="741"/>
      <c r="G629" s="741"/>
      <c r="H629" s="741"/>
      <c r="I629" s="741"/>
      <c r="J629" s="741"/>
      <c r="K629" s="741"/>
      <c r="L629" s="741"/>
      <c r="M629" s="741"/>
      <c r="N629" s="741"/>
      <c r="O629" s="741"/>
      <c r="P629" s="741"/>
      <c r="Q629" s="741"/>
      <c r="R629" s="741"/>
      <c r="S629" s="741"/>
      <c r="T629" s="741"/>
      <c r="U629" s="741"/>
      <c r="V629" s="741"/>
      <c r="W629" s="741"/>
      <c r="X629" s="741"/>
      <c r="Y629" s="741"/>
      <c r="Z629" s="741"/>
      <c r="AA629" s="741"/>
      <c r="AB629" s="741"/>
      <c r="AC629" s="741"/>
      <c r="AD629" s="741"/>
      <c r="AE629" s="741"/>
      <c r="AF629" s="741"/>
      <c r="AG629" s="741"/>
      <c r="AH629" s="741"/>
      <c r="AI629" s="741"/>
      <c r="AJ629" s="741"/>
      <c r="AK629" s="741"/>
      <c r="AL629" s="741"/>
      <c r="AM629" s="741"/>
      <c r="AN629" s="741"/>
      <c r="AO629" s="741"/>
      <c r="AP629" s="741"/>
    </row>
    <row r="630" spans="1:42" ht="12.75" customHeight="1">
      <c r="A630" s="741"/>
      <c r="B630" s="741"/>
      <c r="C630" s="741"/>
      <c r="D630" s="741"/>
      <c r="E630" s="741"/>
      <c r="F630" s="741"/>
      <c r="G630" s="741"/>
      <c r="H630" s="741"/>
      <c r="I630" s="741"/>
      <c r="J630" s="741"/>
      <c r="K630" s="741"/>
      <c r="L630" s="741"/>
      <c r="M630" s="741"/>
      <c r="N630" s="741"/>
      <c r="O630" s="741"/>
      <c r="P630" s="741"/>
      <c r="Q630" s="741"/>
      <c r="R630" s="741"/>
      <c r="S630" s="741"/>
      <c r="T630" s="741"/>
      <c r="U630" s="741"/>
      <c r="V630" s="741"/>
      <c r="W630" s="741"/>
      <c r="X630" s="741"/>
      <c r="Y630" s="741"/>
      <c r="Z630" s="741"/>
      <c r="AA630" s="741"/>
      <c r="AB630" s="741"/>
      <c r="AC630" s="741"/>
      <c r="AD630" s="741"/>
      <c r="AE630" s="741"/>
      <c r="AF630" s="741"/>
      <c r="AG630" s="741"/>
      <c r="AH630" s="741"/>
      <c r="AI630" s="741"/>
      <c r="AJ630" s="741"/>
      <c r="AK630" s="741"/>
      <c r="AL630" s="741"/>
      <c r="AM630" s="741"/>
      <c r="AN630" s="741"/>
      <c r="AO630" s="741"/>
      <c r="AP630" s="741"/>
    </row>
    <row r="631" spans="1:42" ht="12.75" customHeight="1">
      <c r="A631" s="741"/>
      <c r="B631" s="741"/>
      <c r="C631" s="741"/>
      <c r="D631" s="741"/>
      <c r="E631" s="741"/>
      <c r="F631" s="741"/>
      <c r="G631" s="741"/>
      <c r="H631" s="741"/>
      <c r="I631" s="741"/>
      <c r="J631" s="741"/>
      <c r="K631" s="741"/>
      <c r="L631" s="741"/>
      <c r="M631" s="741"/>
      <c r="N631" s="741"/>
      <c r="O631" s="741"/>
      <c r="P631" s="741"/>
      <c r="Q631" s="741"/>
      <c r="R631" s="741"/>
      <c r="S631" s="741"/>
      <c r="T631" s="741"/>
      <c r="U631" s="741"/>
      <c r="V631" s="741"/>
      <c r="W631" s="741"/>
      <c r="X631" s="741"/>
      <c r="Y631" s="741"/>
      <c r="Z631" s="741"/>
      <c r="AA631" s="741"/>
      <c r="AB631" s="741"/>
      <c r="AC631" s="741"/>
      <c r="AD631" s="741"/>
      <c r="AE631" s="741"/>
      <c r="AF631" s="741"/>
      <c r="AG631" s="741"/>
      <c r="AH631" s="741"/>
      <c r="AI631" s="741"/>
      <c r="AJ631" s="741"/>
      <c r="AK631" s="741"/>
      <c r="AL631" s="741"/>
      <c r="AM631" s="741"/>
      <c r="AN631" s="741"/>
      <c r="AO631" s="741"/>
      <c r="AP631" s="741"/>
    </row>
    <row r="632" spans="1:42" ht="12.75" customHeight="1">
      <c r="A632" s="741"/>
      <c r="B632" s="741"/>
      <c r="C632" s="741"/>
      <c r="D632" s="741"/>
      <c r="E632" s="741"/>
      <c r="F632" s="741"/>
      <c r="G632" s="741"/>
      <c r="H632" s="741"/>
      <c r="I632" s="741"/>
      <c r="J632" s="741"/>
      <c r="K632" s="741"/>
      <c r="L632" s="741"/>
      <c r="M632" s="741"/>
      <c r="N632" s="741"/>
      <c r="O632" s="741"/>
      <c r="P632" s="741"/>
      <c r="Q632" s="741"/>
      <c r="R632" s="741"/>
      <c r="S632" s="741"/>
      <c r="T632" s="741"/>
      <c r="U632" s="741"/>
      <c r="V632" s="741"/>
      <c r="W632" s="741"/>
      <c r="X632" s="741"/>
      <c r="Y632" s="741"/>
      <c r="Z632" s="741"/>
      <c r="AA632" s="741"/>
      <c r="AB632" s="741"/>
      <c r="AC632" s="741"/>
      <c r="AD632" s="741"/>
      <c r="AE632" s="741"/>
      <c r="AF632" s="741"/>
      <c r="AG632" s="741"/>
      <c r="AH632" s="741"/>
      <c r="AI632" s="741"/>
      <c r="AJ632" s="741"/>
      <c r="AK632" s="741"/>
      <c r="AL632" s="741"/>
      <c r="AM632" s="741"/>
      <c r="AN632" s="741"/>
      <c r="AO632" s="741"/>
      <c r="AP632" s="741"/>
    </row>
    <row r="633" spans="1:42" ht="12.75" customHeight="1">
      <c r="A633" s="741"/>
      <c r="B633" s="741"/>
      <c r="C633" s="741"/>
      <c r="D633" s="741"/>
      <c r="E633" s="741"/>
      <c r="F633" s="741"/>
      <c r="G633" s="741"/>
      <c r="H633" s="741"/>
      <c r="I633" s="741"/>
      <c r="J633" s="741"/>
      <c r="K633" s="741"/>
      <c r="L633" s="741"/>
      <c r="M633" s="741"/>
      <c r="N633" s="741"/>
      <c r="O633" s="741"/>
      <c r="P633" s="741"/>
      <c r="Q633" s="741"/>
      <c r="R633" s="741"/>
      <c r="S633" s="741"/>
      <c r="T633" s="741"/>
      <c r="U633" s="741"/>
      <c r="V633" s="741"/>
      <c r="W633" s="741"/>
      <c r="X633" s="741"/>
      <c r="Y633" s="741"/>
      <c r="Z633" s="741"/>
      <c r="AA633" s="741"/>
      <c r="AB633" s="741"/>
      <c r="AC633" s="741"/>
      <c r="AD633" s="741"/>
      <c r="AE633" s="741"/>
      <c r="AF633" s="741"/>
      <c r="AG633" s="741"/>
      <c r="AH633" s="741"/>
      <c r="AI633" s="741"/>
      <c r="AJ633" s="741"/>
      <c r="AK633" s="741"/>
      <c r="AL633" s="741"/>
      <c r="AM633" s="741"/>
      <c r="AN633" s="741"/>
      <c r="AO633" s="741"/>
      <c r="AP633" s="741"/>
    </row>
    <row r="634" spans="1:42" ht="12.75" customHeight="1">
      <c r="A634" s="741"/>
      <c r="B634" s="741"/>
      <c r="C634" s="741"/>
      <c r="D634" s="741"/>
      <c r="E634" s="741"/>
      <c r="F634" s="741"/>
      <c r="G634" s="741"/>
      <c r="H634" s="741"/>
      <c r="I634" s="741"/>
      <c r="J634" s="741"/>
      <c r="K634" s="741"/>
      <c r="L634" s="741"/>
      <c r="M634" s="741"/>
      <c r="N634" s="741"/>
      <c r="O634" s="741"/>
      <c r="P634" s="741"/>
      <c r="Q634" s="741"/>
      <c r="R634" s="741"/>
      <c r="S634" s="741"/>
      <c r="T634" s="741"/>
      <c r="U634" s="741"/>
      <c r="V634" s="741"/>
      <c r="W634" s="741"/>
      <c r="X634" s="741"/>
      <c r="Y634" s="741"/>
      <c r="Z634" s="741"/>
      <c r="AA634" s="741"/>
      <c r="AB634" s="741"/>
      <c r="AC634" s="741"/>
      <c r="AD634" s="741"/>
      <c r="AE634" s="741"/>
      <c r="AF634" s="741"/>
      <c r="AG634" s="741"/>
      <c r="AH634" s="741"/>
      <c r="AI634" s="741"/>
      <c r="AJ634" s="741"/>
      <c r="AK634" s="741"/>
      <c r="AL634" s="741"/>
      <c r="AM634" s="741"/>
      <c r="AN634" s="741"/>
      <c r="AO634" s="741"/>
      <c r="AP634" s="741"/>
    </row>
    <row r="635" spans="1:42" ht="12.75" customHeight="1">
      <c r="A635" s="741"/>
      <c r="B635" s="741"/>
      <c r="C635" s="741"/>
      <c r="D635" s="741"/>
      <c r="E635" s="741"/>
      <c r="F635" s="741"/>
      <c r="G635" s="741"/>
      <c r="H635" s="741"/>
      <c r="I635" s="741"/>
      <c r="J635" s="741"/>
      <c r="K635" s="741"/>
      <c r="L635" s="741"/>
      <c r="M635" s="741"/>
      <c r="N635" s="741"/>
      <c r="O635" s="741"/>
      <c r="P635" s="741"/>
      <c r="Q635" s="741"/>
      <c r="R635" s="741"/>
      <c r="S635" s="741"/>
      <c r="T635" s="741"/>
      <c r="U635" s="741"/>
      <c r="V635" s="741"/>
      <c r="W635" s="741"/>
      <c r="X635" s="741"/>
      <c r="Y635" s="741"/>
      <c r="Z635" s="741"/>
      <c r="AA635" s="741"/>
      <c r="AB635" s="741"/>
      <c r="AC635" s="741"/>
      <c r="AD635" s="741"/>
      <c r="AE635" s="741"/>
      <c r="AF635" s="741"/>
      <c r="AG635" s="741"/>
      <c r="AH635" s="741"/>
      <c r="AI635" s="741"/>
      <c r="AJ635" s="741"/>
      <c r="AK635" s="741"/>
      <c r="AL635" s="741"/>
      <c r="AM635" s="741"/>
      <c r="AN635" s="741"/>
      <c r="AO635" s="741"/>
      <c r="AP635" s="741"/>
    </row>
    <row r="636" spans="1:42" ht="12.75" customHeight="1">
      <c r="A636" s="741"/>
      <c r="B636" s="741"/>
      <c r="C636" s="741"/>
      <c r="D636" s="741"/>
      <c r="E636" s="741"/>
      <c r="F636" s="741"/>
      <c r="G636" s="741"/>
      <c r="H636" s="741"/>
      <c r="I636" s="741"/>
      <c r="J636" s="741"/>
      <c r="K636" s="741"/>
      <c r="L636" s="741"/>
      <c r="M636" s="741"/>
      <c r="N636" s="741"/>
      <c r="O636" s="741"/>
      <c r="P636" s="741"/>
      <c r="Q636" s="741"/>
      <c r="R636" s="741"/>
      <c r="S636" s="741"/>
      <c r="T636" s="741"/>
      <c r="U636" s="741"/>
      <c r="V636" s="741"/>
      <c r="W636" s="741"/>
      <c r="X636" s="741"/>
      <c r="Y636" s="741"/>
      <c r="Z636" s="741"/>
      <c r="AA636" s="741"/>
      <c r="AB636" s="741"/>
      <c r="AC636" s="741"/>
      <c r="AD636" s="741"/>
      <c r="AE636" s="741"/>
      <c r="AF636" s="741"/>
      <c r="AG636" s="741"/>
      <c r="AH636" s="741"/>
      <c r="AI636" s="741"/>
      <c r="AJ636" s="741"/>
      <c r="AK636" s="741"/>
      <c r="AL636" s="741"/>
      <c r="AM636" s="741"/>
      <c r="AN636" s="741"/>
      <c r="AO636" s="741"/>
      <c r="AP636" s="741"/>
    </row>
    <row r="637" spans="1:42" ht="12.75" customHeight="1">
      <c r="A637" s="741"/>
      <c r="B637" s="741"/>
      <c r="C637" s="741"/>
      <c r="D637" s="741"/>
      <c r="E637" s="741"/>
      <c r="F637" s="741"/>
      <c r="G637" s="741"/>
      <c r="H637" s="741"/>
      <c r="I637" s="741"/>
      <c r="J637" s="741"/>
      <c r="K637" s="741"/>
      <c r="L637" s="741"/>
      <c r="M637" s="741"/>
      <c r="N637" s="741"/>
      <c r="O637" s="741"/>
      <c r="P637" s="741"/>
      <c r="Q637" s="741"/>
      <c r="R637" s="741"/>
      <c r="S637" s="741"/>
      <c r="T637" s="741"/>
      <c r="U637" s="741"/>
      <c r="V637" s="741"/>
      <c r="W637" s="741"/>
      <c r="X637" s="741"/>
      <c r="Y637" s="741"/>
      <c r="Z637" s="741"/>
      <c r="AA637" s="741"/>
      <c r="AB637" s="741"/>
      <c r="AC637" s="741"/>
      <c r="AD637" s="741"/>
      <c r="AE637" s="741"/>
      <c r="AF637" s="741"/>
      <c r="AG637" s="741"/>
      <c r="AH637" s="741"/>
      <c r="AI637" s="741"/>
      <c r="AJ637" s="741"/>
      <c r="AK637" s="741"/>
      <c r="AL637" s="741"/>
      <c r="AM637" s="741"/>
      <c r="AN637" s="741"/>
      <c r="AO637" s="741"/>
      <c r="AP637" s="741"/>
    </row>
    <row r="638" spans="1:42" ht="12.75" customHeight="1">
      <c r="A638" s="741"/>
      <c r="B638" s="741"/>
      <c r="C638" s="741"/>
      <c r="D638" s="741"/>
      <c r="E638" s="741"/>
      <c r="F638" s="741"/>
      <c r="G638" s="741"/>
      <c r="H638" s="741"/>
      <c r="I638" s="741"/>
      <c r="J638" s="741"/>
      <c r="K638" s="741"/>
      <c r="L638" s="741"/>
      <c r="M638" s="741"/>
      <c r="N638" s="741"/>
      <c r="O638" s="741"/>
      <c r="P638" s="741"/>
      <c r="Q638" s="741"/>
      <c r="R638" s="741"/>
      <c r="S638" s="741"/>
      <c r="T638" s="741"/>
      <c r="U638" s="741"/>
      <c r="V638" s="741"/>
      <c r="W638" s="741"/>
      <c r="X638" s="741"/>
      <c r="Y638" s="741"/>
      <c r="Z638" s="741"/>
      <c r="AA638" s="741"/>
      <c r="AB638" s="741"/>
      <c r="AC638" s="741"/>
      <c r="AD638" s="741"/>
      <c r="AE638" s="741"/>
      <c r="AF638" s="741"/>
      <c r="AG638" s="741"/>
      <c r="AH638" s="741"/>
      <c r="AI638" s="741"/>
      <c r="AJ638" s="741"/>
      <c r="AK638" s="741"/>
      <c r="AL638" s="741"/>
      <c r="AM638" s="741"/>
      <c r="AN638" s="741"/>
      <c r="AO638" s="741"/>
      <c r="AP638" s="741"/>
    </row>
    <row r="639" spans="1:42" ht="12.75" customHeight="1">
      <c r="A639" s="741"/>
      <c r="B639" s="741"/>
      <c r="C639" s="741"/>
      <c r="D639" s="741"/>
      <c r="E639" s="741"/>
      <c r="F639" s="741"/>
      <c r="G639" s="741"/>
      <c r="H639" s="741"/>
      <c r="I639" s="741"/>
      <c r="J639" s="741"/>
      <c r="K639" s="741"/>
      <c r="L639" s="741"/>
      <c r="M639" s="741"/>
      <c r="N639" s="741"/>
      <c r="O639" s="741"/>
      <c r="P639" s="741"/>
      <c r="Q639" s="741"/>
      <c r="R639" s="741"/>
      <c r="S639" s="741"/>
      <c r="T639" s="741"/>
      <c r="U639" s="741"/>
      <c r="V639" s="741"/>
      <c r="W639" s="741"/>
      <c r="X639" s="741"/>
      <c r="Y639" s="741"/>
      <c r="Z639" s="741"/>
      <c r="AA639" s="741"/>
      <c r="AB639" s="741"/>
      <c r="AC639" s="741"/>
      <c r="AD639" s="741"/>
      <c r="AE639" s="741"/>
      <c r="AF639" s="741"/>
      <c r="AG639" s="741"/>
      <c r="AH639" s="741"/>
      <c r="AI639" s="741"/>
      <c r="AJ639" s="741"/>
      <c r="AK639" s="741"/>
      <c r="AL639" s="741"/>
      <c r="AM639" s="741"/>
      <c r="AN639" s="741"/>
      <c r="AO639" s="741"/>
      <c r="AP639" s="741"/>
    </row>
    <row r="640" spans="1:42" ht="12.75" customHeight="1">
      <c r="A640" s="741"/>
      <c r="B640" s="741"/>
      <c r="C640" s="741"/>
      <c r="D640" s="741"/>
      <c r="E640" s="741"/>
      <c r="F640" s="741"/>
      <c r="G640" s="741"/>
      <c r="H640" s="741"/>
      <c r="I640" s="741"/>
      <c r="J640" s="741"/>
      <c r="K640" s="741"/>
      <c r="L640" s="741"/>
      <c r="M640" s="741"/>
      <c r="N640" s="741"/>
      <c r="O640" s="741"/>
      <c r="P640" s="741"/>
      <c r="Q640" s="741"/>
      <c r="R640" s="741"/>
      <c r="S640" s="741"/>
      <c r="T640" s="741"/>
      <c r="U640" s="741"/>
      <c r="V640" s="741"/>
      <c r="W640" s="741"/>
      <c r="X640" s="741"/>
      <c r="Y640" s="741"/>
      <c r="Z640" s="741"/>
      <c r="AA640" s="741"/>
      <c r="AB640" s="741"/>
      <c r="AC640" s="741"/>
      <c r="AD640" s="741"/>
      <c r="AE640" s="741"/>
      <c r="AF640" s="741"/>
      <c r="AG640" s="741"/>
      <c r="AH640" s="741"/>
      <c r="AI640" s="741"/>
      <c r="AJ640" s="741"/>
      <c r="AK640" s="741"/>
      <c r="AL640" s="741"/>
      <c r="AM640" s="741"/>
      <c r="AN640" s="741"/>
      <c r="AO640" s="741"/>
      <c r="AP640" s="741"/>
    </row>
    <row r="641" spans="1:42" ht="12.75" customHeight="1">
      <c r="A641" s="741"/>
      <c r="B641" s="741"/>
      <c r="C641" s="741"/>
      <c r="D641" s="741"/>
      <c r="E641" s="741"/>
      <c r="F641" s="741"/>
      <c r="G641" s="741"/>
      <c r="H641" s="741"/>
      <c r="I641" s="741"/>
      <c r="J641" s="741"/>
      <c r="K641" s="741"/>
      <c r="L641" s="741"/>
      <c r="M641" s="741"/>
      <c r="N641" s="741"/>
      <c r="O641" s="741"/>
      <c r="P641" s="741"/>
      <c r="Q641" s="741"/>
      <c r="R641" s="741"/>
      <c r="S641" s="741"/>
      <c r="T641" s="741"/>
      <c r="U641" s="741"/>
      <c r="V641" s="741"/>
      <c r="W641" s="741"/>
      <c r="X641" s="741"/>
      <c r="Y641" s="741"/>
      <c r="Z641" s="741"/>
      <c r="AA641" s="741"/>
      <c r="AB641" s="741"/>
      <c r="AC641" s="741"/>
      <c r="AD641" s="741"/>
      <c r="AE641" s="741"/>
      <c r="AF641" s="741"/>
      <c r="AG641" s="741"/>
      <c r="AH641" s="741"/>
      <c r="AI641" s="741"/>
      <c r="AJ641" s="741"/>
      <c r="AK641" s="741"/>
      <c r="AL641" s="741"/>
      <c r="AM641" s="741"/>
      <c r="AN641" s="741"/>
      <c r="AO641" s="741"/>
      <c r="AP641" s="741"/>
    </row>
    <row r="642" spans="1:42" ht="12.75" customHeight="1">
      <c r="A642" s="741"/>
      <c r="B642" s="741"/>
      <c r="C642" s="741"/>
      <c r="D642" s="741"/>
      <c r="E642" s="741"/>
      <c r="F642" s="741"/>
      <c r="G642" s="741"/>
      <c r="H642" s="741"/>
      <c r="I642" s="741"/>
      <c r="J642" s="741"/>
      <c r="K642" s="741"/>
      <c r="L642" s="741"/>
      <c r="M642" s="741"/>
      <c r="N642" s="741"/>
      <c r="O642" s="741"/>
      <c r="P642" s="741"/>
      <c r="Q642" s="741"/>
      <c r="R642" s="741"/>
      <c r="S642" s="741"/>
      <c r="T642" s="741"/>
      <c r="U642" s="741"/>
      <c r="V642" s="741"/>
      <c r="W642" s="741"/>
      <c r="X642" s="741"/>
      <c r="Y642" s="741"/>
      <c r="Z642" s="741"/>
      <c r="AA642" s="741"/>
      <c r="AB642" s="741"/>
      <c r="AC642" s="741"/>
      <c r="AD642" s="741"/>
      <c r="AE642" s="741"/>
      <c r="AF642" s="741"/>
      <c r="AG642" s="741"/>
      <c r="AH642" s="741"/>
      <c r="AI642" s="741"/>
      <c r="AJ642" s="741"/>
      <c r="AK642" s="741"/>
      <c r="AL642" s="741"/>
      <c r="AM642" s="741"/>
      <c r="AN642" s="741"/>
      <c r="AO642" s="741"/>
      <c r="AP642" s="741"/>
    </row>
    <row r="643" spans="1:42" ht="12.75" customHeight="1">
      <c r="A643" s="741"/>
      <c r="B643" s="741"/>
      <c r="C643" s="741"/>
      <c r="D643" s="741"/>
      <c r="E643" s="741"/>
      <c r="F643" s="741"/>
      <c r="G643" s="741"/>
      <c r="H643" s="741"/>
      <c r="I643" s="741"/>
      <c r="J643" s="741"/>
      <c r="K643" s="741"/>
      <c r="L643" s="741"/>
      <c r="M643" s="741"/>
      <c r="N643" s="741"/>
      <c r="O643" s="741"/>
      <c r="P643" s="741"/>
      <c r="Q643" s="741"/>
      <c r="R643" s="741"/>
      <c r="S643" s="741"/>
      <c r="T643" s="741"/>
      <c r="U643" s="741"/>
      <c r="V643" s="741"/>
      <c r="W643" s="741"/>
      <c r="X643" s="741"/>
      <c r="Y643" s="741"/>
      <c r="Z643" s="741"/>
      <c r="AA643" s="741"/>
      <c r="AB643" s="741"/>
      <c r="AC643" s="741"/>
      <c r="AD643" s="741"/>
      <c r="AE643" s="741"/>
      <c r="AF643" s="741"/>
      <c r="AG643" s="741"/>
      <c r="AH643" s="741"/>
      <c r="AI643" s="741"/>
      <c r="AJ643" s="741"/>
      <c r="AK643" s="741"/>
      <c r="AL643" s="741"/>
      <c r="AM643" s="741"/>
      <c r="AN643" s="741"/>
      <c r="AO643" s="741"/>
      <c r="AP643" s="741"/>
    </row>
    <row r="644" spans="1:42" ht="12.75" customHeight="1">
      <c r="A644" s="741"/>
      <c r="B644" s="741"/>
      <c r="C644" s="741"/>
      <c r="D644" s="741"/>
      <c r="E644" s="741"/>
      <c r="F644" s="741"/>
      <c r="G644" s="741"/>
      <c r="H644" s="741"/>
      <c r="I644" s="741"/>
      <c r="J644" s="741"/>
      <c r="K644" s="741"/>
      <c r="L644" s="741"/>
      <c r="M644" s="741"/>
      <c r="N644" s="741"/>
      <c r="O644" s="741"/>
      <c r="P644" s="741"/>
      <c r="Q644" s="741"/>
      <c r="R644" s="741"/>
      <c r="S644" s="741"/>
      <c r="T644" s="741"/>
      <c r="U644" s="741"/>
      <c r="V644" s="741"/>
      <c r="W644" s="741"/>
      <c r="X644" s="741"/>
      <c r="Y644" s="741"/>
      <c r="Z644" s="741"/>
      <c r="AA644" s="741"/>
      <c r="AB644" s="741"/>
      <c r="AC644" s="741"/>
      <c r="AD644" s="741"/>
      <c r="AE644" s="741"/>
      <c r="AF644" s="741"/>
      <c r="AG644" s="741"/>
      <c r="AH644" s="741"/>
      <c r="AI644" s="741"/>
      <c r="AJ644" s="741"/>
      <c r="AK644" s="741"/>
      <c r="AL644" s="741"/>
      <c r="AM644" s="741"/>
      <c r="AN644" s="741"/>
      <c r="AO644" s="741"/>
      <c r="AP644" s="741"/>
    </row>
    <row r="645" spans="1:42" ht="12.75" customHeight="1">
      <c r="A645" s="741"/>
      <c r="B645" s="741"/>
      <c r="C645" s="741"/>
      <c r="D645" s="741"/>
      <c r="E645" s="741"/>
      <c r="F645" s="741"/>
      <c r="G645" s="741"/>
      <c r="H645" s="741"/>
      <c r="I645" s="741"/>
      <c r="J645" s="741"/>
      <c r="K645" s="741"/>
      <c r="L645" s="741"/>
      <c r="M645" s="741"/>
      <c r="N645" s="741"/>
      <c r="O645" s="741"/>
      <c r="P645" s="741"/>
      <c r="Q645" s="741"/>
      <c r="R645" s="741"/>
      <c r="S645" s="741"/>
      <c r="T645" s="741"/>
      <c r="U645" s="741"/>
      <c r="V645" s="741"/>
      <c r="W645" s="741"/>
      <c r="X645" s="741"/>
      <c r="Y645" s="741"/>
      <c r="Z645" s="741"/>
      <c r="AA645" s="741"/>
      <c r="AB645" s="741"/>
      <c r="AC645" s="741"/>
      <c r="AD645" s="741"/>
      <c r="AE645" s="741"/>
      <c r="AF645" s="741"/>
      <c r="AG645" s="741"/>
      <c r="AH645" s="741"/>
      <c r="AI645" s="741"/>
      <c r="AJ645" s="741"/>
      <c r="AK645" s="741"/>
      <c r="AL645" s="741"/>
      <c r="AM645" s="741"/>
      <c r="AN645" s="741"/>
      <c r="AO645" s="741"/>
      <c r="AP645" s="741"/>
    </row>
    <row r="646" spans="1:42" ht="12.75" customHeight="1">
      <c r="A646" s="741"/>
      <c r="B646" s="741"/>
      <c r="C646" s="741"/>
      <c r="D646" s="741"/>
      <c r="E646" s="741"/>
      <c r="F646" s="741"/>
      <c r="G646" s="741"/>
      <c r="H646" s="741"/>
      <c r="I646" s="741"/>
      <c r="J646" s="741"/>
      <c r="K646" s="741"/>
      <c r="L646" s="741"/>
      <c r="M646" s="741"/>
      <c r="N646" s="741"/>
      <c r="O646" s="741"/>
      <c r="P646" s="741"/>
      <c r="Q646" s="741"/>
      <c r="R646" s="741"/>
      <c r="S646" s="741"/>
      <c r="T646" s="741"/>
      <c r="U646" s="741"/>
      <c r="V646" s="741"/>
      <c r="W646" s="741"/>
      <c r="X646" s="741"/>
      <c r="Y646" s="741"/>
      <c r="Z646" s="741"/>
      <c r="AA646" s="741"/>
      <c r="AB646" s="741"/>
      <c r="AC646" s="741"/>
      <c r="AD646" s="741"/>
      <c r="AE646" s="741"/>
      <c r="AF646" s="741"/>
      <c r="AG646" s="741"/>
      <c r="AH646" s="741"/>
      <c r="AI646" s="741"/>
      <c r="AJ646" s="741"/>
      <c r="AK646" s="741"/>
      <c r="AL646" s="741"/>
      <c r="AM646" s="741"/>
      <c r="AN646" s="741"/>
      <c r="AO646" s="741"/>
      <c r="AP646" s="741"/>
    </row>
    <row r="647" spans="1:42" ht="12.75" customHeight="1">
      <c r="A647" s="741"/>
      <c r="B647" s="741"/>
      <c r="C647" s="741"/>
      <c r="D647" s="741"/>
      <c r="E647" s="741"/>
      <c r="F647" s="741"/>
      <c r="G647" s="741"/>
      <c r="H647" s="741"/>
      <c r="I647" s="741"/>
      <c r="J647" s="741"/>
      <c r="K647" s="741"/>
      <c r="L647" s="741"/>
      <c r="M647" s="741"/>
      <c r="N647" s="741"/>
      <c r="O647" s="741"/>
      <c r="P647" s="741"/>
      <c r="Q647" s="741"/>
      <c r="R647" s="741"/>
      <c r="S647" s="741"/>
      <c r="T647" s="741"/>
      <c r="U647" s="741"/>
      <c r="V647" s="741"/>
      <c r="W647" s="741"/>
      <c r="X647" s="741"/>
      <c r="Y647" s="741"/>
      <c r="Z647" s="741"/>
      <c r="AA647" s="741"/>
      <c r="AB647" s="741"/>
      <c r="AC647" s="741"/>
      <c r="AD647" s="741"/>
      <c r="AE647" s="741"/>
      <c r="AF647" s="741"/>
      <c r="AG647" s="741"/>
      <c r="AH647" s="741"/>
      <c r="AI647" s="741"/>
      <c r="AJ647" s="741"/>
      <c r="AK647" s="741"/>
      <c r="AL647" s="741"/>
      <c r="AM647" s="741"/>
      <c r="AN647" s="741"/>
      <c r="AO647" s="741"/>
      <c r="AP647" s="741"/>
    </row>
    <row r="648" spans="1:42" ht="12.75" customHeight="1">
      <c r="A648" s="741"/>
      <c r="B648" s="741"/>
      <c r="C648" s="741"/>
      <c r="D648" s="741"/>
      <c r="E648" s="741"/>
      <c r="F648" s="741"/>
      <c r="G648" s="741"/>
      <c r="H648" s="741"/>
      <c r="I648" s="741"/>
      <c r="J648" s="741"/>
      <c r="K648" s="741"/>
      <c r="L648" s="741"/>
      <c r="M648" s="741"/>
      <c r="N648" s="741"/>
      <c r="O648" s="741"/>
      <c r="P648" s="741"/>
      <c r="Q648" s="741"/>
      <c r="R648" s="741"/>
      <c r="S648" s="741"/>
      <c r="T648" s="741"/>
      <c r="U648" s="741"/>
      <c r="V648" s="741"/>
      <c r="W648" s="741"/>
      <c r="X648" s="741"/>
      <c r="Y648" s="741"/>
      <c r="Z648" s="741"/>
      <c r="AA648" s="741"/>
      <c r="AB648" s="741"/>
      <c r="AC648" s="741"/>
      <c r="AD648" s="741"/>
      <c r="AE648" s="741"/>
      <c r="AF648" s="741"/>
      <c r="AG648" s="741"/>
      <c r="AH648" s="741"/>
      <c r="AI648" s="741"/>
      <c r="AJ648" s="741"/>
      <c r="AK648" s="741"/>
      <c r="AL648" s="741"/>
      <c r="AM648" s="741"/>
      <c r="AN648" s="741"/>
      <c r="AO648" s="741"/>
      <c r="AP648" s="741"/>
    </row>
    <row r="649" spans="1:42" ht="12.75" customHeight="1">
      <c r="A649" s="741"/>
      <c r="B649" s="741"/>
      <c r="C649" s="741"/>
      <c r="D649" s="741"/>
      <c r="E649" s="741"/>
      <c r="F649" s="741"/>
      <c r="G649" s="741"/>
      <c r="H649" s="741"/>
      <c r="I649" s="741"/>
      <c r="J649" s="741"/>
      <c r="K649" s="741"/>
      <c r="L649" s="741"/>
      <c r="M649" s="741"/>
      <c r="N649" s="741"/>
      <c r="O649" s="741"/>
      <c r="P649" s="741"/>
      <c r="Q649" s="741"/>
      <c r="R649" s="741"/>
      <c r="S649" s="741"/>
      <c r="T649" s="741"/>
      <c r="U649" s="741"/>
      <c r="V649" s="741"/>
      <c r="W649" s="741"/>
      <c r="X649" s="741"/>
      <c r="Y649" s="741"/>
      <c r="Z649" s="741"/>
      <c r="AA649" s="741"/>
      <c r="AB649" s="741"/>
      <c r="AC649" s="741"/>
      <c r="AD649" s="741"/>
      <c r="AE649" s="741"/>
      <c r="AF649" s="741"/>
      <c r="AG649" s="741"/>
      <c r="AH649" s="741"/>
      <c r="AI649" s="741"/>
      <c r="AJ649" s="741"/>
      <c r="AK649" s="741"/>
      <c r="AL649" s="741"/>
      <c r="AM649" s="741"/>
      <c r="AN649" s="741"/>
      <c r="AO649" s="741"/>
      <c r="AP649" s="741"/>
    </row>
    <row r="650" spans="1:42" ht="12.75" customHeight="1">
      <c r="A650" s="741"/>
      <c r="B650" s="741"/>
      <c r="C650" s="741"/>
      <c r="D650" s="741"/>
      <c r="E650" s="741"/>
      <c r="F650" s="741"/>
      <c r="G650" s="741"/>
      <c r="H650" s="741"/>
      <c r="I650" s="741"/>
      <c r="J650" s="741"/>
      <c r="K650" s="741"/>
      <c r="L650" s="741"/>
      <c r="M650" s="741"/>
      <c r="N650" s="741"/>
      <c r="O650" s="741"/>
      <c r="P650" s="741"/>
      <c r="Q650" s="741"/>
      <c r="R650" s="741"/>
      <c r="S650" s="741"/>
      <c r="T650" s="741"/>
      <c r="U650" s="741"/>
      <c r="V650" s="741"/>
      <c r="W650" s="741"/>
      <c r="X650" s="741"/>
      <c r="Y650" s="741"/>
      <c r="Z650" s="741"/>
      <c r="AA650" s="741"/>
      <c r="AB650" s="741"/>
      <c r="AC650" s="741"/>
      <c r="AD650" s="741"/>
      <c r="AE650" s="741"/>
      <c r="AF650" s="741"/>
      <c r="AG650" s="741"/>
      <c r="AH650" s="741"/>
      <c r="AI650" s="741"/>
      <c r="AJ650" s="741"/>
      <c r="AK650" s="741"/>
      <c r="AL650" s="741"/>
      <c r="AM650" s="741"/>
      <c r="AN650" s="741"/>
      <c r="AO650" s="741"/>
      <c r="AP650" s="741"/>
    </row>
    <row r="651" spans="1:42" ht="12.75" customHeight="1">
      <c r="A651" s="741"/>
      <c r="B651" s="741"/>
      <c r="C651" s="741"/>
      <c r="D651" s="741"/>
      <c r="E651" s="741"/>
      <c r="F651" s="741"/>
      <c r="G651" s="741"/>
      <c r="H651" s="741"/>
      <c r="I651" s="741"/>
      <c r="J651" s="741"/>
      <c r="K651" s="741"/>
      <c r="L651" s="741"/>
      <c r="M651" s="741"/>
      <c r="N651" s="741"/>
      <c r="O651" s="741"/>
      <c r="P651" s="741"/>
      <c r="Q651" s="741"/>
      <c r="R651" s="741"/>
      <c r="S651" s="741"/>
      <c r="T651" s="741"/>
      <c r="U651" s="741"/>
      <c r="V651" s="741"/>
      <c r="W651" s="741"/>
      <c r="X651" s="741"/>
      <c r="Y651" s="741"/>
      <c r="Z651" s="741"/>
      <c r="AA651" s="741"/>
      <c r="AB651" s="741"/>
      <c r="AC651" s="741"/>
      <c r="AD651" s="741"/>
      <c r="AE651" s="741"/>
      <c r="AF651" s="741"/>
      <c r="AG651" s="741"/>
      <c r="AH651" s="741"/>
      <c r="AI651" s="741"/>
      <c r="AJ651" s="741"/>
      <c r="AK651" s="741"/>
      <c r="AL651" s="741"/>
      <c r="AM651" s="741"/>
      <c r="AN651" s="741"/>
      <c r="AO651" s="741"/>
      <c r="AP651" s="741"/>
    </row>
    <row r="652" spans="1:42" ht="12.75" customHeight="1">
      <c r="A652" s="741"/>
      <c r="B652" s="741"/>
      <c r="C652" s="741"/>
      <c r="D652" s="741"/>
      <c r="E652" s="741"/>
      <c r="F652" s="741"/>
      <c r="G652" s="741"/>
      <c r="H652" s="741"/>
      <c r="I652" s="741"/>
      <c r="J652" s="741"/>
      <c r="K652" s="741"/>
      <c r="L652" s="741"/>
      <c r="M652" s="741"/>
      <c r="N652" s="741"/>
      <c r="O652" s="741"/>
      <c r="P652" s="741"/>
      <c r="Q652" s="741"/>
      <c r="R652" s="741"/>
      <c r="S652" s="741"/>
      <c r="T652" s="741"/>
      <c r="U652" s="741"/>
      <c r="V652" s="741"/>
      <c r="W652" s="741"/>
      <c r="X652" s="741"/>
      <c r="Y652" s="741"/>
      <c r="Z652" s="741"/>
      <c r="AA652" s="741"/>
      <c r="AB652" s="741"/>
      <c r="AC652" s="741"/>
      <c r="AD652" s="741"/>
      <c r="AE652" s="741"/>
      <c r="AF652" s="741"/>
      <c r="AG652" s="741"/>
      <c r="AH652" s="741"/>
      <c r="AI652" s="741"/>
      <c r="AJ652" s="741"/>
      <c r="AK652" s="741"/>
      <c r="AL652" s="741"/>
      <c r="AM652" s="741"/>
      <c r="AN652" s="741"/>
      <c r="AO652" s="741"/>
      <c r="AP652" s="741"/>
    </row>
    <row r="653" spans="1:42" ht="12.75" customHeight="1">
      <c r="A653" s="741"/>
      <c r="B653" s="741"/>
      <c r="C653" s="741"/>
      <c r="D653" s="741"/>
      <c r="E653" s="741"/>
      <c r="F653" s="741"/>
      <c r="G653" s="741"/>
      <c r="H653" s="741"/>
      <c r="I653" s="741"/>
      <c r="J653" s="741"/>
      <c r="K653" s="741"/>
      <c r="L653" s="741"/>
      <c r="M653" s="741"/>
      <c r="N653" s="741"/>
      <c r="O653" s="741"/>
      <c r="P653" s="741"/>
      <c r="Q653" s="741"/>
      <c r="R653" s="741"/>
      <c r="S653" s="741"/>
      <c r="T653" s="741"/>
      <c r="U653" s="741"/>
      <c r="V653" s="741"/>
      <c r="W653" s="741"/>
      <c r="X653" s="741"/>
      <c r="Y653" s="741"/>
      <c r="Z653" s="741"/>
      <c r="AA653" s="741"/>
      <c r="AB653" s="741"/>
      <c r="AC653" s="741"/>
      <c r="AD653" s="741"/>
      <c r="AE653" s="741"/>
      <c r="AF653" s="741"/>
      <c r="AG653" s="741"/>
      <c r="AH653" s="741"/>
      <c r="AI653" s="741"/>
      <c r="AJ653" s="741"/>
      <c r="AK653" s="741"/>
      <c r="AL653" s="741"/>
      <c r="AM653" s="741"/>
      <c r="AN653" s="741"/>
      <c r="AO653" s="741"/>
      <c r="AP653" s="741"/>
    </row>
    <row r="654" spans="1:42" ht="12.75" customHeight="1">
      <c r="A654" s="741"/>
      <c r="B654" s="741"/>
      <c r="C654" s="741"/>
      <c r="D654" s="741"/>
      <c r="E654" s="741"/>
      <c r="F654" s="741"/>
      <c r="G654" s="741"/>
      <c r="H654" s="741"/>
      <c r="I654" s="741"/>
      <c r="J654" s="741"/>
      <c r="K654" s="741"/>
      <c r="L654" s="741"/>
      <c r="M654" s="741"/>
      <c r="N654" s="741"/>
      <c r="O654" s="741"/>
      <c r="P654" s="741"/>
      <c r="Q654" s="741"/>
      <c r="R654" s="741"/>
      <c r="S654" s="741"/>
      <c r="T654" s="741"/>
      <c r="U654" s="741"/>
      <c r="V654" s="741"/>
      <c r="W654" s="741"/>
      <c r="X654" s="741"/>
      <c r="Y654" s="741"/>
      <c r="Z654" s="741"/>
      <c r="AA654" s="741"/>
      <c r="AB654" s="741"/>
      <c r="AC654" s="741"/>
      <c r="AD654" s="741"/>
      <c r="AE654" s="741"/>
      <c r="AF654" s="741"/>
      <c r="AG654" s="741"/>
      <c r="AH654" s="741"/>
      <c r="AI654" s="741"/>
      <c r="AJ654" s="741"/>
      <c r="AK654" s="741"/>
      <c r="AL654" s="741"/>
      <c r="AM654" s="741"/>
      <c r="AN654" s="741"/>
      <c r="AO654" s="741"/>
      <c r="AP654" s="741"/>
    </row>
    <row r="655" spans="1:42" ht="12.75" customHeight="1">
      <c r="A655" s="741"/>
      <c r="B655" s="741"/>
      <c r="C655" s="741"/>
      <c r="D655" s="741"/>
      <c r="E655" s="741"/>
      <c r="F655" s="741"/>
      <c r="G655" s="741"/>
      <c r="H655" s="741"/>
      <c r="I655" s="741"/>
      <c r="J655" s="741"/>
      <c r="K655" s="741"/>
      <c r="L655" s="741"/>
      <c r="M655" s="741"/>
      <c r="N655" s="741"/>
      <c r="O655" s="741"/>
      <c r="P655" s="741"/>
      <c r="Q655" s="741"/>
      <c r="R655" s="741"/>
      <c r="S655" s="741"/>
      <c r="T655" s="741"/>
      <c r="U655" s="741"/>
      <c r="V655" s="741"/>
      <c r="W655" s="741"/>
      <c r="X655" s="741"/>
      <c r="Y655" s="741"/>
      <c r="Z655" s="741"/>
      <c r="AA655" s="741"/>
      <c r="AB655" s="741"/>
      <c r="AC655" s="741"/>
      <c r="AD655" s="741"/>
      <c r="AE655" s="741"/>
      <c r="AF655" s="741"/>
      <c r="AG655" s="741"/>
      <c r="AH655" s="741"/>
      <c r="AI655" s="741"/>
      <c r="AJ655" s="741"/>
      <c r="AK655" s="741"/>
      <c r="AL655" s="741"/>
      <c r="AM655" s="741"/>
      <c r="AN655" s="741"/>
      <c r="AO655" s="741"/>
      <c r="AP655" s="741"/>
    </row>
    <row r="656" spans="1:42" ht="12.75" customHeight="1">
      <c r="A656" s="741"/>
      <c r="B656" s="741"/>
      <c r="C656" s="741"/>
      <c r="D656" s="741"/>
      <c r="E656" s="741"/>
      <c r="F656" s="741"/>
      <c r="G656" s="741"/>
      <c r="H656" s="741"/>
      <c r="I656" s="741"/>
      <c r="J656" s="741"/>
      <c r="K656" s="741"/>
      <c r="L656" s="741"/>
      <c r="M656" s="741"/>
      <c r="N656" s="741"/>
      <c r="O656" s="741"/>
      <c r="P656" s="741"/>
      <c r="Q656" s="741"/>
      <c r="R656" s="741"/>
      <c r="S656" s="741"/>
      <c r="T656" s="741"/>
      <c r="U656" s="741"/>
      <c r="V656" s="741"/>
      <c r="W656" s="741"/>
      <c r="X656" s="741"/>
      <c r="Y656" s="741"/>
      <c r="Z656" s="741"/>
      <c r="AA656" s="741"/>
      <c r="AB656" s="741"/>
      <c r="AC656" s="741"/>
      <c r="AD656" s="741"/>
      <c r="AE656" s="741"/>
      <c r="AF656" s="741"/>
      <c r="AG656" s="741"/>
      <c r="AH656" s="741"/>
      <c r="AI656" s="741"/>
      <c r="AJ656" s="741"/>
      <c r="AK656" s="741"/>
      <c r="AL656" s="741"/>
      <c r="AM656" s="741"/>
      <c r="AN656" s="741"/>
      <c r="AO656" s="741"/>
      <c r="AP656" s="741"/>
    </row>
    <row r="657" spans="1:42" ht="12.75" customHeight="1">
      <c r="A657" s="741"/>
      <c r="B657" s="741"/>
      <c r="C657" s="741"/>
      <c r="D657" s="741"/>
      <c r="E657" s="741"/>
      <c r="F657" s="741"/>
      <c r="G657" s="741"/>
      <c r="H657" s="741"/>
      <c r="I657" s="741"/>
      <c r="J657" s="741"/>
      <c r="K657" s="741"/>
      <c r="L657" s="741"/>
      <c r="M657" s="741"/>
      <c r="N657" s="741"/>
      <c r="O657" s="741"/>
      <c r="P657" s="741"/>
      <c r="Q657" s="741"/>
      <c r="R657" s="741"/>
      <c r="S657" s="741"/>
      <c r="T657" s="741"/>
      <c r="U657" s="741"/>
      <c r="V657" s="741"/>
      <c r="W657" s="741"/>
      <c r="X657" s="741"/>
      <c r="Y657" s="741"/>
      <c r="Z657" s="741"/>
      <c r="AA657" s="741"/>
      <c r="AB657" s="741"/>
      <c r="AC657" s="741"/>
      <c r="AD657" s="741"/>
      <c r="AE657" s="741"/>
      <c r="AF657" s="741"/>
      <c r="AG657" s="741"/>
      <c r="AH657" s="741"/>
      <c r="AI657" s="741"/>
      <c r="AJ657" s="741"/>
      <c r="AK657" s="741"/>
      <c r="AL657" s="741"/>
      <c r="AM657" s="741"/>
      <c r="AN657" s="741"/>
      <c r="AO657" s="741"/>
      <c r="AP657" s="741"/>
    </row>
    <row r="658" spans="1:42" ht="12.75" customHeight="1">
      <c r="A658" s="741"/>
      <c r="B658" s="741"/>
      <c r="C658" s="741"/>
      <c r="D658" s="741"/>
      <c r="E658" s="741"/>
      <c r="F658" s="741"/>
      <c r="G658" s="741"/>
      <c r="H658" s="741"/>
      <c r="I658" s="741"/>
      <c r="J658" s="741"/>
      <c r="K658" s="741"/>
      <c r="L658" s="741"/>
      <c r="M658" s="741"/>
      <c r="N658" s="741"/>
      <c r="O658" s="741"/>
      <c r="P658" s="741"/>
      <c r="Q658" s="741"/>
      <c r="R658" s="741"/>
      <c r="S658" s="741"/>
      <c r="T658" s="741"/>
      <c r="U658" s="741"/>
      <c r="V658" s="741"/>
      <c r="W658" s="741"/>
      <c r="X658" s="741"/>
      <c r="Y658" s="741"/>
      <c r="Z658" s="741"/>
      <c r="AA658" s="741"/>
      <c r="AB658" s="741"/>
      <c r="AC658" s="741"/>
      <c r="AD658" s="741"/>
      <c r="AE658" s="741"/>
      <c r="AF658" s="741"/>
      <c r="AG658" s="741"/>
      <c r="AH658" s="741"/>
      <c r="AI658" s="741"/>
      <c r="AJ658" s="741"/>
      <c r="AK658" s="741"/>
      <c r="AL658" s="741"/>
      <c r="AM658" s="741"/>
      <c r="AN658" s="741"/>
      <c r="AO658" s="741"/>
      <c r="AP658" s="741"/>
    </row>
    <row r="659" spans="1:42" ht="12.75" customHeight="1">
      <c r="A659" s="741"/>
      <c r="B659" s="741"/>
      <c r="C659" s="741"/>
      <c r="D659" s="741"/>
      <c r="E659" s="741"/>
      <c r="F659" s="741"/>
      <c r="G659" s="741"/>
      <c r="H659" s="741"/>
      <c r="I659" s="741"/>
      <c r="J659" s="741"/>
      <c r="K659" s="741"/>
      <c r="L659" s="741"/>
      <c r="M659" s="741"/>
      <c r="N659" s="741"/>
      <c r="O659" s="741"/>
      <c r="P659" s="741"/>
      <c r="Q659" s="741"/>
      <c r="R659" s="741"/>
      <c r="S659" s="741"/>
      <c r="T659" s="741"/>
      <c r="U659" s="741"/>
      <c r="V659" s="741"/>
      <c r="W659" s="741"/>
      <c r="X659" s="741"/>
      <c r="Y659" s="741"/>
      <c r="Z659" s="741"/>
      <c r="AA659" s="741"/>
      <c r="AB659" s="741"/>
      <c r="AC659" s="741"/>
      <c r="AD659" s="741"/>
      <c r="AE659" s="741"/>
      <c r="AF659" s="741"/>
      <c r="AG659" s="741"/>
      <c r="AH659" s="741"/>
      <c r="AI659" s="741"/>
      <c r="AJ659" s="741"/>
      <c r="AK659" s="741"/>
      <c r="AL659" s="741"/>
      <c r="AM659" s="741"/>
      <c r="AN659" s="741"/>
      <c r="AO659" s="741"/>
      <c r="AP659" s="741"/>
    </row>
    <row r="660" spans="1:42" ht="12.75" customHeight="1">
      <c r="A660" s="741"/>
      <c r="B660" s="741"/>
      <c r="C660" s="741"/>
      <c r="D660" s="741"/>
      <c r="E660" s="741"/>
      <c r="F660" s="741"/>
      <c r="G660" s="741"/>
      <c r="H660" s="741"/>
      <c r="I660" s="741"/>
      <c r="J660" s="741"/>
      <c r="K660" s="741"/>
      <c r="L660" s="741"/>
      <c r="M660" s="741"/>
      <c r="N660" s="741"/>
      <c r="O660" s="741"/>
      <c r="P660" s="741"/>
      <c r="Q660" s="741"/>
      <c r="R660" s="741"/>
      <c r="S660" s="741"/>
      <c r="T660" s="741"/>
      <c r="U660" s="741"/>
      <c r="V660" s="741"/>
      <c r="W660" s="741"/>
      <c r="X660" s="741"/>
      <c r="Y660" s="741"/>
      <c r="Z660" s="741"/>
      <c r="AA660" s="741"/>
      <c r="AB660" s="741"/>
      <c r="AC660" s="741"/>
      <c r="AD660" s="741"/>
      <c r="AE660" s="741"/>
      <c r="AF660" s="741"/>
      <c r="AG660" s="741"/>
      <c r="AH660" s="741"/>
      <c r="AI660" s="741"/>
      <c r="AJ660" s="741"/>
      <c r="AK660" s="741"/>
      <c r="AL660" s="741"/>
      <c r="AM660" s="741"/>
      <c r="AN660" s="741"/>
      <c r="AO660" s="741"/>
      <c r="AP660" s="741"/>
    </row>
    <row r="661" spans="1:42" ht="12.75" customHeight="1">
      <c r="A661" s="741"/>
      <c r="B661" s="741"/>
      <c r="C661" s="741"/>
      <c r="D661" s="741"/>
      <c r="E661" s="741"/>
      <c r="F661" s="741"/>
      <c r="G661" s="741"/>
      <c r="H661" s="741"/>
      <c r="I661" s="741"/>
      <c r="J661" s="741"/>
      <c r="K661" s="741"/>
      <c r="L661" s="741"/>
      <c r="M661" s="741"/>
      <c r="N661" s="741"/>
      <c r="O661" s="741"/>
      <c r="P661" s="741"/>
      <c r="Q661" s="741"/>
      <c r="R661" s="741"/>
      <c r="S661" s="741"/>
      <c r="T661" s="741"/>
      <c r="U661" s="741"/>
      <c r="V661" s="741"/>
      <c r="W661" s="741"/>
      <c r="X661" s="741"/>
      <c r="Y661" s="741"/>
      <c r="Z661" s="741"/>
      <c r="AA661" s="741"/>
      <c r="AB661" s="741"/>
      <c r="AC661" s="741"/>
      <c r="AD661" s="741"/>
      <c r="AE661" s="741"/>
      <c r="AF661" s="741"/>
      <c r="AG661" s="741"/>
      <c r="AH661" s="741"/>
      <c r="AI661" s="741"/>
      <c r="AJ661" s="741"/>
      <c r="AK661" s="741"/>
      <c r="AL661" s="741"/>
      <c r="AM661" s="741"/>
      <c r="AN661" s="741"/>
      <c r="AO661" s="741"/>
      <c r="AP661" s="741"/>
    </row>
    <row r="662" spans="1:42" ht="12.75" customHeight="1">
      <c r="A662" s="741"/>
      <c r="B662" s="741"/>
      <c r="C662" s="741"/>
      <c r="D662" s="741"/>
      <c r="E662" s="741"/>
      <c r="F662" s="741"/>
      <c r="G662" s="741"/>
      <c r="H662" s="741"/>
      <c r="I662" s="741"/>
      <c r="J662" s="741"/>
      <c r="K662" s="741"/>
      <c r="L662" s="741"/>
      <c r="M662" s="741"/>
      <c r="N662" s="741"/>
      <c r="O662" s="741"/>
      <c r="P662" s="741"/>
      <c r="Q662" s="741"/>
      <c r="R662" s="741"/>
      <c r="S662" s="741"/>
      <c r="T662" s="741"/>
      <c r="U662" s="741"/>
      <c r="V662" s="741"/>
      <c r="W662" s="741"/>
      <c r="X662" s="741"/>
      <c r="Y662" s="741"/>
      <c r="Z662" s="741"/>
      <c r="AA662" s="741"/>
      <c r="AB662" s="741"/>
      <c r="AC662" s="741"/>
      <c r="AD662" s="741"/>
      <c r="AE662" s="741"/>
      <c r="AF662" s="741"/>
      <c r="AG662" s="741"/>
      <c r="AH662" s="741"/>
      <c r="AI662" s="741"/>
      <c r="AJ662" s="741"/>
      <c r="AK662" s="741"/>
      <c r="AL662" s="741"/>
      <c r="AM662" s="741"/>
      <c r="AN662" s="741"/>
      <c r="AO662" s="741"/>
      <c r="AP662" s="741"/>
    </row>
    <row r="663" spans="1:42" ht="12.75" customHeight="1">
      <c r="A663" s="741"/>
      <c r="B663" s="741"/>
      <c r="C663" s="741"/>
      <c r="D663" s="741"/>
      <c r="E663" s="741"/>
      <c r="F663" s="741"/>
      <c r="G663" s="741"/>
      <c r="H663" s="741"/>
      <c r="I663" s="741"/>
      <c r="J663" s="741"/>
      <c r="K663" s="741"/>
      <c r="L663" s="741"/>
      <c r="M663" s="741"/>
      <c r="N663" s="741"/>
      <c r="O663" s="741"/>
      <c r="P663" s="741"/>
      <c r="Q663" s="741"/>
      <c r="R663" s="741"/>
      <c r="S663" s="741"/>
      <c r="T663" s="741"/>
      <c r="U663" s="741"/>
      <c r="V663" s="741"/>
      <c r="W663" s="741"/>
      <c r="X663" s="741"/>
      <c r="Y663" s="741"/>
      <c r="Z663" s="741"/>
      <c r="AA663" s="741"/>
      <c r="AB663" s="741"/>
      <c r="AC663" s="741"/>
      <c r="AD663" s="741"/>
      <c r="AE663" s="741"/>
      <c r="AF663" s="741"/>
      <c r="AG663" s="741"/>
      <c r="AH663" s="741"/>
      <c r="AI663" s="741"/>
      <c r="AJ663" s="741"/>
      <c r="AK663" s="741"/>
      <c r="AL663" s="741"/>
      <c r="AM663" s="741"/>
      <c r="AN663" s="741"/>
      <c r="AO663" s="741"/>
      <c r="AP663" s="741"/>
    </row>
    <row r="664" spans="1:42" ht="12.75" customHeight="1">
      <c r="A664" s="741"/>
      <c r="B664" s="741"/>
      <c r="C664" s="741"/>
      <c r="D664" s="741"/>
      <c r="E664" s="741"/>
      <c r="F664" s="741"/>
      <c r="G664" s="741"/>
      <c r="H664" s="741"/>
      <c r="I664" s="741"/>
      <c r="J664" s="741"/>
      <c r="K664" s="741"/>
      <c r="L664" s="741"/>
      <c r="M664" s="741"/>
      <c r="N664" s="741"/>
      <c r="O664" s="741"/>
      <c r="P664" s="741"/>
      <c r="Q664" s="741"/>
      <c r="R664" s="741"/>
      <c r="S664" s="741"/>
      <c r="T664" s="741"/>
      <c r="U664" s="741"/>
      <c r="V664" s="741"/>
      <c r="W664" s="741"/>
      <c r="X664" s="741"/>
      <c r="Y664" s="741"/>
      <c r="Z664" s="741"/>
      <c r="AA664" s="741"/>
      <c r="AB664" s="741"/>
      <c r="AC664" s="741"/>
      <c r="AD664" s="741"/>
      <c r="AE664" s="741"/>
      <c r="AF664" s="741"/>
      <c r="AG664" s="741"/>
      <c r="AH664" s="741"/>
      <c r="AI664" s="741"/>
      <c r="AJ664" s="741"/>
      <c r="AK664" s="741"/>
      <c r="AL664" s="741"/>
      <c r="AM664" s="741"/>
      <c r="AN664" s="741"/>
      <c r="AO664" s="741"/>
      <c r="AP664" s="741"/>
    </row>
    <row r="665" spans="1:42" ht="12.75" customHeight="1">
      <c r="A665" s="741"/>
      <c r="B665" s="741"/>
      <c r="C665" s="741"/>
      <c r="D665" s="741"/>
      <c r="E665" s="741"/>
      <c r="F665" s="741"/>
      <c r="G665" s="741"/>
      <c r="H665" s="741"/>
      <c r="I665" s="741"/>
      <c r="J665" s="741"/>
      <c r="K665" s="741"/>
      <c r="L665" s="741"/>
      <c r="M665" s="741"/>
      <c r="N665" s="741"/>
      <c r="O665" s="741"/>
      <c r="P665" s="741"/>
      <c r="Q665" s="741"/>
      <c r="R665" s="741"/>
      <c r="S665" s="741"/>
      <c r="T665" s="741"/>
      <c r="U665" s="741"/>
      <c r="V665" s="741"/>
      <c r="W665" s="741"/>
      <c r="X665" s="741"/>
      <c r="Y665" s="741"/>
      <c r="Z665" s="741"/>
      <c r="AA665" s="741"/>
      <c r="AB665" s="741"/>
      <c r="AC665" s="741"/>
      <c r="AD665" s="741"/>
      <c r="AE665" s="741"/>
      <c r="AF665" s="741"/>
      <c r="AG665" s="741"/>
      <c r="AH665" s="741"/>
      <c r="AI665" s="741"/>
      <c r="AJ665" s="741"/>
      <c r="AK665" s="741"/>
      <c r="AL665" s="741"/>
      <c r="AM665" s="741"/>
      <c r="AN665" s="741"/>
      <c r="AO665" s="741"/>
      <c r="AP665" s="741"/>
    </row>
    <row r="666" spans="1:42" ht="12.75" customHeight="1">
      <c r="A666" s="741"/>
      <c r="B666" s="741"/>
      <c r="C666" s="741"/>
      <c r="D666" s="741"/>
      <c r="E666" s="741"/>
      <c r="F666" s="741"/>
      <c r="G666" s="741"/>
      <c r="H666" s="741"/>
      <c r="I666" s="741"/>
      <c r="J666" s="741"/>
      <c r="K666" s="741"/>
      <c r="L666" s="741"/>
      <c r="M666" s="741"/>
      <c r="N666" s="741"/>
      <c r="O666" s="741"/>
      <c r="P666" s="741"/>
      <c r="Q666" s="741"/>
      <c r="R666" s="741"/>
      <c r="S666" s="741"/>
      <c r="T666" s="741"/>
      <c r="U666" s="741"/>
      <c r="V666" s="741"/>
      <c r="W666" s="741"/>
      <c r="X666" s="741"/>
      <c r="Y666" s="741"/>
      <c r="Z666" s="741"/>
      <c r="AA666" s="741"/>
      <c r="AB666" s="741"/>
      <c r="AC666" s="741"/>
      <c r="AD666" s="741"/>
      <c r="AE666" s="741"/>
      <c r="AF666" s="741"/>
      <c r="AG666" s="741"/>
      <c r="AH666" s="741"/>
      <c r="AI666" s="741"/>
      <c r="AJ666" s="741"/>
      <c r="AK666" s="741"/>
      <c r="AL666" s="741"/>
      <c r="AM666" s="741"/>
      <c r="AN666" s="741"/>
      <c r="AO666" s="741"/>
      <c r="AP666" s="741"/>
    </row>
    <row r="667" spans="1:42" ht="12.75" customHeight="1">
      <c r="A667" s="741"/>
      <c r="B667" s="741"/>
      <c r="C667" s="741"/>
      <c r="D667" s="741"/>
      <c r="E667" s="741"/>
      <c r="F667" s="741"/>
      <c r="G667" s="741"/>
      <c r="H667" s="741"/>
      <c r="I667" s="741"/>
      <c r="J667" s="741"/>
      <c r="K667" s="741"/>
      <c r="L667" s="741"/>
      <c r="M667" s="741"/>
      <c r="N667" s="741"/>
      <c r="O667" s="741"/>
      <c r="P667" s="741"/>
      <c r="Q667" s="741"/>
      <c r="R667" s="741"/>
      <c r="S667" s="741"/>
      <c r="T667" s="741"/>
      <c r="U667" s="741"/>
      <c r="V667" s="741"/>
      <c r="W667" s="741"/>
      <c r="X667" s="741"/>
      <c r="Y667" s="741"/>
      <c r="Z667" s="741"/>
      <c r="AA667" s="741"/>
      <c r="AB667" s="741"/>
      <c r="AC667" s="741"/>
      <c r="AD667" s="741"/>
      <c r="AE667" s="741"/>
      <c r="AF667" s="741"/>
      <c r="AG667" s="741"/>
      <c r="AH667" s="741"/>
      <c r="AI667" s="741"/>
      <c r="AJ667" s="741"/>
      <c r="AK667" s="741"/>
      <c r="AL667" s="741"/>
      <c r="AM667" s="741"/>
      <c r="AN667" s="741"/>
      <c r="AO667" s="741"/>
      <c r="AP667" s="741"/>
    </row>
    <row r="668" spans="1:42" ht="12.75" customHeight="1">
      <c r="A668" s="741"/>
      <c r="B668" s="741"/>
      <c r="C668" s="741"/>
      <c r="D668" s="741"/>
      <c r="E668" s="741"/>
      <c r="F668" s="741"/>
      <c r="G668" s="741"/>
      <c r="H668" s="741"/>
      <c r="I668" s="741"/>
      <c r="J668" s="741"/>
      <c r="K668" s="741"/>
      <c r="L668" s="741"/>
      <c r="M668" s="741"/>
      <c r="N668" s="741"/>
      <c r="O668" s="741"/>
      <c r="P668" s="741"/>
      <c r="Q668" s="741"/>
      <c r="R668" s="741"/>
      <c r="S668" s="741"/>
      <c r="T668" s="741"/>
      <c r="U668" s="741"/>
      <c r="V668" s="741"/>
      <c r="W668" s="741"/>
      <c r="X668" s="741"/>
      <c r="Y668" s="741"/>
      <c r="Z668" s="741"/>
      <c r="AA668" s="741"/>
      <c r="AB668" s="741"/>
      <c r="AC668" s="741"/>
      <c r="AD668" s="741"/>
      <c r="AE668" s="741"/>
      <c r="AF668" s="741"/>
      <c r="AG668" s="741"/>
      <c r="AH668" s="741"/>
      <c r="AI668" s="741"/>
      <c r="AJ668" s="741"/>
      <c r="AK668" s="741"/>
      <c r="AL668" s="741"/>
      <c r="AM668" s="741"/>
      <c r="AN668" s="741"/>
      <c r="AO668" s="741"/>
      <c r="AP668" s="741"/>
    </row>
    <row r="669" spans="1:42" ht="12.75" customHeight="1">
      <c r="A669" s="741"/>
      <c r="B669" s="741"/>
      <c r="C669" s="741"/>
      <c r="D669" s="741"/>
      <c r="E669" s="741"/>
      <c r="F669" s="741"/>
      <c r="G669" s="741"/>
      <c r="H669" s="741"/>
      <c r="I669" s="741"/>
      <c r="J669" s="741"/>
      <c r="K669" s="741"/>
      <c r="L669" s="741"/>
      <c r="M669" s="741"/>
      <c r="N669" s="741"/>
      <c r="O669" s="741"/>
      <c r="P669" s="741"/>
      <c r="Q669" s="741"/>
      <c r="R669" s="741"/>
      <c r="S669" s="741"/>
      <c r="T669" s="741"/>
      <c r="U669" s="741"/>
      <c r="V669" s="741"/>
      <c r="W669" s="741"/>
      <c r="X669" s="741"/>
      <c r="Y669" s="741"/>
      <c r="Z669" s="741"/>
      <c r="AA669" s="741"/>
      <c r="AB669" s="741"/>
      <c r="AC669" s="741"/>
      <c r="AD669" s="741"/>
      <c r="AE669" s="741"/>
      <c r="AF669" s="741"/>
      <c r="AG669" s="741"/>
      <c r="AH669" s="741"/>
      <c r="AI669" s="741"/>
      <c r="AJ669" s="741"/>
      <c r="AK669" s="741"/>
      <c r="AL669" s="741"/>
      <c r="AM669" s="741"/>
      <c r="AN669" s="741"/>
      <c r="AO669" s="741"/>
      <c r="AP669" s="741"/>
    </row>
    <row r="670" spans="1:42" ht="12.75" customHeight="1">
      <c r="A670" s="741"/>
      <c r="B670" s="741"/>
      <c r="C670" s="741"/>
      <c r="D670" s="741"/>
      <c r="E670" s="741"/>
      <c r="F670" s="741"/>
      <c r="G670" s="741"/>
      <c r="H670" s="741"/>
      <c r="I670" s="741"/>
      <c r="J670" s="741"/>
      <c r="K670" s="741"/>
      <c r="L670" s="741"/>
      <c r="M670" s="741"/>
      <c r="N670" s="741"/>
      <c r="O670" s="741"/>
      <c r="P670" s="741"/>
      <c r="Q670" s="741"/>
      <c r="R670" s="741"/>
      <c r="S670" s="741"/>
      <c r="T670" s="741"/>
      <c r="U670" s="741"/>
      <c r="V670" s="741"/>
      <c r="W670" s="741"/>
      <c r="X670" s="741"/>
      <c r="Y670" s="741"/>
      <c r="Z670" s="741"/>
      <c r="AA670" s="741"/>
      <c r="AB670" s="741"/>
      <c r="AC670" s="741"/>
      <c r="AD670" s="741"/>
      <c r="AE670" s="741"/>
      <c r="AF670" s="741"/>
      <c r="AG670" s="741"/>
      <c r="AH670" s="741"/>
      <c r="AI670" s="741"/>
      <c r="AJ670" s="741"/>
      <c r="AK670" s="741"/>
      <c r="AL670" s="741"/>
      <c r="AM670" s="741"/>
      <c r="AN670" s="741"/>
      <c r="AO670" s="741"/>
      <c r="AP670" s="741"/>
    </row>
    <row r="671" spans="1:42" ht="12.75" customHeight="1">
      <c r="A671" s="741"/>
      <c r="B671" s="741"/>
      <c r="C671" s="741"/>
      <c r="D671" s="741"/>
      <c r="E671" s="741"/>
      <c r="F671" s="741"/>
      <c r="G671" s="741"/>
      <c r="H671" s="741"/>
      <c r="I671" s="741"/>
      <c r="J671" s="741"/>
      <c r="K671" s="741"/>
      <c r="L671" s="741"/>
      <c r="M671" s="741"/>
      <c r="N671" s="741"/>
      <c r="O671" s="741"/>
      <c r="P671" s="741"/>
      <c r="Q671" s="741"/>
      <c r="R671" s="741"/>
      <c r="S671" s="741"/>
      <c r="T671" s="741"/>
      <c r="U671" s="741"/>
      <c r="V671" s="741"/>
      <c r="W671" s="741"/>
      <c r="X671" s="741"/>
      <c r="Y671" s="741"/>
      <c r="Z671" s="741"/>
      <c r="AA671" s="741"/>
      <c r="AB671" s="741"/>
      <c r="AC671" s="741"/>
      <c r="AD671" s="741"/>
      <c r="AE671" s="741"/>
      <c r="AF671" s="741"/>
      <c r="AG671" s="741"/>
      <c r="AH671" s="741"/>
      <c r="AI671" s="741"/>
      <c r="AJ671" s="741"/>
      <c r="AK671" s="741"/>
      <c r="AL671" s="741"/>
      <c r="AM671" s="741"/>
      <c r="AN671" s="741"/>
      <c r="AO671" s="741"/>
      <c r="AP671" s="741"/>
    </row>
    <row r="672" spans="1:42" ht="12.75" customHeight="1">
      <c r="A672" s="741"/>
      <c r="B672" s="741"/>
      <c r="C672" s="741"/>
      <c r="D672" s="741"/>
      <c r="E672" s="741"/>
      <c r="F672" s="741"/>
      <c r="G672" s="741"/>
      <c r="H672" s="741"/>
      <c r="I672" s="741"/>
      <c r="J672" s="741"/>
      <c r="K672" s="741"/>
      <c r="L672" s="741"/>
      <c r="M672" s="741"/>
      <c r="N672" s="741"/>
      <c r="O672" s="741"/>
      <c r="P672" s="741"/>
      <c r="Q672" s="741"/>
      <c r="R672" s="741"/>
      <c r="S672" s="741"/>
      <c r="T672" s="741"/>
      <c r="U672" s="741"/>
      <c r="V672" s="741"/>
      <c r="W672" s="741"/>
      <c r="X672" s="741"/>
      <c r="Y672" s="741"/>
      <c r="Z672" s="741"/>
      <c r="AA672" s="741"/>
      <c r="AB672" s="741"/>
      <c r="AC672" s="741"/>
      <c r="AD672" s="741"/>
      <c r="AE672" s="741"/>
      <c r="AF672" s="741"/>
      <c r="AG672" s="741"/>
      <c r="AH672" s="741"/>
      <c r="AI672" s="741"/>
      <c r="AJ672" s="741"/>
      <c r="AK672" s="741"/>
      <c r="AL672" s="741"/>
      <c r="AM672" s="741"/>
      <c r="AN672" s="741"/>
      <c r="AO672" s="741"/>
      <c r="AP672" s="741"/>
    </row>
    <row r="673" spans="1:42" ht="12.75" customHeight="1">
      <c r="A673" s="741"/>
      <c r="B673" s="741"/>
      <c r="C673" s="741"/>
      <c r="D673" s="741"/>
      <c r="E673" s="741"/>
      <c r="F673" s="741"/>
      <c r="G673" s="741"/>
      <c r="H673" s="741"/>
      <c r="I673" s="741"/>
      <c r="J673" s="741"/>
      <c r="K673" s="741"/>
      <c r="L673" s="741"/>
      <c r="M673" s="741"/>
      <c r="N673" s="741"/>
      <c r="O673" s="741"/>
      <c r="P673" s="741"/>
      <c r="Q673" s="741"/>
      <c r="R673" s="741"/>
      <c r="S673" s="741"/>
      <c r="T673" s="741"/>
      <c r="U673" s="741"/>
      <c r="V673" s="741"/>
      <c r="W673" s="741"/>
      <c r="X673" s="741"/>
      <c r="Y673" s="741"/>
      <c r="Z673" s="741"/>
      <c r="AA673" s="741"/>
      <c r="AB673" s="741"/>
      <c r="AC673" s="741"/>
      <c r="AD673" s="741"/>
      <c r="AE673" s="741"/>
      <c r="AF673" s="741"/>
      <c r="AG673" s="741"/>
      <c r="AH673" s="741"/>
      <c r="AI673" s="741"/>
      <c r="AJ673" s="741"/>
      <c r="AK673" s="741"/>
      <c r="AL673" s="741"/>
      <c r="AM673" s="741"/>
      <c r="AN673" s="741"/>
      <c r="AO673" s="741"/>
      <c r="AP673" s="741"/>
    </row>
    <row r="674" spans="1:42" ht="12.75" customHeight="1">
      <c r="A674" s="741"/>
      <c r="B674" s="741"/>
      <c r="C674" s="741"/>
      <c r="D674" s="741"/>
      <c r="E674" s="741"/>
      <c r="F674" s="741"/>
      <c r="G674" s="741"/>
      <c r="H674" s="741"/>
      <c r="I674" s="741"/>
      <c r="J674" s="741"/>
      <c r="K674" s="741"/>
      <c r="L674" s="741"/>
      <c r="M674" s="741"/>
      <c r="N674" s="741"/>
      <c r="O674" s="741"/>
      <c r="P674" s="741"/>
      <c r="Q674" s="741"/>
      <c r="R674" s="741"/>
      <c r="S674" s="741"/>
      <c r="T674" s="741"/>
      <c r="U674" s="741"/>
      <c r="V674" s="741"/>
      <c r="W674" s="741"/>
      <c r="X674" s="741"/>
      <c r="Y674" s="741"/>
      <c r="Z674" s="741"/>
      <c r="AA674" s="741"/>
      <c r="AB674" s="741"/>
      <c r="AC674" s="741"/>
      <c r="AD674" s="741"/>
      <c r="AE674" s="741"/>
      <c r="AF674" s="741"/>
      <c r="AG674" s="741"/>
      <c r="AH674" s="741"/>
      <c r="AI674" s="741"/>
      <c r="AJ674" s="741"/>
      <c r="AK674" s="741"/>
      <c r="AL674" s="741"/>
      <c r="AM674" s="741"/>
      <c r="AN674" s="741"/>
      <c r="AO674" s="741"/>
      <c r="AP674" s="741"/>
    </row>
    <row r="675" spans="1:42" ht="12.75" customHeight="1">
      <c r="A675" s="741"/>
      <c r="B675" s="741"/>
      <c r="C675" s="741"/>
      <c r="D675" s="741"/>
      <c r="E675" s="741"/>
      <c r="F675" s="741"/>
      <c r="G675" s="741"/>
      <c r="H675" s="741"/>
      <c r="I675" s="741"/>
      <c r="J675" s="741"/>
      <c r="K675" s="741"/>
      <c r="L675" s="741"/>
      <c r="M675" s="741"/>
      <c r="N675" s="741"/>
      <c r="O675" s="741"/>
      <c r="P675" s="741"/>
      <c r="Q675" s="741"/>
      <c r="R675" s="741"/>
      <c r="S675" s="741"/>
      <c r="T675" s="741"/>
      <c r="U675" s="741"/>
      <c r="V675" s="741"/>
      <c r="W675" s="741"/>
      <c r="X675" s="741"/>
      <c r="Y675" s="741"/>
      <c r="Z675" s="741"/>
      <c r="AA675" s="741"/>
      <c r="AB675" s="741"/>
      <c r="AC675" s="741"/>
      <c r="AD675" s="741"/>
      <c r="AE675" s="741"/>
      <c r="AF675" s="741"/>
      <c r="AG675" s="741"/>
      <c r="AH675" s="741"/>
      <c r="AI675" s="741"/>
      <c r="AJ675" s="741"/>
      <c r="AK675" s="741"/>
      <c r="AL675" s="741"/>
      <c r="AM675" s="741"/>
      <c r="AN675" s="741"/>
      <c r="AO675" s="741"/>
      <c r="AP675" s="741"/>
    </row>
    <row r="676" spans="1:42" ht="12.75" customHeight="1">
      <c r="A676" s="741"/>
      <c r="B676" s="741"/>
      <c r="C676" s="741"/>
      <c r="D676" s="741"/>
      <c r="E676" s="741"/>
      <c r="F676" s="741"/>
      <c r="G676" s="741"/>
      <c r="H676" s="741"/>
      <c r="I676" s="741"/>
      <c r="J676" s="741"/>
      <c r="K676" s="741"/>
      <c r="L676" s="741"/>
      <c r="M676" s="741"/>
      <c r="N676" s="741"/>
      <c r="O676" s="741"/>
      <c r="P676" s="741"/>
      <c r="Q676" s="741"/>
      <c r="R676" s="741"/>
      <c r="S676" s="741"/>
      <c r="T676" s="741"/>
      <c r="U676" s="741"/>
      <c r="V676" s="741"/>
      <c r="W676" s="741"/>
      <c r="X676" s="741"/>
      <c r="Y676" s="741"/>
      <c r="Z676" s="741"/>
      <c r="AA676" s="741"/>
      <c r="AB676" s="741"/>
      <c r="AC676" s="741"/>
      <c r="AD676" s="741"/>
      <c r="AE676" s="741"/>
      <c r="AF676" s="741"/>
      <c r="AG676" s="741"/>
      <c r="AH676" s="741"/>
      <c r="AI676" s="741"/>
      <c r="AJ676" s="741"/>
      <c r="AK676" s="741"/>
      <c r="AL676" s="741"/>
      <c r="AM676" s="741"/>
      <c r="AN676" s="741"/>
      <c r="AO676" s="741"/>
      <c r="AP676" s="741"/>
    </row>
    <row r="677" spans="1:42" ht="12.75" customHeight="1">
      <c r="A677" s="741"/>
      <c r="B677" s="741"/>
      <c r="C677" s="741"/>
      <c r="D677" s="741"/>
      <c r="E677" s="741"/>
      <c r="F677" s="741"/>
      <c r="G677" s="741"/>
      <c r="H677" s="741"/>
      <c r="I677" s="741"/>
      <c r="J677" s="741"/>
      <c r="K677" s="741"/>
      <c r="L677" s="741"/>
      <c r="M677" s="741"/>
      <c r="N677" s="741"/>
      <c r="O677" s="741"/>
      <c r="P677" s="741"/>
      <c r="Q677" s="741"/>
      <c r="R677" s="741"/>
      <c r="S677" s="741"/>
      <c r="T677" s="741"/>
      <c r="U677" s="741"/>
      <c r="V677" s="741"/>
      <c r="W677" s="741"/>
      <c r="X677" s="741"/>
      <c r="Y677" s="741"/>
      <c r="Z677" s="741"/>
      <c r="AA677" s="741"/>
      <c r="AB677" s="741"/>
      <c r="AC677" s="741"/>
      <c r="AD677" s="741"/>
      <c r="AE677" s="741"/>
      <c r="AF677" s="741"/>
      <c r="AG677" s="741"/>
      <c r="AH677" s="741"/>
      <c r="AI677" s="741"/>
      <c r="AJ677" s="741"/>
      <c r="AK677" s="741"/>
      <c r="AL677" s="741"/>
      <c r="AM677" s="741"/>
      <c r="AN677" s="741"/>
      <c r="AO677" s="741"/>
      <c r="AP677" s="741"/>
    </row>
    <row r="678" spans="1:42" ht="12.75" customHeight="1">
      <c r="A678" s="741"/>
      <c r="B678" s="741"/>
      <c r="C678" s="741"/>
      <c r="D678" s="741"/>
      <c r="E678" s="741"/>
      <c r="F678" s="741"/>
      <c r="G678" s="741"/>
      <c r="H678" s="741"/>
      <c r="I678" s="741"/>
      <c r="J678" s="741"/>
      <c r="K678" s="741"/>
      <c r="L678" s="741"/>
      <c r="M678" s="741"/>
      <c r="N678" s="741"/>
      <c r="O678" s="741"/>
      <c r="P678" s="741"/>
      <c r="Q678" s="741"/>
      <c r="R678" s="741"/>
      <c r="S678" s="741"/>
      <c r="T678" s="741"/>
      <c r="U678" s="741"/>
      <c r="V678" s="741"/>
      <c r="W678" s="741"/>
      <c r="X678" s="741"/>
      <c r="Y678" s="741"/>
      <c r="Z678" s="741"/>
      <c r="AA678" s="741"/>
      <c r="AB678" s="741"/>
      <c r="AC678" s="741"/>
      <c r="AD678" s="741"/>
      <c r="AE678" s="741"/>
      <c r="AF678" s="741"/>
      <c r="AG678" s="741"/>
      <c r="AH678" s="741"/>
      <c r="AI678" s="741"/>
      <c r="AJ678" s="741"/>
      <c r="AK678" s="741"/>
      <c r="AL678" s="741"/>
      <c r="AM678" s="741"/>
      <c r="AN678" s="741"/>
      <c r="AO678" s="741"/>
      <c r="AP678" s="741"/>
    </row>
    <row r="679" spans="1:42" ht="12.75" customHeight="1">
      <c r="A679" s="741"/>
      <c r="B679" s="741"/>
      <c r="C679" s="741"/>
      <c r="D679" s="741"/>
      <c r="E679" s="741"/>
      <c r="F679" s="741"/>
      <c r="G679" s="741"/>
      <c r="H679" s="741"/>
      <c r="I679" s="741"/>
      <c r="J679" s="741"/>
      <c r="K679" s="741"/>
      <c r="L679" s="741"/>
      <c r="M679" s="741"/>
      <c r="N679" s="741"/>
      <c r="O679" s="741"/>
      <c r="P679" s="741"/>
      <c r="Q679" s="741"/>
      <c r="R679" s="741"/>
      <c r="S679" s="741"/>
      <c r="T679" s="741"/>
      <c r="U679" s="741"/>
      <c r="V679" s="741"/>
      <c r="W679" s="741"/>
      <c r="X679" s="741"/>
      <c r="Y679" s="741"/>
      <c r="Z679" s="741"/>
      <c r="AA679" s="741"/>
      <c r="AB679" s="741"/>
      <c r="AC679" s="741"/>
      <c r="AD679" s="741"/>
      <c r="AE679" s="741"/>
      <c r="AF679" s="741"/>
      <c r="AG679" s="741"/>
      <c r="AH679" s="741"/>
      <c r="AI679" s="741"/>
      <c r="AJ679" s="741"/>
      <c r="AK679" s="741"/>
      <c r="AL679" s="741"/>
      <c r="AM679" s="741"/>
      <c r="AN679" s="741"/>
      <c r="AO679" s="741"/>
      <c r="AP679" s="741"/>
    </row>
    <row r="680" spans="1:42" ht="12.75" customHeight="1">
      <c r="A680" s="741"/>
      <c r="B680" s="741"/>
      <c r="C680" s="741"/>
      <c r="D680" s="741"/>
      <c r="E680" s="741"/>
      <c r="F680" s="741"/>
      <c r="G680" s="741"/>
      <c r="H680" s="741"/>
      <c r="I680" s="741"/>
      <c r="J680" s="741"/>
      <c r="K680" s="741"/>
      <c r="L680" s="741"/>
      <c r="M680" s="741"/>
      <c r="N680" s="741"/>
      <c r="O680" s="741"/>
      <c r="P680" s="741"/>
      <c r="Q680" s="741"/>
      <c r="R680" s="741"/>
      <c r="S680" s="741"/>
      <c r="T680" s="741"/>
      <c r="U680" s="741"/>
      <c r="V680" s="741"/>
      <c r="W680" s="741"/>
      <c r="X680" s="741"/>
      <c r="Y680" s="741"/>
      <c r="Z680" s="741"/>
      <c r="AA680" s="741"/>
      <c r="AB680" s="741"/>
      <c r="AC680" s="741"/>
      <c r="AD680" s="741"/>
      <c r="AE680" s="741"/>
      <c r="AF680" s="741"/>
      <c r="AG680" s="741"/>
      <c r="AH680" s="741"/>
      <c r="AI680" s="741"/>
      <c r="AJ680" s="741"/>
      <c r="AK680" s="741"/>
      <c r="AL680" s="741"/>
      <c r="AM680" s="741"/>
      <c r="AN680" s="741"/>
      <c r="AO680" s="741"/>
      <c r="AP680" s="741"/>
    </row>
    <row r="681" spans="1:42" ht="12.75" customHeight="1">
      <c r="A681" s="741"/>
      <c r="B681" s="741"/>
      <c r="C681" s="741"/>
      <c r="D681" s="741"/>
      <c r="E681" s="741"/>
      <c r="F681" s="741"/>
      <c r="G681" s="741"/>
      <c r="H681" s="741"/>
      <c r="I681" s="741"/>
      <c r="J681" s="741"/>
      <c r="K681" s="741"/>
      <c r="L681" s="741"/>
      <c r="M681" s="741"/>
      <c r="N681" s="741"/>
      <c r="O681" s="741"/>
      <c r="P681" s="741"/>
      <c r="Q681" s="741"/>
      <c r="R681" s="741"/>
      <c r="S681" s="741"/>
      <c r="T681" s="741"/>
      <c r="U681" s="741"/>
      <c r="V681" s="741"/>
      <c r="W681" s="741"/>
      <c r="X681" s="741"/>
      <c r="Y681" s="741"/>
      <c r="Z681" s="741"/>
      <c r="AA681" s="741"/>
      <c r="AB681" s="741"/>
      <c r="AC681" s="741"/>
      <c r="AD681" s="741"/>
      <c r="AE681" s="741"/>
      <c r="AF681" s="741"/>
      <c r="AG681" s="741"/>
      <c r="AH681" s="741"/>
      <c r="AI681" s="741"/>
      <c r="AJ681" s="741"/>
      <c r="AK681" s="741"/>
      <c r="AL681" s="741"/>
      <c r="AM681" s="741"/>
      <c r="AN681" s="741"/>
      <c r="AO681" s="741"/>
      <c r="AP681" s="741"/>
    </row>
    <row r="682" spans="1:42" ht="12.75" customHeight="1">
      <c r="A682" s="741"/>
      <c r="B682" s="741"/>
      <c r="C682" s="741"/>
      <c r="D682" s="741"/>
      <c r="E682" s="741"/>
      <c r="F682" s="741"/>
      <c r="G682" s="741"/>
      <c r="H682" s="741"/>
      <c r="I682" s="741"/>
      <c r="J682" s="741"/>
      <c r="K682" s="741"/>
      <c r="L682" s="741"/>
      <c r="M682" s="741"/>
      <c r="N682" s="741"/>
      <c r="O682" s="741"/>
      <c r="P682" s="741"/>
      <c r="Q682" s="741"/>
      <c r="R682" s="741"/>
      <c r="S682" s="741"/>
      <c r="T682" s="741"/>
      <c r="U682" s="741"/>
      <c r="V682" s="741"/>
      <c r="W682" s="741"/>
      <c r="X682" s="741"/>
      <c r="Y682" s="741"/>
      <c r="Z682" s="741"/>
      <c r="AA682" s="741"/>
      <c r="AB682" s="741"/>
      <c r="AC682" s="741"/>
      <c r="AD682" s="741"/>
      <c r="AE682" s="741"/>
      <c r="AF682" s="741"/>
      <c r="AG682" s="741"/>
      <c r="AH682" s="741"/>
      <c r="AI682" s="741"/>
      <c r="AJ682" s="741"/>
      <c r="AK682" s="741"/>
      <c r="AL682" s="741"/>
      <c r="AM682" s="741"/>
      <c r="AN682" s="741"/>
      <c r="AO682" s="741"/>
      <c r="AP682" s="741"/>
    </row>
    <row r="683" spans="1:42" ht="12.75" customHeight="1">
      <c r="A683" s="741"/>
      <c r="B683" s="741"/>
      <c r="C683" s="741"/>
      <c r="D683" s="741"/>
      <c r="E683" s="741"/>
      <c r="F683" s="741"/>
      <c r="G683" s="741"/>
      <c r="H683" s="741"/>
      <c r="I683" s="741"/>
      <c r="J683" s="741"/>
      <c r="K683" s="741"/>
      <c r="L683" s="741"/>
      <c r="M683" s="741"/>
      <c r="N683" s="741"/>
      <c r="O683" s="741"/>
      <c r="P683" s="741"/>
      <c r="Q683" s="741"/>
      <c r="R683" s="741"/>
      <c r="S683" s="741"/>
      <c r="T683" s="741"/>
      <c r="U683" s="741"/>
      <c r="V683" s="741"/>
      <c r="W683" s="741"/>
      <c r="X683" s="741"/>
      <c r="Y683" s="741"/>
      <c r="Z683" s="741"/>
      <c r="AA683" s="741"/>
      <c r="AB683" s="741"/>
      <c r="AC683" s="741"/>
      <c r="AD683" s="741"/>
      <c r="AE683" s="741"/>
      <c r="AF683" s="741"/>
      <c r="AG683" s="741"/>
      <c r="AH683" s="741"/>
      <c r="AI683" s="741"/>
      <c r="AJ683" s="741"/>
      <c r="AK683" s="741"/>
      <c r="AL683" s="741"/>
      <c r="AM683" s="741"/>
      <c r="AN683" s="741"/>
      <c r="AO683" s="741"/>
      <c r="AP683" s="741"/>
    </row>
    <row r="684" spans="1:42" ht="12.75" customHeight="1">
      <c r="A684" s="741"/>
      <c r="B684" s="741"/>
      <c r="C684" s="741"/>
      <c r="D684" s="741"/>
      <c r="E684" s="741"/>
      <c r="F684" s="741"/>
      <c r="G684" s="741"/>
      <c r="H684" s="741"/>
      <c r="I684" s="741"/>
      <c r="J684" s="741"/>
      <c r="K684" s="741"/>
      <c r="L684" s="741"/>
      <c r="M684" s="741"/>
      <c r="N684" s="741"/>
      <c r="O684" s="741"/>
      <c r="P684" s="741"/>
      <c r="Q684" s="741"/>
      <c r="R684" s="741"/>
      <c r="S684" s="741"/>
      <c r="T684" s="741"/>
      <c r="U684" s="741"/>
      <c r="V684" s="741"/>
      <c r="W684" s="741"/>
      <c r="X684" s="741"/>
      <c r="Y684" s="741"/>
      <c r="Z684" s="741"/>
      <c r="AA684" s="741"/>
      <c r="AB684" s="741"/>
      <c r="AC684" s="741"/>
      <c r="AD684" s="741"/>
      <c r="AE684" s="741"/>
      <c r="AF684" s="741"/>
      <c r="AG684" s="741"/>
      <c r="AH684" s="741"/>
      <c r="AI684" s="741"/>
      <c r="AJ684" s="741"/>
      <c r="AK684" s="741"/>
      <c r="AL684" s="741"/>
      <c r="AM684" s="741"/>
      <c r="AN684" s="741"/>
      <c r="AO684" s="741"/>
      <c r="AP684" s="741"/>
    </row>
    <row r="685" spans="1:42" ht="12.75" customHeight="1">
      <c r="A685" s="741"/>
      <c r="B685" s="741"/>
      <c r="C685" s="741"/>
      <c r="D685" s="741"/>
      <c r="E685" s="741"/>
      <c r="F685" s="741"/>
      <c r="G685" s="741"/>
      <c r="H685" s="741"/>
      <c r="I685" s="741"/>
      <c r="J685" s="741"/>
      <c r="K685" s="741"/>
      <c r="L685" s="741"/>
      <c r="M685" s="741"/>
      <c r="N685" s="741"/>
      <c r="O685" s="741"/>
      <c r="P685" s="741"/>
      <c r="Q685" s="741"/>
      <c r="R685" s="741"/>
      <c r="S685" s="741"/>
      <c r="T685" s="741"/>
      <c r="U685" s="741"/>
      <c r="V685" s="741"/>
      <c r="W685" s="741"/>
      <c r="X685" s="741"/>
      <c r="Y685" s="741"/>
      <c r="Z685" s="741"/>
      <c r="AA685" s="741"/>
      <c r="AB685" s="741"/>
      <c r="AC685" s="741"/>
      <c r="AD685" s="741"/>
      <c r="AE685" s="741"/>
      <c r="AF685" s="741"/>
      <c r="AG685" s="741"/>
      <c r="AH685" s="741"/>
      <c r="AI685" s="741"/>
      <c r="AJ685" s="741"/>
      <c r="AK685" s="741"/>
      <c r="AL685" s="741"/>
      <c r="AM685" s="741"/>
      <c r="AN685" s="741"/>
      <c r="AO685" s="741"/>
      <c r="AP685" s="741"/>
    </row>
    <row r="686" spans="1:42" ht="12.75" customHeight="1">
      <c r="A686" s="741"/>
      <c r="B686" s="741"/>
      <c r="C686" s="741"/>
      <c r="D686" s="741"/>
      <c r="E686" s="741"/>
      <c r="F686" s="741"/>
      <c r="G686" s="741"/>
      <c r="H686" s="741"/>
      <c r="I686" s="741"/>
      <c r="J686" s="741"/>
      <c r="K686" s="741"/>
      <c r="L686" s="741"/>
      <c r="M686" s="741"/>
      <c r="N686" s="741"/>
      <c r="O686" s="741"/>
      <c r="P686" s="741"/>
      <c r="Q686" s="741"/>
      <c r="R686" s="741"/>
      <c r="S686" s="741"/>
      <c r="T686" s="741"/>
      <c r="U686" s="741"/>
      <c r="V686" s="741"/>
      <c r="W686" s="741"/>
      <c r="X686" s="741"/>
      <c r="Y686" s="741"/>
      <c r="Z686" s="741"/>
      <c r="AA686" s="741"/>
      <c r="AB686" s="741"/>
      <c r="AC686" s="741"/>
      <c r="AD686" s="741"/>
      <c r="AE686" s="741"/>
      <c r="AF686" s="741"/>
      <c r="AG686" s="741"/>
      <c r="AH686" s="741"/>
      <c r="AI686" s="741"/>
      <c r="AJ686" s="741"/>
      <c r="AK686" s="741"/>
      <c r="AL686" s="741"/>
      <c r="AM686" s="741"/>
      <c r="AN686" s="741"/>
      <c r="AO686" s="741"/>
      <c r="AP686" s="741"/>
    </row>
    <row r="687" spans="1:42" ht="12.75" customHeight="1">
      <c r="A687" s="741"/>
      <c r="B687" s="741"/>
      <c r="C687" s="741"/>
      <c r="D687" s="741"/>
      <c r="E687" s="741"/>
      <c r="F687" s="741"/>
      <c r="G687" s="741"/>
      <c r="H687" s="741"/>
      <c r="I687" s="741"/>
      <c r="J687" s="741"/>
      <c r="K687" s="741"/>
      <c r="L687" s="741"/>
      <c r="M687" s="741"/>
      <c r="N687" s="741"/>
      <c r="O687" s="741"/>
      <c r="P687" s="741"/>
      <c r="Q687" s="741"/>
      <c r="R687" s="741"/>
      <c r="S687" s="741"/>
      <c r="T687" s="741"/>
      <c r="U687" s="741"/>
      <c r="V687" s="741"/>
      <c r="W687" s="741"/>
      <c r="X687" s="741"/>
      <c r="Y687" s="741"/>
      <c r="Z687" s="741"/>
      <c r="AA687" s="741"/>
      <c r="AB687" s="741"/>
      <c r="AC687" s="741"/>
      <c r="AD687" s="741"/>
      <c r="AE687" s="741"/>
      <c r="AF687" s="741"/>
      <c r="AG687" s="741"/>
      <c r="AH687" s="741"/>
      <c r="AI687" s="741"/>
      <c r="AJ687" s="741"/>
      <c r="AK687" s="741"/>
      <c r="AL687" s="741"/>
      <c r="AM687" s="741"/>
      <c r="AN687" s="741"/>
      <c r="AO687" s="741"/>
      <c r="AP687" s="741"/>
    </row>
    <row r="688" spans="1:42" ht="12.75" customHeight="1">
      <c r="A688" s="741"/>
      <c r="B688" s="741"/>
      <c r="C688" s="741"/>
      <c r="D688" s="741"/>
      <c r="E688" s="741"/>
      <c r="F688" s="741"/>
      <c r="G688" s="741"/>
      <c r="H688" s="741"/>
      <c r="I688" s="741"/>
      <c r="J688" s="741"/>
      <c r="K688" s="741"/>
      <c r="L688" s="741"/>
      <c r="M688" s="741"/>
      <c r="N688" s="741"/>
      <c r="O688" s="741"/>
      <c r="P688" s="741"/>
      <c r="Q688" s="741"/>
      <c r="R688" s="741"/>
      <c r="S688" s="741"/>
      <c r="T688" s="741"/>
      <c r="U688" s="741"/>
      <c r="V688" s="741"/>
      <c r="W688" s="741"/>
      <c r="X688" s="741"/>
      <c r="Y688" s="741"/>
      <c r="Z688" s="741"/>
      <c r="AA688" s="741"/>
      <c r="AB688" s="741"/>
      <c r="AC688" s="741"/>
      <c r="AD688" s="741"/>
      <c r="AE688" s="741"/>
      <c r="AF688" s="741"/>
      <c r="AG688" s="741"/>
      <c r="AH688" s="741"/>
      <c r="AI688" s="741"/>
      <c r="AJ688" s="741"/>
      <c r="AK688" s="741"/>
      <c r="AL688" s="741"/>
      <c r="AM688" s="741"/>
      <c r="AN688" s="741"/>
      <c r="AO688" s="741"/>
      <c r="AP688" s="741"/>
    </row>
    <row r="689" spans="1:42" ht="12.75" customHeight="1">
      <c r="A689" s="741"/>
      <c r="B689" s="741"/>
      <c r="C689" s="741"/>
      <c r="D689" s="741"/>
      <c r="E689" s="741"/>
      <c r="F689" s="741"/>
      <c r="G689" s="741"/>
      <c r="H689" s="741"/>
      <c r="I689" s="741"/>
      <c r="J689" s="741"/>
      <c r="K689" s="741"/>
      <c r="L689" s="741"/>
      <c r="M689" s="741"/>
      <c r="N689" s="741"/>
      <c r="O689" s="741"/>
      <c r="P689" s="741"/>
      <c r="Q689" s="741"/>
      <c r="R689" s="741"/>
      <c r="S689" s="741"/>
      <c r="T689" s="741"/>
      <c r="U689" s="741"/>
      <c r="V689" s="741"/>
      <c r="W689" s="741"/>
      <c r="X689" s="741"/>
      <c r="Y689" s="741"/>
      <c r="Z689" s="741"/>
      <c r="AA689" s="741"/>
      <c r="AB689" s="741"/>
      <c r="AC689" s="741"/>
      <c r="AD689" s="741"/>
      <c r="AE689" s="741"/>
      <c r="AF689" s="741"/>
      <c r="AG689" s="741"/>
      <c r="AH689" s="741"/>
      <c r="AI689" s="741"/>
      <c r="AJ689" s="741"/>
      <c r="AK689" s="741"/>
      <c r="AL689" s="741"/>
      <c r="AM689" s="741"/>
      <c r="AN689" s="741"/>
      <c r="AO689" s="741"/>
      <c r="AP689" s="741"/>
    </row>
    <row r="690" spans="1:42" ht="12.75" customHeight="1">
      <c r="A690" s="741"/>
      <c r="B690" s="741"/>
      <c r="C690" s="741"/>
      <c r="D690" s="741"/>
      <c r="E690" s="741"/>
      <c r="F690" s="741"/>
      <c r="G690" s="741"/>
      <c r="H690" s="741"/>
      <c r="I690" s="741"/>
      <c r="J690" s="741"/>
      <c r="K690" s="741"/>
      <c r="L690" s="741"/>
      <c r="M690" s="741"/>
      <c r="N690" s="741"/>
      <c r="O690" s="741"/>
      <c r="P690" s="741"/>
      <c r="Q690" s="741"/>
      <c r="R690" s="741"/>
      <c r="S690" s="741"/>
      <c r="T690" s="741"/>
      <c r="U690" s="741"/>
      <c r="V690" s="741"/>
      <c r="W690" s="741"/>
      <c r="X690" s="741"/>
      <c r="Y690" s="741"/>
      <c r="Z690" s="741"/>
      <c r="AA690" s="741"/>
      <c r="AB690" s="741"/>
      <c r="AC690" s="741"/>
      <c r="AD690" s="741"/>
      <c r="AE690" s="741"/>
      <c r="AF690" s="741"/>
      <c r="AG690" s="741"/>
      <c r="AH690" s="741"/>
      <c r="AI690" s="741"/>
      <c r="AJ690" s="741"/>
      <c r="AK690" s="741"/>
      <c r="AL690" s="741"/>
      <c r="AM690" s="741"/>
      <c r="AN690" s="741"/>
      <c r="AO690" s="741"/>
      <c r="AP690" s="741"/>
    </row>
    <row r="691" spans="1:42" ht="12.75" customHeight="1">
      <c r="A691" s="741"/>
      <c r="B691" s="741"/>
      <c r="C691" s="741"/>
      <c r="D691" s="741"/>
      <c r="E691" s="741"/>
      <c r="F691" s="741"/>
      <c r="G691" s="741"/>
      <c r="H691" s="741"/>
      <c r="I691" s="741"/>
      <c r="J691" s="741"/>
      <c r="K691" s="741"/>
      <c r="L691" s="741"/>
      <c r="M691" s="741"/>
      <c r="N691" s="741"/>
      <c r="O691" s="741"/>
      <c r="P691" s="741"/>
      <c r="Q691" s="741"/>
      <c r="R691" s="741"/>
      <c r="S691" s="741"/>
      <c r="T691" s="741"/>
      <c r="U691" s="741"/>
      <c r="V691" s="741"/>
      <c r="W691" s="741"/>
      <c r="X691" s="741"/>
      <c r="Y691" s="741"/>
      <c r="Z691" s="741"/>
      <c r="AA691" s="741"/>
      <c r="AB691" s="741"/>
      <c r="AC691" s="741"/>
      <c r="AD691" s="741"/>
      <c r="AE691" s="741"/>
      <c r="AF691" s="741"/>
      <c r="AG691" s="741"/>
      <c r="AH691" s="741"/>
      <c r="AI691" s="741"/>
      <c r="AJ691" s="741"/>
      <c r="AK691" s="741"/>
      <c r="AL691" s="741"/>
      <c r="AM691" s="741"/>
      <c r="AN691" s="741"/>
      <c r="AO691" s="741"/>
      <c r="AP691" s="741"/>
    </row>
    <row r="692" spans="1:42" ht="12.75" customHeight="1">
      <c r="A692" s="741"/>
      <c r="B692" s="741"/>
      <c r="C692" s="741"/>
      <c r="D692" s="741"/>
      <c r="E692" s="741"/>
      <c r="F692" s="741"/>
      <c r="G692" s="741"/>
      <c r="H692" s="741"/>
      <c r="I692" s="741"/>
      <c r="J692" s="741"/>
      <c r="K692" s="741"/>
      <c r="L692" s="741"/>
      <c r="M692" s="741"/>
      <c r="N692" s="741"/>
      <c r="O692" s="741"/>
      <c r="P692" s="741"/>
      <c r="Q692" s="741"/>
      <c r="R692" s="741"/>
      <c r="S692" s="741"/>
      <c r="T692" s="741"/>
      <c r="U692" s="741"/>
      <c r="V692" s="741"/>
      <c r="W692" s="741"/>
      <c r="X692" s="741"/>
      <c r="Y692" s="741"/>
      <c r="Z692" s="741"/>
      <c r="AA692" s="741"/>
      <c r="AB692" s="741"/>
      <c r="AC692" s="741"/>
      <c r="AD692" s="741"/>
      <c r="AE692" s="741"/>
      <c r="AF692" s="741"/>
      <c r="AG692" s="741"/>
      <c r="AH692" s="741"/>
      <c r="AI692" s="741"/>
      <c r="AJ692" s="741"/>
      <c r="AK692" s="741"/>
      <c r="AL692" s="741"/>
      <c r="AM692" s="741"/>
      <c r="AN692" s="741"/>
      <c r="AO692" s="741"/>
      <c r="AP692" s="741"/>
    </row>
    <row r="693" spans="1:42" ht="12.75" customHeight="1">
      <c r="A693" s="741"/>
      <c r="B693" s="741"/>
      <c r="C693" s="741"/>
      <c r="D693" s="741"/>
      <c r="E693" s="741"/>
      <c r="F693" s="741"/>
      <c r="G693" s="741"/>
      <c r="H693" s="741"/>
      <c r="I693" s="741"/>
      <c r="J693" s="741"/>
      <c r="K693" s="741"/>
      <c r="L693" s="741"/>
      <c r="M693" s="741"/>
      <c r="N693" s="741"/>
      <c r="O693" s="741"/>
      <c r="P693" s="741"/>
      <c r="Q693" s="741"/>
      <c r="R693" s="741"/>
      <c r="S693" s="741"/>
      <c r="T693" s="741"/>
      <c r="U693" s="741"/>
      <c r="V693" s="741"/>
      <c r="W693" s="741"/>
      <c r="X693" s="741"/>
      <c r="Y693" s="741"/>
      <c r="Z693" s="741"/>
      <c r="AA693" s="741"/>
      <c r="AB693" s="741"/>
      <c r="AC693" s="741"/>
      <c r="AD693" s="741"/>
      <c r="AE693" s="741"/>
      <c r="AF693" s="741"/>
      <c r="AG693" s="741"/>
      <c r="AH693" s="741"/>
      <c r="AI693" s="741"/>
      <c r="AJ693" s="741"/>
      <c r="AK693" s="741"/>
      <c r="AL693" s="741"/>
      <c r="AM693" s="741"/>
      <c r="AN693" s="741"/>
      <c r="AO693" s="741"/>
      <c r="AP693" s="741"/>
    </row>
    <row r="694" spans="1:42" ht="12.75" customHeight="1">
      <c r="A694" s="741"/>
      <c r="B694" s="741"/>
      <c r="C694" s="741"/>
      <c r="D694" s="741"/>
      <c r="E694" s="741"/>
      <c r="F694" s="741"/>
      <c r="G694" s="741"/>
      <c r="H694" s="741"/>
      <c r="I694" s="741"/>
      <c r="J694" s="741"/>
      <c r="K694" s="741"/>
      <c r="L694" s="741"/>
      <c r="M694" s="741"/>
      <c r="N694" s="741"/>
      <c r="O694" s="741"/>
      <c r="P694" s="741"/>
      <c r="Q694" s="741"/>
      <c r="R694" s="741"/>
      <c r="S694" s="741"/>
      <c r="T694" s="741"/>
      <c r="U694" s="741"/>
      <c r="V694" s="741"/>
      <c r="W694" s="741"/>
      <c r="X694" s="741"/>
      <c r="Y694" s="741"/>
      <c r="Z694" s="741"/>
      <c r="AA694" s="741"/>
      <c r="AB694" s="741"/>
      <c r="AC694" s="741"/>
      <c r="AD694" s="741"/>
      <c r="AE694" s="741"/>
      <c r="AF694" s="741"/>
      <c r="AG694" s="741"/>
      <c r="AH694" s="741"/>
      <c r="AI694" s="741"/>
      <c r="AJ694" s="741"/>
      <c r="AK694" s="741"/>
      <c r="AL694" s="741"/>
      <c r="AM694" s="741"/>
      <c r="AN694" s="741"/>
      <c r="AO694" s="741"/>
      <c r="AP694" s="741"/>
    </row>
    <row r="695" spans="1:42" ht="12.75" customHeight="1">
      <c r="A695" s="741"/>
      <c r="B695" s="741"/>
      <c r="C695" s="741"/>
      <c r="D695" s="741"/>
      <c r="E695" s="741"/>
      <c r="F695" s="741"/>
      <c r="G695" s="741"/>
      <c r="H695" s="741"/>
      <c r="I695" s="741"/>
      <c r="J695" s="741"/>
      <c r="K695" s="741"/>
      <c r="L695" s="741"/>
      <c r="M695" s="741"/>
      <c r="N695" s="741"/>
      <c r="O695" s="741"/>
      <c r="P695" s="741"/>
      <c r="Q695" s="741"/>
      <c r="R695" s="741"/>
      <c r="S695" s="741"/>
      <c r="T695" s="741"/>
      <c r="U695" s="741"/>
      <c r="V695" s="741"/>
      <c r="W695" s="741"/>
      <c r="X695" s="741"/>
      <c r="Y695" s="741"/>
      <c r="Z695" s="741"/>
      <c r="AA695" s="741"/>
      <c r="AB695" s="741"/>
      <c r="AC695" s="741"/>
      <c r="AD695" s="741"/>
      <c r="AE695" s="741"/>
      <c r="AF695" s="741"/>
      <c r="AG695" s="741"/>
      <c r="AH695" s="741"/>
      <c r="AI695" s="741"/>
      <c r="AJ695" s="741"/>
      <c r="AK695" s="741"/>
      <c r="AL695" s="741"/>
      <c r="AM695" s="741"/>
      <c r="AN695" s="741"/>
      <c r="AO695" s="741"/>
      <c r="AP695" s="741"/>
    </row>
    <row r="696" spans="1:42" ht="12.75" customHeight="1">
      <c r="A696" s="741"/>
      <c r="B696" s="741"/>
      <c r="C696" s="741"/>
      <c r="D696" s="741"/>
      <c r="E696" s="741"/>
      <c r="F696" s="741"/>
      <c r="G696" s="741"/>
      <c r="H696" s="741"/>
      <c r="I696" s="741"/>
      <c r="J696" s="741"/>
      <c r="K696" s="741"/>
      <c r="L696" s="741"/>
      <c r="M696" s="741"/>
      <c r="N696" s="741"/>
      <c r="O696" s="741"/>
      <c r="P696" s="741"/>
      <c r="Q696" s="741"/>
      <c r="R696" s="741"/>
      <c r="S696" s="741"/>
      <c r="T696" s="741"/>
      <c r="U696" s="741"/>
      <c r="V696" s="741"/>
      <c r="W696" s="741"/>
      <c r="X696" s="741"/>
      <c r="Y696" s="741"/>
      <c r="Z696" s="741"/>
      <c r="AA696" s="741"/>
      <c r="AB696" s="741"/>
      <c r="AC696" s="741"/>
      <c r="AD696" s="741"/>
      <c r="AE696" s="741"/>
      <c r="AF696" s="741"/>
      <c r="AG696" s="741"/>
      <c r="AH696" s="741"/>
      <c r="AI696" s="741"/>
      <c r="AJ696" s="741"/>
      <c r="AK696" s="741"/>
      <c r="AL696" s="741"/>
      <c r="AM696" s="741"/>
      <c r="AN696" s="741"/>
      <c r="AO696" s="741"/>
      <c r="AP696" s="741"/>
    </row>
    <row r="697" spans="1:42" ht="12.75" customHeight="1">
      <c r="A697" s="741"/>
      <c r="B697" s="741"/>
      <c r="C697" s="741"/>
      <c r="D697" s="741"/>
      <c r="E697" s="741"/>
      <c r="F697" s="741"/>
      <c r="G697" s="741"/>
      <c r="H697" s="741"/>
      <c r="I697" s="741"/>
      <c r="J697" s="741"/>
      <c r="K697" s="741"/>
      <c r="L697" s="741"/>
      <c r="M697" s="741"/>
      <c r="N697" s="741"/>
      <c r="O697" s="741"/>
      <c r="P697" s="741"/>
      <c r="Q697" s="741"/>
      <c r="R697" s="741"/>
      <c r="S697" s="741"/>
      <c r="T697" s="741"/>
      <c r="U697" s="741"/>
      <c r="V697" s="741"/>
      <c r="W697" s="741"/>
      <c r="X697" s="741"/>
      <c r="Y697" s="741"/>
      <c r="Z697" s="741"/>
      <c r="AA697" s="741"/>
      <c r="AB697" s="741"/>
      <c r="AC697" s="741"/>
      <c r="AD697" s="741"/>
      <c r="AE697" s="741"/>
      <c r="AF697" s="741"/>
      <c r="AG697" s="741"/>
      <c r="AH697" s="741"/>
      <c r="AI697" s="741"/>
      <c r="AJ697" s="741"/>
      <c r="AK697" s="741"/>
      <c r="AL697" s="741"/>
      <c r="AM697" s="741"/>
      <c r="AN697" s="741"/>
      <c r="AO697" s="741"/>
      <c r="AP697" s="741"/>
    </row>
    <row r="698" spans="1:42" ht="12.75" customHeight="1">
      <c r="A698" s="741"/>
      <c r="B698" s="741"/>
      <c r="C698" s="741"/>
      <c r="D698" s="741"/>
      <c r="E698" s="741"/>
      <c r="F698" s="741"/>
      <c r="G698" s="741"/>
      <c r="H698" s="741"/>
      <c r="I698" s="741"/>
      <c r="J698" s="741"/>
      <c r="K698" s="741"/>
      <c r="L698" s="741"/>
      <c r="M698" s="741"/>
      <c r="N698" s="741"/>
      <c r="O698" s="741"/>
      <c r="P698" s="741"/>
      <c r="Q698" s="741"/>
      <c r="R698" s="741"/>
      <c r="S698" s="741"/>
      <c r="T698" s="741"/>
      <c r="U698" s="741"/>
      <c r="V698" s="741"/>
      <c r="W698" s="741"/>
      <c r="X698" s="741"/>
      <c r="Y698" s="741"/>
      <c r="Z698" s="741"/>
      <c r="AA698" s="741"/>
      <c r="AB698" s="741"/>
      <c r="AC698" s="741"/>
      <c r="AD698" s="741"/>
      <c r="AE698" s="741"/>
      <c r="AF698" s="741"/>
      <c r="AG698" s="741"/>
      <c r="AH698" s="741"/>
      <c r="AI698" s="741"/>
      <c r="AJ698" s="741"/>
      <c r="AK698" s="741"/>
      <c r="AL698" s="741"/>
      <c r="AM698" s="741"/>
      <c r="AN698" s="741"/>
      <c r="AO698" s="741"/>
      <c r="AP698" s="741"/>
    </row>
    <row r="699" spans="1:42" ht="12.75" customHeight="1">
      <c r="A699" s="741"/>
      <c r="B699" s="741"/>
      <c r="C699" s="741"/>
      <c r="D699" s="741"/>
      <c r="E699" s="741"/>
      <c r="F699" s="741"/>
      <c r="G699" s="741"/>
      <c r="H699" s="741"/>
      <c r="I699" s="741"/>
      <c r="J699" s="741"/>
      <c r="K699" s="741"/>
      <c r="L699" s="741"/>
      <c r="M699" s="741"/>
      <c r="N699" s="741"/>
      <c r="O699" s="741"/>
      <c r="P699" s="741"/>
      <c r="Q699" s="741"/>
      <c r="R699" s="741"/>
      <c r="S699" s="741"/>
      <c r="T699" s="741"/>
      <c r="U699" s="741"/>
      <c r="V699" s="741"/>
      <c r="W699" s="741"/>
      <c r="X699" s="741"/>
      <c r="Y699" s="741"/>
      <c r="Z699" s="741"/>
      <c r="AA699" s="741"/>
      <c r="AB699" s="741"/>
      <c r="AC699" s="741"/>
      <c r="AD699" s="741"/>
      <c r="AE699" s="741"/>
      <c r="AF699" s="741"/>
      <c r="AG699" s="741"/>
      <c r="AH699" s="741"/>
      <c r="AI699" s="741"/>
      <c r="AJ699" s="741"/>
      <c r="AK699" s="741"/>
      <c r="AL699" s="741"/>
      <c r="AM699" s="741"/>
      <c r="AN699" s="741"/>
      <c r="AO699" s="741"/>
      <c r="AP699" s="741"/>
    </row>
    <row r="700" spans="1:42" ht="12.75" customHeight="1">
      <c r="A700" s="741"/>
      <c r="B700" s="741"/>
      <c r="C700" s="741"/>
      <c r="D700" s="741"/>
      <c r="E700" s="741"/>
      <c r="F700" s="741"/>
      <c r="G700" s="741"/>
      <c r="H700" s="741"/>
      <c r="I700" s="741"/>
      <c r="J700" s="741"/>
      <c r="K700" s="741"/>
      <c r="L700" s="741"/>
      <c r="M700" s="741"/>
      <c r="N700" s="741"/>
      <c r="O700" s="741"/>
      <c r="P700" s="741"/>
      <c r="Q700" s="741"/>
      <c r="R700" s="741"/>
      <c r="S700" s="741"/>
      <c r="T700" s="741"/>
      <c r="U700" s="741"/>
      <c r="V700" s="741"/>
      <c r="W700" s="741"/>
      <c r="X700" s="741"/>
      <c r="Y700" s="741"/>
      <c r="Z700" s="741"/>
      <c r="AA700" s="741"/>
      <c r="AB700" s="741"/>
      <c r="AC700" s="741"/>
      <c r="AD700" s="741"/>
      <c r="AE700" s="741"/>
      <c r="AF700" s="741"/>
      <c r="AG700" s="741"/>
      <c r="AH700" s="741"/>
      <c r="AI700" s="741"/>
      <c r="AJ700" s="741"/>
      <c r="AK700" s="741"/>
      <c r="AL700" s="741"/>
      <c r="AM700" s="741"/>
      <c r="AN700" s="741"/>
      <c r="AO700" s="741"/>
      <c r="AP700" s="741"/>
    </row>
    <row r="701" spans="1:42" ht="12.75" customHeight="1">
      <c r="A701" s="741"/>
      <c r="B701" s="741"/>
      <c r="C701" s="741"/>
      <c r="D701" s="741"/>
      <c r="E701" s="741"/>
      <c r="F701" s="741"/>
      <c r="G701" s="741"/>
      <c r="H701" s="741"/>
      <c r="I701" s="741"/>
      <c r="J701" s="741"/>
      <c r="K701" s="741"/>
      <c r="L701" s="741"/>
      <c r="M701" s="741"/>
      <c r="N701" s="741"/>
      <c r="O701" s="741"/>
      <c r="P701" s="741"/>
      <c r="Q701" s="741"/>
      <c r="R701" s="741"/>
      <c r="S701" s="741"/>
      <c r="T701" s="741"/>
      <c r="U701" s="741"/>
      <c r="V701" s="741"/>
      <c r="W701" s="741"/>
      <c r="X701" s="741"/>
      <c r="Y701" s="741"/>
      <c r="Z701" s="741"/>
      <c r="AA701" s="741"/>
      <c r="AB701" s="741"/>
      <c r="AC701" s="741"/>
      <c r="AD701" s="741"/>
      <c r="AE701" s="741"/>
      <c r="AF701" s="741"/>
      <c r="AG701" s="741"/>
      <c r="AH701" s="741"/>
      <c r="AI701" s="741"/>
      <c r="AJ701" s="741"/>
      <c r="AK701" s="741"/>
      <c r="AL701" s="741"/>
      <c r="AM701" s="741"/>
      <c r="AN701" s="741"/>
      <c r="AO701" s="741"/>
      <c r="AP701" s="741"/>
    </row>
    <row r="702" spans="1:42" ht="12.75" customHeight="1">
      <c r="A702" s="741"/>
      <c r="B702" s="741"/>
      <c r="C702" s="741"/>
      <c r="D702" s="741"/>
      <c r="E702" s="741"/>
      <c r="F702" s="741"/>
      <c r="G702" s="741"/>
      <c r="H702" s="741"/>
      <c r="I702" s="741"/>
      <c r="J702" s="741"/>
      <c r="K702" s="741"/>
      <c r="L702" s="741"/>
      <c r="M702" s="741"/>
      <c r="N702" s="741"/>
      <c r="O702" s="741"/>
      <c r="P702" s="741"/>
      <c r="Q702" s="741"/>
      <c r="R702" s="741"/>
      <c r="S702" s="741"/>
      <c r="T702" s="741"/>
      <c r="U702" s="741"/>
      <c r="V702" s="741"/>
      <c r="W702" s="741"/>
      <c r="X702" s="741"/>
      <c r="Y702" s="741"/>
      <c r="Z702" s="741"/>
      <c r="AA702" s="741"/>
      <c r="AB702" s="741"/>
      <c r="AC702" s="741"/>
      <c r="AD702" s="741"/>
      <c r="AE702" s="741"/>
      <c r="AF702" s="741"/>
      <c r="AG702" s="741"/>
      <c r="AH702" s="741"/>
      <c r="AI702" s="741"/>
      <c r="AJ702" s="741"/>
      <c r="AK702" s="741"/>
      <c r="AL702" s="741"/>
      <c r="AM702" s="741"/>
      <c r="AN702" s="741"/>
      <c r="AO702" s="741"/>
      <c r="AP702" s="741"/>
    </row>
    <row r="703" spans="1:42" ht="12.75" customHeight="1">
      <c r="A703" s="741"/>
      <c r="B703" s="741"/>
      <c r="C703" s="741"/>
      <c r="D703" s="741"/>
      <c r="E703" s="741"/>
      <c r="F703" s="741"/>
      <c r="G703" s="741"/>
      <c r="H703" s="741"/>
      <c r="I703" s="741"/>
      <c r="J703" s="741"/>
      <c r="K703" s="741"/>
      <c r="L703" s="741"/>
      <c r="M703" s="741"/>
      <c r="N703" s="741"/>
      <c r="O703" s="741"/>
      <c r="P703" s="741"/>
      <c r="Q703" s="741"/>
      <c r="R703" s="741"/>
      <c r="S703" s="741"/>
      <c r="T703" s="741"/>
      <c r="U703" s="741"/>
      <c r="V703" s="741"/>
      <c r="W703" s="741"/>
      <c r="X703" s="741"/>
      <c r="Y703" s="741"/>
      <c r="Z703" s="741"/>
      <c r="AA703" s="741"/>
      <c r="AB703" s="741"/>
      <c r="AC703" s="741"/>
      <c r="AD703" s="741"/>
      <c r="AE703" s="741"/>
      <c r="AF703" s="741"/>
      <c r="AG703" s="741"/>
      <c r="AH703" s="741"/>
      <c r="AI703" s="741"/>
      <c r="AJ703" s="741"/>
      <c r="AK703" s="741"/>
      <c r="AL703" s="741"/>
      <c r="AM703" s="741"/>
      <c r="AN703" s="741"/>
      <c r="AO703" s="741"/>
      <c r="AP703" s="741"/>
    </row>
    <row r="704" spans="1:42" ht="12.75" customHeight="1">
      <c r="A704" s="741"/>
      <c r="B704" s="741"/>
      <c r="C704" s="741"/>
      <c r="D704" s="741"/>
      <c r="E704" s="741"/>
      <c r="F704" s="741"/>
      <c r="G704" s="741"/>
      <c r="H704" s="741"/>
      <c r="I704" s="741"/>
      <c r="J704" s="741"/>
      <c r="K704" s="741"/>
      <c r="L704" s="741"/>
      <c r="M704" s="741"/>
      <c r="N704" s="741"/>
      <c r="O704" s="741"/>
      <c r="P704" s="741"/>
      <c r="Q704" s="741"/>
      <c r="R704" s="741"/>
      <c r="S704" s="741"/>
      <c r="T704" s="741"/>
      <c r="U704" s="741"/>
      <c r="V704" s="741"/>
      <c r="W704" s="741"/>
      <c r="X704" s="741"/>
      <c r="Y704" s="741"/>
      <c r="Z704" s="741"/>
      <c r="AA704" s="741"/>
      <c r="AB704" s="741"/>
      <c r="AC704" s="741"/>
      <c r="AD704" s="741"/>
      <c r="AE704" s="741"/>
      <c r="AF704" s="741"/>
      <c r="AG704" s="741"/>
      <c r="AH704" s="741"/>
      <c r="AI704" s="741"/>
      <c r="AJ704" s="741"/>
      <c r="AK704" s="741"/>
      <c r="AL704" s="741"/>
      <c r="AM704" s="741"/>
      <c r="AN704" s="741"/>
      <c r="AO704" s="741"/>
      <c r="AP704" s="741"/>
    </row>
    <row r="705" spans="1:42" ht="12.75" customHeight="1">
      <c r="A705" s="741"/>
      <c r="B705" s="741"/>
      <c r="C705" s="741"/>
      <c r="D705" s="741"/>
      <c r="E705" s="741"/>
      <c r="F705" s="741"/>
      <c r="G705" s="741"/>
      <c r="H705" s="741"/>
      <c r="I705" s="741"/>
      <c r="J705" s="741"/>
      <c r="K705" s="741"/>
      <c r="L705" s="741"/>
      <c r="M705" s="741"/>
      <c r="N705" s="741"/>
      <c r="O705" s="741"/>
      <c r="P705" s="741"/>
      <c r="Q705" s="741"/>
      <c r="R705" s="741"/>
      <c r="S705" s="741"/>
      <c r="T705" s="741"/>
      <c r="U705" s="741"/>
      <c r="V705" s="741"/>
      <c r="W705" s="741"/>
      <c r="X705" s="741"/>
      <c r="Y705" s="741"/>
      <c r="Z705" s="741"/>
      <c r="AA705" s="741"/>
      <c r="AB705" s="741"/>
      <c r="AC705" s="741"/>
      <c r="AD705" s="741"/>
      <c r="AE705" s="741"/>
      <c r="AF705" s="741"/>
      <c r="AG705" s="741"/>
      <c r="AH705" s="741"/>
      <c r="AI705" s="741"/>
      <c r="AJ705" s="741"/>
      <c r="AK705" s="741"/>
      <c r="AL705" s="741"/>
      <c r="AM705" s="741"/>
      <c r="AN705" s="741"/>
      <c r="AO705" s="741"/>
      <c r="AP705" s="741"/>
    </row>
    <row r="706" spans="1:42" ht="12.75" customHeight="1">
      <c r="A706" s="741"/>
      <c r="B706" s="741"/>
      <c r="C706" s="741"/>
      <c r="D706" s="741"/>
      <c r="E706" s="741"/>
      <c r="F706" s="741"/>
      <c r="G706" s="741"/>
      <c r="H706" s="741"/>
      <c r="I706" s="741"/>
      <c r="J706" s="741"/>
      <c r="K706" s="741"/>
      <c r="L706" s="741"/>
      <c r="M706" s="741"/>
      <c r="N706" s="741"/>
      <c r="O706" s="741"/>
      <c r="P706" s="741"/>
      <c r="Q706" s="741"/>
      <c r="R706" s="741"/>
      <c r="S706" s="741"/>
      <c r="T706" s="741"/>
      <c r="U706" s="741"/>
      <c r="V706" s="741"/>
      <c r="W706" s="741"/>
      <c r="X706" s="741"/>
      <c r="Y706" s="741"/>
      <c r="Z706" s="741"/>
      <c r="AA706" s="741"/>
      <c r="AB706" s="741"/>
      <c r="AC706" s="741"/>
      <c r="AD706" s="741"/>
      <c r="AE706" s="741"/>
      <c r="AF706" s="741"/>
      <c r="AG706" s="741"/>
      <c r="AH706" s="741"/>
      <c r="AI706" s="741"/>
      <c r="AJ706" s="741"/>
      <c r="AK706" s="741"/>
      <c r="AL706" s="741"/>
      <c r="AM706" s="741"/>
      <c r="AN706" s="741"/>
      <c r="AO706" s="741"/>
      <c r="AP706" s="741"/>
    </row>
    <row r="707" spans="1:42" ht="12.75" customHeight="1">
      <c r="A707" s="741"/>
      <c r="B707" s="741"/>
      <c r="C707" s="741"/>
      <c r="D707" s="741"/>
      <c r="E707" s="741"/>
      <c r="F707" s="741"/>
      <c r="G707" s="741"/>
      <c r="H707" s="741"/>
      <c r="I707" s="741"/>
      <c r="J707" s="741"/>
      <c r="K707" s="741"/>
      <c r="L707" s="741"/>
      <c r="M707" s="741"/>
      <c r="N707" s="741"/>
      <c r="O707" s="741"/>
      <c r="P707" s="741"/>
      <c r="Q707" s="741"/>
      <c r="R707" s="741"/>
      <c r="S707" s="741"/>
      <c r="T707" s="741"/>
      <c r="U707" s="741"/>
      <c r="V707" s="741"/>
      <c r="W707" s="741"/>
      <c r="X707" s="741"/>
      <c r="Y707" s="741"/>
      <c r="Z707" s="741"/>
      <c r="AA707" s="741"/>
      <c r="AB707" s="741"/>
      <c r="AC707" s="741"/>
      <c r="AD707" s="741"/>
      <c r="AE707" s="741"/>
      <c r="AF707" s="741"/>
      <c r="AG707" s="741"/>
      <c r="AH707" s="741"/>
      <c r="AI707" s="741"/>
      <c r="AJ707" s="741"/>
      <c r="AK707" s="741"/>
      <c r="AL707" s="741"/>
      <c r="AM707" s="741"/>
      <c r="AN707" s="741"/>
      <c r="AO707" s="741"/>
      <c r="AP707" s="741"/>
    </row>
    <row r="708" spans="1:42" ht="12.75" customHeight="1">
      <c r="A708" s="741"/>
      <c r="B708" s="741"/>
      <c r="C708" s="741"/>
      <c r="D708" s="741"/>
      <c r="E708" s="741"/>
      <c r="F708" s="741"/>
      <c r="G708" s="741"/>
      <c r="H708" s="741"/>
      <c r="I708" s="741"/>
      <c r="J708" s="741"/>
      <c r="K708" s="741"/>
      <c r="L708" s="741"/>
      <c r="M708" s="741"/>
      <c r="N708" s="741"/>
      <c r="O708" s="741"/>
      <c r="P708" s="741"/>
      <c r="Q708" s="741"/>
      <c r="R708" s="741"/>
      <c r="S708" s="741"/>
      <c r="T708" s="741"/>
      <c r="U708" s="741"/>
      <c r="V708" s="741"/>
      <c r="W708" s="741"/>
      <c r="X708" s="741"/>
      <c r="Y708" s="741"/>
      <c r="Z708" s="741"/>
      <c r="AA708" s="741"/>
      <c r="AB708" s="741"/>
      <c r="AC708" s="741"/>
      <c r="AD708" s="741"/>
      <c r="AE708" s="741"/>
      <c r="AF708" s="741"/>
      <c r="AG708" s="741"/>
      <c r="AH708" s="741"/>
      <c r="AI708" s="741"/>
      <c r="AJ708" s="741"/>
      <c r="AK708" s="741"/>
      <c r="AL708" s="741"/>
      <c r="AM708" s="741"/>
      <c r="AN708" s="741"/>
      <c r="AO708" s="741"/>
      <c r="AP708" s="741"/>
    </row>
    <row r="709" spans="1:42" ht="12.75" customHeight="1">
      <c r="A709" s="741"/>
      <c r="B709" s="741"/>
      <c r="C709" s="741"/>
      <c r="D709" s="741"/>
      <c r="E709" s="741"/>
      <c r="F709" s="741"/>
      <c r="G709" s="741"/>
      <c r="H709" s="741"/>
      <c r="I709" s="741"/>
      <c r="J709" s="741"/>
      <c r="K709" s="741"/>
      <c r="L709" s="741"/>
      <c r="M709" s="741"/>
      <c r="N709" s="741"/>
      <c r="O709" s="741"/>
      <c r="P709" s="741"/>
      <c r="Q709" s="741"/>
      <c r="R709" s="741"/>
      <c r="S709" s="741"/>
      <c r="T709" s="741"/>
      <c r="U709" s="741"/>
      <c r="V709" s="741"/>
      <c r="W709" s="741"/>
      <c r="X709" s="741"/>
      <c r="Y709" s="741"/>
      <c r="Z709" s="741"/>
      <c r="AA709" s="741"/>
      <c r="AB709" s="741"/>
      <c r="AC709" s="741"/>
      <c r="AD709" s="741"/>
      <c r="AE709" s="741"/>
      <c r="AF709" s="741"/>
      <c r="AG709" s="741"/>
      <c r="AH709" s="741"/>
      <c r="AI709" s="741"/>
      <c r="AJ709" s="741"/>
      <c r="AK709" s="741"/>
      <c r="AL709" s="741"/>
      <c r="AM709" s="741"/>
      <c r="AN709" s="741"/>
      <c r="AO709" s="741"/>
      <c r="AP709" s="741"/>
    </row>
    <row r="710" spans="1:42" ht="12.75" customHeight="1">
      <c r="A710" s="741"/>
      <c r="B710" s="741"/>
      <c r="C710" s="741"/>
      <c r="D710" s="741"/>
      <c r="E710" s="741"/>
      <c r="F710" s="741"/>
      <c r="G710" s="741"/>
      <c r="H710" s="741"/>
      <c r="I710" s="741"/>
      <c r="J710" s="741"/>
      <c r="K710" s="741"/>
      <c r="L710" s="741"/>
      <c r="M710" s="741"/>
      <c r="N710" s="741"/>
      <c r="O710" s="741"/>
      <c r="P710" s="741"/>
      <c r="Q710" s="741"/>
      <c r="R710" s="741"/>
      <c r="S710" s="741"/>
      <c r="T710" s="741"/>
      <c r="U710" s="741"/>
      <c r="V710" s="741"/>
      <c r="W710" s="741"/>
      <c r="X710" s="741"/>
      <c r="Y710" s="741"/>
      <c r="Z710" s="741"/>
      <c r="AA710" s="741"/>
      <c r="AB710" s="741"/>
      <c r="AC710" s="741"/>
      <c r="AD710" s="741"/>
      <c r="AE710" s="741"/>
      <c r="AF710" s="741"/>
      <c r="AG710" s="741"/>
      <c r="AH710" s="741"/>
      <c r="AI710" s="741"/>
      <c r="AJ710" s="741"/>
      <c r="AK710" s="741"/>
      <c r="AL710" s="741"/>
      <c r="AM710" s="741"/>
      <c r="AN710" s="741"/>
      <c r="AO710" s="741"/>
      <c r="AP710" s="741"/>
    </row>
    <row r="711" spans="1:42" ht="12.75" customHeight="1">
      <c r="A711" s="741"/>
      <c r="B711" s="741"/>
      <c r="C711" s="741"/>
      <c r="D711" s="741"/>
      <c r="E711" s="741"/>
      <c r="F711" s="741"/>
      <c r="G711" s="741"/>
      <c r="H711" s="741"/>
      <c r="I711" s="741"/>
      <c r="J711" s="741"/>
      <c r="K711" s="741"/>
      <c r="L711" s="741"/>
      <c r="M711" s="741"/>
      <c r="N711" s="741"/>
      <c r="O711" s="741"/>
      <c r="P711" s="741"/>
      <c r="Q711" s="741"/>
      <c r="R711" s="741"/>
      <c r="S711" s="741"/>
      <c r="T711" s="741"/>
      <c r="U711" s="741"/>
      <c r="V711" s="741"/>
      <c r="W711" s="741"/>
      <c r="X711" s="741"/>
      <c r="Y711" s="741"/>
      <c r="Z711" s="741"/>
      <c r="AA711" s="741"/>
      <c r="AB711" s="741"/>
      <c r="AC711" s="741"/>
      <c r="AD711" s="741"/>
      <c r="AE711" s="741"/>
      <c r="AF711" s="741"/>
      <c r="AG711" s="741"/>
      <c r="AH711" s="741"/>
      <c r="AI711" s="741"/>
      <c r="AJ711" s="741"/>
      <c r="AK711" s="741"/>
      <c r="AL711" s="741"/>
      <c r="AM711" s="741"/>
      <c r="AN711" s="741"/>
      <c r="AO711" s="741"/>
      <c r="AP711" s="741"/>
    </row>
    <row r="712" spans="1:42" ht="12.75" customHeight="1">
      <c r="A712" s="741"/>
      <c r="B712" s="741"/>
      <c r="C712" s="741"/>
      <c r="D712" s="741"/>
      <c r="E712" s="741"/>
      <c r="F712" s="741"/>
      <c r="G712" s="741"/>
      <c r="H712" s="741"/>
      <c r="I712" s="741"/>
      <c r="J712" s="741"/>
      <c r="K712" s="741"/>
      <c r="L712" s="741"/>
      <c r="M712" s="741"/>
      <c r="N712" s="741"/>
      <c r="O712" s="741"/>
      <c r="P712" s="741"/>
      <c r="Q712" s="741"/>
      <c r="R712" s="741"/>
      <c r="S712" s="741"/>
      <c r="T712" s="741"/>
      <c r="U712" s="741"/>
      <c r="V712" s="741"/>
      <c r="W712" s="741"/>
      <c r="X712" s="741"/>
      <c r="Y712" s="741"/>
      <c r="Z712" s="741"/>
      <c r="AA712" s="741"/>
      <c r="AB712" s="741"/>
      <c r="AC712" s="741"/>
      <c r="AD712" s="741"/>
      <c r="AE712" s="741"/>
      <c r="AF712" s="741"/>
      <c r="AG712" s="741"/>
      <c r="AH712" s="741"/>
      <c r="AI712" s="741"/>
      <c r="AJ712" s="741"/>
      <c r="AK712" s="741"/>
      <c r="AL712" s="741"/>
      <c r="AM712" s="741"/>
      <c r="AN712" s="741"/>
      <c r="AO712" s="741"/>
      <c r="AP712" s="741"/>
    </row>
    <row r="713" spans="1:42" ht="12.75" customHeight="1">
      <c r="A713" s="741"/>
      <c r="B713" s="741"/>
      <c r="C713" s="741"/>
      <c r="D713" s="741"/>
      <c r="E713" s="741"/>
      <c r="F713" s="741"/>
      <c r="G713" s="741"/>
      <c r="H713" s="741"/>
      <c r="I713" s="741"/>
      <c r="J713" s="741"/>
      <c r="K713" s="741"/>
      <c r="L713" s="741"/>
      <c r="M713" s="741"/>
      <c r="N713" s="741"/>
      <c r="O713" s="741"/>
      <c r="P713" s="741"/>
      <c r="Q713" s="741"/>
      <c r="R713" s="741"/>
      <c r="S713" s="741"/>
      <c r="T713" s="741"/>
      <c r="U713" s="741"/>
      <c r="V713" s="741"/>
      <c r="W713" s="741"/>
      <c r="X713" s="741"/>
      <c r="Y713" s="741"/>
      <c r="Z713" s="741"/>
      <c r="AA713" s="741"/>
      <c r="AB713" s="741"/>
      <c r="AC713" s="741"/>
      <c r="AD713" s="741"/>
      <c r="AE713" s="741"/>
      <c r="AF713" s="741"/>
      <c r="AG713" s="741"/>
      <c r="AH713" s="741"/>
      <c r="AI713" s="741"/>
      <c r="AJ713" s="741"/>
      <c r="AK713" s="741"/>
      <c r="AL713" s="741"/>
      <c r="AM713" s="741"/>
      <c r="AN713" s="741"/>
      <c r="AO713" s="741"/>
      <c r="AP713" s="741"/>
    </row>
    <row r="714" spans="1:42" ht="12.75" customHeight="1">
      <c r="A714" s="741"/>
      <c r="B714" s="741"/>
      <c r="C714" s="741"/>
      <c r="D714" s="741"/>
      <c r="E714" s="741"/>
      <c r="F714" s="741"/>
      <c r="G714" s="741"/>
      <c r="H714" s="741"/>
      <c r="I714" s="741"/>
      <c r="J714" s="741"/>
      <c r="K714" s="741"/>
      <c r="L714" s="741"/>
      <c r="M714" s="741"/>
      <c r="N714" s="741"/>
      <c r="O714" s="741"/>
      <c r="P714" s="741"/>
      <c r="Q714" s="741"/>
      <c r="R714" s="741"/>
      <c r="S714" s="741"/>
      <c r="T714" s="741"/>
      <c r="U714" s="741"/>
      <c r="V714" s="741"/>
      <c r="W714" s="741"/>
      <c r="X714" s="741"/>
      <c r="Y714" s="741"/>
      <c r="Z714" s="741"/>
      <c r="AA714" s="741"/>
      <c r="AB714" s="741"/>
      <c r="AC714" s="741"/>
      <c r="AD714" s="741"/>
      <c r="AE714" s="741"/>
      <c r="AF714" s="741"/>
      <c r="AG714" s="741"/>
      <c r="AH714" s="741"/>
      <c r="AI714" s="741"/>
      <c r="AJ714" s="741"/>
      <c r="AK714" s="741"/>
      <c r="AL714" s="741"/>
      <c r="AM714" s="741"/>
      <c r="AN714" s="741"/>
      <c r="AO714" s="741"/>
      <c r="AP714" s="741"/>
    </row>
    <row r="715" spans="1:42" ht="12.75" customHeight="1">
      <c r="A715" s="741"/>
      <c r="B715" s="741"/>
      <c r="C715" s="741"/>
      <c r="D715" s="741"/>
      <c r="E715" s="741"/>
      <c r="F715" s="741"/>
      <c r="G715" s="741"/>
      <c r="H715" s="741"/>
      <c r="I715" s="741"/>
      <c r="J715" s="741"/>
      <c r="K715" s="741"/>
      <c r="L715" s="741"/>
      <c r="M715" s="741"/>
      <c r="N715" s="741"/>
      <c r="O715" s="741"/>
      <c r="P715" s="741"/>
      <c r="Q715" s="741"/>
      <c r="R715" s="741"/>
      <c r="S715" s="741"/>
      <c r="T715" s="741"/>
      <c r="U715" s="741"/>
      <c r="V715" s="741"/>
      <c r="W715" s="741"/>
      <c r="X715" s="741"/>
      <c r="Y715" s="741"/>
      <c r="Z715" s="741"/>
      <c r="AA715" s="741"/>
      <c r="AB715" s="741"/>
      <c r="AC715" s="741"/>
      <c r="AD715" s="741"/>
      <c r="AE715" s="741"/>
      <c r="AF715" s="741"/>
      <c r="AG715" s="741"/>
      <c r="AH715" s="741"/>
      <c r="AI715" s="741"/>
      <c r="AJ715" s="741"/>
      <c r="AK715" s="741"/>
      <c r="AL715" s="741"/>
      <c r="AM715" s="741"/>
      <c r="AN715" s="741"/>
      <c r="AO715" s="741"/>
      <c r="AP715" s="741"/>
    </row>
    <row r="716" spans="1:42" ht="12.75" customHeight="1">
      <c r="A716" s="741"/>
      <c r="B716" s="741"/>
      <c r="C716" s="741"/>
      <c r="D716" s="741"/>
      <c r="E716" s="741"/>
      <c r="F716" s="741"/>
      <c r="G716" s="741"/>
      <c r="H716" s="741"/>
      <c r="I716" s="741"/>
      <c r="J716" s="741"/>
      <c r="K716" s="741"/>
      <c r="L716" s="741"/>
      <c r="M716" s="741"/>
      <c r="N716" s="741"/>
      <c r="O716" s="741"/>
      <c r="P716" s="741"/>
      <c r="Q716" s="741"/>
      <c r="R716" s="741"/>
      <c r="S716" s="741"/>
      <c r="T716" s="741"/>
      <c r="U716" s="741"/>
      <c r="V716" s="741"/>
      <c r="W716" s="741"/>
      <c r="X716" s="741"/>
      <c r="Y716" s="741"/>
      <c r="Z716" s="741"/>
      <c r="AA716" s="741"/>
      <c r="AB716" s="741"/>
      <c r="AC716" s="741"/>
      <c r="AD716" s="741"/>
      <c r="AE716" s="741"/>
      <c r="AF716" s="741"/>
      <c r="AG716" s="741"/>
      <c r="AH716" s="741"/>
      <c r="AI716" s="741"/>
      <c r="AJ716" s="741"/>
      <c r="AK716" s="741"/>
      <c r="AL716" s="741"/>
      <c r="AM716" s="741"/>
      <c r="AN716" s="741"/>
      <c r="AO716" s="741"/>
      <c r="AP716" s="741"/>
    </row>
    <row r="717" spans="1:42" ht="12.75" customHeight="1">
      <c r="A717" s="741"/>
      <c r="B717" s="741"/>
      <c r="C717" s="741"/>
      <c r="D717" s="741"/>
      <c r="E717" s="741"/>
      <c r="F717" s="741"/>
      <c r="G717" s="741"/>
      <c r="H717" s="741"/>
      <c r="I717" s="741"/>
      <c r="J717" s="741"/>
      <c r="K717" s="741"/>
      <c r="L717" s="741"/>
      <c r="M717" s="741"/>
      <c r="N717" s="741"/>
      <c r="O717" s="741"/>
      <c r="P717" s="741"/>
      <c r="Q717" s="741"/>
      <c r="R717" s="741"/>
      <c r="S717" s="741"/>
      <c r="T717" s="741"/>
      <c r="U717" s="741"/>
      <c r="V717" s="741"/>
      <c r="W717" s="741"/>
      <c r="X717" s="741"/>
      <c r="Y717" s="741"/>
      <c r="Z717" s="741"/>
      <c r="AA717" s="741"/>
      <c r="AB717" s="741"/>
      <c r="AC717" s="741"/>
      <c r="AD717" s="741"/>
      <c r="AE717" s="741"/>
      <c r="AF717" s="741"/>
      <c r="AG717" s="741"/>
      <c r="AH717" s="741"/>
      <c r="AI717" s="741"/>
      <c r="AJ717" s="741"/>
      <c r="AK717" s="741"/>
      <c r="AL717" s="741"/>
      <c r="AM717" s="741"/>
      <c r="AN717" s="741"/>
      <c r="AO717" s="741"/>
      <c r="AP717" s="741"/>
    </row>
    <row r="718" spans="1:42" ht="12.75" customHeight="1">
      <c r="A718" s="741"/>
      <c r="B718" s="741"/>
      <c r="C718" s="741"/>
      <c r="D718" s="741"/>
      <c r="E718" s="741"/>
      <c r="F718" s="741"/>
      <c r="G718" s="741"/>
      <c r="H718" s="741"/>
      <c r="I718" s="741"/>
      <c r="J718" s="741"/>
      <c r="K718" s="741"/>
      <c r="L718" s="741"/>
      <c r="M718" s="741"/>
      <c r="N718" s="741"/>
      <c r="O718" s="741"/>
      <c r="P718" s="741"/>
      <c r="Q718" s="741"/>
      <c r="R718" s="741"/>
      <c r="S718" s="741"/>
      <c r="T718" s="741"/>
      <c r="U718" s="741"/>
      <c r="V718" s="741"/>
      <c r="W718" s="741"/>
      <c r="X718" s="741"/>
      <c r="Y718" s="741"/>
      <c r="Z718" s="741"/>
      <c r="AA718" s="741"/>
      <c r="AB718" s="741"/>
      <c r="AC718" s="741"/>
      <c r="AD718" s="741"/>
      <c r="AE718" s="741"/>
      <c r="AF718" s="741"/>
      <c r="AG718" s="741"/>
      <c r="AH718" s="741"/>
      <c r="AI718" s="741"/>
      <c r="AJ718" s="741"/>
      <c r="AK718" s="741"/>
      <c r="AL718" s="741"/>
      <c r="AM718" s="741"/>
      <c r="AN718" s="741"/>
      <c r="AO718" s="741"/>
      <c r="AP718" s="741"/>
    </row>
    <row r="719" spans="1:42" ht="12.75" customHeight="1">
      <c r="A719" s="741"/>
      <c r="B719" s="741"/>
      <c r="C719" s="741"/>
      <c r="D719" s="741"/>
      <c r="E719" s="741"/>
      <c r="F719" s="741"/>
      <c r="G719" s="741"/>
      <c r="H719" s="741"/>
      <c r="I719" s="741"/>
      <c r="J719" s="741"/>
      <c r="K719" s="741"/>
      <c r="L719" s="741"/>
      <c r="M719" s="741"/>
      <c r="N719" s="741"/>
      <c r="O719" s="741"/>
      <c r="P719" s="741"/>
      <c r="Q719" s="741"/>
      <c r="R719" s="741"/>
      <c r="S719" s="741"/>
      <c r="T719" s="741"/>
      <c r="U719" s="741"/>
      <c r="V719" s="741"/>
      <c r="W719" s="741"/>
      <c r="X719" s="741"/>
      <c r="Y719" s="741"/>
      <c r="Z719" s="741"/>
      <c r="AA719" s="741"/>
      <c r="AB719" s="741"/>
      <c r="AC719" s="741"/>
      <c r="AD719" s="741"/>
      <c r="AE719" s="741"/>
      <c r="AF719" s="741"/>
      <c r="AG719" s="741"/>
      <c r="AH719" s="741"/>
      <c r="AI719" s="741"/>
      <c r="AJ719" s="741"/>
      <c r="AK719" s="741"/>
      <c r="AL719" s="741"/>
      <c r="AM719" s="741"/>
      <c r="AN719" s="741"/>
      <c r="AO719" s="741"/>
      <c r="AP719" s="741"/>
    </row>
    <row r="720" spans="1:42" ht="12.75" customHeight="1">
      <c r="A720" s="741"/>
      <c r="B720" s="741"/>
      <c r="C720" s="741"/>
      <c r="D720" s="741"/>
      <c r="E720" s="741"/>
      <c r="F720" s="741"/>
      <c r="G720" s="741"/>
      <c r="H720" s="741"/>
      <c r="I720" s="741"/>
      <c r="J720" s="741"/>
      <c r="K720" s="741"/>
      <c r="L720" s="741"/>
      <c r="M720" s="741"/>
      <c r="N720" s="741"/>
      <c r="O720" s="741"/>
      <c r="P720" s="741"/>
      <c r="Q720" s="741"/>
      <c r="R720" s="741"/>
      <c r="S720" s="741"/>
      <c r="T720" s="741"/>
      <c r="U720" s="741"/>
      <c r="V720" s="741"/>
      <c r="W720" s="741"/>
      <c r="X720" s="741"/>
      <c r="Y720" s="741"/>
      <c r="Z720" s="741"/>
      <c r="AA720" s="741"/>
      <c r="AB720" s="741"/>
      <c r="AC720" s="741"/>
      <c r="AD720" s="741"/>
      <c r="AE720" s="741"/>
      <c r="AF720" s="741"/>
      <c r="AG720" s="741"/>
      <c r="AH720" s="741"/>
      <c r="AI720" s="741"/>
      <c r="AJ720" s="741"/>
      <c r="AK720" s="741"/>
      <c r="AL720" s="741"/>
      <c r="AM720" s="741"/>
      <c r="AN720" s="741"/>
      <c r="AO720" s="741"/>
      <c r="AP720" s="741"/>
    </row>
    <row r="721" spans="1:42" ht="12.75" customHeight="1">
      <c r="A721" s="741"/>
      <c r="B721" s="741"/>
      <c r="C721" s="741"/>
      <c r="D721" s="741"/>
      <c r="E721" s="741"/>
      <c r="F721" s="741"/>
      <c r="G721" s="741"/>
      <c r="H721" s="741"/>
      <c r="I721" s="741"/>
      <c r="J721" s="741"/>
      <c r="K721" s="741"/>
      <c r="L721" s="741"/>
      <c r="M721" s="741"/>
      <c r="N721" s="741"/>
      <c r="O721" s="741"/>
      <c r="P721" s="741"/>
      <c r="Q721" s="741"/>
      <c r="R721" s="741"/>
      <c r="S721" s="741"/>
      <c r="T721" s="741"/>
      <c r="U721" s="741"/>
      <c r="V721" s="741"/>
      <c r="W721" s="741"/>
      <c r="X721" s="741"/>
      <c r="Y721" s="741"/>
      <c r="Z721" s="741"/>
      <c r="AA721" s="741"/>
      <c r="AB721" s="741"/>
      <c r="AC721" s="741"/>
      <c r="AD721" s="741"/>
      <c r="AE721" s="741"/>
      <c r="AF721" s="741"/>
      <c r="AG721" s="741"/>
      <c r="AH721" s="741"/>
      <c r="AI721" s="741"/>
      <c r="AJ721" s="741"/>
      <c r="AK721" s="741"/>
      <c r="AL721" s="741"/>
      <c r="AM721" s="741"/>
      <c r="AN721" s="741"/>
      <c r="AO721" s="741"/>
      <c r="AP721" s="741"/>
    </row>
    <row r="722" spans="1:42" ht="12.75" customHeight="1">
      <c r="A722" s="741"/>
      <c r="B722" s="741"/>
      <c r="C722" s="741"/>
      <c r="D722" s="741"/>
      <c r="E722" s="741"/>
      <c r="F722" s="741"/>
      <c r="G722" s="741"/>
      <c r="H722" s="741"/>
      <c r="I722" s="741"/>
      <c r="J722" s="741"/>
      <c r="K722" s="741"/>
      <c r="L722" s="741"/>
      <c r="M722" s="741"/>
      <c r="N722" s="741"/>
      <c r="O722" s="741"/>
      <c r="P722" s="741"/>
      <c r="Q722" s="741"/>
      <c r="R722" s="741"/>
      <c r="S722" s="741"/>
      <c r="T722" s="741"/>
      <c r="U722" s="741"/>
      <c r="V722" s="741"/>
      <c r="W722" s="741"/>
      <c r="X722" s="741"/>
      <c r="Y722" s="741"/>
      <c r="Z722" s="741"/>
      <c r="AA722" s="741"/>
      <c r="AB722" s="741"/>
      <c r="AC722" s="741"/>
      <c r="AD722" s="741"/>
      <c r="AE722" s="741"/>
      <c r="AF722" s="741"/>
      <c r="AG722" s="741"/>
      <c r="AH722" s="741"/>
      <c r="AI722" s="741"/>
      <c r="AJ722" s="741"/>
      <c r="AK722" s="741"/>
      <c r="AL722" s="741"/>
      <c r="AM722" s="741"/>
      <c r="AN722" s="741"/>
      <c r="AO722" s="741"/>
      <c r="AP722" s="741"/>
    </row>
    <row r="723" spans="1:42" ht="12.75" customHeight="1">
      <c r="A723" s="741"/>
      <c r="B723" s="741"/>
      <c r="C723" s="741"/>
      <c r="D723" s="741"/>
      <c r="E723" s="741"/>
      <c r="F723" s="741"/>
      <c r="G723" s="741"/>
      <c r="H723" s="741"/>
      <c r="I723" s="741"/>
      <c r="J723" s="741"/>
      <c r="K723" s="741"/>
      <c r="L723" s="741"/>
      <c r="M723" s="741"/>
      <c r="N723" s="741"/>
      <c r="O723" s="741"/>
      <c r="P723" s="741"/>
      <c r="Q723" s="741"/>
      <c r="R723" s="741"/>
      <c r="S723" s="741"/>
      <c r="T723" s="741"/>
      <c r="U723" s="741"/>
      <c r="V723" s="741"/>
      <c r="W723" s="741"/>
      <c r="X723" s="741"/>
      <c r="Y723" s="741"/>
      <c r="Z723" s="741"/>
      <c r="AA723" s="741"/>
      <c r="AB723" s="741"/>
      <c r="AC723" s="741"/>
      <c r="AD723" s="741"/>
      <c r="AE723" s="741"/>
      <c r="AF723" s="741"/>
      <c r="AG723" s="741"/>
      <c r="AH723" s="741"/>
      <c r="AI723" s="741"/>
      <c r="AJ723" s="741"/>
      <c r="AK723" s="741"/>
      <c r="AL723" s="741"/>
      <c r="AM723" s="741"/>
      <c r="AN723" s="741"/>
      <c r="AO723" s="741"/>
      <c r="AP723" s="741"/>
    </row>
    <row r="724" spans="1:42" ht="12.75" customHeight="1">
      <c r="A724" s="741"/>
      <c r="B724" s="741"/>
      <c r="C724" s="741"/>
      <c r="D724" s="741"/>
      <c r="E724" s="741"/>
      <c r="F724" s="741"/>
      <c r="G724" s="741"/>
      <c r="H724" s="741"/>
      <c r="I724" s="741"/>
      <c r="J724" s="741"/>
      <c r="K724" s="741"/>
      <c r="L724" s="741"/>
      <c r="M724" s="741"/>
      <c r="N724" s="741"/>
      <c r="O724" s="741"/>
      <c r="P724" s="741"/>
      <c r="Q724" s="741"/>
      <c r="R724" s="741"/>
      <c r="S724" s="741"/>
      <c r="T724" s="741"/>
      <c r="U724" s="741"/>
      <c r="V724" s="741"/>
      <c r="W724" s="741"/>
      <c r="X724" s="741"/>
      <c r="Y724" s="741"/>
      <c r="Z724" s="741"/>
      <c r="AA724" s="741"/>
      <c r="AB724" s="741"/>
      <c r="AC724" s="741"/>
      <c r="AD724" s="741"/>
      <c r="AE724" s="741"/>
      <c r="AF724" s="741"/>
      <c r="AG724" s="741"/>
      <c r="AH724" s="741"/>
      <c r="AI724" s="741"/>
      <c r="AJ724" s="741"/>
      <c r="AK724" s="741"/>
      <c r="AL724" s="741"/>
      <c r="AM724" s="741"/>
      <c r="AN724" s="741"/>
      <c r="AO724" s="741"/>
      <c r="AP724" s="741"/>
    </row>
    <row r="725" spans="1:42" ht="12.75" customHeight="1">
      <c r="A725" s="741"/>
      <c r="B725" s="741"/>
      <c r="C725" s="741"/>
      <c r="D725" s="741"/>
      <c r="E725" s="741"/>
      <c r="F725" s="741"/>
      <c r="G725" s="741"/>
      <c r="H725" s="741"/>
      <c r="I725" s="741"/>
      <c r="J725" s="741"/>
      <c r="K725" s="741"/>
      <c r="L725" s="741"/>
      <c r="M725" s="741"/>
      <c r="N725" s="741"/>
      <c r="O725" s="741"/>
      <c r="P725" s="741"/>
      <c r="Q725" s="741"/>
      <c r="R725" s="741"/>
      <c r="S725" s="741"/>
      <c r="T725" s="741"/>
      <c r="U725" s="741"/>
      <c r="V725" s="741"/>
      <c r="W725" s="741"/>
      <c r="X725" s="741"/>
      <c r="Y725" s="741"/>
      <c r="Z725" s="741"/>
      <c r="AA725" s="741"/>
      <c r="AB725" s="741"/>
      <c r="AC725" s="741"/>
      <c r="AD725" s="741"/>
      <c r="AE725" s="741"/>
      <c r="AF725" s="741"/>
      <c r="AG725" s="741"/>
      <c r="AH725" s="741"/>
      <c r="AI725" s="741"/>
      <c r="AJ725" s="741"/>
      <c r="AK725" s="741"/>
      <c r="AL725" s="741"/>
      <c r="AM725" s="741"/>
      <c r="AN725" s="741"/>
      <c r="AO725" s="741"/>
      <c r="AP725" s="741"/>
    </row>
    <row r="726" spans="1:42" ht="12.75" customHeight="1">
      <c r="A726" s="741"/>
      <c r="B726" s="741"/>
      <c r="C726" s="741"/>
      <c r="D726" s="741"/>
      <c r="E726" s="741"/>
      <c r="F726" s="741"/>
      <c r="G726" s="741"/>
      <c r="H726" s="741"/>
      <c r="I726" s="741"/>
      <c r="J726" s="741"/>
      <c r="K726" s="741"/>
      <c r="L726" s="741"/>
      <c r="M726" s="741"/>
      <c r="N726" s="741"/>
      <c r="O726" s="741"/>
      <c r="P726" s="741"/>
      <c r="Q726" s="741"/>
      <c r="R726" s="741"/>
      <c r="S726" s="741"/>
      <c r="T726" s="741"/>
      <c r="U726" s="741"/>
      <c r="V726" s="741"/>
      <c r="W726" s="741"/>
      <c r="X726" s="741"/>
      <c r="Y726" s="741"/>
      <c r="Z726" s="741"/>
      <c r="AA726" s="741"/>
      <c r="AB726" s="741"/>
      <c r="AC726" s="741"/>
      <c r="AD726" s="741"/>
      <c r="AE726" s="741"/>
      <c r="AF726" s="741"/>
      <c r="AG726" s="741"/>
      <c r="AH726" s="741"/>
      <c r="AI726" s="741"/>
      <c r="AJ726" s="741"/>
      <c r="AK726" s="741"/>
      <c r="AL726" s="741"/>
      <c r="AM726" s="741"/>
      <c r="AN726" s="741"/>
      <c r="AO726" s="741"/>
      <c r="AP726" s="741"/>
    </row>
    <row r="727" spans="1:42" ht="12.75" customHeight="1">
      <c r="A727" s="741"/>
      <c r="B727" s="741"/>
      <c r="C727" s="741"/>
      <c r="D727" s="741"/>
      <c r="E727" s="741"/>
      <c r="F727" s="741"/>
      <c r="G727" s="741"/>
      <c r="H727" s="741"/>
      <c r="I727" s="741"/>
      <c r="J727" s="741"/>
      <c r="K727" s="741"/>
      <c r="L727" s="741"/>
      <c r="M727" s="741"/>
      <c r="N727" s="741"/>
      <c r="O727" s="741"/>
      <c r="P727" s="741"/>
      <c r="Q727" s="741"/>
      <c r="R727" s="741"/>
      <c r="S727" s="741"/>
      <c r="T727" s="741"/>
      <c r="U727" s="741"/>
      <c r="V727" s="741"/>
      <c r="W727" s="741"/>
      <c r="X727" s="741"/>
      <c r="Y727" s="741"/>
      <c r="Z727" s="741"/>
      <c r="AA727" s="741"/>
      <c r="AB727" s="741"/>
      <c r="AC727" s="741"/>
      <c r="AD727" s="741"/>
      <c r="AE727" s="741"/>
      <c r="AF727" s="741"/>
      <c r="AG727" s="741"/>
      <c r="AH727" s="741"/>
      <c r="AI727" s="741"/>
      <c r="AJ727" s="741"/>
      <c r="AK727" s="741"/>
      <c r="AL727" s="741"/>
      <c r="AM727" s="741"/>
      <c r="AN727" s="741"/>
      <c r="AO727" s="741"/>
      <c r="AP727" s="741"/>
    </row>
    <row r="728" spans="1:42" ht="12.75" customHeight="1">
      <c r="A728" s="741"/>
      <c r="B728" s="741"/>
      <c r="C728" s="741"/>
      <c r="D728" s="741"/>
      <c r="E728" s="741"/>
      <c r="F728" s="741"/>
      <c r="G728" s="741"/>
      <c r="H728" s="741"/>
      <c r="I728" s="741"/>
      <c r="J728" s="741"/>
      <c r="K728" s="741"/>
      <c r="L728" s="741"/>
      <c r="M728" s="741"/>
      <c r="N728" s="741"/>
      <c r="O728" s="741"/>
      <c r="P728" s="741"/>
      <c r="Q728" s="741"/>
      <c r="R728" s="741"/>
      <c r="S728" s="741"/>
      <c r="T728" s="741"/>
      <c r="U728" s="741"/>
      <c r="V728" s="741"/>
      <c r="W728" s="741"/>
      <c r="X728" s="741"/>
      <c r="Y728" s="741"/>
      <c r="Z728" s="741"/>
      <c r="AA728" s="741"/>
      <c r="AB728" s="741"/>
      <c r="AC728" s="741"/>
      <c r="AD728" s="741"/>
      <c r="AE728" s="741"/>
      <c r="AF728" s="741"/>
      <c r="AG728" s="741"/>
      <c r="AH728" s="741"/>
      <c r="AI728" s="741"/>
      <c r="AJ728" s="741"/>
      <c r="AK728" s="741"/>
      <c r="AL728" s="741"/>
      <c r="AM728" s="741"/>
      <c r="AN728" s="741"/>
      <c r="AO728" s="741"/>
      <c r="AP728" s="741"/>
    </row>
    <row r="729" spans="1:42" ht="12.75" customHeight="1">
      <c r="A729" s="741"/>
      <c r="B729" s="741"/>
      <c r="C729" s="741"/>
      <c r="D729" s="741"/>
      <c r="E729" s="741"/>
      <c r="F729" s="741"/>
      <c r="G729" s="741"/>
      <c r="H729" s="741"/>
      <c r="I729" s="741"/>
      <c r="J729" s="741"/>
      <c r="K729" s="741"/>
      <c r="L729" s="741"/>
      <c r="M729" s="741"/>
      <c r="N729" s="741"/>
      <c r="O729" s="741"/>
      <c r="P729" s="741"/>
      <c r="Q729" s="741"/>
      <c r="R729" s="741"/>
      <c r="S729" s="741"/>
      <c r="T729" s="741"/>
      <c r="U729" s="741"/>
      <c r="V729" s="741"/>
      <c r="W729" s="741"/>
      <c r="X729" s="741"/>
      <c r="Y729" s="741"/>
      <c r="Z729" s="741"/>
      <c r="AA729" s="741"/>
      <c r="AB729" s="741"/>
      <c r="AC729" s="741"/>
      <c r="AD729" s="741"/>
      <c r="AE729" s="741"/>
      <c r="AF729" s="741"/>
      <c r="AG729" s="741"/>
      <c r="AH729" s="741"/>
      <c r="AI729" s="741"/>
      <c r="AJ729" s="741"/>
      <c r="AK729" s="741"/>
      <c r="AL729" s="741"/>
      <c r="AM729" s="741"/>
      <c r="AN729" s="741"/>
      <c r="AO729" s="741"/>
      <c r="AP729" s="741"/>
    </row>
    <row r="730" spans="1:42" ht="12.75" customHeight="1">
      <c r="A730" s="741"/>
      <c r="B730" s="741"/>
      <c r="C730" s="741"/>
      <c r="D730" s="741"/>
      <c r="E730" s="741"/>
      <c r="F730" s="741"/>
      <c r="G730" s="741"/>
      <c r="H730" s="741"/>
      <c r="I730" s="741"/>
      <c r="J730" s="741"/>
      <c r="K730" s="741"/>
      <c r="L730" s="741"/>
      <c r="M730" s="741"/>
      <c r="N730" s="741"/>
      <c r="O730" s="741"/>
      <c r="P730" s="741"/>
      <c r="Q730" s="741"/>
      <c r="R730" s="741"/>
      <c r="S730" s="741"/>
      <c r="T730" s="741"/>
      <c r="U730" s="741"/>
      <c r="V730" s="741"/>
      <c r="W730" s="741"/>
      <c r="X730" s="741"/>
      <c r="Y730" s="741"/>
      <c r="Z730" s="741"/>
      <c r="AA730" s="741"/>
      <c r="AB730" s="741"/>
      <c r="AC730" s="741"/>
      <c r="AD730" s="741"/>
      <c r="AE730" s="741"/>
      <c r="AF730" s="741"/>
      <c r="AG730" s="741"/>
      <c r="AH730" s="741"/>
      <c r="AI730" s="741"/>
      <c r="AJ730" s="741"/>
      <c r="AK730" s="741"/>
      <c r="AL730" s="741"/>
      <c r="AM730" s="741"/>
      <c r="AN730" s="741"/>
      <c r="AO730" s="741"/>
      <c r="AP730" s="741"/>
    </row>
    <row r="731" spans="1:42" ht="12.75" customHeight="1">
      <c r="A731" s="741"/>
      <c r="B731" s="741"/>
      <c r="C731" s="741"/>
      <c r="D731" s="741"/>
      <c r="E731" s="741"/>
      <c r="F731" s="741"/>
      <c r="G731" s="741"/>
      <c r="H731" s="741"/>
      <c r="I731" s="741"/>
      <c r="J731" s="741"/>
      <c r="K731" s="741"/>
      <c r="L731" s="741"/>
      <c r="M731" s="741"/>
      <c r="N731" s="741"/>
      <c r="O731" s="741"/>
      <c r="P731" s="741"/>
      <c r="Q731" s="741"/>
      <c r="R731" s="741"/>
      <c r="S731" s="741"/>
      <c r="T731" s="741"/>
      <c r="U731" s="741"/>
      <c r="V731" s="741"/>
      <c r="W731" s="741"/>
      <c r="X731" s="741"/>
      <c r="Y731" s="741"/>
      <c r="Z731" s="741"/>
      <c r="AA731" s="741"/>
      <c r="AB731" s="741"/>
      <c r="AC731" s="741"/>
      <c r="AD731" s="741"/>
      <c r="AE731" s="741"/>
      <c r="AF731" s="741"/>
      <c r="AG731" s="741"/>
      <c r="AH731" s="741"/>
      <c r="AI731" s="741"/>
      <c r="AJ731" s="741"/>
      <c r="AK731" s="741"/>
      <c r="AL731" s="741"/>
      <c r="AM731" s="741"/>
      <c r="AN731" s="741"/>
      <c r="AO731" s="741"/>
      <c r="AP731" s="741"/>
    </row>
    <row r="732" spans="1:42" ht="12.75" customHeight="1">
      <c r="A732" s="741"/>
      <c r="B732" s="741"/>
      <c r="C732" s="741"/>
      <c r="D732" s="741"/>
      <c r="E732" s="741"/>
      <c r="F732" s="741"/>
      <c r="G732" s="741"/>
      <c r="H732" s="741"/>
      <c r="I732" s="741"/>
      <c r="J732" s="741"/>
      <c r="K732" s="741"/>
      <c r="L732" s="741"/>
      <c r="M732" s="741"/>
      <c r="N732" s="741"/>
      <c r="O732" s="741"/>
      <c r="P732" s="741"/>
      <c r="Q732" s="741"/>
      <c r="R732" s="741"/>
      <c r="S732" s="741"/>
      <c r="T732" s="741"/>
      <c r="U732" s="741"/>
      <c r="V732" s="741"/>
      <c r="W732" s="741"/>
      <c r="X732" s="741"/>
      <c r="Y732" s="741"/>
      <c r="Z732" s="741"/>
      <c r="AA732" s="741"/>
      <c r="AB732" s="741"/>
      <c r="AC732" s="741"/>
      <c r="AD732" s="741"/>
      <c r="AE732" s="741"/>
      <c r="AF732" s="741"/>
      <c r="AG732" s="741"/>
      <c r="AH732" s="741"/>
      <c r="AI732" s="741"/>
      <c r="AJ732" s="741"/>
      <c r="AK732" s="741"/>
      <c r="AL732" s="741"/>
      <c r="AM732" s="741"/>
      <c r="AN732" s="741"/>
      <c r="AO732" s="741"/>
      <c r="AP732" s="741"/>
    </row>
    <row r="733" spans="1:42" ht="12.75" customHeight="1">
      <c r="A733" s="741"/>
      <c r="B733" s="741"/>
      <c r="C733" s="741"/>
      <c r="D733" s="741"/>
      <c r="E733" s="741"/>
      <c r="F733" s="741"/>
      <c r="G733" s="741"/>
      <c r="H733" s="741"/>
      <c r="I733" s="741"/>
      <c r="J733" s="741"/>
      <c r="K733" s="741"/>
      <c r="L733" s="741"/>
      <c r="M733" s="741"/>
      <c r="N733" s="741"/>
      <c r="O733" s="741"/>
      <c r="P733" s="741"/>
      <c r="Q733" s="741"/>
      <c r="R733" s="741"/>
      <c r="S733" s="741"/>
      <c r="T733" s="741"/>
      <c r="U733" s="741"/>
      <c r="V733" s="741"/>
      <c r="W733" s="741"/>
      <c r="X733" s="741"/>
      <c r="Y733" s="741"/>
      <c r="Z733" s="741"/>
      <c r="AA733" s="741"/>
      <c r="AB733" s="741"/>
      <c r="AC733" s="741"/>
      <c r="AD733" s="741"/>
      <c r="AE733" s="741"/>
      <c r="AF733" s="741"/>
      <c r="AG733" s="741"/>
      <c r="AH733" s="741"/>
      <c r="AI733" s="741"/>
      <c r="AJ733" s="741"/>
      <c r="AK733" s="741"/>
      <c r="AL733" s="741"/>
      <c r="AM733" s="741"/>
      <c r="AN733" s="741"/>
      <c r="AO733" s="741"/>
      <c r="AP733" s="741"/>
    </row>
    <row r="734" spans="1:42" ht="12.75" customHeight="1">
      <c r="A734" s="741"/>
      <c r="B734" s="741"/>
      <c r="C734" s="741"/>
      <c r="D734" s="741"/>
      <c r="E734" s="741"/>
      <c r="F734" s="741"/>
      <c r="G734" s="741"/>
      <c r="H734" s="741"/>
      <c r="I734" s="741"/>
      <c r="J734" s="741"/>
      <c r="K734" s="741"/>
      <c r="L734" s="741"/>
      <c r="M734" s="741"/>
      <c r="N734" s="741"/>
      <c r="O734" s="741"/>
      <c r="P734" s="741"/>
      <c r="Q734" s="741"/>
      <c r="R734" s="741"/>
      <c r="S734" s="741"/>
      <c r="T734" s="741"/>
      <c r="U734" s="741"/>
      <c r="V734" s="741"/>
      <c r="W734" s="741"/>
      <c r="X734" s="741"/>
      <c r="Y734" s="741"/>
      <c r="Z734" s="741"/>
      <c r="AA734" s="741"/>
      <c r="AB734" s="741"/>
      <c r="AC734" s="741"/>
      <c r="AD734" s="741"/>
      <c r="AE734" s="741"/>
      <c r="AF734" s="741"/>
      <c r="AG734" s="741"/>
      <c r="AH734" s="741"/>
      <c r="AI734" s="741"/>
      <c r="AJ734" s="741"/>
      <c r="AK734" s="741"/>
      <c r="AL734" s="741"/>
      <c r="AM734" s="741"/>
      <c r="AN734" s="741"/>
      <c r="AO734" s="741"/>
      <c r="AP734" s="741"/>
    </row>
    <row r="735" spans="1:42" ht="12.75" customHeight="1">
      <c r="A735" s="741"/>
      <c r="B735" s="741"/>
      <c r="C735" s="741"/>
      <c r="D735" s="741"/>
      <c r="E735" s="741"/>
      <c r="F735" s="741"/>
      <c r="G735" s="741"/>
      <c r="H735" s="741"/>
      <c r="I735" s="741"/>
      <c r="J735" s="741"/>
      <c r="K735" s="741"/>
      <c r="L735" s="741"/>
      <c r="M735" s="741"/>
      <c r="N735" s="741"/>
      <c r="O735" s="741"/>
      <c r="P735" s="741"/>
      <c r="Q735" s="741"/>
      <c r="R735" s="741"/>
      <c r="S735" s="741"/>
      <c r="T735" s="741"/>
      <c r="U735" s="741"/>
      <c r="V735" s="741"/>
      <c r="W735" s="741"/>
      <c r="X735" s="741"/>
      <c r="Y735" s="741"/>
      <c r="Z735" s="741"/>
      <c r="AA735" s="741"/>
      <c r="AB735" s="741"/>
      <c r="AC735" s="741"/>
      <c r="AD735" s="741"/>
      <c r="AE735" s="741"/>
      <c r="AF735" s="741"/>
      <c r="AG735" s="741"/>
      <c r="AH735" s="741"/>
      <c r="AI735" s="741"/>
      <c r="AJ735" s="741"/>
      <c r="AK735" s="741"/>
      <c r="AL735" s="741"/>
      <c r="AM735" s="741"/>
      <c r="AN735" s="741"/>
      <c r="AO735" s="741"/>
      <c r="AP735" s="741"/>
    </row>
    <row r="736" spans="1:42" ht="12.75" customHeight="1">
      <c r="A736" s="741"/>
      <c r="B736" s="741"/>
      <c r="C736" s="741"/>
      <c r="D736" s="741"/>
      <c r="E736" s="741"/>
      <c r="F736" s="741"/>
      <c r="G736" s="741"/>
      <c r="H736" s="741"/>
      <c r="I736" s="741"/>
      <c r="J736" s="741"/>
      <c r="K736" s="741"/>
      <c r="L736" s="741"/>
      <c r="M736" s="741"/>
      <c r="N736" s="741"/>
      <c r="O736" s="741"/>
      <c r="P736" s="741"/>
      <c r="Q736" s="741"/>
      <c r="R736" s="741"/>
      <c r="S736" s="741"/>
      <c r="T736" s="741"/>
      <c r="U736" s="741"/>
      <c r="V736" s="741"/>
      <c r="W736" s="741"/>
      <c r="X736" s="741"/>
      <c r="Y736" s="741"/>
      <c r="Z736" s="741"/>
      <c r="AA736" s="741"/>
      <c r="AB736" s="741"/>
      <c r="AC736" s="741"/>
      <c r="AD736" s="741"/>
      <c r="AE736" s="741"/>
      <c r="AF736" s="741"/>
      <c r="AG736" s="741"/>
      <c r="AH736" s="741"/>
      <c r="AI736" s="741"/>
      <c r="AJ736" s="741"/>
      <c r="AK736" s="741"/>
      <c r="AL736" s="741"/>
      <c r="AM736" s="741"/>
      <c r="AN736" s="741"/>
      <c r="AO736" s="741"/>
      <c r="AP736" s="741"/>
    </row>
    <row r="737" spans="1:42" ht="12.75" customHeight="1">
      <c r="A737" s="741"/>
      <c r="B737" s="741"/>
      <c r="C737" s="741"/>
      <c r="D737" s="741"/>
      <c r="E737" s="741"/>
      <c r="F737" s="741"/>
      <c r="G737" s="741"/>
      <c r="H737" s="741"/>
      <c r="I737" s="741"/>
      <c r="J737" s="741"/>
      <c r="K737" s="741"/>
      <c r="L737" s="741"/>
      <c r="M737" s="741"/>
      <c r="N737" s="741"/>
      <c r="O737" s="741"/>
      <c r="P737" s="741"/>
      <c r="Q737" s="741"/>
      <c r="R737" s="741"/>
      <c r="S737" s="741"/>
      <c r="T737" s="741"/>
      <c r="U737" s="741"/>
      <c r="V737" s="741"/>
      <c r="W737" s="741"/>
      <c r="X737" s="741"/>
      <c r="Y737" s="741"/>
      <c r="Z737" s="741"/>
      <c r="AA737" s="741"/>
      <c r="AB737" s="741"/>
      <c r="AC737" s="741"/>
      <c r="AD737" s="741"/>
      <c r="AE737" s="741"/>
      <c r="AF737" s="741"/>
      <c r="AG737" s="741"/>
      <c r="AH737" s="741"/>
      <c r="AI737" s="741"/>
      <c r="AJ737" s="741"/>
      <c r="AK737" s="741"/>
      <c r="AL737" s="741"/>
      <c r="AM737" s="741"/>
      <c r="AN737" s="741"/>
      <c r="AO737" s="741"/>
      <c r="AP737" s="741"/>
    </row>
    <row r="738" spans="1:42" ht="12.75" customHeight="1">
      <c r="A738" s="741"/>
      <c r="B738" s="741"/>
      <c r="C738" s="741"/>
      <c r="D738" s="741"/>
      <c r="E738" s="741"/>
      <c r="F738" s="741"/>
      <c r="G738" s="741"/>
      <c r="H738" s="741"/>
      <c r="I738" s="741"/>
      <c r="J738" s="741"/>
      <c r="K738" s="741"/>
      <c r="L738" s="741"/>
      <c r="M738" s="741"/>
      <c r="N738" s="741"/>
      <c r="O738" s="741"/>
      <c r="P738" s="741"/>
      <c r="Q738" s="741"/>
      <c r="R738" s="741"/>
      <c r="S738" s="741"/>
      <c r="T738" s="741"/>
      <c r="U738" s="741"/>
      <c r="V738" s="741"/>
      <c r="W738" s="741"/>
      <c r="X738" s="741"/>
      <c r="Y738" s="741"/>
      <c r="Z738" s="741"/>
      <c r="AA738" s="741"/>
      <c r="AB738" s="741"/>
      <c r="AC738" s="741"/>
      <c r="AD738" s="741"/>
      <c r="AE738" s="741"/>
      <c r="AF738" s="741"/>
      <c r="AG738" s="741"/>
      <c r="AH738" s="741"/>
      <c r="AI738" s="741"/>
      <c r="AJ738" s="741"/>
      <c r="AK738" s="741"/>
      <c r="AL738" s="741"/>
      <c r="AM738" s="741"/>
      <c r="AN738" s="741"/>
      <c r="AO738" s="741"/>
      <c r="AP738" s="741"/>
    </row>
    <row r="739" spans="1:42" ht="12.75" customHeight="1">
      <c r="A739" s="741"/>
      <c r="B739" s="741"/>
      <c r="C739" s="741"/>
      <c r="D739" s="741"/>
      <c r="E739" s="741"/>
      <c r="F739" s="741"/>
      <c r="G739" s="741"/>
      <c r="H739" s="741"/>
      <c r="I739" s="741"/>
      <c r="J739" s="741"/>
      <c r="K739" s="741"/>
      <c r="L739" s="741"/>
      <c r="M739" s="741"/>
      <c r="N739" s="741"/>
      <c r="O739" s="741"/>
      <c r="P739" s="741"/>
      <c r="Q739" s="741"/>
      <c r="R739" s="741"/>
      <c r="S739" s="741"/>
      <c r="T739" s="741"/>
      <c r="U739" s="741"/>
      <c r="V739" s="741"/>
      <c r="W739" s="741"/>
      <c r="X739" s="741"/>
      <c r="Y739" s="741"/>
      <c r="Z739" s="741"/>
      <c r="AA739" s="741"/>
      <c r="AB739" s="741"/>
      <c r="AC739" s="741"/>
      <c r="AD739" s="741"/>
      <c r="AE739" s="741"/>
      <c r="AF739" s="741"/>
      <c r="AG739" s="741"/>
      <c r="AH739" s="741"/>
      <c r="AI739" s="741"/>
      <c r="AJ739" s="741"/>
      <c r="AK739" s="741"/>
      <c r="AL739" s="741"/>
      <c r="AM739" s="741"/>
      <c r="AN739" s="741"/>
      <c r="AO739" s="741"/>
      <c r="AP739" s="741"/>
    </row>
    <row r="740" spans="1:42" ht="12.75" customHeight="1">
      <c r="A740" s="741"/>
      <c r="B740" s="741"/>
      <c r="C740" s="741"/>
      <c r="D740" s="741"/>
      <c r="E740" s="741"/>
      <c r="F740" s="741"/>
      <c r="G740" s="741"/>
      <c r="H740" s="741"/>
      <c r="I740" s="741"/>
      <c r="J740" s="741"/>
      <c r="K740" s="741"/>
      <c r="L740" s="741"/>
      <c r="M740" s="741"/>
      <c r="N740" s="741"/>
      <c r="O740" s="741"/>
      <c r="P740" s="741"/>
      <c r="Q740" s="741"/>
      <c r="R740" s="741"/>
      <c r="S740" s="741"/>
      <c r="T740" s="741"/>
      <c r="U740" s="741"/>
      <c r="V740" s="741"/>
      <c r="W740" s="741"/>
      <c r="X740" s="741"/>
      <c r="Y740" s="741"/>
      <c r="Z740" s="741"/>
      <c r="AA740" s="741"/>
      <c r="AB740" s="741"/>
      <c r="AC740" s="741"/>
      <c r="AD740" s="741"/>
      <c r="AE740" s="741"/>
      <c r="AF740" s="741"/>
      <c r="AG740" s="741"/>
      <c r="AH740" s="741"/>
      <c r="AI740" s="741"/>
      <c r="AJ740" s="741"/>
      <c r="AK740" s="741"/>
      <c r="AL740" s="741"/>
      <c r="AM740" s="741"/>
      <c r="AN740" s="741"/>
      <c r="AO740" s="741"/>
      <c r="AP740" s="741"/>
    </row>
    <row r="741" spans="1:42" ht="12.75" customHeight="1">
      <c r="A741" s="741"/>
      <c r="B741" s="741"/>
      <c r="C741" s="741"/>
      <c r="D741" s="741"/>
      <c r="E741" s="741"/>
      <c r="F741" s="741"/>
      <c r="G741" s="741"/>
      <c r="H741" s="741"/>
      <c r="I741" s="741"/>
      <c r="J741" s="741"/>
      <c r="K741" s="741"/>
      <c r="L741" s="741"/>
      <c r="M741" s="741"/>
      <c r="N741" s="741"/>
      <c r="O741" s="741"/>
      <c r="P741" s="741"/>
      <c r="Q741" s="741"/>
      <c r="R741" s="741"/>
      <c r="S741" s="741"/>
      <c r="T741" s="741"/>
      <c r="U741" s="741"/>
      <c r="V741" s="741"/>
      <c r="W741" s="741"/>
      <c r="X741" s="741"/>
      <c r="Y741" s="741"/>
      <c r="Z741" s="741"/>
      <c r="AA741" s="741"/>
      <c r="AB741" s="741"/>
      <c r="AC741" s="741"/>
      <c r="AD741" s="741"/>
      <c r="AE741" s="741"/>
      <c r="AF741" s="741"/>
      <c r="AG741" s="741"/>
      <c r="AH741" s="741"/>
      <c r="AI741" s="741"/>
      <c r="AJ741" s="741"/>
      <c r="AK741" s="741"/>
      <c r="AL741" s="741"/>
      <c r="AM741" s="741"/>
      <c r="AN741" s="741"/>
      <c r="AO741" s="741"/>
      <c r="AP741" s="741"/>
    </row>
    <row r="742" spans="1:42" ht="12.75" customHeight="1">
      <c r="A742" s="741"/>
      <c r="B742" s="741"/>
      <c r="C742" s="741"/>
      <c r="D742" s="741"/>
      <c r="E742" s="741"/>
      <c r="F742" s="741"/>
      <c r="G742" s="741"/>
      <c r="H742" s="741"/>
      <c r="I742" s="741"/>
      <c r="J742" s="741"/>
      <c r="K742" s="741"/>
      <c r="L742" s="741"/>
      <c r="M742" s="741"/>
      <c r="N742" s="741"/>
      <c r="O742" s="741"/>
      <c r="P742" s="741"/>
      <c r="Q742" s="741"/>
      <c r="R742" s="741"/>
      <c r="S742" s="741"/>
      <c r="T742" s="741"/>
      <c r="U742" s="741"/>
      <c r="V742" s="741"/>
      <c r="W742" s="741"/>
      <c r="X742" s="741"/>
      <c r="Y742" s="741"/>
      <c r="Z742" s="741"/>
      <c r="AA742" s="741"/>
      <c r="AB742" s="741"/>
      <c r="AC742" s="741"/>
      <c r="AD742" s="741"/>
      <c r="AE742" s="741"/>
      <c r="AF742" s="741"/>
      <c r="AG742" s="741"/>
      <c r="AH742" s="741"/>
      <c r="AI742" s="741"/>
      <c r="AJ742" s="741"/>
      <c r="AK742" s="741"/>
      <c r="AL742" s="741"/>
      <c r="AM742" s="741"/>
      <c r="AN742" s="741"/>
      <c r="AO742" s="741"/>
      <c r="AP742" s="741"/>
    </row>
    <row r="743" spans="1:42" ht="12.75" customHeight="1">
      <c r="A743" s="741"/>
      <c r="B743" s="741"/>
      <c r="C743" s="741"/>
      <c r="D743" s="741"/>
      <c r="E743" s="741"/>
      <c r="F743" s="741"/>
      <c r="G743" s="741"/>
      <c r="H743" s="741"/>
      <c r="I743" s="741"/>
      <c r="J743" s="741"/>
      <c r="K743" s="741"/>
      <c r="L743" s="741"/>
      <c r="M743" s="741"/>
      <c r="N743" s="741"/>
      <c r="O743" s="741"/>
      <c r="P743" s="741"/>
      <c r="Q743" s="741"/>
      <c r="R743" s="741"/>
      <c r="S743" s="741"/>
      <c r="T743" s="741"/>
      <c r="U743" s="741"/>
      <c r="V743" s="741"/>
      <c r="W743" s="741"/>
      <c r="X743" s="741"/>
      <c r="Y743" s="741"/>
      <c r="Z743" s="741"/>
      <c r="AA743" s="741"/>
      <c r="AB743" s="741"/>
      <c r="AC743" s="741"/>
      <c r="AD743" s="741"/>
      <c r="AE743" s="741"/>
      <c r="AF743" s="741"/>
      <c r="AG743" s="741"/>
      <c r="AH743" s="741"/>
      <c r="AI743" s="741"/>
      <c r="AJ743" s="741"/>
      <c r="AK743" s="741"/>
      <c r="AL743" s="741"/>
      <c r="AM743" s="741"/>
      <c r="AN743" s="741"/>
      <c r="AO743" s="741"/>
      <c r="AP743" s="741"/>
    </row>
    <row r="744" spans="1:42" ht="12.75" customHeight="1">
      <c r="A744" s="741"/>
      <c r="B744" s="741"/>
      <c r="C744" s="741"/>
      <c r="D744" s="741"/>
      <c r="E744" s="741"/>
      <c r="F744" s="741"/>
      <c r="G744" s="741"/>
      <c r="H744" s="741"/>
      <c r="I744" s="741"/>
      <c r="J744" s="741"/>
      <c r="K744" s="741"/>
      <c r="L744" s="741"/>
      <c r="M744" s="741"/>
      <c r="N744" s="741"/>
      <c r="O744" s="741"/>
      <c r="P744" s="741"/>
      <c r="Q744" s="741"/>
      <c r="R744" s="741"/>
      <c r="S744" s="741"/>
      <c r="T744" s="741"/>
      <c r="U744" s="741"/>
      <c r="V744" s="741"/>
      <c r="W744" s="741"/>
      <c r="X744" s="741"/>
      <c r="Y744" s="741"/>
      <c r="Z744" s="741"/>
      <c r="AA744" s="741"/>
      <c r="AB744" s="741"/>
      <c r="AC744" s="741"/>
      <c r="AD744" s="741"/>
      <c r="AE744" s="741"/>
      <c r="AF744" s="741"/>
      <c r="AG744" s="741"/>
      <c r="AH744" s="741"/>
      <c r="AI744" s="741"/>
      <c r="AJ744" s="741"/>
      <c r="AK744" s="741"/>
      <c r="AL744" s="741"/>
      <c r="AM744" s="741"/>
      <c r="AN744" s="741"/>
      <c r="AO744" s="741"/>
      <c r="AP744" s="741"/>
    </row>
    <row r="745" spans="1:42" ht="12.75" customHeight="1">
      <c r="A745" s="741"/>
      <c r="B745" s="741"/>
      <c r="C745" s="741"/>
      <c r="D745" s="741"/>
      <c r="E745" s="741"/>
      <c r="F745" s="741"/>
      <c r="G745" s="741"/>
      <c r="H745" s="741"/>
      <c r="I745" s="741"/>
      <c r="J745" s="741"/>
      <c r="K745" s="741"/>
      <c r="L745" s="741"/>
      <c r="M745" s="741"/>
      <c r="N745" s="741"/>
      <c r="O745" s="741"/>
      <c r="P745" s="741"/>
      <c r="Q745" s="741"/>
      <c r="R745" s="741"/>
      <c r="S745" s="741"/>
      <c r="T745" s="741"/>
      <c r="U745" s="741"/>
      <c r="V745" s="741"/>
      <c r="W745" s="741"/>
      <c r="X745" s="741"/>
      <c r="Y745" s="741"/>
      <c r="Z745" s="741"/>
      <c r="AA745" s="741"/>
      <c r="AB745" s="741"/>
      <c r="AC745" s="741"/>
      <c r="AD745" s="741"/>
      <c r="AE745" s="741"/>
      <c r="AF745" s="741"/>
      <c r="AG745" s="741"/>
      <c r="AH745" s="741"/>
      <c r="AI745" s="741"/>
      <c r="AJ745" s="741"/>
      <c r="AK745" s="741"/>
      <c r="AL745" s="741"/>
      <c r="AM745" s="741"/>
      <c r="AN745" s="741"/>
      <c r="AO745" s="741"/>
      <c r="AP745" s="741"/>
    </row>
    <row r="746" spans="1:42" ht="12.75" customHeight="1">
      <c r="A746" s="741"/>
      <c r="B746" s="741"/>
      <c r="C746" s="741"/>
      <c r="D746" s="741"/>
      <c r="E746" s="741"/>
      <c r="F746" s="741"/>
      <c r="G746" s="741"/>
      <c r="H746" s="741"/>
      <c r="I746" s="741"/>
      <c r="J746" s="741"/>
      <c r="K746" s="741"/>
      <c r="L746" s="741"/>
      <c r="M746" s="741"/>
      <c r="N746" s="741"/>
      <c r="O746" s="741"/>
      <c r="P746" s="741"/>
      <c r="Q746" s="741"/>
      <c r="R746" s="741"/>
      <c r="S746" s="741"/>
      <c r="T746" s="741"/>
      <c r="U746" s="741"/>
      <c r="V746" s="741"/>
      <c r="W746" s="741"/>
      <c r="X746" s="741"/>
      <c r="Y746" s="741"/>
      <c r="Z746" s="741"/>
      <c r="AA746" s="741"/>
      <c r="AB746" s="741"/>
      <c r="AC746" s="741"/>
      <c r="AD746" s="741"/>
      <c r="AE746" s="741"/>
      <c r="AF746" s="741"/>
      <c r="AG746" s="741"/>
      <c r="AH746" s="741"/>
      <c r="AI746" s="741"/>
      <c r="AJ746" s="741"/>
      <c r="AK746" s="741"/>
      <c r="AL746" s="741"/>
      <c r="AM746" s="741"/>
      <c r="AN746" s="741"/>
      <c r="AO746" s="741"/>
      <c r="AP746" s="741"/>
    </row>
    <row r="747" spans="1:42" ht="12.75" customHeight="1">
      <c r="A747" s="741"/>
      <c r="B747" s="741"/>
      <c r="C747" s="741"/>
      <c r="D747" s="741"/>
      <c r="E747" s="741"/>
      <c r="F747" s="741"/>
      <c r="G747" s="741"/>
      <c r="H747" s="741"/>
      <c r="I747" s="741"/>
      <c r="J747" s="741"/>
      <c r="K747" s="741"/>
      <c r="L747" s="741"/>
      <c r="M747" s="741"/>
      <c r="N747" s="741"/>
      <c r="O747" s="741"/>
      <c r="P747" s="741"/>
      <c r="Q747" s="741"/>
      <c r="R747" s="741"/>
      <c r="S747" s="741"/>
      <c r="T747" s="741"/>
      <c r="U747" s="741"/>
      <c r="V747" s="741"/>
      <c r="W747" s="741"/>
      <c r="X747" s="741"/>
      <c r="Y747" s="741"/>
      <c r="Z747" s="741"/>
      <c r="AA747" s="741"/>
      <c r="AB747" s="741"/>
      <c r="AC747" s="741"/>
      <c r="AD747" s="741"/>
      <c r="AE747" s="741"/>
      <c r="AF747" s="741"/>
      <c r="AG747" s="741"/>
      <c r="AH747" s="741"/>
      <c r="AI747" s="741"/>
      <c r="AJ747" s="741"/>
      <c r="AK747" s="741"/>
      <c r="AL747" s="741"/>
      <c r="AM747" s="741"/>
      <c r="AN747" s="741"/>
      <c r="AO747" s="741"/>
      <c r="AP747" s="741"/>
    </row>
    <row r="748" spans="1:42" ht="12.75" customHeight="1">
      <c r="A748" s="741"/>
      <c r="B748" s="741"/>
      <c r="C748" s="741"/>
      <c r="D748" s="741"/>
      <c r="E748" s="741"/>
      <c r="F748" s="741"/>
      <c r="G748" s="741"/>
      <c r="H748" s="741"/>
      <c r="I748" s="741"/>
      <c r="J748" s="741"/>
      <c r="K748" s="741"/>
      <c r="L748" s="741"/>
      <c r="M748" s="741"/>
      <c r="N748" s="741"/>
      <c r="O748" s="741"/>
      <c r="P748" s="741"/>
      <c r="Q748" s="741"/>
      <c r="R748" s="741"/>
      <c r="S748" s="741"/>
      <c r="T748" s="741"/>
      <c r="U748" s="741"/>
      <c r="V748" s="741"/>
      <c r="W748" s="741"/>
      <c r="X748" s="741"/>
      <c r="Y748" s="741"/>
      <c r="Z748" s="741"/>
      <c r="AA748" s="741"/>
      <c r="AB748" s="741"/>
      <c r="AC748" s="741"/>
      <c r="AD748" s="741"/>
      <c r="AE748" s="741"/>
      <c r="AF748" s="741"/>
      <c r="AG748" s="741"/>
      <c r="AH748" s="741"/>
      <c r="AI748" s="741"/>
      <c r="AJ748" s="741"/>
      <c r="AK748" s="741"/>
      <c r="AL748" s="741"/>
      <c r="AM748" s="741"/>
      <c r="AN748" s="741"/>
      <c r="AO748" s="741"/>
      <c r="AP748" s="741"/>
    </row>
    <row r="749" spans="1:42" ht="12.75" customHeight="1">
      <c r="A749" s="741"/>
      <c r="B749" s="741"/>
      <c r="C749" s="741"/>
      <c r="D749" s="741"/>
      <c r="E749" s="741"/>
      <c r="F749" s="741"/>
      <c r="G749" s="741"/>
      <c r="H749" s="741"/>
      <c r="I749" s="741"/>
      <c r="J749" s="741"/>
      <c r="K749" s="741"/>
      <c r="L749" s="741"/>
      <c r="M749" s="741"/>
      <c r="N749" s="741"/>
      <c r="O749" s="741"/>
      <c r="P749" s="741"/>
      <c r="Q749" s="741"/>
      <c r="R749" s="741"/>
      <c r="S749" s="741"/>
      <c r="T749" s="741"/>
      <c r="U749" s="741"/>
      <c r="V749" s="741"/>
      <c r="W749" s="741"/>
      <c r="X749" s="741"/>
      <c r="Y749" s="741"/>
      <c r="Z749" s="741"/>
      <c r="AA749" s="741"/>
      <c r="AB749" s="741"/>
      <c r="AC749" s="741"/>
      <c r="AD749" s="741"/>
      <c r="AE749" s="741"/>
      <c r="AF749" s="741"/>
      <c r="AG749" s="741"/>
      <c r="AH749" s="741"/>
      <c r="AI749" s="741"/>
      <c r="AJ749" s="741"/>
      <c r="AK749" s="741"/>
      <c r="AL749" s="741"/>
      <c r="AM749" s="741"/>
      <c r="AN749" s="741"/>
      <c r="AO749" s="741"/>
      <c r="AP749" s="741"/>
    </row>
    <row r="750" spans="1:42" ht="12.75" customHeight="1">
      <c r="A750" s="741"/>
      <c r="B750" s="741"/>
      <c r="C750" s="741"/>
      <c r="D750" s="741"/>
      <c r="E750" s="741"/>
      <c r="F750" s="741"/>
      <c r="G750" s="741"/>
      <c r="H750" s="741"/>
      <c r="I750" s="741"/>
      <c r="J750" s="741"/>
      <c r="K750" s="741"/>
      <c r="L750" s="741"/>
      <c r="M750" s="741"/>
      <c r="N750" s="741"/>
      <c r="O750" s="741"/>
      <c r="P750" s="741"/>
      <c r="Q750" s="741"/>
      <c r="R750" s="741"/>
      <c r="S750" s="741"/>
      <c r="T750" s="741"/>
      <c r="U750" s="741"/>
      <c r="V750" s="741"/>
      <c r="W750" s="741"/>
      <c r="X750" s="741"/>
      <c r="Y750" s="741"/>
      <c r="Z750" s="741"/>
      <c r="AA750" s="741"/>
      <c r="AB750" s="741"/>
      <c r="AC750" s="741"/>
      <c r="AD750" s="741"/>
      <c r="AE750" s="741"/>
      <c r="AF750" s="741"/>
      <c r="AG750" s="741"/>
      <c r="AH750" s="741"/>
      <c r="AI750" s="741"/>
      <c r="AJ750" s="741"/>
      <c r="AK750" s="741"/>
      <c r="AL750" s="741"/>
      <c r="AM750" s="741"/>
      <c r="AN750" s="741"/>
      <c r="AO750" s="741"/>
      <c r="AP750" s="741"/>
    </row>
    <row r="751" spans="1:42" ht="12.75" customHeight="1">
      <c r="A751" s="741"/>
      <c r="B751" s="741"/>
      <c r="C751" s="741"/>
      <c r="D751" s="741"/>
      <c r="E751" s="741"/>
      <c r="F751" s="741"/>
      <c r="G751" s="741"/>
      <c r="H751" s="741"/>
      <c r="I751" s="741"/>
      <c r="J751" s="741"/>
      <c r="K751" s="741"/>
      <c r="L751" s="741"/>
      <c r="M751" s="741"/>
      <c r="N751" s="741"/>
      <c r="O751" s="741"/>
      <c r="P751" s="741"/>
      <c r="Q751" s="741"/>
      <c r="R751" s="741"/>
      <c r="S751" s="741"/>
      <c r="T751" s="741"/>
      <c r="U751" s="741"/>
      <c r="V751" s="741"/>
      <c r="W751" s="741"/>
      <c r="X751" s="741"/>
      <c r="Y751" s="741"/>
      <c r="Z751" s="741"/>
      <c r="AA751" s="741"/>
      <c r="AB751" s="741"/>
      <c r="AC751" s="741"/>
      <c r="AD751" s="741"/>
      <c r="AE751" s="741"/>
      <c r="AF751" s="741"/>
      <c r="AG751" s="741"/>
      <c r="AH751" s="741"/>
      <c r="AI751" s="741"/>
      <c r="AJ751" s="741"/>
      <c r="AK751" s="741"/>
      <c r="AL751" s="741"/>
      <c r="AM751" s="741"/>
      <c r="AN751" s="741"/>
      <c r="AO751" s="741"/>
      <c r="AP751" s="741"/>
    </row>
    <row r="752" spans="1:42" ht="12.75" customHeight="1">
      <c r="A752" s="741"/>
      <c r="B752" s="741"/>
      <c r="C752" s="741"/>
      <c r="D752" s="741"/>
      <c r="E752" s="741"/>
      <c r="F752" s="741"/>
      <c r="G752" s="741"/>
      <c r="H752" s="741"/>
      <c r="I752" s="741"/>
      <c r="J752" s="741"/>
      <c r="K752" s="741"/>
      <c r="L752" s="741"/>
      <c r="M752" s="741"/>
      <c r="N752" s="741"/>
      <c r="O752" s="741"/>
      <c r="P752" s="741"/>
      <c r="Q752" s="741"/>
      <c r="R752" s="741"/>
      <c r="S752" s="741"/>
      <c r="T752" s="741"/>
      <c r="U752" s="741"/>
      <c r="V752" s="741"/>
      <c r="W752" s="741"/>
      <c r="X752" s="741"/>
      <c r="Y752" s="741"/>
      <c r="Z752" s="741"/>
      <c r="AA752" s="741"/>
      <c r="AB752" s="741"/>
      <c r="AC752" s="741"/>
      <c r="AD752" s="741"/>
      <c r="AE752" s="741"/>
      <c r="AF752" s="741"/>
      <c r="AG752" s="741"/>
      <c r="AH752" s="741"/>
      <c r="AI752" s="741"/>
      <c r="AJ752" s="741"/>
      <c r="AK752" s="741"/>
      <c r="AL752" s="741"/>
      <c r="AM752" s="741"/>
      <c r="AN752" s="741"/>
      <c r="AO752" s="741"/>
      <c r="AP752" s="741"/>
    </row>
    <row r="753" spans="1:42" ht="12.75" customHeight="1">
      <c r="A753" s="741"/>
      <c r="B753" s="741"/>
      <c r="C753" s="741"/>
      <c r="D753" s="741"/>
      <c r="E753" s="741"/>
      <c r="F753" s="741"/>
      <c r="G753" s="741"/>
      <c r="H753" s="741"/>
      <c r="I753" s="741"/>
      <c r="J753" s="741"/>
      <c r="K753" s="741"/>
      <c r="L753" s="741"/>
      <c r="M753" s="741"/>
      <c r="N753" s="741"/>
      <c r="O753" s="741"/>
      <c r="P753" s="741"/>
      <c r="Q753" s="741"/>
      <c r="R753" s="741"/>
      <c r="S753" s="741"/>
      <c r="T753" s="741"/>
      <c r="U753" s="741"/>
      <c r="V753" s="741"/>
      <c r="W753" s="741"/>
      <c r="X753" s="741"/>
      <c r="Y753" s="741"/>
      <c r="Z753" s="741"/>
      <c r="AA753" s="741"/>
      <c r="AB753" s="741"/>
      <c r="AC753" s="741"/>
      <c r="AD753" s="741"/>
      <c r="AE753" s="741"/>
      <c r="AF753" s="741"/>
      <c r="AG753" s="741"/>
      <c r="AH753" s="741"/>
      <c r="AI753" s="741"/>
      <c r="AJ753" s="741"/>
      <c r="AK753" s="741"/>
      <c r="AL753" s="741"/>
      <c r="AM753" s="741"/>
      <c r="AN753" s="741"/>
      <c r="AO753" s="741"/>
      <c r="AP753" s="741"/>
    </row>
    <row r="754" spans="1:42" ht="12.75" customHeight="1">
      <c r="A754" s="741"/>
      <c r="B754" s="741"/>
      <c r="C754" s="741"/>
      <c r="D754" s="741"/>
      <c r="E754" s="741"/>
      <c r="F754" s="741"/>
      <c r="G754" s="741"/>
      <c r="H754" s="741"/>
      <c r="I754" s="741"/>
      <c r="J754" s="741"/>
      <c r="K754" s="741"/>
      <c r="L754" s="741"/>
      <c r="M754" s="741"/>
      <c r="N754" s="741"/>
      <c r="O754" s="741"/>
      <c r="P754" s="741"/>
      <c r="Q754" s="741"/>
      <c r="R754" s="741"/>
      <c r="S754" s="741"/>
      <c r="T754" s="741"/>
      <c r="U754" s="741"/>
      <c r="V754" s="741"/>
      <c r="W754" s="741"/>
      <c r="X754" s="741"/>
      <c r="Y754" s="741"/>
      <c r="Z754" s="741"/>
      <c r="AA754" s="741"/>
      <c r="AB754" s="741"/>
      <c r="AC754" s="741"/>
      <c r="AD754" s="741"/>
      <c r="AE754" s="741"/>
      <c r="AF754" s="741"/>
      <c r="AG754" s="741"/>
      <c r="AH754" s="741"/>
      <c r="AI754" s="741"/>
      <c r="AJ754" s="741"/>
      <c r="AK754" s="741"/>
      <c r="AL754" s="741"/>
      <c r="AM754" s="741"/>
      <c r="AN754" s="741"/>
      <c r="AO754" s="741"/>
      <c r="AP754" s="741"/>
    </row>
    <row r="755" spans="1:42" ht="12.75" customHeight="1">
      <c r="A755" s="741"/>
      <c r="B755" s="741"/>
      <c r="C755" s="741"/>
      <c r="D755" s="741"/>
      <c r="E755" s="741"/>
      <c r="F755" s="741"/>
      <c r="G755" s="741"/>
      <c r="H755" s="741"/>
      <c r="I755" s="741"/>
      <c r="J755" s="741"/>
      <c r="K755" s="741"/>
      <c r="L755" s="741"/>
      <c r="M755" s="741"/>
      <c r="N755" s="741"/>
      <c r="O755" s="741"/>
      <c r="P755" s="741"/>
      <c r="Q755" s="741"/>
      <c r="R755" s="741"/>
      <c r="S755" s="741"/>
      <c r="T755" s="741"/>
      <c r="U755" s="741"/>
      <c r="V755" s="741"/>
      <c r="W755" s="741"/>
      <c r="X755" s="741"/>
      <c r="Y755" s="741"/>
      <c r="Z755" s="741"/>
      <c r="AA755" s="741"/>
      <c r="AB755" s="741"/>
      <c r="AC755" s="741"/>
      <c r="AD755" s="741"/>
      <c r="AE755" s="741"/>
      <c r="AF755" s="741"/>
      <c r="AG755" s="741"/>
      <c r="AH755" s="741"/>
      <c r="AI755" s="741"/>
      <c r="AJ755" s="741"/>
      <c r="AK755" s="741"/>
      <c r="AL755" s="741"/>
      <c r="AM755" s="741"/>
      <c r="AN755" s="741"/>
      <c r="AO755" s="741"/>
      <c r="AP755" s="741"/>
    </row>
    <row r="756" spans="1:42" ht="12.75" customHeight="1">
      <c r="A756" s="741"/>
      <c r="B756" s="741"/>
      <c r="C756" s="741"/>
      <c r="D756" s="741"/>
      <c r="E756" s="741"/>
      <c r="F756" s="741"/>
      <c r="G756" s="741"/>
      <c r="H756" s="741"/>
      <c r="I756" s="741"/>
      <c r="J756" s="741"/>
      <c r="K756" s="741"/>
      <c r="L756" s="741"/>
      <c r="M756" s="741"/>
      <c r="N756" s="741"/>
      <c r="O756" s="741"/>
      <c r="P756" s="741"/>
      <c r="Q756" s="741"/>
      <c r="R756" s="741"/>
      <c r="S756" s="741"/>
      <c r="T756" s="741"/>
      <c r="U756" s="741"/>
      <c r="V756" s="741"/>
      <c r="W756" s="741"/>
      <c r="X756" s="741"/>
      <c r="Y756" s="741"/>
      <c r="Z756" s="741"/>
      <c r="AA756" s="741"/>
      <c r="AB756" s="741"/>
      <c r="AC756" s="741"/>
      <c r="AD756" s="741"/>
      <c r="AE756" s="741"/>
      <c r="AF756" s="741"/>
      <c r="AG756" s="741"/>
      <c r="AH756" s="741"/>
      <c r="AI756" s="741"/>
      <c r="AJ756" s="741"/>
      <c r="AK756" s="741"/>
      <c r="AL756" s="741"/>
      <c r="AM756" s="741"/>
      <c r="AN756" s="741"/>
      <c r="AO756" s="741"/>
      <c r="AP756" s="741"/>
    </row>
    <row r="757" spans="1:42" ht="12.75" customHeight="1">
      <c r="A757" s="741"/>
      <c r="B757" s="741"/>
      <c r="C757" s="741"/>
      <c r="D757" s="741"/>
      <c r="E757" s="741"/>
      <c r="F757" s="741"/>
      <c r="G757" s="741"/>
      <c r="H757" s="741"/>
      <c r="I757" s="741"/>
      <c r="J757" s="741"/>
      <c r="K757" s="741"/>
      <c r="L757" s="741"/>
      <c r="M757" s="741"/>
      <c r="N757" s="741"/>
      <c r="O757" s="741"/>
      <c r="P757" s="741"/>
      <c r="Q757" s="741"/>
      <c r="R757" s="741"/>
      <c r="S757" s="741"/>
      <c r="T757" s="741"/>
      <c r="U757" s="741"/>
      <c r="V757" s="741"/>
      <c r="W757" s="741"/>
      <c r="X757" s="741"/>
      <c r="Y757" s="741"/>
      <c r="Z757" s="741"/>
      <c r="AA757" s="741"/>
      <c r="AB757" s="741"/>
      <c r="AC757" s="741"/>
      <c r="AD757" s="741"/>
      <c r="AE757" s="741"/>
      <c r="AF757" s="741"/>
      <c r="AG757" s="741"/>
      <c r="AH757" s="741"/>
      <c r="AI757" s="741"/>
      <c r="AJ757" s="741"/>
      <c r="AK757" s="741"/>
      <c r="AL757" s="741"/>
      <c r="AM757" s="741"/>
      <c r="AN757" s="741"/>
      <c r="AO757" s="741"/>
      <c r="AP757" s="741"/>
    </row>
    <row r="758" spans="1:42" ht="12.75" customHeight="1">
      <c r="A758" s="741"/>
      <c r="B758" s="741"/>
      <c r="C758" s="741"/>
      <c r="D758" s="741"/>
      <c r="E758" s="741"/>
      <c r="F758" s="741"/>
      <c r="G758" s="741"/>
      <c r="H758" s="741"/>
      <c r="I758" s="741"/>
      <c r="J758" s="741"/>
      <c r="K758" s="741"/>
      <c r="L758" s="741"/>
      <c r="M758" s="741"/>
      <c r="N758" s="741"/>
      <c r="O758" s="741"/>
      <c r="P758" s="741"/>
      <c r="Q758" s="741"/>
      <c r="R758" s="741"/>
      <c r="S758" s="741"/>
      <c r="T758" s="741"/>
      <c r="U758" s="741"/>
      <c r="V758" s="741"/>
      <c r="W758" s="741"/>
      <c r="X758" s="741"/>
      <c r="Y758" s="741"/>
      <c r="Z758" s="741"/>
      <c r="AA758" s="741"/>
      <c r="AB758" s="741"/>
      <c r="AC758" s="741"/>
      <c r="AD758" s="741"/>
      <c r="AE758" s="741"/>
      <c r="AF758" s="741"/>
      <c r="AG758" s="741"/>
      <c r="AH758" s="741"/>
      <c r="AI758" s="741"/>
      <c r="AJ758" s="741"/>
      <c r="AK758" s="741"/>
      <c r="AL758" s="741"/>
      <c r="AM758" s="741"/>
      <c r="AN758" s="741"/>
      <c r="AO758" s="741"/>
      <c r="AP758" s="741"/>
    </row>
    <row r="759" spans="1:42" ht="12.75" customHeight="1">
      <c r="A759" s="741"/>
      <c r="B759" s="741"/>
      <c r="C759" s="741"/>
      <c r="D759" s="741"/>
      <c r="E759" s="741"/>
      <c r="F759" s="741"/>
      <c r="G759" s="741"/>
      <c r="H759" s="741"/>
      <c r="I759" s="741"/>
      <c r="J759" s="741"/>
      <c r="K759" s="741"/>
      <c r="L759" s="741"/>
      <c r="M759" s="741"/>
      <c r="N759" s="741"/>
      <c r="O759" s="741"/>
      <c r="P759" s="741"/>
      <c r="Q759" s="741"/>
      <c r="R759" s="741"/>
      <c r="S759" s="741"/>
      <c r="T759" s="741"/>
      <c r="U759" s="741"/>
      <c r="V759" s="741"/>
      <c r="W759" s="741"/>
      <c r="X759" s="741"/>
      <c r="Y759" s="741"/>
      <c r="Z759" s="741"/>
      <c r="AA759" s="741"/>
      <c r="AB759" s="741"/>
      <c r="AC759" s="741"/>
      <c r="AD759" s="741"/>
      <c r="AE759" s="741"/>
      <c r="AF759" s="741"/>
      <c r="AG759" s="741"/>
      <c r="AH759" s="741"/>
      <c r="AI759" s="741"/>
      <c r="AJ759" s="741"/>
      <c r="AK759" s="741"/>
      <c r="AL759" s="741"/>
      <c r="AM759" s="741"/>
      <c r="AN759" s="741"/>
      <c r="AO759" s="741"/>
      <c r="AP759" s="741"/>
    </row>
    <row r="760" spans="1:42" ht="12.75" customHeight="1">
      <c r="A760" s="741"/>
      <c r="B760" s="741"/>
      <c r="C760" s="741"/>
      <c r="D760" s="741"/>
      <c r="E760" s="741"/>
      <c r="F760" s="741"/>
      <c r="G760" s="741"/>
      <c r="H760" s="741"/>
      <c r="I760" s="741"/>
      <c r="J760" s="741"/>
      <c r="K760" s="741"/>
      <c r="L760" s="741"/>
      <c r="M760" s="741"/>
      <c r="N760" s="741"/>
      <c r="O760" s="741"/>
      <c r="P760" s="741"/>
      <c r="Q760" s="741"/>
      <c r="R760" s="741"/>
      <c r="S760" s="741"/>
      <c r="T760" s="741"/>
      <c r="U760" s="741"/>
      <c r="V760" s="741"/>
      <c r="W760" s="741"/>
      <c r="X760" s="741"/>
      <c r="Y760" s="741"/>
      <c r="Z760" s="741"/>
      <c r="AA760" s="741"/>
      <c r="AB760" s="741"/>
      <c r="AC760" s="741"/>
      <c r="AD760" s="741"/>
      <c r="AE760" s="741"/>
      <c r="AF760" s="741"/>
      <c r="AG760" s="741"/>
      <c r="AH760" s="741"/>
      <c r="AI760" s="741"/>
      <c r="AJ760" s="741"/>
      <c r="AK760" s="741"/>
      <c r="AL760" s="741"/>
      <c r="AM760" s="741"/>
      <c r="AN760" s="741"/>
      <c r="AO760" s="741"/>
      <c r="AP760" s="741"/>
    </row>
    <row r="761" spans="1:42" ht="12.75" customHeight="1">
      <c r="A761" s="741"/>
      <c r="B761" s="741"/>
      <c r="C761" s="741"/>
      <c r="D761" s="741"/>
      <c r="E761" s="741"/>
      <c r="F761" s="741"/>
      <c r="G761" s="741"/>
      <c r="H761" s="741"/>
      <c r="I761" s="741"/>
      <c r="J761" s="741"/>
      <c r="K761" s="741"/>
      <c r="L761" s="741"/>
      <c r="M761" s="741"/>
      <c r="N761" s="741"/>
      <c r="O761" s="741"/>
      <c r="P761" s="741"/>
      <c r="Q761" s="741"/>
      <c r="R761" s="741"/>
      <c r="S761" s="741"/>
      <c r="T761" s="741"/>
      <c r="U761" s="741"/>
      <c r="V761" s="741"/>
      <c r="W761" s="741"/>
      <c r="X761" s="741"/>
      <c r="Y761" s="741"/>
      <c r="Z761" s="741"/>
      <c r="AA761" s="741"/>
      <c r="AB761" s="741"/>
      <c r="AC761" s="741"/>
      <c r="AD761" s="741"/>
      <c r="AE761" s="741"/>
      <c r="AF761" s="741"/>
      <c r="AG761" s="741"/>
      <c r="AH761" s="741"/>
      <c r="AI761" s="741"/>
      <c r="AJ761" s="741"/>
      <c r="AK761" s="741"/>
      <c r="AL761" s="741"/>
      <c r="AM761" s="741"/>
      <c r="AN761" s="741"/>
      <c r="AO761" s="741"/>
      <c r="AP761" s="741"/>
    </row>
    <row r="762" spans="1:42" ht="12.75" customHeight="1">
      <c r="A762" s="741"/>
      <c r="B762" s="741"/>
      <c r="C762" s="741"/>
      <c r="D762" s="741"/>
      <c r="E762" s="741"/>
      <c r="F762" s="741"/>
      <c r="G762" s="741"/>
      <c r="H762" s="741"/>
      <c r="I762" s="741"/>
      <c r="J762" s="741"/>
      <c r="K762" s="741"/>
      <c r="L762" s="741"/>
      <c r="M762" s="741"/>
      <c r="N762" s="741"/>
      <c r="O762" s="741"/>
      <c r="P762" s="741"/>
      <c r="Q762" s="741"/>
      <c r="R762" s="741"/>
      <c r="S762" s="741"/>
      <c r="T762" s="741"/>
      <c r="U762" s="741"/>
      <c r="V762" s="741"/>
      <c r="W762" s="741"/>
      <c r="X762" s="741"/>
      <c r="Y762" s="741"/>
      <c r="Z762" s="741"/>
      <c r="AA762" s="741"/>
      <c r="AB762" s="741"/>
      <c r="AC762" s="741"/>
      <c r="AD762" s="741"/>
      <c r="AE762" s="741"/>
      <c r="AF762" s="741"/>
      <c r="AG762" s="741"/>
      <c r="AH762" s="741"/>
      <c r="AI762" s="741"/>
      <c r="AJ762" s="741"/>
      <c r="AK762" s="741"/>
      <c r="AL762" s="741"/>
      <c r="AM762" s="741"/>
      <c r="AN762" s="741"/>
      <c r="AO762" s="741"/>
      <c r="AP762" s="741"/>
    </row>
    <row r="763" spans="1:42" ht="12.75" customHeight="1">
      <c r="A763" s="741"/>
      <c r="B763" s="741"/>
      <c r="C763" s="741"/>
      <c r="D763" s="741"/>
      <c r="E763" s="741"/>
      <c r="F763" s="741"/>
      <c r="G763" s="741"/>
      <c r="H763" s="741"/>
      <c r="I763" s="741"/>
      <c r="J763" s="741"/>
      <c r="K763" s="741"/>
      <c r="L763" s="741"/>
      <c r="M763" s="741"/>
      <c r="N763" s="741"/>
      <c r="O763" s="741"/>
      <c r="P763" s="741"/>
      <c r="Q763" s="741"/>
      <c r="R763" s="741"/>
      <c r="S763" s="741"/>
      <c r="T763" s="741"/>
      <c r="U763" s="741"/>
      <c r="V763" s="741"/>
      <c r="W763" s="741"/>
      <c r="X763" s="741"/>
      <c r="Y763" s="741"/>
      <c r="Z763" s="741"/>
      <c r="AA763" s="741"/>
      <c r="AB763" s="741"/>
      <c r="AC763" s="741"/>
      <c r="AD763" s="741"/>
      <c r="AE763" s="741"/>
      <c r="AF763" s="741"/>
      <c r="AG763" s="741"/>
      <c r="AH763" s="741"/>
      <c r="AI763" s="741"/>
      <c r="AJ763" s="741"/>
      <c r="AK763" s="741"/>
      <c r="AL763" s="741"/>
      <c r="AM763" s="741"/>
      <c r="AN763" s="741"/>
      <c r="AO763" s="741"/>
      <c r="AP763" s="741"/>
    </row>
    <row r="764" spans="1:42" ht="12.75" customHeight="1">
      <c r="A764" s="741"/>
      <c r="B764" s="741"/>
      <c r="C764" s="741"/>
      <c r="D764" s="741"/>
      <c r="E764" s="741"/>
      <c r="F764" s="741"/>
      <c r="G764" s="741"/>
      <c r="H764" s="741"/>
      <c r="I764" s="741"/>
      <c r="J764" s="741"/>
      <c r="K764" s="741"/>
      <c r="L764" s="741"/>
      <c r="M764" s="741"/>
      <c r="N764" s="741"/>
      <c r="O764" s="741"/>
      <c r="P764" s="741"/>
      <c r="Q764" s="741"/>
      <c r="R764" s="741"/>
      <c r="S764" s="741"/>
      <c r="T764" s="741"/>
      <c r="U764" s="741"/>
      <c r="V764" s="741"/>
      <c r="W764" s="741"/>
      <c r="X764" s="741"/>
      <c r="Y764" s="741"/>
      <c r="Z764" s="741"/>
      <c r="AA764" s="741"/>
      <c r="AB764" s="741"/>
      <c r="AC764" s="741"/>
      <c r="AD764" s="741"/>
      <c r="AE764" s="741"/>
      <c r="AF764" s="741"/>
      <c r="AG764" s="741"/>
      <c r="AH764" s="741"/>
      <c r="AI764" s="741"/>
      <c r="AJ764" s="741"/>
      <c r="AK764" s="741"/>
      <c r="AL764" s="741"/>
      <c r="AM764" s="741"/>
      <c r="AN764" s="741"/>
      <c r="AO764" s="741"/>
      <c r="AP764" s="741"/>
    </row>
    <row r="765" spans="1:42" ht="12.75" customHeight="1">
      <c r="A765" s="741"/>
      <c r="B765" s="741"/>
      <c r="C765" s="741"/>
      <c r="D765" s="741"/>
      <c r="E765" s="741"/>
      <c r="F765" s="741"/>
      <c r="G765" s="741"/>
      <c r="H765" s="741"/>
      <c r="I765" s="741"/>
      <c r="J765" s="741"/>
      <c r="K765" s="741"/>
      <c r="L765" s="741"/>
      <c r="M765" s="741"/>
      <c r="N765" s="741"/>
      <c r="O765" s="741"/>
      <c r="P765" s="741"/>
      <c r="Q765" s="741"/>
      <c r="R765" s="741"/>
      <c r="S765" s="741"/>
      <c r="T765" s="741"/>
      <c r="U765" s="741"/>
      <c r="V765" s="741"/>
      <c r="W765" s="741"/>
      <c r="X765" s="741"/>
      <c r="Y765" s="741"/>
      <c r="Z765" s="741"/>
      <c r="AA765" s="741"/>
      <c r="AB765" s="741"/>
      <c r="AC765" s="741"/>
      <c r="AD765" s="741"/>
      <c r="AE765" s="741"/>
      <c r="AF765" s="741"/>
      <c r="AG765" s="741"/>
      <c r="AH765" s="741"/>
      <c r="AI765" s="741"/>
      <c r="AJ765" s="741"/>
      <c r="AK765" s="741"/>
      <c r="AL765" s="741"/>
      <c r="AM765" s="741"/>
      <c r="AN765" s="741"/>
      <c r="AO765" s="741"/>
      <c r="AP765" s="741"/>
    </row>
    <row r="766" spans="1:42" ht="12.75" customHeight="1">
      <c r="A766" s="741"/>
      <c r="B766" s="741"/>
      <c r="C766" s="741"/>
      <c r="D766" s="741"/>
      <c r="E766" s="741"/>
      <c r="F766" s="741"/>
      <c r="G766" s="741"/>
      <c r="H766" s="741"/>
      <c r="I766" s="741"/>
      <c r="J766" s="741"/>
      <c r="K766" s="741"/>
      <c r="L766" s="741"/>
      <c r="M766" s="741"/>
      <c r="N766" s="741"/>
      <c r="O766" s="741"/>
      <c r="P766" s="741"/>
      <c r="Q766" s="741"/>
      <c r="R766" s="741"/>
      <c r="S766" s="741"/>
      <c r="T766" s="741"/>
      <c r="U766" s="741"/>
      <c r="V766" s="741"/>
      <c r="W766" s="741"/>
      <c r="X766" s="741"/>
      <c r="Y766" s="741"/>
      <c r="Z766" s="741"/>
      <c r="AA766" s="741"/>
      <c r="AB766" s="741"/>
      <c r="AC766" s="741"/>
      <c r="AD766" s="741"/>
      <c r="AE766" s="741"/>
      <c r="AF766" s="741"/>
      <c r="AG766" s="741"/>
      <c r="AH766" s="741"/>
      <c r="AI766" s="741"/>
      <c r="AJ766" s="741"/>
      <c r="AK766" s="741"/>
      <c r="AL766" s="741"/>
      <c r="AM766" s="741"/>
      <c r="AN766" s="741"/>
      <c r="AO766" s="741"/>
      <c r="AP766" s="741"/>
    </row>
    <row r="767" spans="1:42" ht="12.75" customHeight="1">
      <c r="A767" s="741"/>
      <c r="B767" s="741"/>
      <c r="C767" s="741"/>
      <c r="D767" s="741"/>
      <c r="E767" s="741"/>
      <c r="F767" s="741"/>
      <c r="G767" s="741"/>
      <c r="H767" s="741"/>
      <c r="I767" s="741"/>
      <c r="J767" s="741"/>
      <c r="K767" s="741"/>
      <c r="L767" s="741"/>
      <c r="M767" s="741"/>
      <c r="N767" s="741"/>
      <c r="O767" s="741"/>
      <c r="P767" s="741"/>
      <c r="Q767" s="741"/>
      <c r="R767" s="741"/>
      <c r="S767" s="741"/>
      <c r="T767" s="741"/>
      <c r="U767" s="741"/>
      <c r="V767" s="741"/>
      <c r="W767" s="741"/>
      <c r="X767" s="741"/>
      <c r="Y767" s="741"/>
      <c r="Z767" s="741"/>
      <c r="AA767" s="741"/>
      <c r="AB767" s="741"/>
      <c r="AC767" s="741"/>
      <c r="AD767" s="741"/>
      <c r="AE767" s="741"/>
      <c r="AF767" s="741"/>
      <c r="AG767" s="741"/>
      <c r="AH767" s="741"/>
      <c r="AI767" s="741"/>
      <c r="AJ767" s="741"/>
      <c r="AK767" s="741"/>
      <c r="AL767" s="741"/>
      <c r="AM767" s="741"/>
      <c r="AN767" s="741"/>
      <c r="AO767" s="741"/>
      <c r="AP767" s="741"/>
    </row>
    <row r="768" spans="1:42" ht="12.75" customHeight="1">
      <c r="A768" s="741"/>
      <c r="B768" s="741"/>
      <c r="C768" s="741"/>
      <c r="D768" s="741"/>
      <c r="E768" s="741"/>
      <c r="F768" s="741"/>
      <c r="G768" s="741"/>
      <c r="H768" s="741"/>
      <c r="I768" s="741"/>
      <c r="J768" s="741"/>
      <c r="K768" s="741"/>
      <c r="L768" s="741"/>
      <c r="M768" s="741"/>
      <c r="N768" s="741"/>
      <c r="O768" s="741"/>
      <c r="P768" s="741"/>
      <c r="Q768" s="741"/>
      <c r="R768" s="741"/>
      <c r="S768" s="741"/>
      <c r="T768" s="741"/>
      <c r="U768" s="741"/>
      <c r="V768" s="741"/>
      <c r="W768" s="741"/>
      <c r="X768" s="741"/>
      <c r="Y768" s="741"/>
      <c r="Z768" s="741"/>
      <c r="AA768" s="741"/>
      <c r="AB768" s="741"/>
      <c r="AC768" s="741"/>
      <c r="AD768" s="741"/>
      <c r="AE768" s="741"/>
      <c r="AF768" s="741"/>
      <c r="AG768" s="741"/>
      <c r="AH768" s="741"/>
      <c r="AI768" s="741"/>
      <c r="AJ768" s="741"/>
      <c r="AK768" s="741"/>
      <c r="AL768" s="741"/>
      <c r="AM768" s="741"/>
      <c r="AN768" s="741"/>
      <c r="AO768" s="741"/>
      <c r="AP768" s="741"/>
    </row>
    <row r="769" spans="1:42" ht="12.75" customHeight="1">
      <c r="A769" s="741"/>
      <c r="B769" s="741"/>
      <c r="C769" s="741"/>
      <c r="D769" s="741"/>
      <c r="E769" s="741"/>
      <c r="F769" s="741"/>
      <c r="G769" s="741"/>
      <c r="H769" s="741"/>
      <c r="I769" s="741"/>
      <c r="J769" s="741"/>
      <c r="K769" s="741"/>
      <c r="L769" s="741"/>
      <c r="M769" s="741"/>
      <c r="N769" s="741"/>
      <c r="O769" s="741"/>
      <c r="P769" s="741"/>
      <c r="Q769" s="741"/>
      <c r="R769" s="741"/>
      <c r="S769" s="741"/>
      <c r="T769" s="741"/>
      <c r="U769" s="741"/>
      <c r="V769" s="741"/>
      <c r="W769" s="741"/>
      <c r="X769" s="741"/>
      <c r="Y769" s="741"/>
      <c r="Z769" s="741"/>
      <c r="AA769" s="741"/>
      <c r="AB769" s="741"/>
      <c r="AC769" s="741"/>
      <c r="AD769" s="741"/>
      <c r="AE769" s="741"/>
      <c r="AF769" s="741"/>
      <c r="AG769" s="741"/>
      <c r="AH769" s="741"/>
      <c r="AI769" s="741"/>
      <c r="AJ769" s="741"/>
      <c r="AK769" s="741"/>
      <c r="AL769" s="741"/>
      <c r="AM769" s="741"/>
      <c r="AN769" s="741"/>
      <c r="AO769" s="741"/>
      <c r="AP769" s="741"/>
    </row>
    <row r="770" spans="1:42" ht="12.75" customHeight="1">
      <c r="A770" s="741"/>
      <c r="B770" s="741"/>
      <c r="C770" s="741"/>
      <c r="D770" s="741"/>
      <c r="E770" s="741"/>
      <c r="F770" s="741"/>
      <c r="G770" s="741"/>
      <c r="H770" s="741"/>
      <c r="I770" s="741"/>
      <c r="J770" s="741"/>
      <c r="K770" s="741"/>
      <c r="L770" s="741"/>
      <c r="M770" s="741"/>
      <c r="N770" s="741"/>
      <c r="O770" s="741"/>
      <c r="P770" s="741"/>
      <c r="Q770" s="741"/>
      <c r="R770" s="741"/>
      <c r="S770" s="741"/>
      <c r="T770" s="741"/>
      <c r="U770" s="741"/>
      <c r="V770" s="741"/>
      <c r="W770" s="741"/>
      <c r="X770" s="741"/>
      <c r="Y770" s="741"/>
      <c r="Z770" s="741"/>
      <c r="AA770" s="741"/>
      <c r="AB770" s="741"/>
      <c r="AC770" s="741"/>
      <c r="AD770" s="741"/>
      <c r="AE770" s="741"/>
      <c r="AF770" s="741"/>
      <c r="AG770" s="741"/>
      <c r="AH770" s="741"/>
      <c r="AI770" s="741"/>
      <c r="AJ770" s="741"/>
      <c r="AK770" s="741"/>
      <c r="AL770" s="741"/>
      <c r="AM770" s="741"/>
      <c r="AN770" s="741"/>
      <c r="AO770" s="741"/>
      <c r="AP770" s="741"/>
    </row>
    <row r="771" spans="1:42" ht="12.75" customHeight="1">
      <c r="A771" s="741"/>
      <c r="B771" s="741"/>
      <c r="C771" s="741"/>
      <c r="D771" s="741"/>
      <c r="E771" s="741"/>
      <c r="F771" s="741"/>
      <c r="G771" s="741"/>
      <c r="H771" s="741"/>
      <c r="I771" s="741"/>
      <c r="J771" s="741"/>
      <c r="K771" s="741"/>
      <c r="L771" s="741"/>
      <c r="M771" s="741"/>
      <c r="N771" s="741"/>
      <c r="O771" s="741"/>
      <c r="P771" s="741"/>
      <c r="Q771" s="741"/>
      <c r="R771" s="741"/>
      <c r="S771" s="741"/>
      <c r="T771" s="741"/>
      <c r="U771" s="741"/>
      <c r="V771" s="741"/>
      <c r="W771" s="741"/>
      <c r="X771" s="741"/>
      <c r="Y771" s="741"/>
      <c r="Z771" s="741"/>
      <c r="AA771" s="741"/>
      <c r="AB771" s="741"/>
      <c r="AC771" s="741"/>
      <c r="AD771" s="741"/>
      <c r="AE771" s="741"/>
      <c r="AF771" s="741"/>
      <c r="AG771" s="741"/>
      <c r="AH771" s="741"/>
      <c r="AI771" s="741"/>
      <c r="AJ771" s="741"/>
      <c r="AK771" s="741"/>
      <c r="AL771" s="741"/>
      <c r="AM771" s="741"/>
      <c r="AN771" s="741"/>
      <c r="AO771" s="741"/>
      <c r="AP771" s="741"/>
    </row>
    <row r="772" spans="1:42" ht="12.75" customHeight="1">
      <c r="A772" s="741"/>
      <c r="B772" s="741"/>
      <c r="C772" s="741"/>
      <c r="D772" s="741"/>
      <c r="E772" s="741"/>
      <c r="F772" s="741"/>
      <c r="G772" s="741"/>
      <c r="H772" s="741"/>
      <c r="I772" s="741"/>
      <c r="J772" s="741"/>
      <c r="K772" s="741"/>
      <c r="L772" s="741"/>
      <c r="M772" s="741"/>
      <c r="N772" s="741"/>
      <c r="O772" s="741"/>
      <c r="P772" s="741"/>
      <c r="Q772" s="741"/>
      <c r="R772" s="741"/>
      <c r="S772" s="741"/>
      <c r="T772" s="741"/>
      <c r="U772" s="741"/>
      <c r="V772" s="741"/>
      <c r="W772" s="741"/>
      <c r="X772" s="741"/>
      <c r="Y772" s="741"/>
      <c r="Z772" s="741"/>
      <c r="AA772" s="741"/>
      <c r="AB772" s="741"/>
      <c r="AC772" s="741"/>
      <c r="AD772" s="741"/>
      <c r="AE772" s="741"/>
      <c r="AF772" s="741"/>
      <c r="AG772" s="741"/>
      <c r="AH772" s="741"/>
      <c r="AI772" s="741"/>
      <c r="AJ772" s="741"/>
      <c r="AK772" s="741"/>
      <c r="AL772" s="741"/>
      <c r="AM772" s="741"/>
      <c r="AN772" s="741"/>
      <c r="AO772" s="741"/>
      <c r="AP772" s="741"/>
    </row>
    <row r="773" spans="1:42" ht="12.75" customHeight="1">
      <c r="A773" s="741"/>
      <c r="B773" s="741"/>
      <c r="C773" s="741"/>
      <c r="D773" s="741"/>
      <c r="E773" s="741"/>
      <c r="F773" s="741"/>
      <c r="G773" s="741"/>
      <c r="H773" s="741"/>
      <c r="I773" s="741"/>
      <c r="J773" s="741"/>
      <c r="K773" s="741"/>
      <c r="L773" s="741"/>
      <c r="M773" s="741"/>
      <c r="N773" s="741"/>
      <c r="O773" s="741"/>
      <c r="P773" s="741"/>
      <c r="Q773" s="741"/>
      <c r="R773" s="741"/>
      <c r="S773" s="741"/>
      <c r="T773" s="741"/>
      <c r="U773" s="741"/>
      <c r="V773" s="741"/>
      <c r="W773" s="741"/>
      <c r="X773" s="741"/>
      <c r="Y773" s="741"/>
      <c r="Z773" s="741"/>
      <c r="AA773" s="741"/>
      <c r="AB773" s="741"/>
      <c r="AC773" s="741"/>
      <c r="AD773" s="741"/>
      <c r="AE773" s="741"/>
      <c r="AF773" s="741"/>
      <c r="AG773" s="741"/>
      <c r="AH773" s="741"/>
      <c r="AI773" s="741"/>
      <c r="AJ773" s="741"/>
      <c r="AK773" s="741"/>
      <c r="AL773" s="741"/>
      <c r="AM773" s="741"/>
      <c r="AN773" s="741"/>
      <c r="AO773" s="741"/>
      <c r="AP773" s="741"/>
    </row>
    <row r="774" spans="1:42" ht="12.75" customHeight="1">
      <c r="A774" s="741"/>
      <c r="B774" s="741"/>
      <c r="C774" s="741"/>
      <c r="D774" s="741"/>
      <c r="E774" s="741"/>
      <c r="F774" s="741"/>
      <c r="G774" s="741"/>
      <c r="H774" s="741"/>
      <c r="I774" s="741"/>
      <c r="J774" s="741"/>
      <c r="K774" s="741"/>
      <c r="L774" s="741"/>
      <c r="M774" s="741"/>
      <c r="N774" s="741"/>
      <c r="O774" s="741"/>
      <c r="P774" s="741"/>
      <c r="Q774" s="741"/>
      <c r="R774" s="741"/>
      <c r="S774" s="741"/>
      <c r="T774" s="741"/>
      <c r="U774" s="741"/>
      <c r="V774" s="741"/>
      <c r="W774" s="741"/>
      <c r="X774" s="741"/>
      <c r="Y774" s="741"/>
      <c r="Z774" s="741"/>
      <c r="AA774" s="741"/>
      <c r="AB774" s="741"/>
      <c r="AC774" s="741"/>
      <c r="AD774" s="741"/>
      <c r="AE774" s="741"/>
      <c r="AF774" s="741"/>
      <c r="AG774" s="741"/>
      <c r="AH774" s="741"/>
      <c r="AI774" s="741"/>
      <c r="AJ774" s="741"/>
      <c r="AK774" s="741"/>
      <c r="AL774" s="741"/>
      <c r="AM774" s="741"/>
      <c r="AN774" s="741"/>
      <c r="AO774" s="741"/>
      <c r="AP774" s="741"/>
    </row>
    <row r="775" spans="1:42" ht="12.75" customHeight="1">
      <c r="A775" s="741"/>
      <c r="B775" s="741"/>
      <c r="C775" s="741"/>
      <c r="D775" s="741"/>
      <c r="E775" s="741"/>
      <c r="F775" s="741"/>
      <c r="G775" s="741"/>
      <c r="H775" s="741"/>
      <c r="I775" s="741"/>
      <c r="J775" s="741"/>
      <c r="K775" s="741"/>
      <c r="L775" s="741"/>
      <c r="M775" s="741"/>
      <c r="N775" s="741"/>
      <c r="O775" s="741"/>
      <c r="P775" s="741"/>
      <c r="Q775" s="741"/>
      <c r="R775" s="741"/>
      <c r="S775" s="741"/>
      <c r="T775" s="741"/>
      <c r="U775" s="741"/>
      <c r="V775" s="741"/>
      <c r="W775" s="741"/>
      <c r="X775" s="741"/>
      <c r="Y775" s="741"/>
      <c r="Z775" s="741"/>
      <c r="AA775" s="741"/>
      <c r="AB775" s="741"/>
      <c r="AC775" s="741"/>
      <c r="AD775" s="741"/>
      <c r="AE775" s="741"/>
      <c r="AF775" s="741"/>
      <c r="AG775" s="741"/>
      <c r="AH775" s="741"/>
      <c r="AI775" s="741"/>
      <c r="AJ775" s="741"/>
      <c r="AK775" s="741"/>
      <c r="AL775" s="741"/>
      <c r="AM775" s="741"/>
      <c r="AN775" s="741"/>
      <c r="AO775" s="741"/>
      <c r="AP775" s="741"/>
    </row>
    <row r="776" spans="1:42" ht="12.75" customHeight="1">
      <c r="A776" s="741"/>
      <c r="B776" s="741"/>
      <c r="C776" s="741"/>
      <c r="D776" s="741"/>
      <c r="E776" s="741"/>
      <c r="F776" s="741"/>
      <c r="G776" s="741"/>
      <c r="H776" s="741"/>
      <c r="I776" s="741"/>
      <c r="J776" s="741"/>
      <c r="K776" s="741"/>
      <c r="L776" s="741"/>
      <c r="M776" s="741"/>
      <c r="N776" s="741"/>
      <c r="O776" s="741"/>
      <c r="P776" s="741"/>
      <c r="Q776" s="741"/>
      <c r="R776" s="741"/>
      <c r="S776" s="741"/>
      <c r="T776" s="741"/>
      <c r="U776" s="741"/>
      <c r="V776" s="741"/>
      <c r="W776" s="741"/>
      <c r="X776" s="741"/>
      <c r="Y776" s="741"/>
      <c r="Z776" s="741"/>
      <c r="AA776" s="741"/>
      <c r="AB776" s="741"/>
      <c r="AC776" s="741"/>
      <c r="AD776" s="741"/>
      <c r="AE776" s="741"/>
      <c r="AF776" s="741"/>
      <c r="AG776" s="741"/>
      <c r="AH776" s="741"/>
      <c r="AI776" s="741"/>
      <c r="AJ776" s="741"/>
      <c r="AK776" s="741"/>
      <c r="AL776" s="741"/>
      <c r="AM776" s="741"/>
      <c r="AN776" s="741"/>
      <c r="AO776" s="741"/>
      <c r="AP776" s="741"/>
    </row>
    <row r="777" spans="1:42" ht="12.75" customHeight="1">
      <c r="A777" s="741"/>
      <c r="B777" s="741"/>
      <c r="C777" s="741"/>
      <c r="D777" s="741"/>
      <c r="E777" s="741"/>
      <c r="F777" s="741"/>
      <c r="G777" s="741"/>
      <c r="H777" s="741"/>
      <c r="I777" s="741"/>
      <c r="J777" s="741"/>
      <c r="K777" s="741"/>
      <c r="L777" s="741"/>
      <c r="M777" s="741"/>
      <c r="N777" s="741"/>
      <c r="O777" s="741"/>
      <c r="P777" s="741"/>
      <c r="Q777" s="741"/>
      <c r="R777" s="741"/>
      <c r="S777" s="741"/>
      <c r="T777" s="741"/>
      <c r="U777" s="741"/>
      <c r="V777" s="741"/>
      <c r="W777" s="741"/>
      <c r="X777" s="741"/>
      <c r="Y777" s="741"/>
      <c r="Z777" s="741"/>
      <c r="AA777" s="741"/>
      <c r="AB777" s="741"/>
      <c r="AC777" s="741"/>
      <c r="AD777" s="741"/>
      <c r="AE777" s="741"/>
      <c r="AF777" s="741"/>
      <c r="AG777" s="741"/>
      <c r="AH777" s="741"/>
      <c r="AI777" s="741"/>
      <c r="AJ777" s="741"/>
      <c r="AK777" s="741"/>
      <c r="AL777" s="741"/>
      <c r="AM777" s="741"/>
      <c r="AN777" s="741"/>
      <c r="AO777" s="741"/>
      <c r="AP777" s="741"/>
    </row>
    <row r="778" spans="1:42" ht="12.75" customHeight="1">
      <c r="A778" s="741"/>
      <c r="B778" s="741"/>
      <c r="C778" s="741"/>
      <c r="D778" s="741"/>
      <c r="E778" s="741"/>
      <c r="F778" s="741"/>
      <c r="G778" s="741"/>
      <c r="H778" s="741"/>
      <c r="I778" s="741"/>
      <c r="J778" s="741"/>
      <c r="K778" s="741"/>
      <c r="L778" s="741"/>
      <c r="M778" s="741"/>
      <c r="N778" s="741"/>
      <c r="O778" s="741"/>
      <c r="P778" s="741"/>
      <c r="Q778" s="741"/>
      <c r="R778" s="741"/>
      <c r="S778" s="741"/>
      <c r="T778" s="741"/>
      <c r="U778" s="741"/>
      <c r="V778" s="741"/>
      <c r="W778" s="741"/>
      <c r="X778" s="741"/>
      <c r="Y778" s="741"/>
      <c r="Z778" s="741"/>
      <c r="AA778" s="741"/>
      <c r="AB778" s="741"/>
      <c r="AC778" s="741"/>
      <c r="AD778" s="741"/>
      <c r="AE778" s="741"/>
      <c r="AF778" s="741"/>
      <c r="AG778" s="741"/>
      <c r="AH778" s="741"/>
      <c r="AI778" s="741"/>
      <c r="AJ778" s="741"/>
      <c r="AK778" s="741"/>
      <c r="AL778" s="741"/>
      <c r="AM778" s="741"/>
      <c r="AN778" s="741"/>
      <c r="AO778" s="741"/>
      <c r="AP778" s="741"/>
    </row>
    <row r="779" spans="1:42" ht="12.75" customHeight="1">
      <c r="A779" s="741"/>
      <c r="B779" s="741"/>
      <c r="C779" s="741"/>
      <c r="D779" s="741"/>
      <c r="E779" s="741"/>
      <c r="F779" s="741"/>
      <c r="G779" s="741"/>
      <c r="H779" s="741"/>
      <c r="I779" s="741"/>
      <c r="J779" s="741"/>
      <c r="K779" s="741"/>
      <c r="L779" s="741"/>
      <c r="M779" s="741"/>
      <c r="N779" s="741"/>
      <c r="O779" s="741"/>
      <c r="P779" s="741"/>
      <c r="Q779" s="741"/>
      <c r="R779" s="741"/>
      <c r="S779" s="741"/>
      <c r="T779" s="741"/>
      <c r="U779" s="741"/>
      <c r="V779" s="741"/>
      <c r="W779" s="741"/>
      <c r="X779" s="741"/>
      <c r="Y779" s="741"/>
      <c r="Z779" s="741"/>
      <c r="AA779" s="741"/>
      <c r="AB779" s="741"/>
      <c r="AC779" s="741"/>
      <c r="AD779" s="741"/>
      <c r="AE779" s="741"/>
      <c r="AF779" s="741"/>
      <c r="AG779" s="741"/>
      <c r="AH779" s="741"/>
      <c r="AI779" s="741"/>
      <c r="AJ779" s="741"/>
      <c r="AK779" s="741"/>
      <c r="AL779" s="741"/>
      <c r="AM779" s="741"/>
      <c r="AN779" s="741"/>
      <c r="AO779" s="741"/>
      <c r="AP779" s="741"/>
    </row>
    <row r="780" spans="1:42" ht="12.75" customHeight="1">
      <c r="A780" s="741"/>
      <c r="B780" s="741"/>
      <c r="C780" s="741"/>
      <c r="D780" s="741"/>
      <c r="E780" s="741"/>
      <c r="F780" s="741"/>
      <c r="G780" s="741"/>
      <c r="H780" s="741"/>
      <c r="I780" s="741"/>
      <c r="J780" s="741"/>
      <c r="K780" s="741"/>
      <c r="L780" s="741"/>
      <c r="M780" s="741"/>
      <c r="N780" s="741"/>
      <c r="O780" s="741"/>
      <c r="P780" s="741"/>
      <c r="Q780" s="741"/>
      <c r="R780" s="741"/>
      <c r="S780" s="741"/>
      <c r="T780" s="741"/>
      <c r="U780" s="741"/>
      <c r="V780" s="741"/>
      <c r="W780" s="741"/>
      <c r="X780" s="741"/>
      <c r="Y780" s="741"/>
      <c r="Z780" s="741"/>
      <c r="AA780" s="741"/>
      <c r="AB780" s="741"/>
      <c r="AC780" s="741"/>
      <c r="AD780" s="741"/>
      <c r="AE780" s="741"/>
      <c r="AF780" s="741"/>
      <c r="AG780" s="741"/>
      <c r="AH780" s="741"/>
      <c r="AI780" s="741"/>
      <c r="AJ780" s="741"/>
      <c r="AK780" s="741"/>
      <c r="AL780" s="741"/>
      <c r="AM780" s="741"/>
      <c r="AN780" s="741"/>
      <c r="AO780" s="741"/>
      <c r="AP780" s="741"/>
    </row>
    <row r="781" spans="1:42" ht="12.75" customHeight="1">
      <c r="A781" s="741"/>
      <c r="B781" s="741"/>
      <c r="C781" s="741"/>
      <c r="D781" s="741"/>
      <c r="E781" s="741"/>
      <c r="F781" s="741"/>
      <c r="G781" s="741"/>
      <c r="H781" s="741"/>
      <c r="I781" s="741"/>
      <c r="J781" s="741"/>
      <c r="K781" s="741"/>
      <c r="L781" s="741"/>
      <c r="M781" s="741"/>
      <c r="N781" s="741"/>
      <c r="O781" s="741"/>
      <c r="P781" s="741"/>
      <c r="Q781" s="741"/>
      <c r="R781" s="741"/>
      <c r="S781" s="741"/>
      <c r="T781" s="741"/>
      <c r="U781" s="741"/>
      <c r="V781" s="741"/>
      <c r="W781" s="741"/>
      <c r="X781" s="741"/>
      <c r="Y781" s="741"/>
      <c r="Z781" s="741"/>
      <c r="AA781" s="741"/>
      <c r="AB781" s="741"/>
      <c r="AC781" s="741"/>
      <c r="AD781" s="741"/>
      <c r="AE781" s="741"/>
      <c r="AF781" s="741"/>
      <c r="AG781" s="741"/>
      <c r="AH781" s="741"/>
      <c r="AI781" s="741"/>
      <c r="AJ781" s="741"/>
      <c r="AK781" s="741"/>
      <c r="AL781" s="741"/>
      <c r="AM781" s="741"/>
      <c r="AN781" s="741"/>
      <c r="AO781" s="741"/>
      <c r="AP781" s="741"/>
    </row>
    <row r="782" spans="1:42" ht="12.75" customHeight="1">
      <c r="A782" s="741"/>
      <c r="B782" s="741"/>
      <c r="C782" s="741"/>
      <c r="D782" s="741"/>
      <c r="E782" s="741"/>
      <c r="F782" s="741"/>
      <c r="G782" s="741"/>
      <c r="H782" s="741"/>
      <c r="I782" s="741"/>
      <c r="J782" s="741"/>
      <c r="K782" s="741"/>
      <c r="L782" s="741"/>
      <c r="M782" s="741"/>
      <c r="N782" s="741"/>
      <c r="O782" s="741"/>
      <c r="P782" s="741"/>
      <c r="Q782" s="741"/>
      <c r="R782" s="741"/>
      <c r="S782" s="741"/>
      <c r="T782" s="741"/>
      <c r="U782" s="741"/>
      <c r="V782" s="741"/>
      <c r="W782" s="741"/>
      <c r="X782" s="741"/>
      <c r="Y782" s="741"/>
      <c r="Z782" s="741"/>
      <c r="AA782" s="741"/>
      <c r="AB782" s="741"/>
      <c r="AC782" s="741"/>
      <c r="AD782" s="741"/>
      <c r="AE782" s="741"/>
      <c r="AF782" s="741"/>
      <c r="AG782" s="741"/>
      <c r="AH782" s="741"/>
      <c r="AI782" s="741"/>
      <c r="AJ782" s="741"/>
      <c r="AK782" s="741"/>
      <c r="AL782" s="741"/>
      <c r="AM782" s="741"/>
      <c r="AN782" s="741"/>
      <c r="AO782" s="741"/>
      <c r="AP782" s="741"/>
    </row>
    <row r="783" spans="1:42" ht="12.75" customHeight="1">
      <c r="A783" s="741"/>
      <c r="B783" s="741"/>
      <c r="C783" s="741"/>
      <c r="D783" s="741"/>
      <c r="E783" s="741"/>
      <c r="F783" s="741"/>
      <c r="G783" s="741"/>
      <c r="H783" s="741"/>
      <c r="I783" s="741"/>
      <c r="J783" s="741"/>
      <c r="K783" s="741"/>
      <c r="L783" s="741"/>
      <c r="M783" s="741"/>
      <c r="N783" s="741"/>
      <c r="O783" s="741"/>
      <c r="P783" s="741"/>
      <c r="Q783" s="741"/>
      <c r="R783" s="741"/>
      <c r="S783" s="741"/>
      <c r="T783" s="741"/>
      <c r="U783" s="741"/>
      <c r="V783" s="741"/>
      <c r="W783" s="741"/>
      <c r="X783" s="741"/>
      <c r="Y783" s="741"/>
      <c r="Z783" s="741"/>
      <c r="AA783" s="741"/>
      <c r="AB783" s="741"/>
      <c r="AC783" s="741"/>
      <c r="AD783" s="741"/>
      <c r="AE783" s="741"/>
      <c r="AF783" s="741"/>
      <c r="AG783" s="741"/>
      <c r="AH783" s="741"/>
      <c r="AI783" s="741"/>
      <c r="AJ783" s="741"/>
      <c r="AK783" s="741"/>
      <c r="AL783" s="741"/>
      <c r="AM783" s="741"/>
      <c r="AN783" s="741"/>
      <c r="AO783" s="741"/>
      <c r="AP783" s="741"/>
    </row>
    <row r="784" spans="1:42" ht="12.75" customHeight="1">
      <c r="A784" s="741"/>
      <c r="B784" s="741"/>
      <c r="C784" s="741"/>
      <c r="D784" s="741"/>
      <c r="E784" s="741"/>
      <c r="F784" s="741"/>
      <c r="G784" s="741"/>
      <c r="H784" s="741"/>
      <c r="I784" s="741"/>
      <c r="J784" s="741"/>
      <c r="K784" s="741"/>
      <c r="L784" s="741"/>
      <c r="M784" s="741"/>
      <c r="N784" s="741"/>
      <c r="O784" s="741"/>
      <c r="P784" s="741"/>
      <c r="Q784" s="741"/>
      <c r="R784" s="741"/>
      <c r="S784" s="741"/>
      <c r="T784" s="741"/>
      <c r="U784" s="741"/>
      <c r="V784" s="741"/>
      <c r="W784" s="741"/>
      <c r="X784" s="741"/>
      <c r="Y784" s="741"/>
      <c r="Z784" s="741"/>
      <c r="AA784" s="741"/>
      <c r="AB784" s="741"/>
      <c r="AC784" s="741"/>
      <c r="AD784" s="741"/>
      <c r="AE784" s="741"/>
      <c r="AF784" s="741"/>
      <c r="AG784" s="741"/>
      <c r="AH784" s="741"/>
      <c r="AI784" s="741"/>
      <c r="AJ784" s="741"/>
      <c r="AK784" s="741"/>
      <c r="AL784" s="741"/>
      <c r="AM784" s="741"/>
      <c r="AN784" s="741"/>
      <c r="AO784" s="741"/>
      <c r="AP784" s="741"/>
    </row>
    <row r="785" spans="1:42" ht="12.75" customHeight="1">
      <c r="A785" s="741"/>
      <c r="B785" s="741"/>
      <c r="C785" s="741"/>
      <c r="D785" s="741"/>
      <c r="E785" s="741"/>
      <c r="F785" s="741"/>
      <c r="G785" s="741"/>
      <c r="H785" s="741"/>
      <c r="I785" s="741"/>
      <c r="J785" s="741"/>
      <c r="K785" s="741"/>
      <c r="L785" s="741"/>
      <c r="M785" s="741"/>
      <c r="N785" s="741"/>
      <c r="O785" s="741"/>
      <c r="P785" s="741"/>
      <c r="Q785" s="741"/>
      <c r="R785" s="741"/>
      <c r="S785" s="741"/>
      <c r="T785" s="741"/>
      <c r="U785" s="741"/>
      <c r="V785" s="741"/>
      <c r="W785" s="741"/>
      <c r="X785" s="741"/>
      <c r="Y785" s="741"/>
      <c r="Z785" s="741"/>
      <c r="AA785" s="741"/>
      <c r="AB785" s="741"/>
      <c r="AC785" s="741"/>
      <c r="AD785" s="741"/>
      <c r="AE785" s="741"/>
      <c r="AF785" s="741"/>
      <c r="AG785" s="741"/>
      <c r="AH785" s="741"/>
      <c r="AI785" s="741"/>
      <c r="AJ785" s="741"/>
      <c r="AK785" s="741"/>
      <c r="AL785" s="741"/>
      <c r="AM785" s="741"/>
      <c r="AN785" s="741"/>
      <c r="AO785" s="741"/>
      <c r="AP785" s="741"/>
    </row>
    <row r="786" spans="1:42" ht="12.75" customHeight="1">
      <c r="A786" s="741"/>
      <c r="B786" s="741"/>
      <c r="C786" s="741"/>
      <c r="D786" s="741"/>
      <c r="E786" s="741"/>
      <c r="F786" s="741"/>
      <c r="G786" s="741"/>
      <c r="H786" s="741"/>
      <c r="I786" s="741"/>
      <c r="J786" s="741"/>
      <c r="K786" s="741"/>
      <c r="L786" s="741"/>
      <c r="M786" s="741"/>
      <c r="N786" s="741"/>
      <c r="O786" s="741"/>
      <c r="P786" s="741"/>
      <c r="Q786" s="741"/>
      <c r="R786" s="741"/>
      <c r="S786" s="741"/>
      <c r="T786" s="741"/>
      <c r="U786" s="741"/>
      <c r="V786" s="741"/>
      <c r="W786" s="741"/>
      <c r="X786" s="741"/>
      <c r="Y786" s="741"/>
      <c r="Z786" s="741"/>
      <c r="AA786" s="741"/>
      <c r="AB786" s="741"/>
      <c r="AC786" s="741"/>
      <c r="AD786" s="741"/>
      <c r="AE786" s="741"/>
      <c r="AF786" s="741"/>
      <c r="AG786" s="741"/>
      <c r="AH786" s="741"/>
      <c r="AI786" s="741"/>
      <c r="AJ786" s="741"/>
      <c r="AK786" s="741"/>
      <c r="AL786" s="741"/>
      <c r="AM786" s="741"/>
      <c r="AN786" s="741"/>
      <c r="AO786" s="741"/>
      <c r="AP786" s="741"/>
    </row>
    <row r="787" spans="1:42" ht="12.75" customHeight="1">
      <c r="A787" s="741"/>
      <c r="B787" s="741"/>
      <c r="C787" s="741"/>
      <c r="D787" s="741"/>
      <c r="E787" s="741"/>
      <c r="F787" s="741"/>
      <c r="G787" s="741"/>
      <c r="H787" s="741"/>
      <c r="I787" s="741"/>
      <c r="J787" s="741"/>
      <c r="K787" s="741"/>
      <c r="L787" s="741"/>
      <c r="M787" s="741"/>
      <c r="N787" s="741"/>
      <c r="O787" s="741"/>
      <c r="P787" s="741"/>
      <c r="Q787" s="741"/>
      <c r="R787" s="741"/>
      <c r="S787" s="741"/>
      <c r="T787" s="741"/>
      <c r="U787" s="741"/>
      <c r="V787" s="741"/>
      <c r="W787" s="741"/>
      <c r="X787" s="741"/>
      <c r="Y787" s="741"/>
      <c r="Z787" s="741"/>
      <c r="AA787" s="741"/>
      <c r="AB787" s="741"/>
      <c r="AC787" s="741"/>
      <c r="AD787" s="741"/>
      <c r="AE787" s="741"/>
      <c r="AF787" s="741"/>
      <c r="AG787" s="741"/>
      <c r="AH787" s="741"/>
      <c r="AI787" s="741"/>
      <c r="AJ787" s="741"/>
      <c r="AK787" s="741"/>
      <c r="AL787" s="741"/>
      <c r="AM787" s="741"/>
      <c r="AN787" s="741"/>
      <c r="AO787" s="741"/>
      <c r="AP787" s="741"/>
    </row>
    <row r="788" spans="1:42" ht="12.75" customHeight="1">
      <c r="A788" s="741"/>
      <c r="B788" s="741"/>
      <c r="C788" s="741"/>
      <c r="D788" s="741"/>
      <c r="E788" s="741"/>
      <c r="F788" s="741"/>
      <c r="G788" s="741"/>
      <c r="H788" s="741"/>
      <c r="I788" s="741"/>
      <c r="J788" s="741"/>
      <c r="K788" s="741"/>
      <c r="L788" s="741"/>
      <c r="M788" s="741"/>
      <c r="N788" s="741"/>
      <c r="O788" s="741"/>
      <c r="P788" s="741"/>
      <c r="Q788" s="741"/>
      <c r="R788" s="741"/>
      <c r="S788" s="741"/>
      <c r="T788" s="741"/>
      <c r="U788" s="741"/>
      <c r="V788" s="741"/>
      <c r="W788" s="741"/>
      <c r="X788" s="741"/>
      <c r="Y788" s="741"/>
      <c r="Z788" s="741"/>
      <c r="AA788" s="741"/>
      <c r="AB788" s="741"/>
      <c r="AC788" s="741"/>
      <c r="AD788" s="741"/>
      <c r="AE788" s="741"/>
      <c r="AF788" s="741"/>
      <c r="AG788" s="741"/>
      <c r="AH788" s="741"/>
      <c r="AI788" s="741"/>
      <c r="AJ788" s="741"/>
      <c r="AK788" s="741"/>
      <c r="AL788" s="741"/>
      <c r="AM788" s="741"/>
      <c r="AN788" s="741"/>
      <c r="AO788" s="741"/>
      <c r="AP788" s="741"/>
    </row>
    <row r="789" spans="1:42" ht="12.75" customHeight="1">
      <c r="A789" s="741"/>
      <c r="B789" s="741"/>
      <c r="C789" s="741"/>
      <c r="D789" s="741"/>
      <c r="E789" s="741"/>
      <c r="F789" s="741"/>
      <c r="G789" s="741"/>
      <c r="H789" s="741"/>
      <c r="I789" s="741"/>
      <c r="J789" s="741"/>
      <c r="K789" s="741"/>
      <c r="L789" s="741"/>
      <c r="M789" s="741"/>
      <c r="N789" s="741"/>
      <c r="O789" s="741"/>
      <c r="P789" s="741"/>
      <c r="Q789" s="741"/>
      <c r="R789" s="741"/>
      <c r="S789" s="741"/>
      <c r="T789" s="741"/>
      <c r="U789" s="741"/>
      <c r="V789" s="741"/>
      <c r="W789" s="741"/>
      <c r="X789" s="741"/>
      <c r="Y789" s="741"/>
      <c r="Z789" s="741"/>
      <c r="AA789" s="741"/>
      <c r="AB789" s="741"/>
      <c r="AC789" s="741"/>
      <c r="AD789" s="741"/>
      <c r="AE789" s="741"/>
      <c r="AF789" s="741"/>
      <c r="AG789" s="741"/>
      <c r="AH789" s="741"/>
      <c r="AI789" s="741"/>
      <c r="AJ789" s="741"/>
      <c r="AK789" s="741"/>
      <c r="AL789" s="741"/>
      <c r="AM789" s="741"/>
      <c r="AN789" s="741"/>
      <c r="AO789" s="741"/>
      <c r="AP789" s="741"/>
    </row>
    <row r="790" spans="1:42" ht="12.75" customHeight="1">
      <c r="A790" s="741"/>
      <c r="B790" s="741"/>
      <c r="C790" s="741"/>
      <c r="D790" s="741"/>
      <c r="E790" s="741"/>
      <c r="F790" s="741"/>
      <c r="G790" s="741"/>
      <c r="H790" s="741"/>
      <c r="I790" s="741"/>
      <c r="J790" s="741"/>
      <c r="K790" s="741"/>
      <c r="L790" s="741"/>
      <c r="M790" s="741"/>
      <c r="N790" s="741"/>
      <c r="O790" s="741"/>
      <c r="P790" s="741"/>
      <c r="Q790" s="741"/>
      <c r="R790" s="741"/>
      <c r="S790" s="741"/>
      <c r="T790" s="741"/>
      <c r="U790" s="741"/>
      <c r="V790" s="741"/>
      <c r="W790" s="741"/>
      <c r="X790" s="741"/>
      <c r="Y790" s="741"/>
      <c r="Z790" s="741"/>
      <c r="AA790" s="741"/>
      <c r="AB790" s="741"/>
      <c r="AC790" s="741"/>
      <c r="AD790" s="741"/>
      <c r="AE790" s="741"/>
      <c r="AF790" s="741"/>
      <c r="AG790" s="741"/>
      <c r="AH790" s="741"/>
      <c r="AI790" s="741"/>
      <c r="AJ790" s="741"/>
      <c r="AK790" s="741"/>
      <c r="AL790" s="741"/>
      <c r="AM790" s="741"/>
      <c r="AN790" s="741"/>
      <c r="AO790" s="741"/>
      <c r="AP790" s="741"/>
    </row>
    <row r="791" spans="1:42" ht="12.75" customHeight="1">
      <c r="A791" s="741"/>
      <c r="B791" s="741"/>
      <c r="C791" s="741"/>
      <c r="D791" s="741"/>
      <c r="E791" s="741"/>
      <c r="F791" s="741"/>
      <c r="G791" s="741"/>
      <c r="H791" s="741"/>
      <c r="I791" s="741"/>
      <c r="J791" s="741"/>
      <c r="K791" s="741"/>
      <c r="L791" s="741"/>
      <c r="M791" s="741"/>
      <c r="N791" s="741"/>
      <c r="O791" s="741"/>
      <c r="P791" s="741"/>
      <c r="Q791" s="741"/>
      <c r="R791" s="741"/>
      <c r="S791" s="741"/>
      <c r="T791" s="741"/>
      <c r="U791" s="741"/>
      <c r="V791" s="741"/>
      <c r="W791" s="741"/>
      <c r="X791" s="741"/>
      <c r="Y791" s="741"/>
      <c r="Z791" s="741"/>
      <c r="AA791" s="741"/>
      <c r="AB791" s="741"/>
      <c r="AC791" s="741"/>
      <c r="AD791" s="741"/>
      <c r="AE791" s="741"/>
      <c r="AF791" s="741"/>
      <c r="AG791" s="741"/>
      <c r="AH791" s="741"/>
      <c r="AI791" s="741"/>
      <c r="AJ791" s="741"/>
      <c r="AK791" s="741"/>
      <c r="AL791" s="741"/>
      <c r="AM791" s="741"/>
      <c r="AN791" s="741"/>
      <c r="AO791" s="741"/>
      <c r="AP791" s="741"/>
    </row>
    <row r="792" spans="1:42" ht="12.75" customHeight="1">
      <c r="A792" s="741"/>
      <c r="B792" s="741"/>
      <c r="C792" s="741"/>
      <c r="D792" s="741"/>
      <c r="E792" s="741"/>
      <c r="F792" s="741"/>
      <c r="G792" s="741"/>
      <c r="H792" s="741"/>
      <c r="I792" s="741"/>
      <c r="J792" s="741"/>
      <c r="K792" s="741"/>
      <c r="L792" s="741"/>
      <c r="M792" s="741"/>
      <c r="N792" s="741"/>
      <c r="O792" s="741"/>
      <c r="P792" s="741"/>
      <c r="Q792" s="741"/>
      <c r="R792" s="741"/>
      <c r="S792" s="741"/>
      <c r="T792" s="741"/>
      <c r="U792" s="741"/>
      <c r="V792" s="741"/>
      <c r="W792" s="741"/>
      <c r="X792" s="741"/>
      <c r="Y792" s="741"/>
      <c r="Z792" s="741"/>
      <c r="AA792" s="741"/>
      <c r="AB792" s="741"/>
      <c r="AC792" s="741"/>
      <c r="AD792" s="741"/>
      <c r="AE792" s="741"/>
      <c r="AF792" s="741"/>
      <c r="AG792" s="741"/>
      <c r="AH792" s="741"/>
      <c r="AI792" s="741"/>
      <c r="AJ792" s="741"/>
      <c r="AK792" s="741"/>
      <c r="AL792" s="741"/>
      <c r="AM792" s="741"/>
      <c r="AN792" s="741"/>
      <c r="AO792" s="741"/>
      <c r="AP792" s="741"/>
    </row>
    <row r="793" spans="1:42" ht="12.75" customHeight="1">
      <c r="A793" s="741"/>
      <c r="B793" s="741"/>
      <c r="C793" s="741"/>
      <c r="D793" s="741"/>
      <c r="E793" s="741"/>
      <c r="F793" s="741"/>
      <c r="G793" s="741"/>
      <c r="H793" s="741"/>
      <c r="I793" s="741"/>
      <c r="J793" s="741"/>
      <c r="K793" s="741"/>
      <c r="L793" s="741"/>
      <c r="M793" s="741"/>
      <c r="N793" s="741"/>
      <c r="O793" s="741"/>
      <c r="P793" s="741"/>
      <c r="Q793" s="741"/>
      <c r="R793" s="741"/>
      <c r="S793" s="741"/>
      <c r="T793" s="741"/>
      <c r="U793" s="741"/>
      <c r="V793" s="741"/>
      <c r="W793" s="741"/>
      <c r="X793" s="741"/>
      <c r="Y793" s="741"/>
      <c r="Z793" s="741"/>
      <c r="AA793" s="741"/>
      <c r="AB793" s="741"/>
      <c r="AC793" s="741"/>
      <c r="AD793" s="741"/>
      <c r="AE793" s="741"/>
      <c r="AF793" s="741"/>
      <c r="AG793" s="741"/>
      <c r="AH793" s="741"/>
      <c r="AI793" s="741"/>
      <c r="AJ793" s="741"/>
      <c r="AK793" s="741"/>
      <c r="AL793" s="741"/>
      <c r="AM793" s="741"/>
      <c r="AN793" s="741"/>
      <c r="AO793" s="741"/>
      <c r="AP793" s="741"/>
    </row>
    <row r="794" spans="1:42" ht="12.75" customHeight="1">
      <c r="A794" s="741"/>
      <c r="B794" s="741"/>
      <c r="C794" s="741"/>
      <c r="D794" s="741"/>
      <c r="E794" s="741"/>
      <c r="F794" s="741"/>
      <c r="G794" s="741"/>
      <c r="H794" s="741"/>
      <c r="I794" s="741"/>
      <c r="J794" s="741"/>
      <c r="K794" s="741"/>
      <c r="L794" s="741"/>
      <c r="M794" s="741"/>
      <c r="N794" s="741"/>
      <c r="O794" s="741"/>
      <c r="P794" s="741"/>
      <c r="Q794" s="741"/>
      <c r="R794" s="741"/>
      <c r="S794" s="741"/>
      <c r="T794" s="741"/>
      <c r="U794" s="741"/>
      <c r="V794" s="741"/>
      <c r="W794" s="741"/>
      <c r="X794" s="741"/>
      <c r="Y794" s="741"/>
      <c r="Z794" s="741"/>
      <c r="AA794" s="741"/>
      <c r="AB794" s="741"/>
      <c r="AC794" s="741"/>
      <c r="AD794" s="741"/>
      <c r="AE794" s="741"/>
      <c r="AF794" s="741"/>
      <c r="AG794" s="741"/>
      <c r="AH794" s="741"/>
      <c r="AI794" s="741"/>
      <c r="AJ794" s="741"/>
      <c r="AK794" s="741"/>
      <c r="AL794" s="741"/>
      <c r="AM794" s="741"/>
      <c r="AN794" s="741"/>
      <c r="AO794" s="741"/>
      <c r="AP794" s="741"/>
    </row>
    <row r="795" spans="1:42" ht="12.75" customHeight="1">
      <c r="A795" s="741"/>
      <c r="B795" s="741"/>
      <c r="C795" s="741"/>
      <c r="D795" s="741"/>
      <c r="E795" s="741"/>
      <c r="F795" s="741"/>
      <c r="G795" s="741"/>
      <c r="H795" s="741"/>
      <c r="I795" s="741"/>
      <c r="J795" s="741"/>
      <c r="K795" s="741"/>
      <c r="L795" s="741"/>
      <c r="M795" s="741"/>
      <c r="N795" s="741"/>
      <c r="O795" s="741"/>
      <c r="P795" s="741"/>
      <c r="Q795" s="741"/>
      <c r="R795" s="741"/>
      <c r="S795" s="741"/>
      <c r="T795" s="741"/>
      <c r="U795" s="741"/>
      <c r="V795" s="741"/>
      <c r="W795" s="741"/>
      <c r="X795" s="741"/>
      <c r="Y795" s="741"/>
      <c r="Z795" s="741"/>
      <c r="AA795" s="741"/>
      <c r="AB795" s="741"/>
      <c r="AC795" s="741"/>
      <c r="AD795" s="741"/>
      <c r="AE795" s="741"/>
      <c r="AF795" s="741"/>
      <c r="AG795" s="741"/>
      <c r="AH795" s="741"/>
      <c r="AI795" s="741"/>
      <c r="AJ795" s="741"/>
      <c r="AK795" s="741"/>
      <c r="AL795" s="741"/>
      <c r="AM795" s="741"/>
      <c r="AN795" s="741"/>
      <c r="AO795" s="741"/>
      <c r="AP795" s="741"/>
    </row>
    <row r="796" spans="1:42" ht="12.75" customHeight="1">
      <c r="A796" s="741"/>
      <c r="B796" s="741"/>
      <c r="C796" s="741"/>
      <c r="D796" s="741"/>
      <c r="E796" s="741"/>
      <c r="F796" s="741"/>
      <c r="G796" s="741"/>
      <c r="H796" s="741"/>
      <c r="I796" s="741"/>
      <c r="J796" s="741"/>
      <c r="K796" s="741"/>
      <c r="L796" s="741"/>
      <c r="M796" s="741"/>
      <c r="N796" s="741"/>
      <c r="O796" s="741"/>
      <c r="P796" s="741"/>
      <c r="Q796" s="741"/>
      <c r="R796" s="741"/>
      <c r="S796" s="741"/>
      <c r="T796" s="741"/>
      <c r="U796" s="741"/>
      <c r="V796" s="741"/>
      <c r="W796" s="741"/>
      <c r="X796" s="741"/>
      <c r="Y796" s="741"/>
      <c r="Z796" s="741"/>
      <c r="AA796" s="741"/>
      <c r="AB796" s="741"/>
      <c r="AC796" s="741"/>
      <c r="AD796" s="741"/>
      <c r="AE796" s="741"/>
      <c r="AF796" s="741"/>
      <c r="AG796" s="741"/>
      <c r="AH796" s="741"/>
      <c r="AI796" s="741"/>
      <c r="AJ796" s="741"/>
      <c r="AK796" s="741"/>
      <c r="AL796" s="741"/>
      <c r="AM796" s="741"/>
      <c r="AN796" s="741"/>
      <c r="AO796" s="741"/>
      <c r="AP796" s="741"/>
    </row>
    <row r="797" spans="1:42" ht="12.75" customHeight="1">
      <c r="A797" s="741"/>
      <c r="B797" s="741"/>
      <c r="C797" s="741"/>
      <c r="D797" s="741"/>
      <c r="E797" s="741"/>
      <c r="F797" s="741"/>
      <c r="G797" s="741"/>
      <c r="H797" s="741"/>
      <c r="I797" s="741"/>
      <c r="J797" s="741"/>
      <c r="K797" s="741"/>
      <c r="L797" s="741"/>
      <c r="M797" s="741"/>
      <c r="N797" s="741"/>
      <c r="O797" s="741"/>
      <c r="P797" s="741"/>
      <c r="Q797" s="741"/>
      <c r="R797" s="741"/>
      <c r="S797" s="741"/>
      <c r="T797" s="741"/>
      <c r="U797" s="741"/>
      <c r="V797" s="741"/>
      <c r="W797" s="741"/>
      <c r="X797" s="741"/>
      <c r="Y797" s="741"/>
      <c r="Z797" s="741"/>
      <c r="AA797" s="741"/>
      <c r="AB797" s="741"/>
      <c r="AC797" s="741"/>
      <c r="AD797" s="741"/>
      <c r="AE797" s="741"/>
      <c r="AF797" s="741"/>
      <c r="AG797" s="741"/>
      <c r="AH797" s="741"/>
      <c r="AI797" s="741"/>
      <c r="AJ797" s="741"/>
      <c r="AK797" s="741"/>
      <c r="AL797" s="741"/>
      <c r="AM797" s="741"/>
      <c r="AN797" s="741"/>
      <c r="AO797" s="741"/>
      <c r="AP797" s="741"/>
    </row>
    <row r="798" spans="1:42" ht="12.75" customHeight="1">
      <c r="A798" s="741"/>
      <c r="B798" s="741"/>
      <c r="C798" s="741"/>
      <c r="D798" s="741"/>
      <c r="E798" s="741"/>
      <c r="F798" s="741"/>
      <c r="G798" s="741"/>
      <c r="H798" s="741"/>
      <c r="I798" s="741"/>
      <c r="J798" s="741"/>
      <c r="K798" s="741"/>
      <c r="L798" s="741"/>
      <c r="M798" s="741"/>
      <c r="N798" s="741"/>
      <c r="O798" s="741"/>
      <c r="P798" s="741"/>
      <c r="Q798" s="741"/>
      <c r="R798" s="741"/>
      <c r="S798" s="741"/>
      <c r="T798" s="741"/>
      <c r="U798" s="741"/>
      <c r="V798" s="741"/>
      <c r="W798" s="741"/>
      <c r="X798" s="741"/>
      <c r="Y798" s="741"/>
      <c r="Z798" s="741"/>
      <c r="AA798" s="741"/>
      <c r="AB798" s="741"/>
      <c r="AC798" s="741"/>
      <c r="AD798" s="741"/>
      <c r="AE798" s="741"/>
      <c r="AF798" s="741"/>
      <c r="AG798" s="741"/>
      <c r="AH798" s="741"/>
      <c r="AI798" s="741"/>
      <c r="AJ798" s="741"/>
      <c r="AK798" s="741"/>
      <c r="AL798" s="741"/>
      <c r="AM798" s="741"/>
      <c r="AN798" s="741"/>
      <c r="AO798" s="741"/>
      <c r="AP798" s="741"/>
    </row>
    <row r="799" spans="1:42" ht="12.75" customHeight="1">
      <c r="A799" s="741"/>
      <c r="B799" s="741"/>
      <c r="C799" s="741"/>
      <c r="D799" s="741"/>
      <c r="E799" s="741"/>
      <c r="F799" s="741"/>
      <c r="G799" s="741"/>
      <c r="H799" s="741"/>
      <c r="I799" s="741"/>
      <c r="J799" s="741"/>
      <c r="K799" s="741"/>
      <c r="L799" s="741"/>
      <c r="M799" s="741"/>
      <c r="N799" s="741"/>
      <c r="O799" s="741"/>
      <c r="P799" s="741"/>
      <c r="Q799" s="741"/>
      <c r="R799" s="741"/>
      <c r="S799" s="741"/>
      <c r="T799" s="741"/>
      <c r="U799" s="741"/>
      <c r="V799" s="741"/>
      <c r="W799" s="741"/>
      <c r="X799" s="741"/>
      <c r="Y799" s="741"/>
      <c r="Z799" s="741"/>
      <c r="AA799" s="741"/>
      <c r="AB799" s="741"/>
      <c r="AC799" s="741"/>
      <c r="AD799" s="741"/>
      <c r="AE799" s="741"/>
      <c r="AF799" s="741"/>
      <c r="AG799" s="741"/>
      <c r="AH799" s="741"/>
      <c r="AI799" s="741"/>
      <c r="AJ799" s="741"/>
      <c r="AK799" s="741"/>
      <c r="AL799" s="741"/>
      <c r="AM799" s="741"/>
      <c r="AN799" s="741"/>
      <c r="AO799" s="741"/>
      <c r="AP799" s="741"/>
    </row>
    <row r="800" spans="1:42" ht="12.75" customHeight="1">
      <c r="A800" s="741"/>
      <c r="B800" s="741"/>
      <c r="C800" s="741"/>
      <c r="D800" s="741"/>
      <c r="E800" s="741"/>
      <c r="F800" s="741"/>
      <c r="G800" s="741"/>
      <c r="H800" s="741"/>
      <c r="I800" s="741"/>
      <c r="J800" s="741"/>
      <c r="K800" s="741"/>
      <c r="L800" s="741"/>
      <c r="M800" s="741"/>
      <c r="N800" s="741"/>
      <c r="O800" s="741"/>
      <c r="P800" s="741"/>
      <c r="Q800" s="741"/>
      <c r="R800" s="741"/>
      <c r="S800" s="741"/>
      <c r="T800" s="741"/>
      <c r="U800" s="741"/>
      <c r="V800" s="741"/>
      <c r="W800" s="741"/>
      <c r="X800" s="741"/>
      <c r="Y800" s="741"/>
      <c r="Z800" s="741"/>
      <c r="AA800" s="741"/>
      <c r="AB800" s="741"/>
      <c r="AC800" s="741"/>
      <c r="AD800" s="741"/>
      <c r="AE800" s="741"/>
      <c r="AF800" s="741"/>
      <c r="AG800" s="741"/>
      <c r="AH800" s="741"/>
      <c r="AI800" s="741"/>
      <c r="AJ800" s="741"/>
      <c r="AK800" s="741"/>
      <c r="AL800" s="741"/>
      <c r="AM800" s="741"/>
      <c r="AN800" s="741"/>
      <c r="AO800" s="741"/>
      <c r="AP800" s="741"/>
    </row>
    <row r="801" spans="1:42" ht="12.75" customHeight="1">
      <c r="A801" s="741"/>
      <c r="B801" s="741"/>
      <c r="C801" s="741"/>
      <c r="D801" s="741"/>
      <c r="E801" s="741"/>
      <c r="F801" s="741"/>
      <c r="G801" s="741"/>
      <c r="H801" s="741"/>
      <c r="I801" s="741"/>
      <c r="J801" s="741"/>
      <c r="K801" s="741"/>
      <c r="L801" s="741"/>
      <c r="M801" s="741"/>
      <c r="N801" s="741"/>
      <c r="O801" s="741"/>
      <c r="P801" s="741"/>
      <c r="Q801" s="741"/>
      <c r="R801" s="741"/>
      <c r="S801" s="741"/>
      <c r="T801" s="741"/>
      <c r="U801" s="741"/>
      <c r="V801" s="741"/>
      <c r="W801" s="741"/>
      <c r="X801" s="741"/>
      <c r="Y801" s="741"/>
      <c r="Z801" s="741"/>
      <c r="AA801" s="741"/>
      <c r="AB801" s="741"/>
      <c r="AC801" s="741"/>
      <c r="AD801" s="741"/>
      <c r="AE801" s="741"/>
      <c r="AF801" s="741"/>
      <c r="AG801" s="741"/>
      <c r="AH801" s="741"/>
      <c r="AI801" s="741"/>
      <c r="AJ801" s="741"/>
      <c r="AK801" s="741"/>
      <c r="AL801" s="741"/>
      <c r="AM801" s="741"/>
      <c r="AN801" s="741"/>
      <c r="AO801" s="741"/>
      <c r="AP801" s="741"/>
    </row>
    <row r="802" spans="1:42" ht="12.75" customHeight="1">
      <c r="A802" s="741"/>
      <c r="B802" s="741"/>
      <c r="C802" s="741"/>
      <c r="D802" s="741"/>
      <c r="E802" s="741"/>
      <c r="F802" s="741"/>
      <c r="G802" s="741"/>
      <c r="H802" s="741"/>
      <c r="I802" s="741"/>
      <c r="J802" s="741"/>
      <c r="K802" s="741"/>
      <c r="L802" s="741"/>
      <c r="M802" s="741"/>
      <c r="N802" s="741"/>
      <c r="O802" s="741"/>
      <c r="P802" s="741"/>
      <c r="Q802" s="741"/>
      <c r="R802" s="741"/>
      <c r="S802" s="741"/>
      <c r="T802" s="741"/>
      <c r="U802" s="741"/>
      <c r="V802" s="741"/>
      <c r="W802" s="741"/>
      <c r="X802" s="741"/>
      <c r="Y802" s="741"/>
      <c r="Z802" s="741"/>
      <c r="AA802" s="741"/>
      <c r="AB802" s="741"/>
      <c r="AC802" s="741"/>
      <c r="AD802" s="741"/>
      <c r="AE802" s="741"/>
      <c r="AF802" s="741"/>
      <c r="AG802" s="741"/>
      <c r="AH802" s="741"/>
      <c r="AI802" s="741"/>
      <c r="AJ802" s="741"/>
      <c r="AK802" s="741"/>
      <c r="AL802" s="741"/>
      <c r="AM802" s="741"/>
      <c r="AN802" s="741"/>
      <c r="AO802" s="741"/>
      <c r="AP802" s="741"/>
    </row>
    <row r="803" spans="1:42" ht="12.75" customHeight="1">
      <c r="A803" s="741"/>
      <c r="B803" s="741"/>
      <c r="C803" s="741"/>
      <c r="D803" s="741"/>
      <c r="E803" s="741"/>
      <c r="F803" s="741"/>
      <c r="G803" s="741"/>
      <c r="H803" s="741"/>
      <c r="I803" s="741"/>
      <c r="J803" s="741"/>
      <c r="K803" s="741"/>
      <c r="L803" s="741"/>
      <c r="M803" s="741"/>
      <c r="N803" s="741"/>
      <c r="O803" s="741"/>
      <c r="P803" s="741"/>
      <c r="Q803" s="741"/>
      <c r="R803" s="741"/>
      <c r="S803" s="741"/>
      <c r="T803" s="741"/>
      <c r="U803" s="741"/>
      <c r="V803" s="741"/>
      <c r="W803" s="741"/>
      <c r="X803" s="741"/>
      <c r="Y803" s="741"/>
      <c r="Z803" s="741"/>
      <c r="AA803" s="741"/>
      <c r="AB803" s="741"/>
      <c r="AC803" s="741"/>
      <c r="AD803" s="741"/>
      <c r="AE803" s="741"/>
      <c r="AF803" s="741"/>
      <c r="AG803" s="741"/>
      <c r="AH803" s="741"/>
      <c r="AI803" s="741"/>
      <c r="AJ803" s="741"/>
      <c r="AK803" s="741"/>
      <c r="AL803" s="741"/>
      <c r="AM803" s="741"/>
      <c r="AN803" s="741"/>
      <c r="AO803" s="741"/>
      <c r="AP803" s="741"/>
    </row>
    <row r="804" spans="1:42" ht="12.75" customHeight="1">
      <c r="A804" s="741"/>
      <c r="B804" s="741"/>
      <c r="C804" s="741"/>
      <c r="D804" s="741"/>
      <c r="E804" s="741"/>
      <c r="F804" s="741"/>
      <c r="G804" s="741"/>
      <c r="H804" s="741"/>
      <c r="I804" s="741"/>
      <c r="J804" s="741"/>
      <c r="K804" s="741"/>
      <c r="L804" s="741"/>
      <c r="M804" s="741"/>
      <c r="N804" s="741"/>
      <c r="O804" s="741"/>
      <c r="P804" s="741"/>
      <c r="Q804" s="741"/>
      <c r="R804" s="741"/>
      <c r="S804" s="741"/>
      <c r="T804" s="741"/>
      <c r="U804" s="741"/>
      <c r="V804" s="741"/>
      <c r="W804" s="741"/>
      <c r="X804" s="741"/>
      <c r="Y804" s="741"/>
      <c r="Z804" s="741"/>
      <c r="AA804" s="741"/>
      <c r="AB804" s="741"/>
      <c r="AC804" s="741"/>
      <c r="AD804" s="741"/>
      <c r="AE804" s="741"/>
      <c r="AF804" s="741"/>
      <c r="AG804" s="741"/>
      <c r="AH804" s="741"/>
      <c r="AI804" s="741"/>
      <c r="AJ804" s="741"/>
      <c r="AK804" s="741"/>
      <c r="AL804" s="741"/>
      <c r="AM804" s="741"/>
      <c r="AN804" s="741"/>
      <c r="AO804" s="741"/>
      <c r="AP804" s="741"/>
    </row>
    <row r="805" spans="1:42" ht="12.75" customHeight="1">
      <c r="A805" s="741"/>
      <c r="B805" s="741"/>
      <c r="C805" s="741"/>
      <c r="D805" s="741"/>
      <c r="E805" s="741"/>
      <c r="F805" s="741"/>
      <c r="G805" s="741"/>
      <c r="H805" s="741"/>
      <c r="I805" s="741"/>
      <c r="J805" s="741"/>
      <c r="K805" s="741"/>
      <c r="L805" s="741"/>
      <c r="M805" s="741"/>
      <c r="N805" s="741"/>
      <c r="O805" s="741"/>
      <c r="P805" s="741"/>
      <c r="Q805" s="741"/>
      <c r="R805" s="741"/>
      <c r="S805" s="741"/>
      <c r="T805" s="741"/>
      <c r="U805" s="741"/>
      <c r="V805" s="741"/>
      <c r="W805" s="741"/>
      <c r="X805" s="741"/>
      <c r="Y805" s="741"/>
      <c r="Z805" s="741"/>
      <c r="AA805" s="741"/>
      <c r="AB805" s="741"/>
      <c r="AC805" s="741"/>
      <c r="AD805" s="741"/>
      <c r="AE805" s="741"/>
      <c r="AF805" s="741"/>
      <c r="AG805" s="741"/>
      <c r="AH805" s="741"/>
      <c r="AI805" s="741"/>
      <c r="AJ805" s="741"/>
      <c r="AK805" s="741"/>
      <c r="AL805" s="741"/>
      <c r="AM805" s="741"/>
      <c r="AN805" s="741"/>
      <c r="AO805" s="741"/>
      <c r="AP805" s="741"/>
    </row>
    <row r="806" spans="1:42" ht="12.75" customHeight="1">
      <c r="A806" s="741"/>
      <c r="B806" s="741"/>
      <c r="C806" s="741"/>
      <c r="D806" s="741"/>
      <c r="E806" s="741"/>
      <c r="F806" s="741"/>
      <c r="G806" s="741"/>
      <c r="H806" s="741"/>
      <c r="I806" s="741"/>
      <c r="J806" s="741"/>
      <c r="K806" s="741"/>
      <c r="L806" s="741"/>
      <c r="M806" s="741"/>
      <c r="N806" s="741"/>
      <c r="O806" s="741"/>
      <c r="P806" s="741"/>
      <c r="Q806" s="741"/>
      <c r="R806" s="741"/>
      <c r="S806" s="741"/>
      <c r="T806" s="741"/>
      <c r="U806" s="741"/>
      <c r="V806" s="741"/>
      <c r="W806" s="741"/>
      <c r="X806" s="741"/>
      <c r="Y806" s="741"/>
      <c r="Z806" s="741"/>
      <c r="AA806" s="741"/>
      <c r="AB806" s="741"/>
      <c r="AC806" s="741"/>
      <c r="AD806" s="741"/>
      <c r="AE806" s="741"/>
      <c r="AF806" s="741"/>
      <c r="AG806" s="741"/>
      <c r="AH806" s="741"/>
      <c r="AI806" s="741"/>
      <c r="AJ806" s="741"/>
      <c r="AK806" s="741"/>
      <c r="AL806" s="741"/>
      <c r="AM806" s="741"/>
      <c r="AN806" s="741"/>
      <c r="AO806" s="741"/>
      <c r="AP806" s="741"/>
    </row>
    <row r="807" spans="1:42" ht="12.75" customHeight="1">
      <c r="A807" s="741"/>
      <c r="B807" s="741"/>
      <c r="C807" s="741"/>
      <c r="D807" s="741"/>
      <c r="E807" s="741"/>
      <c r="F807" s="741"/>
      <c r="G807" s="741"/>
      <c r="H807" s="741"/>
      <c r="I807" s="741"/>
      <c r="J807" s="741"/>
      <c r="K807" s="741"/>
      <c r="L807" s="741"/>
      <c r="M807" s="741"/>
      <c r="N807" s="741"/>
      <c r="O807" s="741"/>
      <c r="P807" s="741"/>
      <c r="Q807" s="741"/>
      <c r="R807" s="741"/>
      <c r="S807" s="741"/>
      <c r="T807" s="741"/>
      <c r="U807" s="741"/>
      <c r="V807" s="741"/>
      <c r="W807" s="741"/>
      <c r="X807" s="741"/>
      <c r="Y807" s="741"/>
      <c r="Z807" s="741"/>
      <c r="AA807" s="741"/>
      <c r="AB807" s="741"/>
      <c r="AC807" s="741"/>
      <c r="AD807" s="741"/>
      <c r="AE807" s="741"/>
      <c r="AF807" s="741"/>
      <c r="AG807" s="741"/>
      <c r="AH807" s="741"/>
      <c r="AI807" s="741"/>
      <c r="AJ807" s="741"/>
      <c r="AK807" s="741"/>
      <c r="AL807" s="741"/>
      <c r="AM807" s="741"/>
      <c r="AN807" s="741"/>
      <c r="AO807" s="741"/>
      <c r="AP807" s="741"/>
    </row>
    <row r="808" spans="1:42" ht="12.75" customHeight="1">
      <c r="A808" s="741"/>
      <c r="B808" s="741"/>
      <c r="C808" s="741"/>
      <c r="D808" s="741"/>
      <c r="E808" s="741"/>
      <c r="F808" s="741"/>
      <c r="G808" s="741"/>
      <c r="H808" s="741"/>
      <c r="I808" s="741"/>
      <c r="J808" s="741"/>
      <c r="K808" s="741"/>
      <c r="L808" s="741"/>
      <c r="M808" s="741"/>
      <c r="N808" s="741"/>
      <c r="O808" s="741"/>
      <c r="P808" s="741"/>
      <c r="Q808" s="741"/>
      <c r="R808" s="741"/>
      <c r="S808" s="741"/>
      <c r="T808" s="741"/>
      <c r="U808" s="741"/>
      <c r="V808" s="741"/>
      <c r="W808" s="741"/>
      <c r="X808" s="741"/>
      <c r="Y808" s="741"/>
      <c r="Z808" s="741"/>
      <c r="AA808" s="741"/>
      <c r="AB808" s="741"/>
      <c r="AC808" s="741"/>
      <c r="AD808" s="741"/>
      <c r="AE808" s="741"/>
      <c r="AF808" s="741"/>
      <c r="AG808" s="741"/>
      <c r="AH808" s="741"/>
      <c r="AI808" s="741"/>
      <c r="AJ808" s="741"/>
      <c r="AK808" s="741"/>
      <c r="AL808" s="741"/>
      <c r="AM808" s="741"/>
      <c r="AN808" s="741"/>
      <c r="AO808" s="741"/>
      <c r="AP808" s="741"/>
    </row>
    <row r="809" spans="1:42" ht="12.75" customHeight="1">
      <c r="A809" s="741"/>
      <c r="B809" s="741"/>
      <c r="C809" s="741"/>
      <c r="D809" s="741"/>
      <c r="E809" s="741"/>
      <c r="F809" s="741"/>
      <c r="G809" s="741"/>
      <c r="H809" s="741"/>
      <c r="I809" s="741"/>
      <c r="J809" s="741"/>
      <c r="K809" s="741"/>
      <c r="L809" s="741"/>
      <c r="M809" s="741"/>
      <c r="N809" s="741"/>
      <c r="O809" s="741"/>
      <c r="P809" s="741"/>
      <c r="Q809" s="741"/>
      <c r="R809" s="741"/>
      <c r="S809" s="741"/>
      <c r="T809" s="741"/>
      <c r="U809" s="741"/>
      <c r="V809" s="741"/>
      <c r="W809" s="741"/>
      <c r="X809" s="741"/>
      <c r="Y809" s="741"/>
      <c r="Z809" s="741"/>
      <c r="AA809" s="741"/>
      <c r="AB809" s="741"/>
      <c r="AC809" s="741"/>
      <c r="AD809" s="741"/>
      <c r="AE809" s="741"/>
      <c r="AF809" s="741"/>
      <c r="AG809" s="741"/>
      <c r="AH809" s="741"/>
      <c r="AI809" s="741"/>
      <c r="AJ809" s="741"/>
      <c r="AK809" s="741"/>
      <c r="AL809" s="741"/>
      <c r="AM809" s="741"/>
      <c r="AN809" s="741"/>
      <c r="AO809" s="741"/>
      <c r="AP809" s="741"/>
    </row>
    <row r="810" spans="1:42" ht="12.75" customHeight="1">
      <c r="A810" s="741"/>
      <c r="B810" s="741"/>
      <c r="C810" s="741"/>
      <c r="D810" s="741"/>
      <c r="E810" s="741"/>
      <c r="F810" s="741"/>
      <c r="G810" s="741"/>
      <c r="H810" s="741"/>
      <c r="I810" s="741"/>
      <c r="J810" s="741"/>
      <c r="K810" s="741"/>
      <c r="L810" s="741"/>
      <c r="M810" s="741"/>
      <c r="N810" s="741"/>
      <c r="O810" s="741"/>
      <c r="P810" s="741"/>
      <c r="Q810" s="741"/>
      <c r="R810" s="741"/>
      <c r="S810" s="741"/>
      <c r="T810" s="741"/>
      <c r="U810" s="741"/>
      <c r="V810" s="741"/>
      <c r="W810" s="741"/>
      <c r="X810" s="741"/>
      <c r="Y810" s="741"/>
      <c r="Z810" s="741"/>
      <c r="AA810" s="741"/>
      <c r="AB810" s="741"/>
      <c r="AC810" s="741"/>
      <c r="AD810" s="741"/>
      <c r="AE810" s="741"/>
      <c r="AF810" s="741"/>
      <c r="AG810" s="741"/>
      <c r="AH810" s="741"/>
      <c r="AI810" s="741"/>
      <c r="AJ810" s="741"/>
      <c r="AK810" s="741"/>
      <c r="AL810" s="741"/>
      <c r="AM810" s="741"/>
      <c r="AN810" s="741"/>
      <c r="AO810" s="741"/>
      <c r="AP810" s="741"/>
    </row>
    <row r="811" spans="1:42" ht="12.75" customHeight="1">
      <c r="A811" s="741"/>
      <c r="B811" s="741"/>
      <c r="C811" s="741"/>
      <c r="D811" s="741"/>
      <c r="E811" s="741"/>
      <c r="F811" s="741"/>
      <c r="G811" s="741"/>
      <c r="H811" s="741"/>
      <c r="I811" s="741"/>
      <c r="J811" s="741"/>
      <c r="K811" s="741"/>
      <c r="L811" s="741"/>
      <c r="M811" s="741"/>
      <c r="N811" s="741"/>
      <c r="O811" s="741"/>
      <c r="P811" s="741"/>
      <c r="Q811" s="741"/>
      <c r="R811" s="741"/>
      <c r="S811" s="741"/>
      <c r="T811" s="741"/>
      <c r="U811" s="741"/>
      <c r="V811" s="741"/>
      <c r="W811" s="741"/>
      <c r="X811" s="741"/>
      <c r="Y811" s="741"/>
      <c r="Z811" s="741"/>
      <c r="AA811" s="741"/>
      <c r="AB811" s="741"/>
      <c r="AC811" s="741"/>
      <c r="AD811" s="741"/>
      <c r="AE811" s="741"/>
      <c r="AF811" s="741"/>
      <c r="AG811" s="741"/>
      <c r="AH811" s="741"/>
      <c r="AI811" s="741"/>
      <c r="AJ811" s="741"/>
      <c r="AK811" s="741"/>
      <c r="AL811" s="741"/>
      <c r="AM811" s="741"/>
      <c r="AN811" s="741"/>
      <c r="AO811" s="741"/>
      <c r="AP811" s="741"/>
    </row>
    <row r="812" spans="1:42" ht="12.75" customHeight="1">
      <c r="A812" s="741"/>
      <c r="B812" s="741"/>
      <c r="C812" s="741"/>
      <c r="D812" s="741"/>
      <c r="E812" s="741"/>
      <c r="F812" s="741"/>
      <c r="G812" s="741"/>
      <c r="H812" s="741"/>
      <c r="I812" s="741"/>
      <c r="J812" s="741"/>
      <c r="K812" s="741"/>
      <c r="L812" s="741"/>
      <c r="M812" s="741"/>
      <c r="N812" s="741"/>
      <c r="O812" s="741"/>
      <c r="P812" s="741"/>
      <c r="Q812" s="741"/>
      <c r="R812" s="741"/>
      <c r="S812" s="741"/>
      <c r="T812" s="741"/>
      <c r="U812" s="741"/>
      <c r="V812" s="741"/>
      <c r="W812" s="741"/>
      <c r="X812" s="741"/>
      <c r="Y812" s="741"/>
      <c r="Z812" s="741"/>
      <c r="AA812" s="741"/>
      <c r="AB812" s="741"/>
      <c r="AC812" s="741"/>
      <c r="AD812" s="741"/>
      <c r="AE812" s="741"/>
      <c r="AF812" s="741"/>
      <c r="AG812" s="741"/>
      <c r="AH812" s="741"/>
      <c r="AI812" s="741"/>
      <c r="AJ812" s="741"/>
      <c r="AK812" s="741"/>
      <c r="AL812" s="741"/>
      <c r="AM812" s="741"/>
      <c r="AN812" s="741"/>
      <c r="AO812" s="741"/>
      <c r="AP812" s="741"/>
    </row>
    <row r="813" spans="1:42" ht="12.75" customHeight="1">
      <c r="A813" s="741"/>
      <c r="B813" s="741"/>
      <c r="C813" s="741"/>
      <c r="D813" s="741"/>
      <c r="E813" s="741"/>
      <c r="F813" s="741"/>
      <c r="G813" s="741"/>
      <c r="H813" s="741"/>
      <c r="I813" s="741"/>
      <c r="J813" s="741"/>
      <c r="K813" s="741"/>
      <c r="L813" s="741"/>
      <c r="M813" s="741"/>
      <c r="N813" s="741"/>
      <c r="O813" s="741"/>
      <c r="P813" s="741"/>
      <c r="Q813" s="741"/>
      <c r="R813" s="741"/>
      <c r="S813" s="741"/>
      <c r="T813" s="741"/>
      <c r="U813" s="741"/>
      <c r="V813" s="741"/>
      <c r="W813" s="741"/>
      <c r="X813" s="741"/>
      <c r="Y813" s="741"/>
      <c r="Z813" s="741"/>
      <c r="AA813" s="741"/>
      <c r="AB813" s="741"/>
      <c r="AC813" s="741"/>
      <c r="AD813" s="741"/>
      <c r="AE813" s="741"/>
      <c r="AF813" s="741"/>
      <c r="AG813" s="741"/>
      <c r="AH813" s="741"/>
      <c r="AI813" s="741"/>
      <c r="AJ813" s="741"/>
      <c r="AK813" s="741"/>
      <c r="AL813" s="741"/>
      <c r="AM813" s="741"/>
      <c r="AN813" s="741"/>
      <c r="AO813" s="741"/>
      <c r="AP813" s="741"/>
    </row>
    <row r="814" spans="1:42" ht="12.75" customHeight="1">
      <c r="A814" s="741"/>
      <c r="B814" s="741"/>
      <c r="C814" s="741"/>
      <c r="D814" s="741"/>
      <c r="E814" s="741"/>
      <c r="F814" s="741"/>
      <c r="G814" s="741"/>
      <c r="H814" s="741"/>
      <c r="I814" s="741"/>
      <c r="J814" s="741"/>
      <c r="K814" s="741"/>
      <c r="L814" s="741"/>
      <c r="M814" s="741"/>
      <c r="N814" s="741"/>
      <c r="O814" s="741"/>
      <c r="P814" s="741"/>
      <c r="Q814" s="741"/>
      <c r="R814" s="741"/>
      <c r="S814" s="741"/>
      <c r="T814" s="741"/>
      <c r="U814" s="741"/>
      <c r="V814" s="741"/>
      <c r="W814" s="741"/>
      <c r="X814" s="741"/>
      <c r="Y814" s="741"/>
      <c r="Z814" s="741"/>
      <c r="AA814" s="741"/>
      <c r="AB814" s="741"/>
      <c r="AC814" s="741"/>
      <c r="AD814" s="741"/>
      <c r="AE814" s="741"/>
      <c r="AF814" s="741"/>
      <c r="AG814" s="741"/>
      <c r="AH814" s="741"/>
      <c r="AI814" s="741"/>
      <c r="AJ814" s="741"/>
      <c r="AK814" s="741"/>
      <c r="AL814" s="741"/>
      <c r="AM814" s="741"/>
      <c r="AN814" s="741"/>
      <c r="AO814" s="741"/>
      <c r="AP814" s="741"/>
    </row>
    <row r="815" spans="1:42" ht="12.75" customHeight="1">
      <c r="A815" s="741"/>
      <c r="B815" s="741"/>
      <c r="C815" s="741"/>
      <c r="D815" s="741"/>
      <c r="E815" s="741"/>
      <c r="F815" s="741"/>
      <c r="G815" s="741"/>
      <c r="H815" s="741"/>
      <c r="I815" s="741"/>
      <c r="J815" s="741"/>
      <c r="K815" s="741"/>
      <c r="L815" s="741"/>
      <c r="M815" s="741"/>
      <c r="N815" s="741"/>
      <c r="O815" s="741"/>
      <c r="P815" s="741"/>
      <c r="Q815" s="741"/>
      <c r="R815" s="741"/>
      <c r="S815" s="741"/>
      <c r="T815" s="741"/>
      <c r="U815" s="741"/>
      <c r="V815" s="741"/>
      <c r="W815" s="741"/>
      <c r="X815" s="741"/>
      <c r="Y815" s="741"/>
      <c r="Z815" s="741"/>
      <c r="AA815" s="741"/>
      <c r="AB815" s="741"/>
      <c r="AC815" s="741"/>
      <c r="AD815" s="741"/>
      <c r="AE815" s="741"/>
      <c r="AF815" s="741"/>
      <c r="AG815" s="741"/>
      <c r="AH815" s="741"/>
      <c r="AI815" s="741"/>
      <c r="AJ815" s="741"/>
      <c r="AK815" s="741"/>
      <c r="AL815" s="741"/>
      <c r="AM815" s="741"/>
      <c r="AN815" s="741"/>
      <c r="AO815" s="741"/>
      <c r="AP815" s="741"/>
    </row>
    <row r="816" spans="1:42" ht="12.75" customHeight="1">
      <c r="A816" s="741"/>
      <c r="B816" s="741"/>
      <c r="C816" s="741"/>
      <c r="D816" s="741"/>
      <c r="E816" s="741"/>
      <c r="F816" s="741"/>
      <c r="G816" s="741"/>
      <c r="H816" s="741"/>
      <c r="I816" s="741"/>
      <c r="J816" s="741"/>
      <c r="K816" s="741"/>
      <c r="L816" s="741"/>
      <c r="M816" s="741"/>
      <c r="N816" s="741"/>
      <c r="O816" s="741"/>
      <c r="P816" s="741"/>
      <c r="Q816" s="741"/>
      <c r="R816" s="741"/>
      <c r="S816" s="741"/>
      <c r="T816" s="741"/>
      <c r="U816" s="741"/>
      <c r="V816" s="741"/>
      <c r="W816" s="741"/>
      <c r="X816" s="741"/>
      <c r="Y816" s="741"/>
      <c r="Z816" s="741"/>
      <c r="AA816" s="741"/>
      <c r="AB816" s="741"/>
      <c r="AC816" s="741"/>
      <c r="AD816" s="741"/>
      <c r="AE816" s="741"/>
      <c r="AF816" s="741"/>
      <c r="AG816" s="741"/>
      <c r="AH816" s="741"/>
      <c r="AI816" s="741"/>
      <c r="AJ816" s="741"/>
      <c r="AK816" s="741"/>
      <c r="AL816" s="741"/>
      <c r="AM816" s="741"/>
      <c r="AN816" s="741"/>
      <c r="AO816" s="741"/>
      <c r="AP816" s="741"/>
    </row>
    <row r="817" spans="1:42" ht="12.75" customHeight="1">
      <c r="A817" s="741"/>
      <c r="B817" s="741"/>
      <c r="C817" s="741"/>
      <c r="D817" s="741"/>
      <c r="E817" s="741"/>
      <c r="F817" s="741"/>
      <c r="G817" s="741"/>
      <c r="H817" s="741"/>
      <c r="I817" s="741"/>
      <c r="J817" s="741"/>
      <c r="K817" s="741"/>
      <c r="L817" s="741"/>
      <c r="M817" s="741"/>
      <c r="N817" s="741"/>
      <c r="O817" s="741"/>
      <c r="P817" s="741"/>
      <c r="Q817" s="741"/>
      <c r="R817" s="741"/>
      <c r="S817" s="741"/>
      <c r="T817" s="741"/>
      <c r="U817" s="741"/>
      <c r="V817" s="741"/>
      <c r="W817" s="741"/>
      <c r="X817" s="741"/>
      <c r="Y817" s="741"/>
      <c r="Z817" s="741"/>
      <c r="AA817" s="741"/>
      <c r="AB817" s="741"/>
      <c r="AC817" s="741"/>
      <c r="AD817" s="741"/>
      <c r="AE817" s="741"/>
      <c r="AF817" s="741"/>
      <c r="AG817" s="741"/>
      <c r="AH817" s="741"/>
      <c r="AI817" s="741"/>
      <c r="AJ817" s="741"/>
      <c r="AK817" s="741"/>
      <c r="AL817" s="741"/>
      <c r="AM817" s="741"/>
      <c r="AN817" s="741"/>
      <c r="AO817" s="741"/>
      <c r="AP817" s="741"/>
    </row>
    <row r="818" spans="1:42" ht="12.75" customHeight="1">
      <c r="A818" s="741"/>
      <c r="B818" s="741"/>
      <c r="C818" s="741"/>
      <c r="D818" s="741"/>
      <c r="E818" s="741"/>
      <c r="F818" s="741"/>
      <c r="G818" s="741"/>
      <c r="H818" s="741"/>
      <c r="I818" s="741"/>
      <c r="J818" s="741"/>
      <c r="K818" s="741"/>
      <c r="L818" s="741"/>
      <c r="M818" s="741"/>
      <c r="N818" s="741"/>
      <c r="O818" s="741"/>
      <c r="P818" s="741"/>
      <c r="Q818" s="741"/>
      <c r="R818" s="741"/>
      <c r="S818" s="741"/>
      <c r="T818" s="741"/>
      <c r="U818" s="741"/>
      <c r="V818" s="741"/>
      <c r="W818" s="741"/>
      <c r="X818" s="741"/>
      <c r="Y818" s="741"/>
      <c r="Z818" s="741"/>
      <c r="AA818" s="741"/>
      <c r="AB818" s="741"/>
      <c r="AC818" s="741"/>
      <c r="AD818" s="741"/>
      <c r="AE818" s="741"/>
      <c r="AF818" s="741"/>
      <c r="AG818" s="741"/>
      <c r="AH818" s="741"/>
      <c r="AI818" s="741"/>
      <c r="AJ818" s="741"/>
      <c r="AK818" s="741"/>
      <c r="AL818" s="741"/>
      <c r="AM818" s="741"/>
      <c r="AN818" s="741"/>
      <c r="AO818" s="741"/>
      <c r="AP818" s="741"/>
    </row>
    <row r="819" spans="1:42" ht="12.75" customHeight="1">
      <c r="A819" s="741"/>
      <c r="B819" s="741"/>
      <c r="C819" s="741"/>
      <c r="D819" s="741"/>
      <c r="E819" s="741"/>
      <c r="F819" s="741"/>
      <c r="G819" s="741"/>
      <c r="H819" s="741"/>
      <c r="I819" s="741"/>
      <c r="J819" s="741"/>
      <c r="K819" s="741"/>
      <c r="L819" s="741"/>
      <c r="M819" s="741"/>
      <c r="N819" s="741"/>
      <c r="O819" s="741"/>
      <c r="P819" s="741"/>
      <c r="Q819" s="741"/>
      <c r="R819" s="741"/>
      <c r="S819" s="741"/>
      <c r="T819" s="741"/>
      <c r="U819" s="741"/>
      <c r="V819" s="741"/>
      <c r="W819" s="741"/>
      <c r="X819" s="741"/>
      <c r="Y819" s="741"/>
      <c r="Z819" s="741"/>
      <c r="AA819" s="741"/>
      <c r="AB819" s="741"/>
      <c r="AC819" s="741"/>
      <c r="AD819" s="741"/>
      <c r="AE819" s="741"/>
      <c r="AF819" s="741"/>
      <c r="AG819" s="741"/>
      <c r="AH819" s="741"/>
      <c r="AI819" s="741"/>
      <c r="AJ819" s="741"/>
      <c r="AK819" s="741"/>
      <c r="AL819" s="741"/>
      <c r="AM819" s="741"/>
      <c r="AN819" s="741"/>
      <c r="AO819" s="741"/>
      <c r="AP819" s="741"/>
    </row>
    <row r="820" spans="1:42" ht="12.75" customHeight="1">
      <c r="A820" s="741"/>
      <c r="B820" s="741"/>
      <c r="C820" s="741"/>
      <c r="D820" s="741"/>
      <c r="E820" s="741"/>
      <c r="F820" s="741"/>
      <c r="G820" s="741"/>
      <c r="H820" s="741"/>
      <c r="I820" s="741"/>
      <c r="J820" s="741"/>
      <c r="K820" s="741"/>
      <c r="L820" s="741"/>
      <c r="M820" s="741"/>
      <c r="N820" s="741"/>
      <c r="O820" s="741"/>
      <c r="P820" s="741"/>
      <c r="Q820" s="741"/>
      <c r="R820" s="741"/>
      <c r="S820" s="741"/>
      <c r="T820" s="741"/>
      <c r="U820" s="741"/>
      <c r="V820" s="741"/>
      <c r="W820" s="741"/>
      <c r="X820" s="741"/>
      <c r="Y820" s="741"/>
      <c r="Z820" s="741"/>
      <c r="AA820" s="741"/>
      <c r="AB820" s="741"/>
      <c r="AC820" s="741"/>
      <c r="AD820" s="741"/>
      <c r="AE820" s="741"/>
      <c r="AF820" s="741"/>
      <c r="AG820" s="741"/>
      <c r="AH820" s="741"/>
      <c r="AI820" s="741"/>
      <c r="AJ820" s="741"/>
      <c r="AK820" s="741"/>
      <c r="AL820" s="741"/>
      <c r="AM820" s="741"/>
      <c r="AN820" s="741"/>
      <c r="AO820" s="741"/>
      <c r="AP820" s="741"/>
    </row>
    <row r="821" spans="1:42" ht="12.75" customHeight="1">
      <c r="A821" s="741"/>
      <c r="B821" s="741"/>
      <c r="C821" s="741"/>
      <c r="D821" s="741"/>
      <c r="E821" s="741"/>
      <c r="F821" s="741"/>
      <c r="G821" s="741"/>
      <c r="H821" s="741"/>
      <c r="I821" s="741"/>
      <c r="J821" s="741"/>
      <c r="K821" s="741"/>
      <c r="L821" s="741"/>
      <c r="M821" s="741"/>
      <c r="N821" s="741"/>
      <c r="O821" s="741"/>
      <c r="P821" s="741"/>
      <c r="Q821" s="741"/>
      <c r="R821" s="741"/>
      <c r="S821" s="741"/>
      <c r="T821" s="741"/>
      <c r="U821" s="741"/>
      <c r="V821" s="741"/>
      <c r="W821" s="741"/>
      <c r="X821" s="741"/>
      <c r="Y821" s="741"/>
      <c r="Z821" s="741"/>
      <c r="AA821" s="741"/>
      <c r="AB821" s="741"/>
      <c r="AC821" s="741"/>
      <c r="AD821" s="741"/>
      <c r="AE821" s="741"/>
      <c r="AF821" s="741"/>
      <c r="AG821" s="741"/>
      <c r="AH821" s="741"/>
      <c r="AI821" s="741"/>
      <c r="AJ821" s="741"/>
      <c r="AK821" s="741"/>
      <c r="AL821" s="741"/>
      <c r="AM821" s="741"/>
      <c r="AN821" s="741"/>
      <c r="AO821" s="741"/>
      <c r="AP821" s="741"/>
    </row>
    <row r="822" spans="1:42" ht="12.75" customHeight="1">
      <c r="A822" s="741"/>
      <c r="B822" s="741"/>
      <c r="C822" s="741"/>
      <c r="D822" s="741"/>
      <c r="E822" s="741"/>
      <c r="F822" s="741"/>
      <c r="G822" s="741"/>
      <c r="H822" s="741"/>
      <c r="I822" s="741"/>
      <c r="J822" s="741"/>
      <c r="K822" s="741"/>
      <c r="L822" s="741"/>
      <c r="M822" s="741"/>
      <c r="N822" s="741"/>
      <c r="O822" s="741"/>
      <c r="P822" s="741"/>
      <c r="Q822" s="741"/>
      <c r="R822" s="741"/>
      <c r="S822" s="741"/>
      <c r="T822" s="741"/>
      <c r="U822" s="741"/>
      <c r="V822" s="741"/>
      <c r="W822" s="741"/>
      <c r="X822" s="741"/>
      <c r="Y822" s="741"/>
      <c r="Z822" s="741"/>
      <c r="AA822" s="741"/>
      <c r="AB822" s="741"/>
      <c r="AC822" s="741"/>
      <c r="AD822" s="741"/>
      <c r="AE822" s="741"/>
      <c r="AF822" s="741"/>
      <c r="AG822" s="741"/>
      <c r="AH822" s="741"/>
      <c r="AI822" s="741"/>
      <c r="AJ822" s="741"/>
      <c r="AK822" s="741"/>
      <c r="AL822" s="741"/>
      <c r="AM822" s="741"/>
      <c r="AN822" s="741"/>
      <c r="AO822" s="741"/>
      <c r="AP822" s="741"/>
    </row>
    <row r="823" spans="1:42" ht="12.75" customHeight="1">
      <c r="A823" s="741"/>
      <c r="B823" s="741"/>
      <c r="C823" s="741"/>
      <c r="D823" s="741"/>
      <c r="E823" s="741"/>
      <c r="F823" s="741"/>
      <c r="G823" s="741"/>
      <c r="H823" s="741"/>
      <c r="I823" s="741"/>
      <c r="J823" s="741"/>
      <c r="K823" s="741"/>
      <c r="L823" s="741"/>
      <c r="M823" s="741"/>
      <c r="N823" s="741"/>
      <c r="O823" s="741"/>
      <c r="P823" s="741"/>
      <c r="Q823" s="741"/>
      <c r="R823" s="741"/>
      <c r="S823" s="741"/>
      <c r="T823" s="741"/>
      <c r="U823" s="741"/>
      <c r="V823" s="741"/>
      <c r="W823" s="741"/>
      <c r="X823" s="741"/>
      <c r="Y823" s="741"/>
      <c r="Z823" s="741"/>
      <c r="AA823" s="741"/>
      <c r="AB823" s="741"/>
      <c r="AC823" s="741"/>
      <c r="AD823" s="741"/>
      <c r="AE823" s="741"/>
      <c r="AF823" s="741"/>
      <c r="AG823" s="741"/>
      <c r="AH823" s="741"/>
      <c r="AI823" s="741"/>
      <c r="AJ823" s="741"/>
      <c r="AK823" s="741"/>
      <c r="AL823" s="741"/>
      <c r="AM823" s="741"/>
      <c r="AN823" s="741"/>
      <c r="AO823" s="741"/>
      <c r="AP823" s="741"/>
    </row>
    <row r="824" spans="1:42" ht="12.75" customHeight="1">
      <c r="A824" s="741"/>
      <c r="B824" s="741"/>
      <c r="C824" s="741"/>
      <c r="D824" s="741"/>
      <c r="E824" s="741"/>
      <c r="F824" s="741"/>
      <c r="G824" s="741"/>
      <c r="H824" s="741"/>
      <c r="I824" s="741"/>
      <c r="J824" s="741"/>
      <c r="K824" s="741"/>
      <c r="L824" s="741"/>
      <c r="M824" s="741"/>
      <c r="N824" s="741"/>
      <c r="O824" s="741"/>
      <c r="P824" s="741"/>
      <c r="Q824" s="741"/>
      <c r="R824" s="741"/>
      <c r="S824" s="741"/>
      <c r="T824" s="741"/>
      <c r="U824" s="741"/>
      <c r="V824" s="741"/>
      <c r="W824" s="741"/>
      <c r="X824" s="741"/>
      <c r="Y824" s="741"/>
      <c r="Z824" s="741"/>
      <c r="AA824" s="741"/>
      <c r="AB824" s="741"/>
      <c r="AC824" s="741"/>
      <c r="AD824" s="741"/>
      <c r="AE824" s="741"/>
      <c r="AF824" s="741"/>
      <c r="AG824" s="741"/>
      <c r="AH824" s="741"/>
      <c r="AI824" s="741"/>
      <c r="AJ824" s="741"/>
      <c r="AK824" s="741"/>
      <c r="AL824" s="741"/>
      <c r="AM824" s="741"/>
      <c r="AN824" s="741"/>
      <c r="AO824" s="741"/>
      <c r="AP824" s="741"/>
    </row>
    <row r="825" spans="1:42" ht="12.75" customHeight="1">
      <c r="A825" s="741"/>
      <c r="B825" s="741"/>
      <c r="C825" s="741"/>
      <c r="D825" s="741"/>
      <c r="E825" s="741"/>
      <c r="F825" s="741"/>
      <c r="G825" s="741"/>
      <c r="H825" s="741"/>
      <c r="I825" s="741"/>
      <c r="J825" s="741"/>
      <c r="K825" s="741"/>
      <c r="L825" s="741"/>
      <c r="M825" s="741"/>
      <c r="N825" s="741"/>
      <c r="O825" s="741"/>
      <c r="P825" s="741"/>
      <c r="Q825" s="741"/>
      <c r="R825" s="741"/>
      <c r="S825" s="741"/>
      <c r="T825" s="741"/>
      <c r="U825" s="741"/>
      <c r="V825" s="741"/>
      <c r="W825" s="741"/>
      <c r="X825" s="741"/>
      <c r="Y825" s="741"/>
      <c r="Z825" s="741"/>
      <c r="AA825" s="741"/>
      <c r="AB825" s="741"/>
      <c r="AC825" s="741"/>
      <c r="AD825" s="741"/>
      <c r="AE825" s="741"/>
      <c r="AF825" s="741"/>
      <c r="AG825" s="741"/>
      <c r="AH825" s="741"/>
      <c r="AI825" s="741"/>
      <c r="AJ825" s="741"/>
      <c r="AK825" s="741"/>
      <c r="AL825" s="741"/>
      <c r="AM825" s="741"/>
      <c r="AN825" s="741"/>
      <c r="AO825" s="741"/>
      <c r="AP825" s="741"/>
    </row>
    <row r="826" spans="1:42" ht="12.75" customHeight="1">
      <c r="A826" s="741"/>
      <c r="B826" s="741"/>
      <c r="C826" s="741"/>
      <c r="D826" s="741"/>
      <c r="E826" s="741"/>
      <c r="F826" s="741"/>
      <c r="G826" s="741"/>
      <c r="H826" s="741"/>
      <c r="I826" s="741"/>
      <c r="J826" s="741"/>
      <c r="K826" s="741"/>
      <c r="L826" s="741"/>
      <c r="M826" s="741"/>
      <c r="N826" s="741"/>
      <c r="O826" s="741"/>
      <c r="P826" s="741"/>
      <c r="Q826" s="741"/>
      <c r="R826" s="741"/>
      <c r="S826" s="741"/>
      <c r="T826" s="741"/>
      <c r="U826" s="741"/>
      <c r="V826" s="741"/>
      <c r="W826" s="741"/>
      <c r="X826" s="741"/>
      <c r="Y826" s="741"/>
      <c r="Z826" s="741"/>
      <c r="AA826" s="741"/>
      <c r="AB826" s="741"/>
      <c r="AC826" s="741"/>
      <c r="AD826" s="741"/>
      <c r="AE826" s="741"/>
      <c r="AF826" s="741"/>
      <c r="AG826" s="741"/>
      <c r="AH826" s="741"/>
      <c r="AI826" s="741"/>
      <c r="AJ826" s="741"/>
      <c r="AK826" s="741"/>
      <c r="AL826" s="741"/>
      <c r="AM826" s="741"/>
      <c r="AN826" s="741"/>
      <c r="AO826" s="741"/>
      <c r="AP826" s="741"/>
    </row>
    <row r="827" spans="1:42" ht="12.75" customHeight="1">
      <c r="A827" s="741"/>
      <c r="B827" s="741"/>
      <c r="C827" s="741"/>
      <c r="D827" s="741"/>
      <c r="E827" s="741"/>
      <c r="F827" s="741"/>
      <c r="G827" s="741"/>
      <c r="H827" s="741"/>
      <c r="I827" s="741"/>
      <c r="J827" s="741"/>
      <c r="K827" s="741"/>
      <c r="L827" s="741"/>
      <c r="M827" s="741"/>
      <c r="N827" s="741"/>
      <c r="O827" s="741"/>
      <c r="P827" s="741"/>
      <c r="Q827" s="741"/>
      <c r="R827" s="741"/>
      <c r="S827" s="741"/>
      <c r="T827" s="741"/>
      <c r="U827" s="741"/>
      <c r="V827" s="741"/>
      <c r="W827" s="741"/>
      <c r="X827" s="741"/>
      <c r="Y827" s="741"/>
      <c r="Z827" s="741"/>
      <c r="AA827" s="741"/>
      <c r="AB827" s="741"/>
      <c r="AC827" s="741"/>
      <c r="AD827" s="741"/>
      <c r="AE827" s="741"/>
      <c r="AF827" s="741"/>
      <c r="AG827" s="741"/>
      <c r="AH827" s="741"/>
      <c r="AI827" s="741"/>
      <c r="AJ827" s="741"/>
      <c r="AK827" s="741"/>
      <c r="AL827" s="741"/>
      <c r="AM827" s="741"/>
      <c r="AN827" s="741"/>
      <c r="AO827" s="741"/>
      <c r="AP827" s="741"/>
    </row>
    <row r="828" spans="1:42" ht="12.75" customHeight="1">
      <c r="A828" s="741"/>
      <c r="B828" s="741"/>
      <c r="C828" s="741"/>
      <c r="D828" s="741"/>
      <c r="E828" s="741"/>
      <c r="F828" s="741"/>
      <c r="G828" s="741"/>
      <c r="H828" s="741"/>
      <c r="I828" s="741"/>
      <c r="J828" s="741"/>
      <c r="K828" s="741"/>
      <c r="L828" s="741"/>
      <c r="M828" s="741"/>
      <c r="N828" s="741"/>
      <c r="O828" s="741"/>
      <c r="P828" s="741"/>
      <c r="Q828" s="741"/>
      <c r="R828" s="741"/>
      <c r="S828" s="741"/>
      <c r="T828" s="741"/>
      <c r="U828" s="741"/>
      <c r="V828" s="741"/>
      <c r="W828" s="741"/>
      <c r="X828" s="741"/>
      <c r="Y828" s="741"/>
      <c r="Z828" s="741"/>
      <c r="AA828" s="741"/>
      <c r="AB828" s="741"/>
      <c r="AC828" s="741"/>
      <c r="AD828" s="741"/>
      <c r="AE828" s="741"/>
      <c r="AF828" s="741"/>
      <c r="AG828" s="741"/>
      <c r="AH828" s="741"/>
      <c r="AI828" s="741"/>
      <c r="AJ828" s="741"/>
      <c r="AK828" s="741"/>
      <c r="AL828" s="741"/>
      <c r="AM828" s="741"/>
      <c r="AN828" s="741"/>
      <c r="AO828" s="741"/>
      <c r="AP828" s="741"/>
    </row>
    <row r="829" spans="1:42" ht="12.75" customHeight="1">
      <c r="A829" s="741"/>
      <c r="B829" s="741"/>
      <c r="C829" s="741"/>
      <c r="D829" s="741"/>
      <c r="E829" s="741"/>
      <c r="F829" s="741"/>
      <c r="G829" s="741"/>
      <c r="H829" s="741"/>
      <c r="I829" s="741"/>
      <c r="J829" s="741"/>
      <c r="K829" s="741"/>
      <c r="L829" s="741"/>
      <c r="M829" s="741"/>
      <c r="N829" s="741"/>
      <c r="O829" s="741"/>
      <c r="P829" s="741"/>
      <c r="Q829" s="741"/>
      <c r="R829" s="741"/>
      <c r="S829" s="741"/>
      <c r="T829" s="741"/>
      <c r="U829" s="741"/>
      <c r="V829" s="741"/>
      <c r="W829" s="741"/>
      <c r="X829" s="741"/>
      <c r="Y829" s="741"/>
      <c r="Z829" s="741"/>
      <c r="AA829" s="741"/>
      <c r="AB829" s="741"/>
      <c r="AC829" s="741"/>
      <c r="AD829" s="741"/>
      <c r="AE829" s="741"/>
      <c r="AF829" s="741"/>
      <c r="AG829" s="741"/>
      <c r="AH829" s="741"/>
      <c r="AI829" s="741"/>
      <c r="AJ829" s="741"/>
      <c r="AK829" s="741"/>
      <c r="AL829" s="741"/>
      <c r="AM829" s="741"/>
      <c r="AN829" s="741"/>
      <c r="AO829" s="741"/>
      <c r="AP829" s="741"/>
    </row>
    <row r="830" spans="1:42" ht="12.75" customHeight="1">
      <c r="A830" s="741"/>
      <c r="B830" s="741"/>
      <c r="C830" s="741"/>
      <c r="D830" s="741"/>
      <c r="E830" s="741"/>
      <c r="F830" s="741"/>
      <c r="G830" s="741"/>
      <c r="H830" s="741"/>
      <c r="I830" s="741"/>
      <c r="J830" s="741"/>
      <c r="K830" s="741"/>
      <c r="L830" s="741"/>
      <c r="M830" s="741"/>
      <c r="N830" s="741"/>
      <c r="O830" s="741"/>
      <c r="P830" s="741"/>
      <c r="Q830" s="741"/>
      <c r="R830" s="741"/>
      <c r="S830" s="741"/>
      <c r="T830" s="741"/>
      <c r="U830" s="741"/>
      <c r="V830" s="741"/>
      <c r="W830" s="741"/>
      <c r="X830" s="741"/>
      <c r="Y830" s="741"/>
      <c r="Z830" s="741"/>
      <c r="AA830" s="741"/>
      <c r="AB830" s="741"/>
      <c r="AC830" s="741"/>
      <c r="AD830" s="741"/>
      <c r="AE830" s="741"/>
      <c r="AF830" s="741"/>
      <c r="AG830" s="741"/>
      <c r="AH830" s="741"/>
      <c r="AI830" s="741"/>
      <c r="AJ830" s="741"/>
      <c r="AK830" s="741"/>
      <c r="AL830" s="741"/>
      <c r="AM830" s="741"/>
      <c r="AN830" s="741"/>
      <c r="AO830" s="741"/>
      <c r="AP830" s="741"/>
    </row>
    <row r="831" spans="1:42" ht="12.75" customHeight="1">
      <c r="A831" s="741"/>
      <c r="B831" s="741"/>
      <c r="C831" s="741"/>
      <c r="D831" s="741"/>
      <c r="E831" s="741"/>
      <c r="F831" s="741"/>
      <c r="G831" s="741"/>
      <c r="H831" s="741"/>
      <c r="I831" s="741"/>
      <c r="J831" s="741"/>
      <c r="K831" s="741"/>
      <c r="L831" s="741"/>
      <c r="M831" s="741"/>
      <c r="N831" s="741"/>
      <c r="O831" s="741"/>
      <c r="P831" s="741"/>
      <c r="Q831" s="741"/>
      <c r="R831" s="741"/>
      <c r="S831" s="741"/>
      <c r="T831" s="741"/>
      <c r="U831" s="741"/>
      <c r="V831" s="741"/>
      <c r="W831" s="741"/>
      <c r="X831" s="741"/>
      <c r="Y831" s="741"/>
      <c r="Z831" s="741"/>
      <c r="AA831" s="741"/>
      <c r="AB831" s="741"/>
      <c r="AC831" s="741"/>
      <c r="AD831" s="741"/>
      <c r="AE831" s="741"/>
      <c r="AF831" s="741"/>
      <c r="AG831" s="741"/>
      <c r="AH831" s="741"/>
      <c r="AI831" s="741"/>
      <c r="AJ831" s="741"/>
      <c r="AK831" s="741"/>
      <c r="AL831" s="741"/>
      <c r="AM831" s="741"/>
      <c r="AN831" s="741"/>
      <c r="AO831" s="741"/>
      <c r="AP831" s="741"/>
    </row>
    <row r="832" spans="1:42" ht="12.75" customHeight="1">
      <c r="A832" s="741"/>
      <c r="B832" s="741"/>
      <c r="C832" s="741"/>
      <c r="D832" s="741"/>
      <c r="E832" s="741"/>
      <c r="F832" s="741"/>
      <c r="G832" s="741"/>
      <c r="H832" s="741"/>
      <c r="I832" s="741"/>
      <c r="J832" s="741"/>
      <c r="K832" s="741"/>
      <c r="L832" s="741"/>
      <c r="M832" s="741"/>
      <c r="N832" s="741"/>
      <c r="O832" s="741"/>
      <c r="P832" s="741"/>
      <c r="Q832" s="741"/>
      <c r="R832" s="741"/>
      <c r="S832" s="741"/>
      <c r="T832" s="741"/>
      <c r="U832" s="741"/>
      <c r="V832" s="741"/>
      <c r="W832" s="741"/>
      <c r="X832" s="741"/>
      <c r="Y832" s="741"/>
      <c r="Z832" s="741"/>
      <c r="AA832" s="741"/>
      <c r="AB832" s="741"/>
      <c r="AC832" s="741"/>
      <c r="AD832" s="741"/>
      <c r="AE832" s="741"/>
      <c r="AF832" s="741"/>
      <c r="AG832" s="741"/>
      <c r="AH832" s="741"/>
      <c r="AI832" s="741"/>
      <c r="AJ832" s="741"/>
      <c r="AK832" s="741"/>
      <c r="AL832" s="741"/>
      <c r="AM832" s="741"/>
      <c r="AN832" s="741"/>
      <c r="AO832" s="741"/>
      <c r="AP832" s="741"/>
    </row>
    <row r="833" spans="1:42" ht="12.75" customHeight="1">
      <c r="A833" s="741"/>
      <c r="B833" s="741"/>
      <c r="C833" s="741"/>
      <c r="D833" s="741"/>
      <c r="E833" s="741"/>
      <c r="F833" s="741"/>
      <c r="G833" s="741"/>
      <c r="H833" s="741"/>
      <c r="I833" s="741"/>
      <c r="J833" s="741"/>
      <c r="K833" s="741"/>
      <c r="L833" s="741"/>
      <c r="M833" s="741"/>
      <c r="N833" s="741"/>
      <c r="O833" s="741"/>
      <c r="P833" s="741"/>
      <c r="Q833" s="741"/>
      <c r="R833" s="741"/>
      <c r="S833" s="741"/>
      <c r="T833" s="741"/>
      <c r="U833" s="741"/>
      <c r="V833" s="741"/>
      <c r="W833" s="741"/>
      <c r="X833" s="741"/>
      <c r="Y833" s="741"/>
      <c r="Z833" s="741"/>
      <c r="AA833" s="741"/>
      <c r="AB833" s="741"/>
      <c r="AC833" s="741"/>
      <c r="AD833" s="741"/>
      <c r="AE833" s="741"/>
      <c r="AF833" s="741"/>
      <c r="AG833" s="741"/>
      <c r="AH833" s="741"/>
      <c r="AI833" s="741"/>
      <c r="AJ833" s="741"/>
      <c r="AK833" s="741"/>
      <c r="AL833" s="741"/>
      <c r="AM833" s="741"/>
      <c r="AN833" s="741"/>
      <c r="AO833" s="741"/>
      <c r="AP833" s="741"/>
    </row>
    <row r="834" spans="1:42" ht="12.75" customHeight="1">
      <c r="A834" s="741"/>
      <c r="B834" s="741"/>
      <c r="C834" s="741"/>
      <c r="D834" s="741"/>
      <c r="E834" s="741"/>
      <c r="F834" s="741"/>
      <c r="G834" s="741"/>
      <c r="H834" s="741"/>
      <c r="I834" s="741"/>
      <c r="J834" s="741"/>
      <c r="K834" s="741"/>
      <c r="L834" s="741"/>
      <c r="M834" s="741"/>
      <c r="N834" s="741"/>
      <c r="O834" s="741"/>
      <c r="P834" s="741"/>
      <c r="Q834" s="741"/>
      <c r="R834" s="741"/>
      <c r="S834" s="741"/>
      <c r="T834" s="741"/>
      <c r="U834" s="741"/>
      <c r="V834" s="741"/>
      <c r="W834" s="741"/>
      <c r="X834" s="741"/>
      <c r="Y834" s="741"/>
      <c r="Z834" s="741"/>
      <c r="AA834" s="741"/>
      <c r="AB834" s="741"/>
      <c r="AC834" s="741"/>
      <c r="AD834" s="741"/>
      <c r="AE834" s="741"/>
      <c r="AF834" s="741"/>
      <c r="AG834" s="741"/>
      <c r="AH834" s="741"/>
      <c r="AI834" s="741"/>
      <c r="AJ834" s="741"/>
      <c r="AK834" s="741"/>
      <c r="AL834" s="741"/>
      <c r="AM834" s="741"/>
      <c r="AN834" s="741"/>
      <c r="AO834" s="741"/>
      <c r="AP834" s="741"/>
    </row>
    <row r="835" spans="1:42" ht="12.75" customHeight="1">
      <c r="A835" s="741"/>
      <c r="B835" s="741"/>
      <c r="C835" s="741"/>
      <c r="D835" s="741"/>
      <c r="E835" s="741"/>
      <c r="F835" s="741"/>
      <c r="G835" s="741"/>
      <c r="H835" s="741"/>
      <c r="I835" s="741"/>
      <c r="J835" s="741"/>
      <c r="K835" s="741"/>
      <c r="L835" s="741"/>
      <c r="M835" s="741"/>
      <c r="N835" s="741"/>
      <c r="O835" s="741"/>
      <c r="P835" s="741"/>
      <c r="Q835" s="741"/>
      <c r="R835" s="741"/>
      <c r="S835" s="741"/>
      <c r="T835" s="741"/>
      <c r="U835" s="741"/>
      <c r="V835" s="741"/>
      <c r="W835" s="741"/>
      <c r="X835" s="741"/>
      <c r="Y835" s="741"/>
      <c r="Z835" s="741"/>
      <c r="AA835" s="741"/>
      <c r="AB835" s="741"/>
      <c r="AC835" s="741"/>
      <c r="AD835" s="741"/>
      <c r="AE835" s="741"/>
      <c r="AF835" s="741"/>
      <c r="AG835" s="741"/>
      <c r="AH835" s="741"/>
      <c r="AI835" s="741"/>
      <c r="AJ835" s="741"/>
      <c r="AK835" s="741"/>
      <c r="AL835" s="741"/>
      <c r="AM835" s="741"/>
      <c r="AN835" s="741"/>
      <c r="AO835" s="741"/>
      <c r="AP835" s="741"/>
    </row>
    <row r="836" spans="1:42" ht="12.75" customHeight="1">
      <c r="A836" s="741"/>
      <c r="B836" s="741"/>
      <c r="C836" s="741"/>
      <c r="D836" s="741"/>
      <c r="E836" s="741"/>
      <c r="F836" s="741"/>
      <c r="G836" s="741"/>
      <c r="H836" s="741"/>
      <c r="I836" s="741"/>
      <c r="J836" s="741"/>
      <c r="K836" s="741"/>
      <c r="L836" s="741"/>
      <c r="M836" s="741"/>
      <c r="N836" s="741"/>
      <c r="O836" s="741"/>
      <c r="P836" s="741"/>
      <c r="Q836" s="741"/>
      <c r="R836" s="741"/>
      <c r="S836" s="741"/>
      <c r="T836" s="741"/>
      <c r="U836" s="741"/>
      <c r="V836" s="741"/>
      <c r="W836" s="741"/>
      <c r="X836" s="741"/>
      <c r="Y836" s="741"/>
      <c r="Z836" s="741"/>
      <c r="AA836" s="741"/>
      <c r="AB836" s="741"/>
      <c r="AC836" s="741"/>
      <c r="AD836" s="741"/>
      <c r="AE836" s="741"/>
      <c r="AF836" s="741"/>
      <c r="AG836" s="741"/>
      <c r="AH836" s="741"/>
      <c r="AI836" s="741"/>
      <c r="AJ836" s="741"/>
      <c r="AK836" s="741"/>
      <c r="AL836" s="741"/>
      <c r="AM836" s="741"/>
      <c r="AN836" s="741"/>
      <c r="AO836" s="741"/>
      <c r="AP836" s="741"/>
    </row>
    <row r="837" spans="1:42" ht="12.75" customHeight="1">
      <c r="A837" s="741"/>
      <c r="B837" s="741"/>
      <c r="C837" s="741"/>
      <c r="D837" s="741"/>
      <c r="E837" s="741"/>
      <c r="F837" s="741"/>
      <c r="G837" s="741"/>
      <c r="H837" s="741"/>
      <c r="I837" s="741"/>
      <c r="J837" s="741"/>
      <c r="K837" s="741"/>
      <c r="L837" s="741"/>
      <c r="M837" s="741"/>
      <c r="N837" s="741"/>
      <c r="O837" s="741"/>
      <c r="P837" s="741"/>
      <c r="Q837" s="741"/>
      <c r="R837" s="741"/>
      <c r="S837" s="741"/>
      <c r="T837" s="741"/>
      <c r="U837" s="741"/>
      <c r="V837" s="741"/>
      <c r="W837" s="741"/>
      <c r="X837" s="741"/>
      <c r="Y837" s="741"/>
      <c r="Z837" s="741"/>
      <c r="AA837" s="741"/>
      <c r="AB837" s="741"/>
      <c r="AC837" s="741"/>
      <c r="AD837" s="741"/>
      <c r="AE837" s="741"/>
      <c r="AF837" s="741"/>
      <c r="AG837" s="741"/>
      <c r="AH837" s="741"/>
      <c r="AI837" s="741"/>
      <c r="AJ837" s="741"/>
      <c r="AK837" s="741"/>
      <c r="AL837" s="741"/>
      <c r="AM837" s="741"/>
      <c r="AN837" s="741"/>
      <c r="AO837" s="741"/>
      <c r="AP837" s="741"/>
    </row>
    <row r="838" spans="1:42" ht="12.75" customHeight="1">
      <c r="A838" s="741"/>
      <c r="B838" s="741"/>
      <c r="C838" s="741"/>
      <c r="D838" s="741"/>
      <c r="E838" s="741"/>
      <c r="F838" s="741"/>
      <c r="G838" s="741"/>
      <c r="H838" s="741"/>
      <c r="I838" s="741"/>
      <c r="J838" s="741"/>
      <c r="K838" s="741"/>
      <c r="L838" s="741"/>
      <c r="M838" s="741"/>
      <c r="N838" s="741"/>
      <c r="O838" s="741"/>
      <c r="P838" s="741"/>
      <c r="Q838" s="741"/>
      <c r="R838" s="741"/>
      <c r="S838" s="741"/>
      <c r="T838" s="741"/>
      <c r="U838" s="741"/>
      <c r="V838" s="741"/>
      <c r="W838" s="741"/>
      <c r="X838" s="741"/>
      <c r="Y838" s="741"/>
      <c r="Z838" s="741"/>
      <c r="AA838" s="741"/>
      <c r="AB838" s="741"/>
      <c r="AC838" s="741"/>
      <c r="AD838" s="741"/>
      <c r="AE838" s="741"/>
      <c r="AF838" s="741"/>
      <c r="AG838" s="741"/>
      <c r="AH838" s="741"/>
      <c r="AI838" s="741"/>
      <c r="AJ838" s="741"/>
      <c r="AK838" s="741"/>
      <c r="AL838" s="741"/>
      <c r="AM838" s="741"/>
      <c r="AN838" s="741"/>
      <c r="AO838" s="741"/>
      <c r="AP838" s="741"/>
    </row>
    <row r="839" spans="1:42" ht="12.75" customHeight="1">
      <c r="A839" s="741"/>
      <c r="B839" s="741"/>
      <c r="C839" s="741"/>
      <c r="D839" s="741"/>
      <c r="E839" s="741"/>
      <c r="F839" s="741"/>
      <c r="G839" s="741"/>
      <c r="H839" s="741"/>
      <c r="I839" s="741"/>
      <c r="J839" s="741"/>
      <c r="K839" s="741"/>
      <c r="L839" s="741"/>
      <c r="M839" s="741"/>
      <c r="N839" s="741"/>
      <c r="O839" s="741"/>
      <c r="P839" s="741"/>
      <c r="Q839" s="741"/>
      <c r="R839" s="741"/>
      <c r="S839" s="741"/>
      <c r="T839" s="741"/>
      <c r="U839" s="741"/>
      <c r="V839" s="741"/>
      <c r="W839" s="741"/>
      <c r="X839" s="741"/>
      <c r="Y839" s="741"/>
      <c r="Z839" s="741"/>
      <c r="AA839" s="741"/>
      <c r="AB839" s="741"/>
      <c r="AC839" s="741"/>
      <c r="AD839" s="741"/>
      <c r="AE839" s="741"/>
      <c r="AF839" s="741"/>
      <c r="AG839" s="741"/>
      <c r="AH839" s="741"/>
      <c r="AI839" s="741"/>
      <c r="AJ839" s="741"/>
      <c r="AK839" s="741"/>
      <c r="AL839" s="741"/>
      <c r="AM839" s="741"/>
      <c r="AN839" s="741"/>
      <c r="AO839" s="741"/>
      <c r="AP839" s="741"/>
    </row>
    <row r="840" spans="1:42" ht="12.75" customHeight="1">
      <c r="A840" s="741"/>
      <c r="B840" s="741"/>
      <c r="C840" s="741"/>
      <c r="D840" s="741"/>
      <c r="E840" s="741"/>
      <c r="F840" s="741"/>
      <c r="G840" s="741"/>
      <c r="H840" s="741"/>
      <c r="I840" s="741"/>
      <c r="J840" s="741"/>
      <c r="K840" s="741"/>
      <c r="L840" s="741"/>
      <c r="M840" s="741"/>
      <c r="N840" s="741"/>
      <c r="O840" s="741"/>
      <c r="P840" s="741"/>
      <c r="Q840" s="741"/>
      <c r="R840" s="741"/>
      <c r="S840" s="741"/>
      <c r="T840" s="741"/>
      <c r="U840" s="741"/>
      <c r="V840" s="741"/>
      <c r="W840" s="741"/>
      <c r="X840" s="741"/>
      <c r="Y840" s="741"/>
      <c r="Z840" s="741"/>
      <c r="AA840" s="741"/>
      <c r="AB840" s="741"/>
      <c r="AC840" s="741"/>
      <c r="AD840" s="741"/>
      <c r="AE840" s="741"/>
      <c r="AF840" s="741"/>
      <c r="AG840" s="741"/>
      <c r="AH840" s="741"/>
      <c r="AI840" s="741"/>
      <c r="AJ840" s="741"/>
      <c r="AK840" s="741"/>
      <c r="AL840" s="741"/>
      <c r="AM840" s="741"/>
      <c r="AN840" s="741"/>
      <c r="AO840" s="741"/>
      <c r="AP840" s="741"/>
    </row>
    <row r="841" spans="1:42" ht="12.75" customHeight="1">
      <c r="A841" s="741"/>
      <c r="B841" s="741"/>
      <c r="C841" s="741"/>
      <c r="D841" s="741"/>
      <c r="E841" s="741"/>
      <c r="F841" s="741"/>
      <c r="G841" s="741"/>
      <c r="H841" s="741"/>
      <c r="I841" s="741"/>
      <c r="J841" s="741"/>
      <c r="K841" s="741"/>
      <c r="L841" s="741"/>
      <c r="M841" s="741"/>
      <c r="N841" s="741"/>
      <c r="O841" s="741"/>
      <c r="P841" s="741"/>
      <c r="Q841" s="741"/>
      <c r="R841" s="741"/>
      <c r="S841" s="741"/>
      <c r="T841" s="741"/>
      <c r="U841" s="741"/>
      <c r="V841" s="741"/>
      <c r="W841" s="741"/>
      <c r="X841" s="741"/>
      <c r="Y841" s="741"/>
      <c r="Z841" s="741"/>
      <c r="AA841" s="741"/>
      <c r="AB841" s="741"/>
      <c r="AC841" s="741"/>
      <c r="AD841" s="741"/>
      <c r="AE841" s="741"/>
      <c r="AF841" s="741"/>
      <c r="AG841" s="741"/>
      <c r="AH841" s="741"/>
      <c r="AI841" s="741"/>
      <c r="AJ841" s="741"/>
      <c r="AK841" s="741"/>
      <c r="AL841" s="741"/>
      <c r="AM841" s="741"/>
      <c r="AN841" s="741"/>
      <c r="AO841" s="741"/>
      <c r="AP841" s="741"/>
    </row>
    <row r="842" spans="1:42" ht="12.75" customHeight="1">
      <c r="A842" s="741"/>
      <c r="B842" s="741"/>
      <c r="C842" s="741"/>
      <c r="D842" s="741"/>
      <c r="E842" s="741"/>
      <c r="F842" s="741"/>
      <c r="G842" s="741"/>
      <c r="H842" s="741"/>
      <c r="I842" s="741"/>
      <c r="J842" s="741"/>
      <c r="K842" s="741"/>
      <c r="L842" s="741"/>
      <c r="M842" s="741"/>
      <c r="N842" s="741"/>
      <c r="O842" s="741"/>
      <c r="P842" s="741"/>
      <c r="Q842" s="741"/>
      <c r="R842" s="741"/>
      <c r="S842" s="741"/>
      <c r="T842" s="741"/>
      <c r="U842" s="741"/>
      <c r="V842" s="741"/>
      <c r="W842" s="741"/>
      <c r="X842" s="741"/>
      <c r="Y842" s="741"/>
      <c r="Z842" s="741"/>
      <c r="AA842" s="741"/>
      <c r="AB842" s="741"/>
      <c r="AC842" s="741"/>
      <c r="AD842" s="741"/>
      <c r="AE842" s="741"/>
      <c r="AF842" s="741"/>
      <c r="AG842" s="741"/>
      <c r="AH842" s="741"/>
      <c r="AI842" s="741"/>
      <c r="AJ842" s="741"/>
      <c r="AK842" s="741"/>
      <c r="AL842" s="741"/>
      <c r="AM842" s="741"/>
      <c r="AN842" s="741"/>
      <c r="AO842" s="741"/>
      <c r="AP842" s="741"/>
    </row>
    <row r="843" spans="1:42" ht="12.75" customHeight="1">
      <c r="A843" s="741"/>
      <c r="B843" s="741"/>
      <c r="C843" s="741"/>
      <c r="D843" s="741"/>
      <c r="E843" s="741"/>
      <c r="F843" s="741"/>
      <c r="G843" s="741"/>
      <c r="H843" s="741"/>
      <c r="I843" s="741"/>
      <c r="J843" s="741"/>
      <c r="K843" s="741"/>
      <c r="L843" s="741"/>
      <c r="M843" s="741"/>
      <c r="N843" s="741"/>
      <c r="O843" s="741"/>
      <c r="P843" s="741"/>
      <c r="Q843" s="741"/>
      <c r="R843" s="741"/>
      <c r="S843" s="741"/>
      <c r="T843" s="741"/>
      <c r="U843" s="741"/>
      <c r="V843" s="741"/>
      <c r="W843" s="741"/>
      <c r="X843" s="741"/>
      <c r="Y843" s="741"/>
      <c r="Z843" s="741"/>
      <c r="AA843" s="741"/>
      <c r="AB843" s="741"/>
      <c r="AC843" s="741"/>
      <c r="AD843" s="741"/>
      <c r="AE843" s="741"/>
      <c r="AF843" s="741"/>
      <c r="AG843" s="741"/>
      <c r="AH843" s="741"/>
      <c r="AI843" s="741"/>
      <c r="AJ843" s="741"/>
      <c r="AK843" s="741"/>
      <c r="AL843" s="741"/>
      <c r="AM843" s="741"/>
      <c r="AN843" s="741"/>
      <c r="AO843" s="741"/>
      <c r="AP843" s="741"/>
    </row>
    <row r="844" spans="1:42" ht="12.75" customHeight="1">
      <c r="A844" s="741"/>
      <c r="B844" s="741"/>
      <c r="C844" s="741"/>
      <c r="D844" s="741"/>
      <c r="E844" s="741"/>
      <c r="F844" s="741"/>
      <c r="G844" s="741"/>
      <c r="H844" s="741"/>
      <c r="I844" s="741"/>
      <c r="J844" s="741"/>
      <c r="K844" s="741"/>
      <c r="L844" s="741"/>
      <c r="M844" s="741"/>
      <c r="N844" s="741"/>
      <c r="O844" s="741"/>
      <c r="P844" s="741"/>
      <c r="Q844" s="741"/>
      <c r="R844" s="741"/>
      <c r="S844" s="741"/>
      <c r="T844" s="741"/>
      <c r="U844" s="741"/>
      <c r="V844" s="741"/>
      <c r="W844" s="741"/>
      <c r="X844" s="741"/>
      <c r="Y844" s="741"/>
      <c r="Z844" s="741"/>
      <c r="AA844" s="741"/>
      <c r="AB844" s="741"/>
      <c r="AC844" s="741"/>
      <c r="AD844" s="741"/>
      <c r="AE844" s="741"/>
      <c r="AF844" s="741"/>
      <c r="AG844" s="741"/>
      <c r="AH844" s="741"/>
      <c r="AI844" s="741"/>
      <c r="AJ844" s="741"/>
      <c r="AK844" s="741"/>
      <c r="AL844" s="741"/>
      <c r="AM844" s="741"/>
      <c r="AN844" s="741"/>
      <c r="AO844" s="741"/>
      <c r="AP844" s="741"/>
    </row>
    <row r="845" spans="1:42" ht="12.75" customHeight="1">
      <c r="A845" s="741"/>
      <c r="B845" s="741"/>
      <c r="C845" s="741"/>
      <c r="D845" s="741"/>
      <c r="E845" s="741"/>
      <c r="F845" s="741"/>
      <c r="G845" s="741"/>
      <c r="H845" s="741"/>
      <c r="I845" s="741"/>
      <c r="J845" s="741"/>
      <c r="K845" s="741"/>
      <c r="L845" s="741"/>
      <c r="M845" s="741"/>
      <c r="N845" s="741"/>
      <c r="O845" s="741"/>
      <c r="P845" s="741"/>
      <c r="Q845" s="741"/>
      <c r="R845" s="741"/>
      <c r="S845" s="741"/>
      <c r="T845" s="741"/>
      <c r="U845" s="741"/>
      <c r="V845" s="741"/>
      <c r="W845" s="741"/>
      <c r="X845" s="741"/>
      <c r="Y845" s="741"/>
      <c r="Z845" s="741"/>
      <c r="AA845" s="741"/>
      <c r="AB845" s="741"/>
      <c r="AC845" s="741"/>
      <c r="AD845" s="741"/>
      <c r="AE845" s="741"/>
      <c r="AF845" s="741"/>
      <c r="AG845" s="741"/>
      <c r="AH845" s="741"/>
      <c r="AI845" s="741"/>
      <c r="AJ845" s="741"/>
      <c r="AK845" s="741"/>
      <c r="AL845" s="741"/>
      <c r="AM845" s="741"/>
      <c r="AN845" s="741"/>
      <c r="AO845" s="741"/>
      <c r="AP845" s="741"/>
    </row>
    <row r="846" spans="1:42" ht="12.75" customHeight="1">
      <c r="A846" s="741"/>
      <c r="B846" s="741"/>
      <c r="C846" s="741"/>
      <c r="D846" s="741"/>
      <c r="E846" s="741"/>
      <c r="F846" s="741"/>
      <c r="G846" s="741"/>
      <c r="H846" s="741"/>
      <c r="I846" s="741"/>
      <c r="J846" s="741"/>
      <c r="K846" s="741"/>
      <c r="L846" s="741"/>
      <c r="M846" s="741"/>
      <c r="N846" s="741"/>
      <c r="O846" s="741"/>
      <c r="P846" s="741"/>
      <c r="Q846" s="741"/>
      <c r="R846" s="741"/>
      <c r="S846" s="741"/>
      <c r="T846" s="741"/>
      <c r="U846" s="741"/>
      <c r="V846" s="741"/>
      <c r="W846" s="741"/>
      <c r="X846" s="741"/>
      <c r="Y846" s="741"/>
      <c r="Z846" s="741"/>
      <c r="AA846" s="741"/>
      <c r="AB846" s="741"/>
      <c r="AC846" s="741"/>
      <c r="AD846" s="741"/>
      <c r="AE846" s="741"/>
      <c r="AF846" s="741"/>
      <c r="AG846" s="741"/>
      <c r="AH846" s="741"/>
      <c r="AI846" s="741"/>
      <c r="AJ846" s="741"/>
      <c r="AK846" s="741"/>
      <c r="AL846" s="741"/>
      <c r="AM846" s="741"/>
      <c r="AN846" s="741"/>
      <c r="AO846" s="741"/>
      <c r="AP846" s="741"/>
    </row>
    <row r="847" spans="1:42" ht="12.75" customHeight="1">
      <c r="A847" s="741"/>
      <c r="B847" s="741"/>
      <c r="C847" s="741"/>
      <c r="D847" s="741"/>
      <c r="E847" s="741"/>
      <c r="F847" s="741"/>
      <c r="G847" s="741"/>
      <c r="H847" s="741"/>
      <c r="I847" s="741"/>
      <c r="J847" s="741"/>
      <c r="K847" s="741"/>
      <c r="L847" s="741"/>
      <c r="M847" s="741"/>
      <c r="N847" s="741"/>
      <c r="O847" s="741"/>
      <c r="P847" s="741"/>
      <c r="Q847" s="741"/>
      <c r="R847" s="741"/>
      <c r="S847" s="741"/>
      <c r="T847" s="741"/>
      <c r="U847" s="741"/>
      <c r="V847" s="741"/>
      <c r="W847" s="741"/>
      <c r="X847" s="741"/>
      <c r="Y847" s="741"/>
      <c r="Z847" s="741"/>
      <c r="AA847" s="741"/>
      <c r="AB847" s="741"/>
      <c r="AC847" s="741"/>
      <c r="AD847" s="741"/>
      <c r="AE847" s="741"/>
      <c r="AF847" s="741"/>
      <c r="AG847" s="741"/>
      <c r="AH847" s="741"/>
      <c r="AI847" s="741"/>
      <c r="AJ847" s="741"/>
      <c r="AK847" s="741"/>
      <c r="AL847" s="741"/>
      <c r="AM847" s="741"/>
      <c r="AN847" s="741"/>
      <c r="AO847" s="741"/>
      <c r="AP847" s="741"/>
    </row>
    <row r="848" spans="1:42" ht="12.75" customHeight="1">
      <c r="A848" s="741"/>
      <c r="B848" s="741"/>
      <c r="C848" s="741"/>
      <c r="D848" s="741"/>
      <c r="E848" s="741"/>
      <c r="F848" s="741"/>
      <c r="G848" s="741"/>
      <c r="H848" s="741"/>
      <c r="I848" s="741"/>
      <c r="J848" s="741"/>
      <c r="K848" s="741"/>
      <c r="L848" s="741"/>
      <c r="M848" s="741"/>
      <c r="N848" s="741"/>
      <c r="O848" s="741"/>
      <c r="P848" s="741"/>
      <c r="Q848" s="741"/>
      <c r="R848" s="741"/>
      <c r="S848" s="741"/>
      <c r="T848" s="741"/>
      <c r="U848" s="741"/>
      <c r="V848" s="741"/>
      <c r="W848" s="741"/>
      <c r="X848" s="741"/>
      <c r="Y848" s="741"/>
      <c r="Z848" s="741"/>
      <c r="AA848" s="741"/>
      <c r="AB848" s="741"/>
      <c r="AC848" s="741"/>
      <c r="AD848" s="741"/>
      <c r="AE848" s="741"/>
      <c r="AF848" s="741"/>
      <c r="AG848" s="741"/>
      <c r="AH848" s="741"/>
      <c r="AI848" s="741"/>
      <c r="AJ848" s="741"/>
      <c r="AK848" s="741"/>
      <c r="AL848" s="741"/>
      <c r="AM848" s="741"/>
      <c r="AN848" s="741"/>
      <c r="AO848" s="741"/>
      <c r="AP848" s="741"/>
    </row>
    <row r="849" spans="1:42" ht="12.75" customHeight="1">
      <c r="A849" s="741"/>
      <c r="B849" s="741"/>
      <c r="C849" s="741"/>
      <c r="D849" s="741"/>
      <c r="E849" s="741"/>
      <c r="F849" s="741"/>
      <c r="G849" s="741"/>
      <c r="H849" s="741"/>
      <c r="I849" s="741"/>
      <c r="J849" s="741"/>
      <c r="K849" s="741"/>
      <c r="L849" s="741"/>
      <c r="M849" s="741"/>
      <c r="N849" s="741"/>
      <c r="O849" s="741"/>
      <c r="P849" s="741"/>
      <c r="Q849" s="741"/>
      <c r="R849" s="741"/>
      <c r="S849" s="741"/>
      <c r="T849" s="741"/>
      <c r="U849" s="741"/>
      <c r="V849" s="741"/>
      <c r="W849" s="741"/>
      <c r="X849" s="741"/>
      <c r="Y849" s="741"/>
      <c r="Z849" s="741"/>
      <c r="AA849" s="741"/>
      <c r="AB849" s="741"/>
      <c r="AC849" s="741"/>
      <c r="AD849" s="741"/>
      <c r="AE849" s="741"/>
      <c r="AF849" s="741"/>
      <c r="AG849" s="741"/>
      <c r="AH849" s="741"/>
      <c r="AI849" s="741"/>
      <c r="AJ849" s="741"/>
      <c r="AK849" s="741"/>
      <c r="AL849" s="741"/>
      <c r="AM849" s="741"/>
      <c r="AN849" s="741"/>
      <c r="AO849" s="741"/>
      <c r="AP849" s="741"/>
    </row>
    <row r="850" spans="1:42" ht="12.75" customHeight="1">
      <c r="A850" s="741"/>
      <c r="B850" s="741"/>
      <c r="C850" s="741"/>
      <c r="D850" s="741"/>
      <c r="E850" s="741"/>
      <c r="F850" s="741"/>
      <c r="G850" s="741"/>
      <c r="H850" s="741"/>
      <c r="I850" s="741"/>
      <c r="J850" s="741"/>
      <c r="K850" s="741"/>
      <c r="L850" s="741"/>
      <c r="M850" s="741"/>
      <c r="N850" s="741"/>
      <c r="O850" s="741"/>
      <c r="P850" s="741"/>
      <c r="Q850" s="741"/>
      <c r="R850" s="741"/>
      <c r="S850" s="741"/>
      <c r="T850" s="741"/>
      <c r="U850" s="741"/>
      <c r="V850" s="741"/>
      <c r="W850" s="741"/>
      <c r="X850" s="741"/>
      <c r="Y850" s="741"/>
      <c r="Z850" s="741"/>
      <c r="AA850" s="741"/>
      <c r="AB850" s="741"/>
      <c r="AC850" s="741"/>
      <c r="AD850" s="741"/>
      <c r="AE850" s="741"/>
      <c r="AF850" s="741"/>
      <c r="AG850" s="741"/>
      <c r="AH850" s="741"/>
      <c r="AI850" s="741"/>
      <c r="AJ850" s="741"/>
      <c r="AK850" s="741"/>
      <c r="AL850" s="741"/>
      <c r="AM850" s="741"/>
      <c r="AN850" s="741"/>
      <c r="AO850" s="741"/>
      <c r="AP850" s="741"/>
    </row>
    <row r="851" spans="1:42" ht="12.75" customHeight="1">
      <c r="A851" s="741"/>
      <c r="B851" s="741"/>
      <c r="C851" s="741"/>
      <c r="D851" s="741"/>
      <c r="E851" s="741"/>
      <c r="F851" s="741"/>
      <c r="G851" s="741"/>
      <c r="H851" s="741"/>
      <c r="I851" s="741"/>
      <c r="J851" s="741"/>
      <c r="K851" s="741"/>
      <c r="L851" s="741"/>
      <c r="M851" s="741"/>
      <c r="N851" s="741"/>
      <c r="O851" s="741"/>
      <c r="P851" s="741"/>
      <c r="Q851" s="741"/>
      <c r="R851" s="741"/>
      <c r="S851" s="741"/>
      <c r="T851" s="741"/>
      <c r="U851" s="741"/>
      <c r="V851" s="741"/>
      <c r="W851" s="741"/>
      <c r="X851" s="741"/>
      <c r="Y851" s="741"/>
      <c r="Z851" s="741"/>
      <c r="AA851" s="741"/>
      <c r="AB851" s="741"/>
      <c r="AC851" s="741"/>
      <c r="AD851" s="741"/>
      <c r="AE851" s="741"/>
      <c r="AF851" s="741"/>
      <c r="AG851" s="741"/>
      <c r="AH851" s="741"/>
      <c r="AI851" s="741"/>
      <c r="AJ851" s="741"/>
      <c r="AK851" s="741"/>
      <c r="AL851" s="741"/>
      <c r="AM851" s="741"/>
      <c r="AN851" s="741"/>
      <c r="AO851" s="741"/>
      <c r="AP851" s="741"/>
    </row>
    <row r="852" spans="1:42" ht="12.75" customHeight="1">
      <c r="A852" s="741"/>
      <c r="B852" s="741"/>
      <c r="C852" s="741"/>
      <c r="D852" s="741"/>
      <c r="E852" s="741"/>
      <c r="F852" s="741"/>
      <c r="G852" s="741"/>
      <c r="H852" s="741"/>
      <c r="I852" s="741"/>
      <c r="J852" s="741"/>
      <c r="K852" s="741"/>
      <c r="L852" s="741"/>
      <c r="M852" s="741"/>
      <c r="N852" s="741"/>
      <c r="O852" s="741"/>
      <c r="P852" s="741"/>
      <c r="Q852" s="741"/>
      <c r="R852" s="741"/>
      <c r="S852" s="741"/>
      <c r="T852" s="741"/>
      <c r="U852" s="741"/>
      <c r="V852" s="741"/>
      <c r="W852" s="741"/>
      <c r="X852" s="741"/>
      <c r="Y852" s="741"/>
      <c r="Z852" s="741"/>
      <c r="AA852" s="741"/>
      <c r="AB852" s="741"/>
      <c r="AC852" s="741"/>
      <c r="AD852" s="741"/>
      <c r="AE852" s="741"/>
      <c r="AF852" s="741"/>
      <c r="AG852" s="741"/>
      <c r="AH852" s="741"/>
      <c r="AI852" s="741"/>
      <c r="AJ852" s="741"/>
      <c r="AK852" s="741"/>
      <c r="AL852" s="741"/>
      <c r="AM852" s="741"/>
      <c r="AN852" s="741"/>
      <c r="AO852" s="741"/>
      <c r="AP852" s="741"/>
    </row>
    <row r="853" spans="1:42" ht="12.75" customHeight="1">
      <c r="A853" s="741"/>
      <c r="B853" s="741"/>
      <c r="C853" s="741"/>
      <c r="D853" s="741"/>
      <c r="E853" s="741"/>
      <c r="F853" s="741"/>
      <c r="G853" s="741"/>
      <c r="H853" s="741"/>
      <c r="I853" s="741"/>
      <c r="J853" s="741"/>
      <c r="K853" s="741"/>
      <c r="L853" s="741"/>
      <c r="M853" s="741"/>
      <c r="N853" s="741"/>
      <c r="O853" s="741"/>
      <c r="P853" s="741"/>
      <c r="Q853" s="741"/>
      <c r="R853" s="741"/>
      <c r="S853" s="741"/>
      <c r="T853" s="741"/>
      <c r="U853" s="741"/>
      <c r="V853" s="741"/>
      <c r="W853" s="741"/>
      <c r="X853" s="741"/>
      <c r="Y853" s="741"/>
      <c r="Z853" s="741"/>
      <c r="AA853" s="741"/>
      <c r="AB853" s="741"/>
      <c r="AC853" s="741"/>
      <c r="AD853" s="741"/>
      <c r="AE853" s="741"/>
      <c r="AF853" s="741"/>
      <c r="AG853" s="741"/>
      <c r="AH853" s="741"/>
      <c r="AI853" s="741"/>
      <c r="AJ853" s="741"/>
      <c r="AK853" s="741"/>
      <c r="AL853" s="741"/>
      <c r="AM853" s="741"/>
      <c r="AN853" s="741"/>
      <c r="AO853" s="741"/>
      <c r="AP853" s="741"/>
    </row>
    <row r="854" spans="1:42" ht="12.75" customHeight="1">
      <c r="A854" s="741"/>
      <c r="B854" s="741"/>
      <c r="C854" s="741"/>
      <c r="D854" s="741"/>
      <c r="E854" s="741"/>
      <c r="F854" s="741"/>
      <c r="G854" s="741"/>
      <c r="H854" s="741"/>
      <c r="I854" s="741"/>
      <c r="J854" s="741"/>
      <c r="K854" s="741"/>
      <c r="L854" s="741"/>
      <c r="M854" s="741"/>
      <c r="N854" s="741"/>
      <c r="O854" s="741"/>
      <c r="P854" s="741"/>
      <c r="Q854" s="741"/>
      <c r="R854" s="741"/>
      <c r="S854" s="741"/>
      <c r="T854" s="741"/>
      <c r="U854" s="741"/>
      <c r="V854" s="741"/>
      <c r="W854" s="741"/>
      <c r="X854" s="741"/>
      <c r="Y854" s="741"/>
      <c r="Z854" s="741"/>
      <c r="AA854" s="741"/>
      <c r="AB854" s="741"/>
      <c r="AC854" s="741"/>
      <c r="AD854" s="741"/>
      <c r="AE854" s="741"/>
      <c r="AF854" s="741"/>
      <c r="AG854" s="741"/>
      <c r="AH854" s="741"/>
      <c r="AI854" s="741"/>
      <c r="AJ854" s="741"/>
      <c r="AK854" s="741"/>
      <c r="AL854" s="741"/>
      <c r="AM854" s="741"/>
      <c r="AN854" s="741"/>
      <c r="AO854" s="741"/>
      <c r="AP854" s="741"/>
    </row>
    <row r="855" spans="1:42" ht="12.75" customHeight="1">
      <c r="A855" s="741"/>
      <c r="B855" s="741"/>
      <c r="C855" s="741"/>
      <c r="D855" s="741"/>
      <c r="E855" s="741"/>
      <c r="F855" s="741"/>
      <c r="G855" s="741"/>
      <c r="H855" s="741"/>
      <c r="I855" s="741"/>
      <c r="J855" s="741"/>
      <c r="K855" s="741"/>
      <c r="L855" s="741"/>
      <c r="M855" s="741"/>
      <c r="N855" s="741"/>
      <c r="O855" s="741"/>
      <c r="P855" s="741"/>
      <c r="Q855" s="741"/>
      <c r="R855" s="741"/>
      <c r="S855" s="741"/>
      <c r="T855" s="741"/>
      <c r="U855" s="741"/>
      <c r="V855" s="741"/>
      <c r="W855" s="741"/>
      <c r="X855" s="741"/>
      <c r="Y855" s="741"/>
      <c r="Z855" s="741"/>
      <c r="AA855" s="741"/>
      <c r="AB855" s="741"/>
      <c r="AC855" s="741"/>
      <c r="AD855" s="741"/>
      <c r="AE855" s="741"/>
      <c r="AF855" s="741"/>
      <c r="AG855" s="741"/>
      <c r="AH855" s="741"/>
      <c r="AI855" s="741"/>
      <c r="AJ855" s="741"/>
      <c r="AK855" s="741"/>
      <c r="AL855" s="741"/>
      <c r="AM855" s="741"/>
      <c r="AN855" s="741"/>
      <c r="AO855" s="741"/>
      <c r="AP855" s="741"/>
    </row>
    <row r="856" spans="1:42" ht="12.75" customHeight="1">
      <c r="A856" s="741"/>
      <c r="B856" s="741"/>
      <c r="C856" s="741"/>
      <c r="D856" s="741"/>
      <c r="E856" s="741"/>
      <c r="F856" s="741"/>
      <c r="G856" s="741"/>
      <c r="H856" s="741"/>
      <c r="I856" s="741"/>
      <c r="J856" s="741"/>
      <c r="K856" s="741"/>
      <c r="L856" s="741"/>
      <c r="M856" s="741"/>
      <c r="N856" s="741"/>
      <c r="O856" s="741"/>
      <c r="P856" s="741"/>
      <c r="Q856" s="741"/>
      <c r="R856" s="741"/>
      <c r="S856" s="741"/>
      <c r="T856" s="741"/>
      <c r="U856" s="741"/>
      <c r="V856" s="741"/>
      <c r="W856" s="741"/>
      <c r="X856" s="741"/>
      <c r="Y856" s="741"/>
      <c r="Z856" s="741"/>
      <c r="AA856" s="741"/>
      <c r="AB856" s="741"/>
      <c r="AC856" s="741"/>
      <c r="AD856" s="741"/>
      <c r="AE856" s="741"/>
      <c r="AF856" s="741"/>
      <c r="AG856" s="741"/>
      <c r="AH856" s="741"/>
      <c r="AI856" s="741"/>
      <c r="AJ856" s="741"/>
      <c r="AK856" s="741"/>
      <c r="AL856" s="741"/>
      <c r="AM856" s="741"/>
      <c r="AN856" s="741"/>
      <c r="AO856" s="741"/>
      <c r="AP856" s="741"/>
    </row>
    <row r="857" spans="1:42" ht="12.75" customHeight="1">
      <c r="A857" s="741"/>
      <c r="B857" s="741"/>
      <c r="C857" s="741"/>
      <c r="D857" s="741"/>
      <c r="E857" s="741"/>
      <c r="F857" s="741"/>
      <c r="G857" s="741"/>
      <c r="H857" s="741"/>
      <c r="I857" s="741"/>
      <c r="J857" s="741"/>
      <c r="K857" s="741"/>
      <c r="L857" s="741"/>
      <c r="M857" s="741"/>
      <c r="N857" s="741"/>
      <c r="O857" s="741"/>
      <c r="P857" s="741"/>
      <c r="Q857" s="741"/>
      <c r="R857" s="741"/>
      <c r="S857" s="741"/>
      <c r="T857" s="741"/>
      <c r="U857" s="741"/>
      <c r="V857" s="741"/>
      <c r="W857" s="741"/>
      <c r="X857" s="741"/>
      <c r="Y857" s="741"/>
      <c r="Z857" s="741"/>
      <c r="AA857" s="741"/>
      <c r="AB857" s="741"/>
      <c r="AC857" s="741"/>
      <c r="AD857" s="741"/>
      <c r="AE857" s="741"/>
      <c r="AF857" s="741"/>
      <c r="AG857" s="741"/>
      <c r="AH857" s="741"/>
      <c r="AI857" s="741"/>
      <c r="AJ857" s="741"/>
      <c r="AK857" s="741"/>
      <c r="AL857" s="741"/>
      <c r="AM857" s="741"/>
      <c r="AN857" s="741"/>
      <c r="AO857" s="741"/>
      <c r="AP857" s="741"/>
    </row>
    <row r="858" spans="1:42" ht="12.75" customHeight="1">
      <c r="A858" s="741"/>
      <c r="B858" s="741"/>
      <c r="C858" s="741"/>
      <c r="D858" s="741"/>
      <c r="E858" s="741"/>
      <c r="F858" s="741"/>
      <c r="G858" s="741"/>
      <c r="H858" s="741"/>
      <c r="I858" s="741"/>
      <c r="J858" s="741"/>
      <c r="K858" s="741"/>
      <c r="L858" s="741"/>
      <c r="M858" s="741"/>
      <c r="N858" s="741"/>
      <c r="O858" s="741"/>
      <c r="P858" s="741"/>
      <c r="Q858" s="741"/>
      <c r="R858" s="741"/>
      <c r="S858" s="741"/>
      <c r="T858" s="741"/>
      <c r="U858" s="741"/>
      <c r="V858" s="741"/>
      <c r="W858" s="741"/>
      <c r="X858" s="741"/>
      <c r="Y858" s="741"/>
      <c r="Z858" s="741"/>
      <c r="AA858" s="741"/>
      <c r="AB858" s="741"/>
      <c r="AC858" s="741"/>
      <c r="AD858" s="741"/>
      <c r="AE858" s="741"/>
      <c r="AF858" s="741"/>
      <c r="AG858" s="741"/>
      <c r="AH858" s="741"/>
      <c r="AI858" s="741"/>
      <c r="AJ858" s="741"/>
      <c r="AK858" s="741"/>
      <c r="AL858" s="741"/>
      <c r="AM858" s="741"/>
      <c r="AN858" s="741"/>
      <c r="AO858" s="741"/>
      <c r="AP858" s="741"/>
    </row>
    <row r="859" spans="1:42" ht="12.75" customHeight="1">
      <c r="A859" s="741"/>
      <c r="B859" s="741"/>
      <c r="C859" s="741"/>
      <c r="D859" s="741"/>
      <c r="E859" s="741"/>
      <c r="F859" s="741"/>
      <c r="G859" s="741"/>
      <c r="H859" s="741"/>
      <c r="I859" s="741"/>
      <c r="J859" s="741"/>
      <c r="K859" s="741"/>
      <c r="L859" s="741"/>
      <c r="M859" s="741"/>
      <c r="N859" s="741"/>
      <c r="O859" s="741"/>
      <c r="P859" s="741"/>
      <c r="Q859" s="741"/>
      <c r="R859" s="741"/>
      <c r="S859" s="741"/>
      <c r="T859" s="741"/>
      <c r="U859" s="741"/>
      <c r="V859" s="741"/>
      <c r="W859" s="741"/>
      <c r="X859" s="741"/>
      <c r="Y859" s="741"/>
      <c r="Z859" s="741"/>
      <c r="AA859" s="741"/>
      <c r="AB859" s="741"/>
      <c r="AC859" s="741"/>
      <c r="AD859" s="741"/>
      <c r="AE859" s="741"/>
      <c r="AF859" s="741"/>
      <c r="AG859" s="741"/>
      <c r="AH859" s="741"/>
      <c r="AI859" s="741"/>
      <c r="AJ859" s="741"/>
      <c r="AK859" s="741"/>
      <c r="AL859" s="741"/>
      <c r="AM859" s="741"/>
      <c r="AN859" s="741"/>
      <c r="AO859" s="741"/>
      <c r="AP859" s="741"/>
    </row>
    <row r="860" spans="1:42" ht="12.75" customHeight="1">
      <c r="A860" s="741"/>
      <c r="B860" s="741"/>
      <c r="C860" s="741"/>
      <c r="D860" s="741"/>
      <c r="E860" s="741"/>
      <c r="F860" s="741"/>
      <c r="G860" s="741"/>
      <c r="H860" s="741"/>
      <c r="I860" s="741"/>
      <c r="J860" s="741"/>
      <c r="K860" s="741"/>
      <c r="L860" s="741"/>
      <c r="M860" s="741"/>
      <c r="N860" s="741"/>
      <c r="O860" s="741"/>
      <c r="P860" s="741"/>
      <c r="Q860" s="741"/>
      <c r="R860" s="741"/>
      <c r="S860" s="741"/>
      <c r="T860" s="741"/>
      <c r="U860" s="741"/>
      <c r="V860" s="741"/>
      <c r="W860" s="741"/>
      <c r="X860" s="741"/>
      <c r="Y860" s="741"/>
      <c r="Z860" s="741"/>
      <c r="AA860" s="741"/>
      <c r="AB860" s="741"/>
      <c r="AC860" s="741"/>
      <c r="AD860" s="741"/>
      <c r="AE860" s="741"/>
      <c r="AF860" s="741"/>
      <c r="AG860" s="741"/>
      <c r="AH860" s="741"/>
      <c r="AI860" s="741"/>
      <c r="AJ860" s="741"/>
      <c r="AK860" s="741"/>
      <c r="AL860" s="741"/>
      <c r="AM860" s="741"/>
      <c r="AN860" s="741"/>
      <c r="AO860" s="741"/>
      <c r="AP860" s="741"/>
    </row>
    <row r="861" spans="1:42" ht="12.75" customHeight="1">
      <c r="A861" s="741"/>
      <c r="B861" s="741"/>
      <c r="C861" s="741"/>
      <c r="D861" s="741"/>
      <c r="E861" s="741"/>
      <c r="F861" s="741"/>
      <c r="G861" s="741"/>
      <c r="H861" s="741"/>
      <c r="I861" s="741"/>
      <c r="J861" s="741"/>
      <c r="K861" s="741"/>
      <c r="L861" s="741"/>
      <c r="M861" s="741"/>
      <c r="N861" s="741"/>
      <c r="O861" s="741"/>
      <c r="P861" s="741"/>
      <c r="Q861" s="741"/>
      <c r="R861" s="741"/>
      <c r="S861" s="741"/>
      <c r="T861" s="741"/>
      <c r="U861" s="741"/>
      <c r="V861" s="741"/>
      <c r="W861" s="741"/>
      <c r="X861" s="741"/>
      <c r="Y861" s="741"/>
      <c r="Z861" s="741"/>
      <c r="AA861" s="741"/>
      <c r="AB861" s="741"/>
      <c r="AC861" s="741"/>
      <c r="AD861" s="741"/>
      <c r="AE861" s="741"/>
      <c r="AF861" s="741"/>
      <c r="AG861" s="741"/>
      <c r="AH861" s="741"/>
      <c r="AI861" s="741"/>
      <c r="AJ861" s="741"/>
      <c r="AK861" s="741"/>
      <c r="AL861" s="741"/>
      <c r="AM861" s="741"/>
      <c r="AN861" s="741"/>
      <c r="AO861" s="741"/>
      <c r="AP861" s="741"/>
    </row>
    <row r="862" spans="1:42" ht="12.75" customHeight="1">
      <c r="A862" s="741"/>
      <c r="B862" s="741"/>
      <c r="C862" s="741"/>
      <c r="D862" s="741"/>
      <c r="E862" s="741"/>
      <c r="F862" s="741"/>
      <c r="G862" s="741"/>
      <c r="H862" s="741"/>
      <c r="I862" s="741"/>
      <c r="J862" s="741"/>
      <c r="K862" s="741"/>
      <c r="L862" s="741"/>
      <c r="M862" s="741"/>
      <c r="N862" s="741"/>
      <c r="O862" s="741"/>
      <c r="P862" s="741"/>
      <c r="Q862" s="741"/>
      <c r="R862" s="741"/>
      <c r="S862" s="741"/>
      <c r="T862" s="741"/>
      <c r="U862" s="741"/>
      <c r="V862" s="741"/>
      <c r="W862" s="741"/>
      <c r="X862" s="741"/>
      <c r="Y862" s="741"/>
      <c r="Z862" s="741"/>
      <c r="AA862" s="741"/>
      <c r="AB862" s="741"/>
      <c r="AC862" s="741"/>
      <c r="AD862" s="741"/>
      <c r="AE862" s="741"/>
      <c r="AF862" s="741"/>
      <c r="AG862" s="741"/>
      <c r="AH862" s="741"/>
      <c r="AI862" s="741"/>
      <c r="AJ862" s="741"/>
      <c r="AK862" s="741"/>
      <c r="AL862" s="741"/>
      <c r="AM862" s="741"/>
      <c r="AN862" s="741"/>
      <c r="AO862" s="741"/>
      <c r="AP862" s="741"/>
    </row>
    <row r="863" spans="1:42" ht="12.75" customHeight="1">
      <c r="A863" s="741"/>
      <c r="B863" s="741"/>
      <c r="C863" s="741"/>
      <c r="D863" s="741"/>
      <c r="E863" s="741"/>
      <c r="F863" s="741"/>
      <c r="G863" s="741"/>
      <c r="H863" s="741"/>
      <c r="I863" s="741"/>
      <c r="J863" s="741"/>
      <c r="K863" s="741"/>
      <c r="L863" s="741"/>
      <c r="M863" s="741"/>
      <c r="N863" s="741"/>
      <c r="O863" s="741"/>
      <c r="P863" s="741"/>
      <c r="Q863" s="741"/>
      <c r="R863" s="741"/>
      <c r="S863" s="741"/>
      <c r="T863" s="741"/>
      <c r="U863" s="741"/>
      <c r="V863" s="741"/>
      <c r="W863" s="741"/>
      <c r="X863" s="741"/>
      <c r="Y863" s="741"/>
      <c r="Z863" s="741"/>
      <c r="AA863" s="741"/>
      <c r="AB863" s="741"/>
      <c r="AC863" s="741"/>
      <c r="AD863" s="741"/>
      <c r="AE863" s="741"/>
      <c r="AF863" s="741"/>
      <c r="AG863" s="741"/>
      <c r="AH863" s="741"/>
      <c r="AI863" s="741"/>
      <c r="AJ863" s="741"/>
      <c r="AK863" s="741"/>
      <c r="AL863" s="741"/>
      <c r="AM863" s="741"/>
      <c r="AN863" s="741"/>
      <c r="AO863" s="741"/>
      <c r="AP863" s="741"/>
    </row>
    <row r="864" spans="1:42" ht="12.75" customHeight="1">
      <c r="A864" s="741"/>
      <c r="B864" s="741"/>
      <c r="C864" s="741"/>
      <c r="D864" s="741"/>
      <c r="E864" s="741"/>
      <c r="F864" s="741"/>
      <c r="G864" s="741"/>
      <c r="H864" s="741"/>
      <c r="I864" s="741"/>
      <c r="J864" s="741"/>
      <c r="K864" s="741"/>
      <c r="L864" s="741"/>
      <c r="M864" s="741"/>
      <c r="N864" s="741"/>
      <c r="O864" s="741"/>
      <c r="P864" s="741"/>
      <c r="Q864" s="741"/>
      <c r="R864" s="741"/>
      <c r="S864" s="741"/>
      <c r="T864" s="741"/>
      <c r="U864" s="741"/>
      <c r="V864" s="741"/>
      <c r="W864" s="741"/>
      <c r="X864" s="741"/>
      <c r="Y864" s="741"/>
      <c r="Z864" s="741"/>
      <c r="AA864" s="741"/>
      <c r="AB864" s="741"/>
      <c r="AC864" s="741"/>
      <c r="AD864" s="741"/>
      <c r="AE864" s="741"/>
      <c r="AF864" s="741"/>
      <c r="AG864" s="741"/>
      <c r="AH864" s="741"/>
      <c r="AI864" s="741"/>
      <c r="AJ864" s="741"/>
      <c r="AK864" s="741"/>
      <c r="AL864" s="741"/>
      <c r="AM864" s="741"/>
      <c r="AN864" s="741"/>
      <c r="AO864" s="741"/>
      <c r="AP864" s="741"/>
    </row>
    <row r="865" spans="1:42" ht="12.75" customHeight="1">
      <c r="A865" s="741"/>
      <c r="B865" s="741"/>
      <c r="C865" s="741"/>
      <c r="D865" s="741"/>
      <c r="E865" s="741"/>
      <c r="F865" s="741"/>
      <c r="G865" s="741"/>
      <c r="H865" s="741"/>
      <c r="I865" s="741"/>
      <c r="J865" s="741"/>
      <c r="K865" s="741"/>
      <c r="L865" s="741"/>
      <c r="M865" s="741"/>
      <c r="N865" s="741"/>
      <c r="O865" s="741"/>
      <c r="P865" s="741"/>
      <c r="Q865" s="741"/>
      <c r="R865" s="741"/>
      <c r="S865" s="741"/>
      <c r="T865" s="741"/>
      <c r="U865" s="741"/>
      <c r="V865" s="741"/>
      <c r="W865" s="741"/>
      <c r="X865" s="741"/>
      <c r="Y865" s="741"/>
      <c r="Z865" s="741"/>
      <c r="AA865" s="741"/>
      <c r="AB865" s="741"/>
      <c r="AC865" s="741"/>
      <c r="AD865" s="741"/>
      <c r="AE865" s="741"/>
      <c r="AF865" s="741"/>
      <c r="AG865" s="741"/>
      <c r="AH865" s="741"/>
      <c r="AI865" s="741"/>
      <c r="AJ865" s="741"/>
      <c r="AK865" s="741"/>
      <c r="AL865" s="741"/>
      <c r="AM865" s="741"/>
      <c r="AN865" s="741"/>
      <c r="AO865" s="741"/>
      <c r="AP865" s="741"/>
    </row>
    <row r="866" spans="1:42" ht="12.75" customHeight="1">
      <c r="A866" s="741"/>
      <c r="B866" s="741"/>
      <c r="C866" s="741"/>
      <c r="D866" s="741"/>
      <c r="E866" s="741"/>
      <c r="F866" s="741"/>
      <c r="G866" s="741"/>
      <c r="H866" s="741"/>
      <c r="I866" s="741"/>
      <c r="J866" s="741"/>
      <c r="K866" s="741"/>
      <c r="L866" s="741"/>
      <c r="M866" s="741"/>
      <c r="N866" s="741"/>
      <c r="O866" s="741"/>
      <c r="P866" s="741"/>
      <c r="Q866" s="741"/>
      <c r="R866" s="741"/>
      <c r="S866" s="741"/>
      <c r="T866" s="741"/>
      <c r="U866" s="741"/>
      <c r="V866" s="741"/>
      <c r="W866" s="741"/>
      <c r="X866" s="741"/>
      <c r="Y866" s="741"/>
      <c r="Z866" s="741"/>
      <c r="AA866" s="741"/>
      <c r="AB866" s="741"/>
      <c r="AC866" s="741"/>
      <c r="AD866" s="741"/>
      <c r="AE866" s="741"/>
      <c r="AF866" s="741"/>
      <c r="AG866" s="741"/>
      <c r="AH866" s="741"/>
      <c r="AI866" s="741"/>
      <c r="AJ866" s="741"/>
      <c r="AK866" s="741"/>
      <c r="AL866" s="741"/>
      <c r="AM866" s="741"/>
      <c r="AN866" s="741"/>
      <c r="AO866" s="741"/>
      <c r="AP866" s="741"/>
    </row>
    <row r="867" spans="1:42" ht="12.75" customHeight="1">
      <c r="A867" s="741"/>
      <c r="B867" s="741"/>
      <c r="C867" s="741"/>
      <c r="D867" s="741"/>
      <c r="E867" s="741"/>
      <c r="F867" s="741"/>
      <c r="G867" s="741"/>
      <c r="H867" s="741"/>
      <c r="I867" s="741"/>
      <c r="J867" s="741"/>
      <c r="K867" s="741"/>
      <c r="L867" s="741"/>
      <c r="M867" s="741"/>
      <c r="N867" s="741"/>
      <c r="O867" s="741"/>
      <c r="P867" s="741"/>
      <c r="Q867" s="741"/>
      <c r="R867" s="741"/>
      <c r="S867" s="741"/>
      <c r="T867" s="741"/>
      <c r="U867" s="741"/>
      <c r="V867" s="741"/>
      <c r="W867" s="741"/>
      <c r="X867" s="741"/>
      <c r="Y867" s="741"/>
      <c r="Z867" s="741"/>
      <c r="AA867" s="741"/>
      <c r="AB867" s="741"/>
      <c r="AC867" s="741"/>
      <c r="AD867" s="741"/>
      <c r="AE867" s="741"/>
      <c r="AF867" s="741"/>
      <c r="AG867" s="741"/>
      <c r="AH867" s="741"/>
      <c r="AI867" s="741"/>
      <c r="AJ867" s="741"/>
      <c r="AK867" s="741"/>
      <c r="AL867" s="741"/>
      <c r="AM867" s="741"/>
      <c r="AN867" s="741"/>
      <c r="AO867" s="741"/>
      <c r="AP867" s="741"/>
    </row>
    <row r="868" spans="1:42" ht="12.75" customHeight="1">
      <c r="A868" s="741"/>
      <c r="B868" s="741"/>
      <c r="C868" s="741"/>
      <c r="D868" s="741"/>
      <c r="E868" s="741"/>
      <c r="F868" s="741"/>
      <c r="G868" s="741"/>
      <c r="H868" s="741"/>
      <c r="I868" s="741"/>
      <c r="J868" s="741"/>
      <c r="K868" s="741"/>
      <c r="L868" s="741"/>
      <c r="M868" s="741"/>
      <c r="N868" s="741"/>
      <c r="O868" s="741"/>
      <c r="P868" s="741"/>
      <c r="Q868" s="741"/>
      <c r="R868" s="741"/>
      <c r="S868" s="741"/>
      <c r="T868" s="741"/>
      <c r="U868" s="741"/>
      <c r="V868" s="741"/>
      <c r="W868" s="741"/>
      <c r="X868" s="741"/>
      <c r="Y868" s="741"/>
      <c r="Z868" s="741"/>
      <c r="AA868" s="741"/>
      <c r="AB868" s="741"/>
      <c r="AC868" s="741"/>
      <c r="AD868" s="741"/>
      <c r="AE868" s="741"/>
      <c r="AF868" s="741"/>
      <c r="AG868" s="741"/>
      <c r="AH868" s="741"/>
      <c r="AI868" s="741"/>
      <c r="AJ868" s="741"/>
      <c r="AK868" s="741"/>
      <c r="AL868" s="741"/>
      <c r="AM868" s="741"/>
      <c r="AN868" s="741"/>
      <c r="AO868" s="741"/>
      <c r="AP868" s="741"/>
    </row>
    <row r="869" spans="1:42" ht="12.75" customHeight="1">
      <c r="A869" s="741"/>
      <c r="B869" s="741"/>
      <c r="C869" s="741"/>
      <c r="D869" s="741"/>
      <c r="E869" s="741"/>
      <c r="F869" s="741"/>
      <c r="G869" s="741"/>
      <c r="H869" s="741"/>
      <c r="I869" s="741"/>
      <c r="J869" s="741"/>
      <c r="K869" s="741"/>
      <c r="L869" s="741"/>
      <c r="M869" s="741"/>
      <c r="N869" s="741"/>
      <c r="O869" s="741"/>
      <c r="P869" s="741"/>
      <c r="Q869" s="741"/>
      <c r="R869" s="741"/>
      <c r="S869" s="741"/>
      <c r="T869" s="741"/>
      <c r="U869" s="741"/>
      <c r="V869" s="741"/>
      <c r="W869" s="741"/>
      <c r="X869" s="741"/>
      <c r="Y869" s="741"/>
      <c r="Z869" s="741"/>
      <c r="AA869" s="741"/>
      <c r="AB869" s="741"/>
      <c r="AC869" s="741"/>
      <c r="AD869" s="741"/>
      <c r="AE869" s="741"/>
      <c r="AF869" s="741"/>
      <c r="AG869" s="741"/>
      <c r="AH869" s="741"/>
      <c r="AI869" s="741"/>
      <c r="AJ869" s="741"/>
      <c r="AK869" s="741"/>
      <c r="AL869" s="741"/>
      <c r="AM869" s="741"/>
      <c r="AN869" s="741"/>
      <c r="AO869" s="741"/>
      <c r="AP869" s="741"/>
    </row>
    <row r="870" spans="1:42" ht="12.75" customHeight="1">
      <c r="A870" s="741"/>
      <c r="B870" s="741"/>
      <c r="C870" s="741"/>
      <c r="D870" s="741"/>
      <c r="E870" s="741"/>
      <c r="F870" s="741"/>
      <c r="G870" s="741"/>
      <c r="H870" s="741"/>
      <c r="I870" s="741"/>
      <c r="J870" s="741"/>
      <c r="K870" s="741"/>
      <c r="L870" s="741"/>
      <c r="M870" s="741"/>
      <c r="N870" s="741"/>
      <c r="O870" s="741"/>
      <c r="P870" s="741"/>
      <c r="Q870" s="741"/>
      <c r="R870" s="741"/>
      <c r="S870" s="741"/>
      <c r="T870" s="741"/>
      <c r="U870" s="741"/>
      <c r="V870" s="741"/>
      <c r="W870" s="741"/>
      <c r="X870" s="741"/>
      <c r="Y870" s="741"/>
      <c r="Z870" s="741"/>
      <c r="AA870" s="741"/>
      <c r="AB870" s="741"/>
      <c r="AC870" s="741"/>
      <c r="AD870" s="741"/>
      <c r="AE870" s="741"/>
      <c r="AF870" s="741"/>
      <c r="AG870" s="741"/>
      <c r="AH870" s="741"/>
      <c r="AI870" s="741"/>
      <c r="AJ870" s="741"/>
      <c r="AK870" s="741"/>
      <c r="AL870" s="741"/>
      <c r="AM870" s="741"/>
      <c r="AN870" s="741"/>
      <c r="AO870" s="741"/>
      <c r="AP870" s="741"/>
    </row>
    <row r="871" spans="1:42" ht="12.75" customHeight="1">
      <c r="A871" s="741"/>
      <c r="B871" s="741"/>
      <c r="C871" s="741"/>
      <c r="D871" s="741"/>
      <c r="E871" s="741"/>
      <c r="F871" s="741"/>
      <c r="G871" s="741"/>
      <c r="H871" s="741"/>
      <c r="I871" s="741"/>
      <c r="J871" s="741"/>
      <c r="K871" s="741"/>
      <c r="L871" s="741"/>
      <c r="M871" s="741"/>
      <c r="N871" s="741"/>
      <c r="O871" s="741"/>
      <c r="P871" s="741"/>
      <c r="Q871" s="741"/>
      <c r="R871" s="741"/>
      <c r="S871" s="741"/>
      <c r="T871" s="741"/>
      <c r="U871" s="741"/>
      <c r="V871" s="741"/>
      <c r="W871" s="741"/>
      <c r="X871" s="741"/>
      <c r="Y871" s="741"/>
      <c r="Z871" s="741"/>
      <c r="AA871" s="741"/>
      <c r="AB871" s="741"/>
      <c r="AC871" s="741"/>
      <c r="AD871" s="741"/>
      <c r="AE871" s="741"/>
      <c r="AF871" s="741"/>
      <c r="AG871" s="741"/>
      <c r="AH871" s="741"/>
      <c r="AI871" s="741"/>
      <c r="AJ871" s="741"/>
      <c r="AK871" s="741"/>
      <c r="AL871" s="741"/>
      <c r="AM871" s="741"/>
      <c r="AN871" s="741"/>
      <c r="AO871" s="741"/>
      <c r="AP871" s="741"/>
    </row>
    <row r="872" spans="1:42" ht="12.75" customHeight="1">
      <c r="A872" s="741"/>
      <c r="B872" s="741"/>
      <c r="C872" s="741"/>
      <c r="D872" s="741"/>
      <c r="E872" s="741"/>
      <c r="F872" s="741"/>
      <c r="G872" s="741"/>
      <c r="H872" s="741"/>
      <c r="I872" s="741"/>
      <c r="J872" s="741"/>
      <c r="K872" s="741"/>
      <c r="L872" s="741"/>
      <c r="M872" s="741"/>
      <c r="N872" s="741"/>
      <c r="O872" s="741"/>
      <c r="P872" s="741"/>
      <c r="Q872" s="741"/>
      <c r="R872" s="741"/>
      <c r="S872" s="741"/>
      <c r="T872" s="741"/>
      <c r="U872" s="741"/>
      <c r="V872" s="741"/>
      <c r="W872" s="741"/>
      <c r="X872" s="741"/>
      <c r="Y872" s="741"/>
      <c r="Z872" s="741"/>
      <c r="AA872" s="741"/>
      <c r="AB872" s="741"/>
      <c r="AC872" s="741"/>
      <c r="AD872" s="741"/>
      <c r="AE872" s="741"/>
      <c r="AF872" s="741"/>
      <c r="AG872" s="741"/>
      <c r="AH872" s="741"/>
      <c r="AI872" s="741"/>
      <c r="AJ872" s="741"/>
      <c r="AK872" s="741"/>
      <c r="AL872" s="741"/>
      <c r="AM872" s="741"/>
      <c r="AN872" s="741"/>
      <c r="AO872" s="741"/>
      <c r="AP872" s="741"/>
    </row>
    <row r="873" spans="1:42" ht="12.75" customHeight="1">
      <c r="A873" s="741"/>
      <c r="B873" s="741"/>
      <c r="C873" s="741"/>
      <c r="D873" s="741"/>
      <c r="E873" s="741"/>
      <c r="F873" s="741"/>
      <c r="G873" s="741"/>
      <c r="H873" s="741"/>
      <c r="I873" s="741"/>
      <c r="J873" s="741"/>
      <c r="K873" s="741"/>
      <c r="L873" s="741"/>
      <c r="M873" s="741"/>
      <c r="N873" s="741"/>
      <c r="O873" s="741"/>
      <c r="P873" s="741"/>
      <c r="Q873" s="741"/>
      <c r="R873" s="741"/>
      <c r="S873" s="741"/>
      <c r="T873" s="741"/>
      <c r="U873" s="741"/>
      <c r="V873" s="741"/>
      <c r="W873" s="741"/>
      <c r="X873" s="741"/>
      <c r="Y873" s="741"/>
      <c r="Z873" s="741"/>
      <c r="AA873" s="741"/>
      <c r="AB873" s="741"/>
      <c r="AC873" s="741"/>
      <c r="AD873" s="741"/>
      <c r="AE873" s="741"/>
      <c r="AF873" s="741"/>
      <c r="AG873" s="741"/>
      <c r="AH873" s="741"/>
      <c r="AI873" s="741"/>
      <c r="AJ873" s="741"/>
      <c r="AK873" s="741"/>
      <c r="AL873" s="741"/>
      <c r="AM873" s="741"/>
      <c r="AN873" s="741"/>
      <c r="AO873" s="741"/>
      <c r="AP873" s="741"/>
    </row>
    <row r="874" spans="1:42" ht="12.75" customHeight="1">
      <c r="A874" s="741"/>
      <c r="B874" s="741"/>
      <c r="C874" s="741"/>
      <c r="D874" s="741"/>
      <c r="E874" s="741"/>
      <c r="F874" s="741"/>
      <c r="G874" s="741"/>
      <c r="H874" s="741"/>
      <c r="I874" s="741"/>
      <c r="J874" s="741"/>
      <c r="K874" s="741"/>
      <c r="L874" s="741"/>
      <c r="M874" s="741"/>
      <c r="N874" s="741"/>
      <c r="O874" s="741"/>
      <c r="P874" s="741"/>
      <c r="Q874" s="741"/>
      <c r="R874" s="741"/>
      <c r="S874" s="741"/>
      <c r="T874" s="741"/>
      <c r="U874" s="741"/>
      <c r="V874" s="741"/>
      <c r="W874" s="741"/>
      <c r="X874" s="741"/>
      <c r="Y874" s="741"/>
      <c r="Z874" s="741"/>
      <c r="AA874" s="741"/>
      <c r="AB874" s="741"/>
      <c r="AC874" s="741"/>
      <c r="AD874" s="741"/>
      <c r="AE874" s="741"/>
      <c r="AF874" s="741"/>
      <c r="AG874" s="741"/>
      <c r="AH874" s="741"/>
      <c r="AI874" s="741"/>
      <c r="AJ874" s="741"/>
      <c r="AK874" s="741"/>
      <c r="AL874" s="741"/>
      <c r="AM874" s="741"/>
      <c r="AN874" s="741"/>
      <c r="AO874" s="741"/>
      <c r="AP874" s="741"/>
    </row>
    <row r="875" spans="1:42" ht="12.75" customHeight="1">
      <c r="A875" s="741"/>
      <c r="B875" s="741"/>
      <c r="C875" s="741"/>
      <c r="D875" s="741"/>
      <c r="E875" s="741"/>
      <c r="F875" s="741"/>
      <c r="G875" s="741"/>
      <c r="H875" s="741"/>
      <c r="I875" s="741"/>
      <c r="J875" s="741"/>
      <c r="K875" s="741"/>
      <c r="L875" s="741"/>
      <c r="M875" s="741"/>
      <c r="N875" s="741"/>
      <c r="O875" s="741"/>
      <c r="P875" s="741"/>
      <c r="Q875" s="741"/>
      <c r="R875" s="741"/>
      <c r="S875" s="741"/>
      <c r="T875" s="741"/>
      <c r="U875" s="741"/>
      <c r="V875" s="741"/>
      <c r="W875" s="741"/>
      <c r="X875" s="741"/>
      <c r="Y875" s="741"/>
      <c r="Z875" s="741"/>
      <c r="AA875" s="741"/>
      <c r="AB875" s="741"/>
      <c r="AC875" s="741"/>
      <c r="AD875" s="741"/>
      <c r="AE875" s="741"/>
      <c r="AF875" s="741"/>
      <c r="AG875" s="741"/>
      <c r="AH875" s="741"/>
      <c r="AI875" s="741"/>
      <c r="AJ875" s="741"/>
      <c r="AK875" s="741"/>
      <c r="AL875" s="741"/>
      <c r="AM875" s="741"/>
      <c r="AN875" s="741"/>
      <c r="AO875" s="741"/>
      <c r="AP875" s="741"/>
    </row>
    <row r="876" spans="1:42" ht="12.75" customHeight="1">
      <c r="A876" s="741"/>
      <c r="B876" s="741"/>
      <c r="C876" s="741"/>
      <c r="D876" s="741"/>
      <c r="E876" s="741"/>
      <c r="F876" s="741"/>
      <c r="G876" s="741"/>
      <c r="H876" s="741"/>
      <c r="I876" s="741"/>
      <c r="J876" s="741"/>
      <c r="K876" s="741"/>
      <c r="L876" s="741"/>
      <c r="M876" s="741"/>
      <c r="N876" s="741"/>
      <c r="O876" s="741"/>
      <c r="P876" s="741"/>
      <c r="Q876" s="741"/>
      <c r="R876" s="741"/>
      <c r="S876" s="741"/>
      <c r="T876" s="741"/>
      <c r="U876" s="741"/>
      <c r="V876" s="741"/>
      <c r="W876" s="741"/>
      <c r="X876" s="741"/>
      <c r="Y876" s="741"/>
      <c r="Z876" s="741"/>
      <c r="AA876" s="741"/>
      <c r="AB876" s="741"/>
      <c r="AC876" s="741"/>
      <c r="AD876" s="741"/>
      <c r="AE876" s="741"/>
      <c r="AF876" s="741"/>
      <c r="AG876" s="741"/>
      <c r="AH876" s="741"/>
      <c r="AI876" s="741"/>
      <c r="AJ876" s="741"/>
      <c r="AK876" s="741"/>
      <c r="AL876" s="741"/>
      <c r="AM876" s="741"/>
      <c r="AN876" s="741"/>
      <c r="AO876" s="741"/>
      <c r="AP876" s="741"/>
    </row>
    <row r="877" spans="1:42" ht="12.75" customHeight="1">
      <c r="A877" s="741"/>
      <c r="B877" s="741"/>
      <c r="C877" s="741"/>
      <c r="D877" s="741"/>
      <c r="E877" s="741"/>
      <c r="F877" s="741"/>
      <c r="G877" s="741"/>
      <c r="H877" s="741"/>
      <c r="I877" s="741"/>
      <c r="J877" s="741"/>
      <c r="K877" s="741"/>
      <c r="L877" s="741"/>
      <c r="M877" s="741"/>
      <c r="N877" s="741"/>
      <c r="O877" s="741"/>
      <c r="P877" s="741"/>
      <c r="Q877" s="741"/>
      <c r="R877" s="741"/>
      <c r="S877" s="741"/>
      <c r="T877" s="741"/>
      <c r="U877" s="741"/>
      <c r="V877" s="741"/>
      <c r="W877" s="741"/>
      <c r="X877" s="741"/>
      <c r="Y877" s="741"/>
      <c r="Z877" s="741"/>
      <c r="AA877" s="741"/>
      <c r="AB877" s="741"/>
      <c r="AC877" s="741"/>
      <c r="AD877" s="741"/>
      <c r="AE877" s="741"/>
      <c r="AF877" s="741"/>
      <c r="AG877" s="741"/>
      <c r="AH877" s="741"/>
      <c r="AI877" s="741"/>
      <c r="AJ877" s="741"/>
      <c r="AK877" s="741"/>
      <c r="AL877" s="741"/>
      <c r="AM877" s="741"/>
      <c r="AN877" s="741"/>
      <c r="AO877" s="741"/>
      <c r="AP877" s="741"/>
    </row>
    <row r="878" spans="1:42" ht="12.75" customHeight="1">
      <c r="A878" s="741"/>
      <c r="B878" s="741"/>
      <c r="C878" s="741"/>
      <c r="D878" s="741"/>
      <c r="E878" s="741"/>
      <c r="F878" s="741"/>
      <c r="G878" s="741"/>
      <c r="H878" s="741"/>
      <c r="I878" s="741"/>
      <c r="J878" s="741"/>
      <c r="K878" s="741"/>
      <c r="L878" s="741"/>
      <c r="M878" s="741"/>
      <c r="N878" s="741"/>
      <c r="O878" s="741"/>
      <c r="P878" s="741"/>
      <c r="Q878" s="741"/>
      <c r="R878" s="741"/>
      <c r="S878" s="741"/>
      <c r="T878" s="741"/>
      <c r="U878" s="741"/>
      <c r="V878" s="741"/>
      <c r="W878" s="741"/>
      <c r="X878" s="741"/>
      <c r="Y878" s="741"/>
      <c r="Z878" s="741"/>
      <c r="AA878" s="741"/>
      <c r="AB878" s="741"/>
      <c r="AC878" s="741"/>
      <c r="AD878" s="741"/>
      <c r="AE878" s="741"/>
      <c r="AF878" s="741"/>
      <c r="AG878" s="741"/>
      <c r="AH878" s="741"/>
      <c r="AI878" s="741"/>
      <c r="AJ878" s="741"/>
      <c r="AK878" s="741"/>
      <c r="AL878" s="741"/>
      <c r="AM878" s="741"/>
      <c r="AN878" s="741"/>
      <c r="AO878" s="741"/>
      <c r="AP878" s="741"/>
    </row>
    <row r="879" spans="1:42" ht="12.75" customHeight="1">
      <c r="A879" s="741"/>
      <c r="B879" s="741"/>
      <c r="C879" s="741"/>
      <c r="D879" s="741"/>
      <c r="E879" s="741"/>
      <c r="F879" s="741"/>
      <c r="G879" s="741"/>
      <c r="H879" s="741"/>
      <c r="I879" s="741"/>
      <c r="J879" s="741"/>
      <c r="K879" s="741"/>
      <c r="L879" s="741"/>
      <c r="M879" s="741"/>
      <c r="N879" s="741"/>
      <c r="O879" s="741"/>
      <c r="P879" s="741"/>
      <c r="Q879" s="741"/>
      <c r="R879" s="741"/>
      <c r="S879" s="741"/>
      <c r="T879" s="741"/>
      <c r="U879" s="741"/>
      <c r="V879" s="741"/>
      <c r="W879" s="741"/>
      <c r="X879" s="741"/>
      <c r="Y879" s="741"/>
      <c r="Z879" s="741"/>
      <c r="AA879" s="741"/>
      <c r="AB879" s="741"/>
      <c r="AC879" s="741"/>
      <c r="AD879" s="741"/>
      <c r="AE879" s="741"/>
      <c r="AF879" s="741"/>
      <c r="AG879" s="741"/>
      <c r="AH879" s="741"/>
      <c r="AI879" s="741"/>
      <c r="AJ879" s="741"/>
      <c r="AK879" s="741"/>
      <c r="AL879" s="741"/>
      <c r="AM879" s="741"/>
      <c r="AN879" s="741"/>
      <c r="AO879" s="741"/>
      <c r="AP879" s="741"/>
    </row>
    <row r="880" spans="1:42" ht="12.75" customHeight="1">
      <c r="A880" s="741"/>
      <c r="B880" s="741"/>
      <c r="C880" s="741"/>
      <c r="D880" s="741"/>
      <c r="E880" s="741"/>
      <c r="F880" s="741"/>
      <c r="G880" s="741"/>
      <c r="H880" s="741"/>
      <c r="I880" s="741"/>
      <c r="J880" s="741"/>
      <c r="K880" s="741"/>
      <c r="L880" s="741"/>
      <c r="M880" s="741"/>
      <c r="N880" s="741"/>
      <c r="O880" s="741"/>
      <c r="P880" s="741"/>
      <c r="Q880" s="741"/>
      <c r="R880" s="741"/>
      <c r="S880" s="741"/>
      <c r="T880" s="741"/>
      <c r="U880" s="741"/>
      <c r="V880" s="741"/>
      <c r="W880" s="741"/>
      <c r="X880" s="741"/>
      <c r="Y880" s="741"/>
      <c r="Z880" s="741"/>
      <c r="AA880" s="741"/>
      <c r="AB880" s="741"/>
      <c r="AC880" s="741"/>
      <c r="AD880" s="741"/>
      <c r="AE880" s="741"/>
      <c r="AF880" s="741"/>
      <c r="AG880" s="741"/>
      <c r="AH880" s="741"/>
      <c r="AI880" s="741"/>
      <c r="AJ880" s="741"/>
      <c r="AK880" s="741"/>
      <c r="AL880" s="741"/>
      <c r="AM880" s="741"/>
      <c r="AN880" s="741"/>
      <c r="AO880" s="741"/>
      <c r="AP880" s="741"/>
    </row>
    <row r="881" spans="1:42" ht="12.75" customHeight="1">
      <c r="A881" s="741"/>
      <c r="B881" s="741"/>
      <c r="C881" s="741"/>
      <c r="D881" s="741"/>
      <c r="E881" s="741"/>
      <c r="F881" s="741"/>
      <c r="G881" s="741"/>
      <c r="H881" s="741"/>
      <c r="I881" s="741"/>
      <c r="J881" s="741"/>
      <c r="K881" s="741"/>
      <c r="L881" s="741"/>
      <c r="M881" s="741"/>
      <c r="N881" s="741"/>
      <c r="O881" s="741"/>
      <c r="P881" s="741"/>
      <c r="Q881" s="741"/>
      <c r="R881" s="741"/>
      <c r="S881" s="741"/>
      <c r="T881" s="741"/>
      <c r="U881" s="741"/>
      <c r="V881" s="741"/>
      <c r="W881" s="741"/>
      <c r="X881" s="741"/>
      <c r="Y881" s="741"/>
      <c r="Z881" s="741"/>
      <c r="AA881" s="741"/>
      <c r="AB881" s="741"/>
      <c r="AC881" s="741"/>
      <c r="AD881" s="741"/>
      <c r="AE881" s="741"/>
      <c r="AF881" s="741"/>
      <c r="AG881" s="741"/>
      <c r="AH881" s="741"/>
      <c r="AI881" s="741"/>
      <c r="AJ881" s="741"/>
      <c r="AK881" s="741"/>
      <c r="AL881" s="741"/>
      <c r="AM881" s="741"/>
      <c r="AN881" s="741"/>
      <c r="AO881" s="741"/>
      <c r="AP881" s="741"/>
    </row>
    <row r="882" spans="1:42" ht="12.75" customHeight="1">
      <c r="A882" s="741"/>
      <c r="B882" s="741"/>
      <c r="C882" s="741"/>
      <c r="D882" s="741"/>
      <c r="E882" s="741"/>
      <c r="F882" s="741"/>
      <c r="G882" s="741"/>
      <c r="H882" s="741"/>
      <c r="I882" s="741"/>
      <c r="J882" s="741"/>
      <c r="K882" s="741"/>
      <c r="L882" s="741"/>
      <c r="M882" s="741"/>
      <c r="N882" s="741"/>
      <c r="O882" s="741"/>
      <c r="P882" s="741"/>
      <c r="Q882" s="741"/>
      <c r="R882" s="741"/>
      <c r="S882" s="741"/>
      <c r="T882" s="741"/>
      <c r="U882" s="741"/>
      <c r="V882" s="741"/>
      <c r="W882" s="741"/>
      <c r="X882" s="741"/>
      <c r="Y882" s="741"/>
      <c r="Z882" s="741"/>
      <c r="AA882" s="741"/>
      <c r="AB882" s="741"/>
      <c r="AC882" s="741"/>
      <c r="AD882" s="741"/>
      <c r="AE882" s="741"/>
      <c r="AF882" s="741"/>
      <c r="AG882" s="741"/>
      <c r="AH882" s="741"/>
      <c r="AI882" s="741"/>
      <c r="AJ882" s="741"/>
      <c r="AK882" s="741"/>
      <c r="AL882" s="741"/>
      <c r="AM882" s="741"/>
      <c r="AN882" s="741"/>
      <c r="AO882" s="741"/>
      <c r="AP882" s="741"/>
    </row>
    <row r="883" spans="1:42" ht="12.75" customHeight="1">
      <c r="A883" s="741"/>
      <c r="B883" s="741"/>
      <c r="C883" s="741"/>
      <c r="D883" s="741"/>
      <c r="E883" s="741"/>
      <c r="F883" s="741"/>
      <c r="G883" s="741"/>
      <c r="H883" s="741"/>
      <c r="I883" s="741"/>
      <c r="J883" s="741"/>
      <c r="K883" s="741"/>
      <c r="L883" s="741"/>
      <c r="M883" s="741"/>
      <c r="N883" s="741"/>
      <c r="O883" s="741"/>
      <c r="P883" s="741"/>
      <c r="Q883" s="741"/>
      <c r="R883" s="741"/>
      <c r="S883" s="741"/>
      <c r="T883" s="741"/>
      <c r="U883" s="741"/>
      <c r="V883" s="741"/>
      <c r="W883" s="741"/>
      <c r="X883" s="741"/>
      <c r="Y883" s="741"/>
      <c r="Z883" s="741"/>
      <c r="AA883" s="741"/>
      <c r="AB883" s="741"/>
      <c r="AC883" s="741"/>
      <c r="AD883" s="741"/>
      <c r="AE883" s="741"/>
      <c r="AF883" s="741"/>
      <c r="AG883" s="741"/>
      <c r="AH883" s="741"/>
      <c r="AI883" s="741"/>
      <c r="AJ883" s="741"/>
      <c r="AK883" s="741"/>
      <c r="AL883" s="741"/>
      <c r="AM883" s="741"/>
      <c r="AN883" s="741"/>
      <c r="AO883" s="741"/>
      <c r="AP883" s="741"/>
    </row>
    <row r="884" spans="1:42" ht="12.75" customHeight="1">
      <c r="A884" s="741"/>
      <c r="B884" s="741"/>
      <c r="C884" s="741"/>
      <c r="D884" s="741"/>
      <c r="E884" s="741"/>
      <c r="F884" s="741"/>
      <c r="G884" s="741"/>
      <c r="H884" s="741"/>
      <c r="I884" s="741"/>
      <c r="J884" s="741"/>
      <c r="K884" s="741"/>
      <c r="L884" s="741"/>
      <c r="M884" s="741"/>
      <c r="N884" s="741"/>
      <c r="O884" s="741"/>
      <c r="P884" s="741"/>
      <c r="Q884" s="741"/>
      <c r="R884" s="741"/>
      <c r="S884" s="741"/>
      <c r="T884" s="741"/>
      <c r="U884" s="741"/>
      <c r="V884" s="741"/>
      <c r="W884" s="741"/>
      <c r="X884" s="741"/>
      <c r="Y884" s="741"/>
      <c r="Z884" s="741"/>
      <c r="AA884" s="741"/>
      <c r="AB884" s="741"/>
      <c r="AC884" s="741"/>
      <c r="AD884" s="741"/>
      <c r="AE884" s="741"/>
      <c r="AF884" s="741"/>
      <c r="AG884" s="741"/>
      <c r="AH884" s="741"/>
      <c r="AI884" s="741"/>
      <c r="AJ884" s="741"/>
      <c r="AK884" s="741"/>
      <c r="AL884" s="741"/>
      <c r="AM884" s="741"/>
      <c r="AN884" s="741"/>
      <c r="AO884" s="741"/>
      <c r="AP884" s="741"/>
    </row>
    <row r="885" spans="1:42" ht="12.75" customHeight="1">
      <c r="A885" s="741"/>
      <c r="B885" s="741"/>
      <c r="C885" s="741"/>
      <c r="D885" s="741"/>
      <c r="E885" s="741"/>
      <c r="F885" s="741"/>
      <c r="G885" s="741"/>
      <c r="H885" s="741"/>
      <c r="I885" s="741"/>
      <c r="J885" s="741"/>
      <c r="K885" s="741"/>
      <c r="L885" s="741"/>
      <c r="M885" s="741"/>
      <c r="N885" s="741"/>
      <c r="O885" s="741"/>
      <c r="P885" s="741"/>
      <c r="Q885" s="741"/>
      <c r="R885" s="741"/>
      <c r="S885" s="741"/>
      <c r="T885" s="741"/>
      <c r="U885" s="741"/>
      <c r="V885" s="741"/>
      <c r="W885" s="741"/>
      <c r="X885" s="741"/>
      <c r="Y885" s="741"/>
      <c r="Z885" s="741"/>
      <c r="AA885" s="741"/>
      <c r="AB885" s="741"/>
      <c r="AC885" s="741"/>
      <c r="AD885" s="741"/>
      <c r="AE885" s="741"/>
      <c r="AF885" s="741"/>
      <c r="AG885" s="741"/>
      <c r="AH885" s="741"/>
      <c r="AI885" s="741"/>
      <c r="AJ885" s="741"/>
      <c r="AK885" s="741"/>
      <c r="AL885" s="741"/>
      <c r="AM885" s="741"/>
      <c r="AN885" s="741"/>
      <c r="AO885" s="741"/>
      <c r="AP885" s="741"/>
    </row>
    <row r="886" spans="1:42" ht="12.75" customHeight="1">
      <c r="A886" s="741"/>
      <c r="B886" s="741"/>
      <c r="C886" s="741"/>
      <c r="D886" s="741"/>
      <c r="E886" s="741"/>
      <c r="F886" s="741"/>
      <c r="G886" s="741"/>
      <c r="H886" s="741"/>
      <c r="I886" s="741"/>
      <c r="J886" s="741"/>
      <c r="K886" s="741"/>
      <c r="L886" s="741"/>
      <c r="M886" s="741"/>
      <c r="N886" s="741"/>
      <c r="O886" s="741"/>
      <c r="P886" s="741"/>
      <c r="Q886" s="741"/>
      <c r="R886" s="741"/>
      <c r="S886" s="741"/>
      <c r="T886" s="741"/>
      <c r="U886" s="741"/>
      <c r="V886" s="741"/>
      <c r="W886" s="741"/>
      <c r="X886" s="741"/>
      <c r="Y886" s="741"/>
      <c r="Z886" s="741"/>
      <c r="AA886" s="741"/>
      <c r="AB886" s="741"/>
      <c r="AC886" s="741"/>
      <c r="AD886" s="741"/>
      <c r="AE886" s="741"/>
      <c r="AF886" s="741"/>
      <c r="AG886" s="741"/>
      <c r="AH886" s="741"/>
      <c r="AI886" s="741"/>
      <c r="AJ886" s="741"/>
      <c r="AK886" s="741"/>
      <c r="AL886" s="741"/>
      <c r="AM886" s="741"/>
      <c r="AN886" s="741"/>
      <c r="AO886" s="741"/>
      <c r="AP886" s="741"/>
    </row>
    <row r="887" spans="1:42" ht="12.75" customHeight="1">
      <c r="A887" s="741"/>
      <c r="B887" s="741"/>
      <c r="C887" s="741"/>
      <c r="D887" s="741"/>
      <c r="E887" s="741"/>
      <c r="F887" s="741"/>
      <c r="G887" s="741"/>
      <c r="H887" s="741"/>
      <c r="I887" s="741"/>
      <c r="J887" s="741"/>
      <c r="K887" s="741"/>
      <c r="L887" s="741"/>
      <c r="M887" s="741"/>
      <c r="N887" s="741"/>
      <c r="O887" s="741"/>
      <c r="P887" s="741"/>
      <c r="Q887" s="741"/>
      <c r="R887" s="741"/>
      <c r="S887" s="741"/>
      <c r="T887" s="741"/>
      <c r="U887" s="741"/>
      <c r="V887" s="741"/>
      <c r="W887" s="741"/>
      <c r="X887" s="741"/>
      <c r="Y887" s="741"/>
      <c r="Z887" s="741"/>
      <c r="AA887" s="741"/>
      <c r="AB887" s="741"/>
      <c r="AC887" s="741"/>
      <c r="AD887" s="741"/>
      <c r="AE887" s="741"/>
      <c r="AF887" s="741"/>
      <c r="AG887" s="741"/>
      <c r="AH887" s="741"/>
      <c r="AI887" s="741"/>
      <c r="AJ887" s="741"/>
      <c r="AK887" s="741"/>
      <c r="AL887" s="741"/>
      <c r="AM887" s="741"/>
      <c r="AN887" s="741"/>
      <c r="AO887" s="741"/>
      <c r="AP887" s="741"/>
    </row>
    <row r="888" spans="1:42" ht="12.75" customHeight="1">
      <c r="A888" s="741"/>
      <c r="B888" s="741"/>
      <c r="C888" s="741"/>
      <c r="D888" s="741"/>
      <c r="E888" s="741"/>
      <c r="F888" s="741"/>
      <c r="G888" s="741"/>
      <c r="H888" s="741"/>
      <c r="I888" s="741"/>
      <c r="J888" s="741"/>
      <c r="K888" s="741"/>
      <c r="L888" s="741"/>
      <c r="M888" s="741"/>
      <c r="N888" s="741"/>
      <c r="O888" s="741"/>
      <c r="P888" s="741"/>
      <c r="Q888" s="741"/>
      <c r="R888" s="741"/>
      <c r="S888" s="741"/>
      <c r="T888" s="741"/>
      <c r="U888" s="741"/>
      <c r="V888" s="741"/>
      <c r="W888" s="741"/>
      <c r="X888" s="741"/>
      <c r="Y888" s="741"/>
      <c r="Z888" s="741"/>
      <c r="AA888" s="741"/>
      <c r="AB888" s="741"/>
      <c r="AC888" s="741"/>
      <c r="AD888" s="741"/>
      <c r="AE888" s="741"/>
      <c r="AF888" s="741"/>
      <c r="AG888" s="741"/>
      <c r="AH888" s="741"/>
      <c r="AI888" s="741"/>
      <c r="AJ888" s="741"/>
      <c r="AK888" s="741"/>
      <c r="AL888" s="741"/>
      <c r="AM888" s="741"/>
      <c r="AN888" s="741"/>
      <c r="AO888" s="741"/>
      <c r="AP888" s="741"/>
    </row>
    <row r="889" spans="1:42" ht="12.75" customHeight="1">
      <c r="A889" s="741"/>
      <c r="B889" s="741"/>
      <c r="C889" s="741"/>
      <c r="D889" s="741"/>
      <c r="E889" s="741"/>
      <c r="F889" s="741"/>
      <c r="G889" s="741"/>
      <c r="H889" s="741"/>
      <c r="I889" s="741"/>
      <c r="J889" s="741"/>
      <c r="K889" s="741"/>
      <c r="L889" s="741"/>
      <c r="M889" s="741"/>
      <c r="N889" s="741"/>
      <c r="O889" s="741"/>
      <c r="P889" s="741"/>
      <c r="Q889" s="741"/>
      <c r="R889" s="741"/>
      <c r="S889" s="741"/>
      <c r="T889" s="741"/>
      <c r="U889" s="741"/>
      <c r="V889" s="741"/>
      <c r="W889" s="741"/>
      <c r="X889" s="741"/>
      <c r="Y889" s="741"/>
      <c r="Z889" s="741"/>
      <c r="AA889" s="741"/>
      <c r="AB889" s="741"/>
      <c r="AC889" s="741"/>
      <c r="AD889" s="741"/>
      <c r="AE889" s="741"/>
      <c r="AF889" s="741"/>
      <c r="AG889" s="741"/>
      <c r="AH889" s="741"/>
      <c r="AI889" s="741"/>
      <c r="AJ889" s="741"/>
      <c r="AK889" s="741"/>
      <c r="AL889" s="741"/>
      <c r="AM889" s="741"/>
      <c r="AN889" s="741"/>
      <c r="AO889" s="741"/>
      <c r="AP889" s="741"/>
    </row>
    <row r="890" spans="1:42" ht="12.75" customHeight="1">
      <c r="A890" s="741"/>
      <c r="B890" s="741"/>
      <c r="C890" s="741"/>
      <c r="D890" s="741"/>
      <c r="E890" s="741"/>
      <c r="F890" s="741"/>
      <c r="G890" s="741"/>
      <c r="H890" s="741"/>
      <c r="I890" s="741"/>
      <c r="J890" s="741"/>
      <c r="K890" s="741"/>
      <c r="L890" s="741"/>
      <c r="M890" s="741"/>
      <c r="N890" s="741"/>
      <c r="O890" s="741"/>
      <c r="P890" s="741"/>
      <c r="Q890" s="741"/>
      <c r="R890" s="741"/>
      <c r="S890" s="741"/>
      <c r="T890" s="741"/>
      <c r="U890" s="741"/>
      <c r="V890" s="741"/>
      <c r="W890" s="741"/>
      <c r="X890" s="741"/>
      <c r="Y890" s="741"/>
      <c r="Z890" s="741"/>
      <c r="AA890" s="741"/>
      <c r="AB890" s="741"/>
      <c r="AC890" s="741"/>
      <c r="AD890" s="741"/>
      <c r="AE890" s="741"/>
      <c r="AF890" s="741"/>
      <c r="AG890" s="741"/>
      <c r="AH890" s="741"/>
      <c r="AI890" s="741"/>
      <c r="AJ890" s="741"/>
      <c r="AK890" s="741"/>
      <c r="AL890" s="741"/>
      <c r="AM890" s="741"/>
      <c r="AN890" s="741"/>
      <c r="AO890" s="741"/>
      <c r="AP890" s="741"/>
    </row>
    <row r="891" spans="1:42" ht="12.75" customHeight="1">
      <c r="A891" s="741"/>
      <c r="B891" s="741"/>
      <c r="C891" s="741"/>
      <c r="D891" s="741"/>
      <c r="E891" s="741"/>
      <c r="F891" s="741"/>
      <c r="G891" s="741"/>
      <c r="H891" s="741"/>
      <c r="I891" s="741"/>
      <c r="J891" s="741"/>
      <c r="K891" s="741"/>
      <c r="L891" s="741"/>
      <c r="M891" s="741"/>
      <c r="N891" s="741"/>
      <c r="O891" s="741"/>
      <c r="P891" s="741"/>
      <c r="Q891" s="741"/>
      <c r="R891" s="741"/>
      <c r="S891" s="741"/>
      <c r="T891" s="741"/>
      <c r="U891" s="741"/>
      <c r="V891" s="741"/>
      <c r="W891" s="741"/>
      <c r="X891" s="741"/>
      <c r="Y891" s="741"/>
      <c r="Z891" s="741"/>
      <c r="AA891" s="741"/>
      <c r="AB891" s="741"/>
      <c r="AC891" s="741"/>
      <c r="AD891" s="741"/>
      <c r="AE891" s="741"/>
      <c r="AF891" s="741"/>
      <c r="AG891" s="741"/>
      <c r="AH891" s="741"/>
      <c r="AI891" s="741"/>
      <c r="AJ891" s="741"/>
      <c r="AK891" s="741"/>
      <c r="AL891" s="741"/>
      <c r="AM891" s="741"/>
      <c r="AN891" s="741"/>
      <c r="AO891" s="741"/>
      <c r="AP891" s="741"/>
    </row>
    <row r="892" spans="1:42" ht="12.75" customHeight="1">
      <c r="A892" s="741"/>
      <c r="B892" s="741"/>
      <c r="C892" s="741"/>
      <c r="D892" s="741"/>
      <c r="E892" s="741"/>
      <c r="F892" s="741"/>
      <c r="G892" s="741"/>
      <c r="H892" s="741"/>
      <c r="I892" s="741"/>
      <c r="J892" s="741"/>
      <c r="K892" s="741"/>
      <c r="L892" s="741"/>
      <c r="M892" s="741"/>
      <c r="N892" s="741"/>
      <c r="O892" s="741"/>
      <c r="P892" s="741"/>
      <c r="Q892" s="741"/>
      <c r="R892" s="741"/>
      <c r="S892" s="741"/>
      <c r="T892" s="741"/>
      <c r="U892" s="741"/>
      <c r="V892" s="741"/>
      <c r="W892" s="741"/>
      <c r="X892" s="741"/>
      <c r="Y892" s="741"/>
      <c r="Z892" s="741"/>
      <c r="AA892" s="741"/>
      <c r="AB892" s="741"/>
      <c r="AC892" s="741"/>
      <c r="AD892" s="741"/>
      <c r="AE892" s="741"/>
      <c r="AF892" s="741"/>
      <c r="AG892" s="741"/>
      <c r="AH892" s="741"/>
      <c r="AI892" s="741"/>
      <c r="AJ892" s="741"/>
      <c r="AK892" s="741"/>
      <c r="AL892" s="741"/>
      <c r="AM892" s="741"/>
      <c r="AN892" s="741"/>
      <c r="AO892" s="741"/>
      <c r="AP892" s="741"/>
    </row>
    <row r="893" spans="1:42" ht="12.75" customHeight="1">
      <c r="A893" s="741"/>
      <c r="B893" s="741"/>
      <c r="C893" s="741"/>
      <c r="D893" s="741"/>
      <c r="E893" s="741"/>
      <c r="F893" s="741"/>
      <c r="G893" s="741"/>
      <c r="H893" s="741"/>
      <c r="I893" s="741"/>
      <c r="J893" s="741"/>
      <c r="K893" s="741"/>
      <c r="L893" s="741"/>
      <c r="M893" s="741"/>
      <c r="N893" s="741"/>
      <c r="O893" s="741"/>
      <c r="P893" s="741"/>
      <c r="Q893" s="741"/>
      <c r="R893" s="741"/>
      <c r="S893" s="741"/>
      <c r="T893" s="741"/>
      <c r="U893" s="741"/>
      <c r="V893" s="741"/>
      <c r="W893" s="741"/>
      <c r="X893" s="741"/>
      <c r="Y893" s="741"/>
      <c r="Z893" s="741"/>
      <c r="AA893" s="741"/>
      <c r="AB893" s="741"/>
      <c r="AC893" s="741"/>
      <c r="AD893" s="741"/>
      <c r="AE893" s="741"/>
      <c r="AF893" s="741"/>
      <c r="AG893" s="741"/>
      <c r="AH893" s="741"/>
      <c r="AI893" s="741"/>
      <c r="AJ893" s="741"/>
      <c r="AK893" s="741"/>
      <c r="AL893" s="741"/>
      <c r="AM893" s="741"/>
      <c r="AN893" s="741"/>
      <c r="AO893" s="741"/>
      <c r="AP893" s="741"/>
    </row>
    <row r="894" spans="1:42" ht="12.75" customHeight="1">
      <c r="A894" s="741"/>
      <c r="B894" s="741"/>
      <c r="C894" s="741"/>
      <c r="D894" s="741"/>
      <c r="E894" s="741"/>
      <c r="F894" s="741"/>
      <c r="G894" s="741"/>
      <c r="H894" s="741"/>
      <c r="I894" s="741"/>
      <c r="J894" s="741"/>
      <c r="K894" s="741"/>
      <c r="L894" s="741"/>
      <c r="M894" s="741"/>
      <c r="N894" s="741"/>
      <c r="O894" s="741"/>
      <c r="P894" s="741"/>
      <c r="Q894" s="741"/>
      <c r="R894" s="741"/>
      <c r="S894" s="741"/>
      <c r="T894" s="741"/>
      <c r="U894" s="741"/>
      <c r="V894" s="741"/>
      <c r="W894" s="741"/>
      <c r="X894" s="741"/>
      <c r="Y894" s="741"/>
      <c r="Z894" s="741"/>
      <c r="AA894" s="741"/>
      <c r="AB894" s="741"/>
      <c r="AC894" s="741"/>
      <c r="AD894" s="741"/>
      <c r="AE894" s="741"/>
      <c r="AF894" s="741"/>
      <c r="AG894" s="741"/>
      <c r="AH894" s="741"/>
      <c r="AI894" s="741"/>
      <c r="AJ894" s="741"/>
      <c r="AK894" s="741"/>
      <c r="AL894" s="741"/>
      <c r="AM894" s="741"/>
      <c r="AN894" s="741"/>
      <c r="AO894" s="741"/>
      <c r="AP894" s="741"/>
    </row>
    <row r="895" spans="1:42" ht="12.75" customHeight="1">
      <c r="A895" s="741"/>
      <c r="B895" s="741"/>
      <c r="C895" s="741"/>
      <c r="D895" s="741"/>
      <c r="E895" s="741"/>
      <c r="F895" s="741"/>
      <c r="G895" s="741"/>
      <c r="H895" s="741"/>
      <c r="I895" s="741"/>
      <c r="J895" s="741"/>
      <c r="K895" s="741"/>
      <c r="L895" s="741"/>
      <c r="M895" s="741"/>
      <c r="N895" s="741"/>
      <c r="O895" s="741"/>
      <c r="P895" s="741"/>
      <c r="Q895" s="741"/>
      <c r="R895" s="741"/>
      <c r="S895" s="741"/>
      <c r="T895" s="741"/>
      <c r="U895" s="741"/>
      <c r="V895" s="741"/>
      <c r="W895" s="741"/>
      <c r="X895" s="741"/>
      <c r="Y895" s="741"/>
      <c r="Z895" s="741"/>
      <c r="AA895" s="741"/>
      <c r="AB895" s="741"/>
      <c r="AC895" s="741"/>
      <c r="AD895" s="741"/>
      <c r="AE895" s="741"/>
      <c r="AF895" s="741"/>
      <c r="AG895" s="741"/>
      <c r="AH895" s="741"/>
      <c r="AI895" s="741"/>
      <c r="AJ895" s="741"/>
      <c r="AK895" s="741"/>
      <c r="AL895" s="741"/>
      <c r="AM895" s="741"/>
      <c r="AN895" s="741"/>
      <c r="AO895" s="741"/>
      <c r="AP895" s="741"/>
    </row>
    <row r="896" spans="1:42" ht="12.75" customHeight="1">
      <c r="A896" s="741"/>
      <c r="B896" s="741"/>
      <c r="C896" s="741"/>
      <c r="D896" s="741"/>
      <c r="E896" s="741"/>
      <c r="F896" s="741"/>
      <c r="G896" s="741"/>
      <c r="H896" s="741"/>
      <c r="I896" s="741"/>
      <c r="J896" s="741"/>
      <c r="K896" s="741"/>
      <c r="L896" s="741"/>
      <c r="M896" s="741"/>
      <c r="N896" s="741"/>
      <c r="O896" s="741"/>
      <c r="P896" s="741"/>
      <c r="Q896" s="741"/>
      <c r="R896" s="741"/>
      <c r="S896" s="741"/>
      <c r="T896" s="741"/>
      <c r="U896" s="741"/>
      <c r="V896" s="741"/>
      <c r="W896" s="741"/>
      <c r="X896" s="741"/>
      <c r="Y896" s="741"/>
      <c r="Z896" s="741"/>
      <c r="AA896" s="741"/>
      <c r="AB896" s="741"/>
      <c r="AC896" s="741"/>
      <c r="AD896" s="741"/>
      <c r="AE896" s="741"/>
      <c r="AF896" s="741"/>
      <c r="AG896" s="741"/>
      <c r="AH896" s="741"/>
      <c r="AI896" s="741"/>
      <c r="AJ896" s="741"/>
      <c r="AK896" s="741"/>
      <c r="AL896" s="741"/>
      <c r="AM896" s="741"/>
      <c r="AN896" s="741"/>
      <c r="AO896" s="741"/>
      <c r="AP896" s="741"/>
    </row>
    <row r="897" spans="1:42" ht="12.75" customHeight="1">
      <c r="A897" s="741"/>
      <c r="B897" s="741"/>
      <c r="C897" s="741"/>
      <c r="D897" s="741"/>
      <c r="E897" s="741"/>
      <c r="F897" s="741"/>
      <c r="G897" s="741"/>
      <c r="H897" s="741"/>
      <c r="I897" s="741"/>
      <c r="J897" s="741"/>
      <c r="K897" s="741"/>
      <c r="L897" s="741"/>
      <c r="M897" s="741"/>
      <c r="N897" s="741"/>
      <c r="O897" s="741"/>
      <c r="P897" s="741"/>
      <c r="Q897" s="741"/>
      <c r="R897" s="741"/>
      <c r="S897" s="741"/>
      <c r="T897" s="741"/>
      <c r="U897" s="741"/>
      <c r="V897" s="741"/>
      <c r="W897" s="741"/>
      <c r="X897" s="741"/>
      <c r="Y897" s="741"/>
      <c r="Z897" s="741"/>
      <c r="AA897" s="741"/>
      <c r="AB897" s="741"/>
      <c r="AC897" s="741"/>
      <c r="AD897" s="741"/>
      <c r="AE897" s="741"/>
      <c r="AF897" s="741"/>
      <c r="AG897" s="741"/>
      <c r="AH897" s="741"/>
      <c r="AI897" s="741"/>
      <c r="AJ897" s="741"/>
      <c r="AK897" s="741"/>
      <c r="AL897" s="741"/>
      <c r="AM897" s="741"/>
      <c r="AN897" s="741"/>
      <c r="AO897" s="741"/>
      <c r="AP897" s="741"/>
    </row>
    <row r="898" spans="1:42" ht="12.75" customHeight="1">
      <c r="A898" s="741"/>
      <c r="B898" s="741"/>
      <c r="C898" s="741"/>
      <c r="D898" s="741"/>
      <c r="E898" s="741"/>
      <c r="F898" s="741"/>
      <c r="G898" s="741"/>
      <c r="H898" s="741"/>
      <c r="I898" s="741"/>
      <c r="J898" s="741"/>
      <c r="K898" s="741"/>
      <c r="L898" s="741"/>
      <c r="M898" s="741"/>
      <c r="N898" s="741"/>
      <c r="O898" s="741"/>
      <c r="P898" s="741"/>
      <c r="Q898" s="741"/>
      <c r="R898" s="741"/>
      <c r="S898" s="741"/>
      <c r="T898" s="741"/>
      <c r="U898" s="741"/>
      <c r="V898" s="741"/>
      <c r="W898" s="741"/>
      <c r="X898" s="741"/>
      <c r="Y898" s="741"/>
      <c r="Z898" s="741"/>
      <c r="AA898" s="741"/>
      <c r="AB898" s="741"/>
      <c r="AC898" s="741"/>
      <c r="AD898" s="741"/>
      <c r="AE898" s="741"/>
      <c r="AF898" s="741"/>
      <c r="AG898" s="741"/>
      <c r="AH898" s="741"/>
      <c r="AI898" s="741"/>
      <c r="AJ898" s="741"/>
      <c r="AK898" s="741"/>
      <c r="AL898" s="741"/>
      <c r="AM898" s="741"/>
      <c r="AN898" s="741"/>
      <c r="AO898" s="741"/>
      <c r="AP898" s="741"/>
    </row>
    <row r="899" spans="1:42" ht="12.75" customHeight="1">
      <c r="A899" s="741"/>
      <c r="B899" s="741"/>
      <c r="C899" s="741"/>
      <c r="D899" s="741"/>
      <c r="E899" s="741"/>
      <c r="F899" s="741"/>
      <c r="G899" s="741"/>
      <c r="H899" s="741"/>
      <c r="I899" s="741"/>
      <c r="J899" s="741"/>
      <c r="K899" s="741"/>
      <c r="L899" s="741"/>
      <c r="M899" s="741"/>
      <c r="N899" s="741"/>
      <c r="O899" s="741"/>
      <c r="P899" s="741"/>
      <c r="Q899" s="741"/>
      <c r="R899" s="741"/>
      <c r="S899" s="741"/>
      <c r="T899" s="741"/>
      <c r="U899" s="741"/>
      <c r="V899" s="741"/>
      <c r="W899" s="741"/>
      <c r="X899" s="741"/>
      <c r="Y899" s="741"/>
      <c r="Z899" s="741"/>
      <c r="AA899" s="741"/>
      <c r="AB899" s="741"/>
      <c r="AC899" s="741"/>
      <c r="AD899" s="741"/>
      <c r="AE899" s="741"/>
      <c r="AF899" s="741"/>
      <c r="AG899" s="741"/>
      <c r="AH899" s="741"/>
      <c r="AI899" s="741"/>
      <c r="AJ899" s="741"/>
      <c r="AK899" s="741"/>
      <c r="AL899" s="741"/>
      <c r="AM899" s="741"/>
      <c r="AN899" s="741"/>
      <c r="AO899" s="741"/>
      <c r="AP899" s="741"/>
    </row>
    <row r="900" spans="1:42" ht="12.75" customHeight="1">
      <c r="A900" s="741"/>
      <c r="B900" s="741"/>
      <c r="C900" s="741"/>
      <c r="D900" s="741"/>
      <c r="E900" s="741"/>
      <c r="F900" s="741"/>
      <c r="G900" s="741"/>
      <c r="H900" s="741"/>
      <c r="I900" s="741"/>
      <c r="J900" s="741"/>
      <c r="K900" s="741"/>
      <c r="L900" s="741"/>
      <c r="M900" s="741"/>
      <c r="N900" s="741"/>
      <c r="O900" s="741"/>
      <c r="P900" s="741"/>
      <c r="Q900" s="741"/>
      <c r="R900" s="741"/>
      <c r="S900" s="741"/>
      <c r="T900" s="741"/>
      <c r="U900" s="741"/>
      <c r="V900" s="741"/>
      <c r="W900" s="741"/>
      <c r="X900" s="741"/>
      <c r="Y900" s="741"/>
      <c r="Z900" s="741"/>
      <c r="AA900" s="741"/>
      <c r="AB900" s="741"/>
      <c r="AC900" s="741"/>
      <c r="AD900" s="741"/>
      <c r="AE900" s="741"/>
      <c r="AF900" s="741"/>
      <c r="AG900" s="741"/>
      <c r="AH900" s="741"/>
      <c r="AI900" s="741"/>
      <c r="AJ900" s="741"/>
      <c r="AK900" s="741"/>
      <c r="AL900" s="741"/>
      <c r="AM900" s="741"/>
      <c r="AN900" s="741"/>
      <c r="AO900" s="741"/>
      <c r="AP900" s="741"/>
    </row>
    <row r="901" spans="1:42" ht="12.75" customHeight="1">
      <c r="A901" s="741"/>
      <c r="B901" s="741"/>
      <c r="C901" s="741"/>
      <c r="D901" s="741"/>
      <c r="E901" s="741"/>
      <c r="F901" s="741"/>
      <c r="G901" s="741"/>
      <c r="H901" s="741"/>
      <c r="I901" s="741"/>
      <c r="J901" s="741"/>
      <c r="K901" s="741"/>
      <c r="L901" s="741"/>
      <c r="M901" s="741"/>
      <c r="N901" s="741"/>
      <c r="O901" s="741"/>
      <c r="P901" s="741"/>
      <c r="Q901" s="741"/>
      <c r="R901" s="741"/>
      <c r="S901" s="741"/>
      <c r="T901" s="741"/>
      <c r="U901" s="741"/>
      <c r="V901" s="741"/>
      <c r="W901" s="741"/>
      <c r="X901" s="741"/>
      <c r="Y901" s="741"/>
      <c r="Z901" s="741"/>
      <c r="AA901" s="741"/>
      <c r="AB901" s="741"/>
      <c r="AC901" s="741"/>
      <c r="AD901" s="741"/>
      <c r="AE901" s="741"/>
      <c r="AF901" s="741"/>
      <c r="AG901" s="741"/>
      <c r="AH901" s="741"/>
      <c r="AI901" s="741"/>
      <c r="AJ901" s="741"/>
      <c r="AK901" s="741"/>
      <c r="AL901" s="741"/>
      <c r="AM901" s="741"/>
      <c r="AN901" s="741"/>
      <c r="AO901" s="741"/>
      <c r="AP901" s="741"/>
    </row>
    <row r="902" spans="1:42" ht="12.75" customHeight="1">
      <c r="A902" s="741"/>
      <c r="B902" s="741"/>
      <c r="C902" s="741"/>
      <c r="D902" s="741"/>
      <c r="E902" s="741"/>
      <c r="F902" s="741"/>
      <c r="G902" s="741"/>
      <c r="H902" s="741"/>
      <c r="I902" s="741"/>
      <c r="J902" s="741"/>
      <c r="K902" s="741"/>
      <c r="L902" s="741"/>
      <c r="M902" s="741"/>
      <c r="N902" s="741"/>
      <c r="O902" s="741"/>
      <c r="P902" s="741"/>
      <c r="Q902" s="741"/>
      <c r="R902" s="741"/>
      <c r="S902" s="741"/>
      <c r="T902" s="741"/>
      <c r="U902" s="741"/>
      <c r="V902" s="741"/>
      <c r="W902" s="741"/>
      <c r="X902" s="741"/>
      <c r="Y902" s="741"/>
      <c r="Z902" s="741"/>
      <c r="AA902" s="741"/>
      <c r="AB902" s="741"/>
      <c r="AC902" s="741"/>
      <c r="AD902" s="741"/>
      <c r="AE902" s="741"/>
      <c r="AF902" s="741"/>
      <c r="AG902" s="741"/>
      <c r="AH902" s="741"/>
      <c r="AI902" s="741"/>
      <c r="AJ902" s="741"/>
      <c r="AK902" s="741"/>
      <c r="AL902" s="741"/>
      <c r="AM902" s="741"/>
      <c r="AN902" s="741"/>
      <c r="AO902" s="741"/>
      <c r="AP902" s="741"/>
    </row>
    <row r="903" spans="1:42" ht="12.75" customHeight="1">
      <c r="A903" s="741"/>
      <c r="B903" s="741"/>
      <c r="C903" s="741"/>
      <c r="D903" s="741"/>
      <c r="E903" s="741"/>
      <c r="F903" s="741"/>
      <c r="G903" s="741"/>
      <c r="H903" s="741"/>
      <c r="I903" s="741"/>
      <c r="J903" s="741"/>
      <c r="K903" s="741"/>
      <c r="L903" s="741"/>
      <c r="M903" s="741"/>
      <c r="N903" s="741"/>
      <c r="O903" s="741"/>
      <c r="P903" s="741"/>
      <c r="Q903" s="741"/>
      <c r="R903" s="741"/>
      <c r="S903" s="741"/>
      <c r="T903" s="741"/>
      <c r="U903" s="741"/>
      <c r="V903" s="741"/>
      <c r="W903" s="741"/>
      <c r="X903" s="741"/>
      <c r="Y903" s="741"/>
      <c r="Z903" s="741"/>
      <c r="AA903" s="741"/>
      <c r="AB903" s="741"/>
      <c r="AC903" s="741"/>
      <c r="AD903" s="741"/>
      <c r="AE903" s="741"/>
      <c r="AF903" s="741"/>
      <c r="AG903" s="741"/>
      <c r="AH903" s="741"/>
      <c r="AI903" s="741"/>
      <c r="AJ903" s="741"/>
      <c r="AK903" s="741"/>
      <c r="AL903" s="741"/>
      <c r="AM903" s="741"/>
      <c r="AN903" s="741"/>
      <c r="AO903" s="741"/>
      <c r="AP903" s="741"/>
    </row>
    <row r="904" spans="1:42" ht="12.75" customHeight="1">
      <c r="A904" s="741"/>
      <c r="B904" s="741"/>
      <c r="C904" s="741"/>
      <c r="D904" s="741"/>
      <c r="E904" s="741"/>
      <c r="F904" s="741"/>
      <c r="G904" s="741"/>
      <c r="H904" s="741"/>
      <c r="I904" s="741"/>
      <c r="J904" s="741"/>
      <c r="K904" s="741"/>
      <c r="L904" s="741"/>
      <c r="M904" s="741"/>
      <c r="N904" s="741"/>
      <c r="O904" s="741"/>
      <c r="P904" s="741"/>
      <c r="Q904" s="741"/>
      <c r="R904" s="741"/>
      <c r="S904" s="741"/>
      <c r="T904" s="741"/>
      <c r="U904" s="741"/>
      <c r="V904" s="741"/>
      <c r="W904" s="741"/>
      <c r="X904" s="741"/>
      <c r="Y904" s="741"/>
      <c r="Z904" s="741"/>
      <c r="AA904" s="741"/>
      <c r="AB904" s="741"/>
      <c r="AC904" s="741"/>
      <c r="AD904" s="741"/>
      <c r="AE904" s="741"/>
      <c r="AF904" s="741"/>
      <c r="AG904" s="741"/>
      <c r="AH904" s="741"/>
      <c r="AI904" s="741"/>
      <c r="AJ904" s="741"/>
      <c r="AK904" s="741"/>
      <c r="AL904" s="741"/>
      <c r="AM904" s="741"/>
      <c r="AN904" s="741"/>
      <c r="AO904" s="741"/>
      <c r="AP904" s="741"/>
    </row>
    <row r="905" spans="1:42" ht="12.75" customHeight="1">
      <c r="A905" s="741"/>
      <c r="B905" s="741"/>
      <c r="C905" s="741"/>
      <c r="D905" s="741"/>
      <c r="E905" s="741"/>
      <c r="F905" s="741"/>
      <c r="G905" s="741"/>
      <c r="H905" s="741"/>
      <c r="I905" s="741"/>
      <c r="J905" s="741"/>
      <c r="K905" s="741"/>
      <c r="L905" s="741"/>
      <c r="M905" s="741"/>
      <c r="N905" s="741"/>
      <c r="O905" s="741"/>
      <c r="P905" s="741"/>
      <c r="Q905" s="741"/>
      <c r="R905" s="741"/>
      <c r="S905" s="741"/>
      <c r="T905" s="741"/>
      <c r="U905" s="741"/>
      <c r="V905" s="741"/>
      <c r="W905" s="741"/>
      <c r="X905" s="741"/>
      <c r="Y905" s="741"/>
      <c r="Z905" s="741"/>
      <c r="AA905" s="741"/>
      <c r="AB905" s="741"/>
      <c r="AC905" s="741"/>
      <c r="AD905" s="741"/>
      <c r="AE905" s="741"/>
      <c r="AF905" s="741"/>
      <c r="AG905" s="741"/>
      <c r="AH905" s="741"/>
      <c r="AI905" s="741"/>
      <c r="AJ905" s="741"/>
      <c r="AK905" s="741"/>
      <c r="AL905" s="741"/>
      <c r="AM905" s="741"/>
      <c r="AN905" s="741"/>
      <c r="AO905" s="741"/>
      <c r="AP905" s="741"/>
    </row>
    <row r="906" spans="1:42" ht="12.75" customHeight="1">
      <c r="A906" s="741"/>
      <c r="B906" s="741"/>
      <c r="C906" s="741"/>
      <c r="D906" s="741"/>
      <c r="E906" s="741"/>
      <c r="F906" s="741"/>
      <c r="G906" s="741"/>
      <c r="H906" s="741"/>
      <c r="I906" s="741"/>
      <c r="J906" s="741"/>
      <c r="K906" s="741"/>
      <c r="L906" s="741"/>
      <c r="M906" s="741"/>
      <c r="N906" s="741"/>
      <c r="O906" s="741"/>
      <c r="P906" s="741"/>
      <c r="Q906" s="741"/>
      <c r="R906" s="741"/>
      <c r="S906" s="741"/>
      <c r="T906" s="741"/>
      <c r="U906" s="741"/>
      <c r="V906" s="741"/>
      <c r="W906" s="741"/>
      <c r="X906" s="741"/>
      <c r="Y906" s="741"/>
      <c r="Z906" s="741"/>
      <c r="AA906" s="741"/>
      <c r="AB906" s="741"/>
      <c r="AC906" s="741"/>
      <c r="AD906" s="741"/>
      <c r="AE906" s="741"/>
      <c r="AF906" s="741"/>
      <c r="AG906" s="741"/>
      <c r="AH906" s="741"/>
      <c r="AI906" s="741"/>
      <c r="AJ906" s="741"/>
      <c r="AK906" s="741"/>
      <c r="AL906" s="741"/>
      <c r="AM906" s="741"/>
      <c r="AN906" s="741"/>
      <c r="AO906" s="741"/>
      <c r="AP906" s="741"/>
    </row>
    <row r="907" spans="1:42" ht="12.75" customHeight="1">
      <c r="A907" s="741"/>
      <c r="B907" s="741"/>
      <c r="C907" s="741"/>
      <c r="D907" s="741"/>
      <c r="E907" s="741"/>
      <c r="F907" s="741"/>
      <c r="G907" s="741"/>
      <c r="H907" s="741"/>
      <c r="I907" s="741"/>
      <c r="J907" s="741"/>
      <c r="K907" s="741"/>
      <c r="L907" s="741"/>
      <c r="M907" s="741"/>
      <c r="N907" s="741"/>
      <c r="O907" s="741"/>
      <c r="P907" s="741"/>
      <c r="Q907" s="741"/>
      <c r="R907" s="741"/>
      <c r="S907" s="741"/>
      <c r="T907" s="741"/>
      <c r="U907" s="741"/>
      <c r="V907" s="741"/>
      <c r="W907" s="741"/>
      <c r="X907" s="741"/>
      <c r="Y907" s="741"/>
      <c r="Z907" s="741"/>
      <c r="AA907" s="741"/>
      <c r="AB907" s="741"/>
      <c r="AC907" s="741"/>
      <c r="AD907" s="741"/>
      <c r="AE907" s="741"/>
      <c r="AF907" s="741"/>
      <c r="AG907" s="741"/>
      <c r="AH907" s="741"/>
      <c r="AI907" s="741"/>
      <c r="AJ907" s="741"/>
      <c r="AK907" s="741"/>
      <c r="AL907" s="741"/>
      <c r="AM907" s="741"/>
      <c r="AN907" s="741"/>
      <c r="AO907" s="741"/>
      <c r="AP907" s="741"/>
    </row>
    <row r="908" spans="1:42" ht="12.75" customHeight="1">
      <c r="A908" s="741"/>
      <c r="B908" s="741"/>
      <c r="C908" s="741"/>
      <c r="D908" s="741"/>
      <c r="E908" s="741"/>
      <c r="F908" s="741"/>
      <c r="G908" s="741"/>
      <c r="H908" s="741"/>
      <c r="I908" s="741"/>
      <c r="J908" s="741"/>
      <c r="K908" s="741"/>
      <c r="L908" s="741"/>
      <c r="M908" s="741"/>
      <c r="N908" s="741"/>
      <c r="O908" s="741"/>
      <c r="P908" s="741"/>
      <c r="Q908" s="741"/>
      <c r="R908" s="741"/>
      <c r="S908" s="741"/>
      <c r="T908" s="741"/>
      <c r="U908" s="741"/>
      <c r="V908" s="741"/>
      <c r="W908" s="741"/>
      <c r="X908" s="741"/>
      <c r="Y908" s="741"/>
      <c r="Z908" s="741"/>
      <c r="AA908" s="741"/>
      <c r="AB908" s="741"/>
      <c r="AC908" s="741"/>
      <c r="AD908" s="741"/>
      <c r="AE908" s="741"/>
      <c r="AF908" s="741"/>
      <c r="AG908" s="741"/>
      <c r="AH908" s="741"/>
      <c r="AI908" s="741"/>
      <c r="AJ908" s="741"/>
      <c r="AK908" s="741"/>
      <c r="AL908" s="741"/>
      <c r="AM908" s="741"/>
      <c r="AN908" s="741"/>
      <c r="AO908" s="741"/>
      <c r="AP908" s="741"/>
    </row>
    <row r="909" spans="1:42" ht="12.75" customHeight="1">
      <c r="A909" s="741"/>
      <c r="B909" s="741"/>
      <c r="C909" s="741"/>
      <c r="D909" s="741"/>
      <c r="E909" s="741"/>
      <c r="F909" s="741"/>
      <c r="G909" s="741"/>
      <c r="H909" s="741"/>
      <c r="I909" s="741"/>
      <c r="J909" s="741"/>
      <c r="K909" s="741"/>
      <c r="L909" s="741"/>
      <c r="M909" s="741"/>
      <c r="N909" s="741"/>
      <c r="O909" s="741"/>
      <c r="P909" s="741"/>
      <c r="Q909" s="741"/>
      <c r="R909" s="741"/>
      <c r="S909" s="741"/>
      <c r="T909" s="741"/>
      <c r="U909" s="741"/>
      <c r="V909" s="741"/>
      <c r="W909" s="741"/>
      <c r="X909" s="741"/>
      <c r="Y909" s="741"/>
      <c r="Z909" s="741"/>
      <c r="AA909" s="741"/>
      <c r="AB909" s="741"/>
      <c r="AC909" s="741"/>
      <c r="AD909" s="741"/>
      <c r="AE909" s="741"/>
      <c r="AF909" s="741"/>
      <c r="AG909" s="741"/>
      <c r="AH909" s="741"/>
      <c r="AI909" s="741"/>
      <c r="AJ909" s="741"/>
      <c r="AK909" s="741"/>
      <c r="AL909" s="741"/>
      <c r="AM909" s="741"/>
      <c r="AN909" s="741"/>
      <c r="AO909" s="741"/>
      <c r="AP909" s="741"/>
    </row>
    <row r="910" spans="1:42" ht="12.75" customHeight="1">
      <c r="A910" s="741"/>
      <c r="B910" s="741"/>
      <c r="C910" s="741"/>
      <c r="D910" s="741"/>
      <c r="E910" s="741"/>
      <c r="F910" s="741"/>
      <c r="G910" s="741"/>
      <c r="H910" s="741"/>
      <c r="I910" s="741"/>
      <c r="J910" s="741"/>
      <c r="K910" s="741"/>
      <c r="L910" s="741"/>
      <c r="M910" s="741"/>
      <c r="N910" s="741"/>
      <c r="O910" s="741"/>
      <c r="P910" s="741"/>
      <c r="Q910" s="741"/>
      <c r="R910" s="741"/>
      <c r="S910" s="741"/>
      <c r="T910" s="741"/>
      <c r="U910" s="741"/>
      <c r="V910" s="741"/>
      <c r="W910" s="741"/>
      <c r="X910" s="741"/>
      <c r="Y910" s="741"/>
      <c r="Z910" s="741"/>
      <c r="AA910" s="741"/>
      <c r="AB910" s="741"/>
      <c r="AC910" s="741"/>
      <c r="AD910" s="741"/>
      <c r="AE910" s="741"/>
      <c r="AF910" s="741"/>
      <c r="AG910" s="741"/>
      <c r="AH910" s="741"/>
      <c r="AI910" s="741"/>
      <c r="AJ910" s="741"/>
      <c r="AK910" s="741"/>
      <c r="AL910" s="741"/>
      <c r="AM910" s="741"/>
      <c r="AN910" s="741"/>
      <c r="AO910" s="741"/>
      <c r="AP910" s="741"/>
    </row>
    <row r="911" spans="1:42" ht="12.75" customHeight="1">
      <c r="A911" s="741"/>
      <c r="B911" s="741"/>
      <c r="C911" s="741"/>
      <c r="D911" s="741"/>
      <c r="E911" s="741"/>
      <c r="F911" s="741"/>
      <c r="G911" s="741"/>
      <c r="H911" s="741"/>
      <c r="I911" s="741"/>
      <c r="J911" s="741"/>
      <c r="K911" s="741"/>
      <c r="L911" s="741"/>
      <c r="M911" s="741"/>
      <c r="N911" s="741"/>
      <c r="O911" s="741"/>
      <c r="P911" s="741"/>
      <c r="Q911" s="741"/>
      <c r="R911" s="741"/>
      <c r="S911" s="741"/>
      <c r="T911" s="741"/>
      <c r="U911" s="741"/>
      <c r="V911" s="741"/>
      <c r="W911" s="741"/>
      <c r="X911" s="741"/>
      <c r="Y911" s="741"/>
      <c r="Z911" s="741"/>
      <c r="AA911" s="741"/>
      <c r="AB911" s="741"/>
      <c r="AC911" s="741"/>
      <c r="AD911" s="741"/>
      <c r="AE911" s="741"/>
      <c r="AF911" s="741"/>
      <c r="AG911" s="741"/>
      <c r="AH911" s="741"/>
      <c r="AI911" s="741"/>
      <c r="AJ911" s="741"/>
      <c r="AK911" s="741"/>
      <c r="AL911" s="741"/>
      <c r="AM911" s="741"/>
      <c r="AN911" s="741"/>
      <c r="AO911" s="741"/>
      <c r="AP911" s="741"/>
    </row>
    <row r="912" spans="1:42" ht="12.75" customHeight="1">
      <c r="A912" s="741"/>
      <c r="B912" s="741"/>
      <c r="C912" s="741"/>
      <c r="D912" s="741"/>
      <c r="E912" s="741"/>
      <c r="F912" s="741"/>
      <c r="G912" s="741"/>
      <c r="H912" s="741"/>
      <c r="I912" s="741"/>
      <c r="J912" s="741"/>
      <c r="K912" s="741"/>
      <c r="L912" s="741"/>
      <c r="M912" s="741"/>
      <c r="N912" s="741"/>
      <c r="O912" s="741"/>
      <c r="P912" s="741"/>
      <c r="Q912" s="741"/>
      <c r="R912" s="741"/>
      <c r="S912" s="741"/>
      <c r="T912" s="741"/>
      <c r="U912" s="741"/>
      <c r="V912" s="741"/>
      <c r="W912" s="741"/>
      <c r="X912" s="741"/>
      <c r="Y912" s="741"/>
      <c r="Z912" s="741"/>
      <c r="AA912" s="741"/>
      <c r="AB912" s="741"/>
      <c r="AC912" s="741"/>
      <c r="AD912" s="741"/>
      <c r="AE912" s="741"/>
      <c r="AF912" s="741"/>
      <c r="AG912" s="741"/>
      <c r="AH912" s="741"/>
      <c r="AI912" s="741"/>
      <c r="AJ912" s="741"/>
      <c r="AK912" s="741"/>
      <c r="AL912" s="741"/>
      <c r="AM912" s="741"/>
      <c r="AN912" s="741"/>
      <c r="AO912" s="741"/>
      <c r="AP912" s="741"/>
    </row>
    <row r="913" spans="1:42" ht="12.75" customHeight="1">
      <c r="A913" s="741"/>
      <c r="B913" s="741"/>
      <c r="C913" s="741"/>
      <c r="D913" s="741"/>
      <c r="E913" s="741"/>
      <c r="F913" s="741"/>
      <c r="G913" s="741"/>
      <c r="H913" s="741"/>
      <c r="I913" s="741"/>
      <c r="J913" s="741"/>
      <c r="K913" s="741"/>
      <c r="L913" s="741"/>
      <c r="M913" s="741"/>
      <c r="N913" s="741"/>
      <c r="O913" s="741"/>
      <c r="P913" s="741"/>
      <c r="Q913" s="741"/>
      <c r="R913" s="741"/>
      <c r="S913" s="741"/>
      <c r="T913" s="741"/>
      <c r="U913" s="741"/>
      <c r="V913" s="741"/>
      <c r="W913" s="741"/>
      <c r="X913" s="741"/>
      <c r="Y913" s="741"/>
      <c r="Z913" s="741"/>
      <c r="AA913" s="741"/>
      <c r="AB913" s="741"/>
      <c r="AC913" s="741"/>
      <c r="AD913" s="741"/>
      <c r="AE913" s="741"/>
      <c r="AF913" s="741"/>
      <c r="AG913" s="741"/>
      <c r="AH913" s="741"/>
      <c r="AI913" s="741"/>
      <c r="AJ913" s="741"/>
      <c r="AK913" s="741"/>
      <c r="AL913" s="741"/>
      <c r="AM913" s="741"/>
      <c r="AN913" s="741"/>
      <c r="AO913" s="741"/>
      <c r="AP913" s="741"/>
    </row>
    <row r="914" spans="1:42" ht="12.75" customHeight="1">
      <c r="A914" s="741"/>
      <c r="B914" s="741"/>
      <c r="C914" s="741"/>
      <c r="D914" s="741"/>
      <c r="E914" s="741"/>
      <c r="F914" s="741"/>
      <c r="G914" s="741"/>
      <c r="H914" s="741"/>
      <c r="I914" s="741"/>
      <c r="J914" s="741"/>
      <c r="K914" s="741"/>
      <c r="L914" s="741"/>
      <c r="M914" s="741"/>
      <c r="N914" s="741"/>
      <c r="O914" s="741"/>
      <c r="P914" s="741"/>
      <c r="Q914" s="741"/>
      <c r="R914" s="741"/>
      <c r="S914" s="741"/>
      <c r="T914" s="741"/>
      <c r="U914" s="741"/>
      <c r="V914" s="741"/>
      <c r="W914" s="741"/>
      <c r="X914" s="741"/>
      <c r="Y914" s="741"/>
      <c r="Z914" s="741"/>
      <c r="AA914" s="741"/>
      <c r="AB914" s="741"/>
      <c r="AC914" s="741"/>
      <c r="AD914" s="741"/>
      <c r="AE914" s="741"/>
      <c r="AF914" s="741"/>
      <c r="AG914" s="741"/>
      <c r="AH914" s="741"/>
      <c r="AI914" s="741"/>
      <c r="AJ914" s="741"/>
      <c r="AK914" s="741"/>
      <c r="AL914" s="741"/>
      <c r="AM914" s="741"/>
      <c r="AN914" s="741"/>
      <c r="AO914" s="741"/>
      <c r="AP914" s="741"/>
    </row>
    <row r="915" spans="1:42" ht="12.75" customHeight="1">
      <c r="A915" s="741"/>
      <c r="B915" s="741"/>
      <c r="C915" s="741"/>
      <c r="D915" s="741"/>
      <c r="E915" s="741"/>
      <c r="F915" s="741"/>
      <c r="G915" s="741"/>
      <c r="H915" s="741"/>
      <c r="I915" s="741"/>
      <c r="J915" s="741"/>
      <c r="K915" s="741"/>
      <c r="L915" s="741"/>
      <c r="M915" s="741"/>
      <c r="N915" s="741"/>
      <c r="O915" s="741"/>
      <c r="P915" s="741"/>
      <c r="Q915" s="741"/>
      <c r="R915" s="741"/>
      <c r="S915" s="741"/>
      <c r="T915" s="741"/>
      <c r="U915" s="741"/>
      <c r="V915" s="741"/>
      <c r="W915" s="741"/>
      <c r="X915" s="741"/>
      <c r="Y915" s="741"/>
      <c r="Z915" s="741"/>
      <c r="AA915" s="741"/>
      <c r="AB915" s="741"/>
      <c r="AC915" s="741"/>
      <c r="AD915" s="741"/>
      <c r="AE915" s="741"/>
      <c r="AF915" s="741"/>
      <c r="AG915" s="741"/>
      <c r="AH915" s="741"/>
      <c r="AI915" s="741"/>
      <c r="AJ915" s="741"/>
      <c r="AK915" s="741"/>
      <c r="AL915" s="741"/>
      <c r="AM915" s="741"/>
      <c r="AN915" s="741"/>
      <c r="AO915" s="741"/>
      <c r="AP915" s="741"/>
    </row>
    <row r="916" spans="1:42" ht="12.75" customHeight="1">
      <c r="A916" s="741"/>
      <c r="B916" s="741"/>
      <c r="C916" s="741"/>
      <c r="D916" s="741"/>
      <c r="E916" s="741"/>
      <c r="F916" s="741"/>
      <c r="G916" s="741"/>
      <c r="H916" s="741"/>
      <c r="I916" s="741"/>
      <c r="J916" s="741"/>
      <c r="K916" s="741"/>
      <c r="L916" s="741"/>
      <c r="M916" s="741"/>
      <c r="N916" s="741"/>
      <c r="O916" s="741"/>
      <c r="P916" s="741"/>
      <c r="Q916" s="741"/>
      <c r="R916" s="741"/>
      <c r="S916" s="741"/>
      <c r="T916" s="741"/>
      <c r="U916" s="741"/>
      <c r="V916" s="741"/>
      <c r="W916" s="741"/>
      <c r="X916" s="741"/>
      <c r="Y916" s="741"/>
      <c r="Z916" s="741"/>
      <c r="AA916" s="741"/>
      <c r="AB916" s="741"/>
      <c r="AC916" s="741"/>
      <c r="AD916" s="741"/>
      <c r="AE916" s="741"/>
      <c r="AF916" s="741"/>
      <c r="AG916" s="741"/>
      <c r="AH916" s="741"/>
      <c r="AI916" s="741"/>
      <c r="AJ916" s="741"/>
      <c r="AK916" s="741"/>
      <c r="AL916" s="741"/>
      <c r="AM916" s="741"/>
      <c r="AN916" s="741"/>
      <c r="AO916" s="741"/>
      <c r="AP916" s="741"/>
    </row>
    <row r="917" spans="1:42" ht="12.75" customHeight="1">
      <c r="A917" s="741"/>
      <c r="B917" s="741"/>
      <c r="C917" s="741"/>
      <c r="D917" s="741"/>
      <c r="E917" s="741"/>
      <c r="F917" s="741"/>
      <c r="G917" s="741"/>
      <c r="H917" s="741"/>
      <c r="I917" s="741"/>
      <c r="J917" s="741"/>
      <c r="K917" s="741"/>
      <c r="L917" s="741"/>
      <c r="M917" s="741"/>
      <c r="N917" s="741"/>
      <c r="O917" s="741"/>
      <c r="P917" s="741"/>
      <c r="Q917" s="741"/>
      <c r="R917" s="741"/>
      <c r="S917" s="741"/>
      <c r="T917" s="741"/>
      <c r="U917" s="741"/>
      <c r="V917" s="741"/>
      <c r="W917" s="741"/>
      <c r="X917" s="741"/>
      <c r="Y917" s="741"/>
      <c r="Z917" s="741"/>
      <c r="AA917" s="741"/>
      <c r="AB917" s="741"/>
      <c r="AC917" s="741"/>
      <c r="AD917" s="741"/>
      <c r="AE917" s="741"/>
      <c r="AF917" s="741"/>
      <c r="AG917" s="741"/>
      <c r="AH917" s="741"/>
      <c r="AI917" s="741"/>
      <c r="AJ917" s="741"/>
      <c r="AK917" s="741"/>
      <c r="AL917" s="741"/>
      <c r="AM917" s="741"/>
      <c r="AN917" s="741"/>
      <c r="AO917" s="741"/>
      <c r="AP917" s="741"/>
    </row>
    <row r="918" spans="1:42" ht="12.75" customHeight="1">
      <c r="A918" s="741"/>
      <c r="B918" s="741"/>
      <c r="C918" s="741"/>
      <c r="D918" s="741"/>
      <c r="E918" s="741"/>
      <c r="F918" s="741"/>
      <c r="G918" s="741"/>
      <c r="H918" s="741"/>
      <c r="I918" s="741"/>
      <c r="J918" s="741"/>
      <c r="K918" s="741"/>
      <c r="L918" s="741"/>
      <c r="M918" s="741"/>
      <c r="N918" s="741"/>
      <c r="O918" s="741"/>
      <c r="P918" s="741"/>
      <c r="Q918" s="741"/>
      <c r="R918" s="741"/>
      <c r="S918" s="741"/>
      <c r="T918" s="741"/>
      <c r="U918" s="741"/>
      <c r="V918" s="741"/>
      <c r="W918" s="741"/>
      <c r="X918" s="741"/>
      <c r="Y918" s="741"/>
      <c r="Z918" s="741"/>
      <c r="AA918" s="741"/>
      <c r="AB918" s="741"/>
      <c r="AC918" s="741"/>
      <c r="AD918" s="741"/>
      <c r="AE918" s="741"/>
      <c r="AF918" s="741"/>
      <c r="AG918" s="741"/>
      <c r="AH918" s="741"/>
      <c r="AI918" s="741"/>
      <c r="AJ918" s="741"/>
      <c r="AK918" s="741"/>
      <c r="AL918" s="741"/>
      <c r="AM918" s="741"/>
      <c r="AN918" s="741"/>
      <c r="AO918" s="741"/>
      <c r="AP918" s="741"/>
    </row>
    <row r="919" spans="1:42" ht="12.75" customHeight="1">
      <c r="A919" s="741"/>
      <c r="B919" s="741"/>
      <c r="C919" s="741"/>
      <c r="D919" s="741"/>
      <c r="E919" s="741"/>
      <c r="F919" s="741"/>
      <c r="G919" s="741"/>
      <c r="H919" s="741"/>
      <c r="I919" s="741"/>
      <c r="J919" s="741"/>
      <c r="K919" s="741"/>
      <c r="L919" s="741"/>
      <c r="M919" s="741"/>
      <c r="N919" s="741"/>
      <c r="O919" s="741"/>
      <c r="P919" s="741"/>
      <c r="Q919" s="741"/>
      <c r="R919" s="741"/>
      <c r="S919" s="741"/>
      <c r="T919" s="741"/>
      <c r="U919" s="741"/>
      <c r="V919" s="741"/>
      <c r="W919" s="741"/>
      <c r="X919" s="741"/>
      <c r="Y919" s="741"/>
      <c r="Z919" s="741"/>
      <c r="AA919" s="741"/>
      <c r="AB919" s="741"/>
      <c r="AC919" s="741"/>
      <c r="AD919" s="741"/>
      <c r="AE919" s="741"/>
      <c r="AF919" s="741"/>
      <c r="AG919" s="741"/>
      <c r="AH919" s="741"/>
      <c r="AI919" s="741"/>
      <c r="AJ919" s="741"/>
      <c r="AK919" s="741"/>
      <c r="AL919" s="741"/>
      <c r="AM919" s="741"/>
      <c r="AN919" s="741"/>
      <c r="AO919" s="741"/>
      <c r="AP919" s="741"/>
    </row>
    <row r="920" spans="1:42" ht="12.75" customHeight="1">
      <c r="A920" s="741"/>
      <c r="B920" s="741"/>
      <c r="C920" s="741"/>
      <c r="D920" s="741"/>
      <c r="E920" s="741"/>
      <c r="F920" s="741"/>
      <c r="G920" s="741"/>
      <c r="H920" s="741"/>
      <c r="I920" s="741"/>
      <c r="J920" s="741"/>
      <c r="K920" s="741"/>
      <c r="L920" s="741"/>
      <c r="M920" s="741"/>
      <c r="N920" s="741"/>
      <c r="O920" s="741"/>
      <c r="P920" s="741"/>
      <c r="Q920" s="741"/>
      <c r="R920" s="741"/>
      <c r="S920" s="741"/>
      <c r="T920" s="741"/>
      <c r="U920" s="741"/>
      <c r="V920" s="741"/>
      <c r="W920" s="741"/>
      <c r="X920" s="741"/>
      <c r="Y920" s="741"/>
      <c r="Z920" s="741"/>
      <c r="AA920" s="741"/>
      <c r="AB920" s="741"/>
      <c r="AC920" s="741"/>
      <c r="AD920" s="741"/>
      <c r="AE920" s="741"/>
      <c r="AF920" s="741"/>
      <c r="AG920" s="741"/>
      <c r="AH920" s="741"/>
      <c r="AI920" s="741"/>
      <c r="AJ920" s="741"/>
      <c r="AK920" s="741"/>
      <c r="AL920" s="741"/>
      <c r="AM920" s="741"/>
      <c r="AN920" s="741"/>
      <c r="AO920" s="741"/>
      <c r="AP920" s="741"/>
    </row>
    <row r="921" spans="1:42" ht="12.75" customHeight="1">
      <c r="A921" s="741"/>
      <c r="B921" s="741"/>
      <c r="C921" s="741"/>
      <c r="D921" s="741"/>
      <c r="E921" s="741"/>
      <c r="F921" s="741"/>
      <c r="G921" s="741"/>
      <c r="H921" s="741"/>
      <c r="I921" s="741"/>
      <c r="J921" s="741"/>
      <c r="K921" s="741"/>
      <c r="L921" s="741"/>
      <c r="M921" s="741"/>
      <c r="N921" s="741"/>
      <c r="O921" s="741"/>
      <c r="P921" s="741"/>
      <c r="Q921" s="741"/>
      <c r="R921" s="741"/>
      <c r="S921" s="741"/>
      <c r="T921" s="741"/>
      <c r="U921" s="741"/>
      <c r="V921" s="741"/>
      <c r="W921" s="741"/>
      <c r="X921" s="741"/>
      <c r="Y921" s="741"/>
      <c r="Z921" s="741"/>
      <c r="AA921" s="741"/>
      <c r="AB921" s="741"/>
      <c r="AC921" s="741"/>
      <c r="AD921" s="741"/>
      <c r="AE921" s="741"/>
      <c r="AF921" s="741"/>
      <c r="AG921" s="741"/>
      <c r="AH921" s="741"/>
      <c r="AI921" s="741"/>
      <c r="AJ921" s="741"/>
      <c r="AK921" s="741"/>
      <c r="AL921" s="741"/>
      <c r="AM921" s="741"/>
      <c r="AN921" s="741"/>
      <c r="AO921" s="741"/>
      <c r="AP921" s="741"/>
    </row>
    <row r="922" spans="1:42" ht="12.75" customHeight="1">
      <c r="A922" s="741"/>
      <c r="B922" s="741"/>
      <c r="C922" s="741"/>
      <c r="D922" s="741"/>
      <c r="E922" s="741"/>
      <c r="F922" s="741"/>
      <c r="G922" s="741"/>
      <c r="H922" s="741"/>
      <c r="I922" s="741"/>
      <c r="J922" s="741"/>
      <c r="K922" s="741"/>
      <c r="L922" s="741"/>
      <c r="M922" s="741"/>
      <c r="N922" s="741"/>
      <c r="O922" s="741"/>
      <c r="P922" s="741"/>
      <c r="Q922" s="741"/>
      <c r="R922" s="741"/>
      <c r="S922" s="741"/>
      <c r="T922" s="741"/>
      <c r="U922" s="741"/>
      <c r="V922" s="741"/>
      <c r="W922" s="741"/>
      <c r="X922" s="741"/>
      <c r="Y922" s="741"/>
      <c r="Z922" s="741"/>
      <c r="AA922" s="741"/>
      <c r="AB922" s="741"/>
      <c r="AC922" s="741"/>
      <c r="AD922" s="741"/>
      <c r="AE922" s="741"/>
      <c r="AF922" s="741"/>
      <c r="AG922" s="741"/>
      <c r="AH922" s="741"/>
      <c r="AI922" s="741"/>
      <c r="AJ922" s="741"/>
      <c r="AK922" s="741"/>
      <c r="AL922" s="741"/>
      <c r="AM922" s="741"/>
      <c r="AN922" s="741"/>
      <c r="AO922" s="741"/>
      <c r="AP922" s="741"/>
    </row>
    <row r="923" spans="1:42" ht="12.75" customHeight="1">
      <c r="A923" s="741"/>
      <c r="B923" s="741"/>
      <c r="C923" s="741"/>
      <c r="D923" s="741"/>
      <c r="E923" s="741"/>
      <c r="F923" s="741"/>
      <c r="G923" s="741"/>
      <c r="H923" s="741"/>
      <c r="I923" s="741"/>
      <c r="J923" s="741"/>
      <c r="K923" s="741"/>
      <c r="L923" s="741"/>
      <c r="M923" s="741"/>
      <c r="N923" s="741"/>
      <c r="O923" s="741"/>
      <c r="P923" s="741"/>
      <c r="Q923" s="741"/>
      <c r="R923" s="741"/>
      <c r="S923" s="741"/>
      <c r="T923" s="741"/>
      <c r="U923" s="741"/>
      <c r="V923" s="741"/>
      <c r="W923" s="741"/>
      <c r="X923" s="741"/>
      <c r="Y923" s="741"/>
      <c r="Z923" s="741"/>
      <c r="AA923" s="741"/>
      <c r="AB923" s="741"/>
      <c r="AC923" s="741"/>
      <c r="AD923" s="741"/>
      <c r="AE923" s="741"/>
      <c r="AF923" s="741"/>
      <c r="AG923" s="741"/>
      <c r="AH923" s="741"/>
      <c r="AI923" s="741"/>
      <c r="AJ923" s="741"/>
      <c r="AK923" s="741"/>
      <c r="AL923" s="741"/>
      <c r="AM923" s="741"/>
      <c r="AN923" s="741"/>
      <c r="AO923" s="741"/>
      <c r="AP923" s="741"/>
    </row>
    <row r="924" spans="1:42" ht="12.75" customHeight="1">
      <c r="A924" s="741"/>
      <c r="B924" s="741"/>
      <c r="C924" s="741"/>
      <c r="D924" s="741"/>
      <c r="E924" s="741"/>
      <c r="F924" s="741"/>
      <c r="G924" s="741"/>
      <c r="H924" s="741"/>
      <c r="I924" s="741"/>
      <c r="J924" s="741"/>
      <c r="K924" s="741"/>
      <c r="L924" s="741"/>
      <c r="M924" s="741"/>
      <c r="N924" s="741"/>
      <c r="O924" s="741"/>
      <c r="P924" s="741"/>
      <c r="Q924" s="741"/>
      <c r="R924" s="741"/>
      <c r="S924" s="741"/>
      <c r="T924" s="741"/>
      <c r="U924" s="741"/>
      <c r="V924" s="741"/>
      <c r="W924" s="741"/>
      <c r="X924" s="741"/>
      <c r="Y924" s="741"/>
      <c r="Z924" s="741"/>
      <c r="AA924" s="741"/>
      <c r="AB924" s="741"/>
      <c r="AC924" s="741"/>
      <c r="AD924" s="741"/>
      <c r="AE924" s="741"/>
      <c r="AF924" s="741"/>
      <c r="AG924" s="741"/>
      <c r="AH924" s="741"/>
      <c r="AI924" s="741"/>
      <c r="AJ924" s="741"/>
      <c r="AK924" s="741"/>
      <c r="AL924" s="741"/>
      <c r="AM924" s="741"/>
      <c r="AN924" s="741"/>
      <c r="AO924" s="741"/>
      <c r="AP924" s="741"/>
    </row>
    <row r="925" spans="1:42" ht="12.75" customHeight="1">
      <c r="A925" s="741"/>
      <c r="B925" s="741"/>
      <c r="C925" s="741"/>
      <c r="D925" s="741"/>
      <c r="E925" s="741"/>
      <c r="F925" s="741"/>
      <c r="G925" s="741"/>
      <c r="H925" s="741"/>
      <c r="I925" s="741"/>
      <c r="J925" s="741"/>
      <c r="K925" s="741"/>
      <c r="L925" s="741"/>
      <c r="M925" s="741"/>
      <c r="N925" s="741"/>
      <c r="O925" s="741"/>
      <c r="P925" s="741"/>
      <c r="Q925" s="741"/>
      <c r="R925" s="741"/>
      <c r="S925" s="741"/>
      <c r="T925" s="741"/>
      <c r="U925" s="741"/>
      <c r="V925" s="741"/>
      <c r="W925" s="741"/>
      <c r="X925" s="741"/>
      <c r="Y925" s="741"/>
      <c r="Z925" s="741"/>
      <c r="AA925" s="741"/>
      <c r="AB925" s="741"/>
      <c r="AC925" s="741"/>
      <c r="AD925" s="741"/>
      <c r="AE925" s="741"/>
      <c r="AF925" s="741"/>
      <c r="AG925" s="741"/>
      <c r="AH925" s="741"/>
      <c r="AI925" s="741"/>
      <c r="AJ925" s="741"/>
      <c r="AK925" s="741"/>
      <c r="AL925" s="741"/>
      <c r="AM925" s="741"/>
      <c r="AN925" s="741"/>
      <c r="AO925" s="741"/>
      <c r="AP925" s="741"/>
    </row>
    <row r="926" spans="1:42" ht="12.75" customHeight="1">
      <c r="A926" s="741"/>
      <c r="B926" s="741"/>
      <c r="C926" s="741"/>
      <c r="D926" s="741"/>
      <c r="E926" s="741"/>
      <c r="F926" s="741"/>
      <c r="G926" s="741"/>
      <c r="H926" s="741"/>
      <c r="I926" s="741"/>
      <c r="J926" s="741"/>
      <c r="K926" s="741"/>
      <c r="L926" s="741"/>
      <c r="M926" s="741"/>
      <c r="N926" s="741"/>
      <c r="O926" s="741"/>
      <c r="P926" s="741"/>
      <c r="Q926" s="741"/>
      <c r="R926" s="741"/>
      <c r="S926" s="741"/>
      <c r="T926" s="741"/>
      <c r="U926" s="741"/>
      <c r="V926" s="741"/>
      <c r="W926" s="741"/>
      <c r="X926" s="741"/>
      <c r="Y926" s="741"/>
      <c r="Z926" s="741"/>
      <c r="AA926" s="741"/>
      <c r="AB926" s="741"/>
      <c r="AC926" s="741"/>
      <c r="AD926" s="741"/>
      <c r="AE926" s="741"/>
      <c r="AF926" s="741"/>
      <c r="AG926" s="741"/>
      <c r="AH926" s="741"/>
      <c r="AI926" s="741"/>
      <c r="AJ926" s="741"/>
      <c r="AK926" s="741"/>
      <c r="AL926" s="741"/>
      <c r="AM926" s="741"/>
      <c r="AN926" s="741"/>
      <c r="AO926" s="741"/>
      <c r="AP926" s="741"/>
    </row>
    <row r="927" spans="1:42" ht="12.75" customHeight="1">
      <c r="A927" s="741"/>
      <c r="B927" s="741"/>
      <c r="C927" s="741"/>
      <c r="D927" s="741"/>
      <c r="E927" s="741"/>
      <c r="F927" s="741"/>
      <c r="G927" s="741"/>
      <c r="H927" s="741"/>
      <c r="I927" s="741"/>
      <c r="J927" s="741"/>
      <c r="K927" s="741"/>
      <c r="L927" s="741"/>
      <c r="M927" s="741"/>
      <c r="N927" s="741"/>
      <c r="O927" s="741"/>
      <c r="P927" s="741"/>
      <c r="Q927" s="741"/>
      <c r="R927" s="741"/>
      <c r="S927" s="741"/>
      <c r="T927" s="741"/>
      <c r="U927" s="741"/>
      <c r="V927" s="741"/>
      <c r="W927" s="741"/>
      <c r="X927" s="741"/>
      <c r="Y927" s="741"/>
      <c r="Z927" s="741"/>
      <c r="AA927" s="741"/>
      <c r="AB927" s="741"/>
      <c r="AC927" s="741"/>
      <c r="AD927" s="741"/>
      <c r="AE927" s="741"/>
      <c r="AF927" s="741"/>
      <c r="AG927" s="741"/>
      <c r="AH927" s="741"/>
      <c r="AI927" s="741"/>
      <c r="AJ927" s="741"/>
      <c r="AK927" s="741"/>
      <c r="AL927" s="741"/>
      <c r="AM927" s="741"/>
      <c r="AN927" s="741"/>
      <c r="AO927" s="741"/>
      <c r="AP927" s="741"/>
    </row>
    <row r="928" spans="1:42" ht="12.75" customHeight="1">
      <c r="A928" s="741"/>
      <c r="B928" s="741"/>
      <c r="C928" s="741"/>
      <c r="D928" s="741"/>
      <c r="E928" s="741"/>
      <c r="F928" s="741"/>
      <c r="G928" s="741"/>
      <c r="H928" s="741"/>
      <c r="I928" s="741"/>
      <c r="J928" s="741"/>
      <c r="K928" s="741"/>
      <c r="L928" s="741"/>
      <c r="M928" s="741"/>
      <c r="N928" s="741"/>
      <c r="O928" s="741"/>
      <c r="P928" s="741"/>
      <c r="Q928" s="741"/>
      <c r="R928" s="741"/>
      <c r="S928" s="741"/>
      <c r="T928" s="741"/>
      <c r="U928" s="741"/>
      <c r="V928" s="741"/>
      <c r="W928" s="741"/>
      <c r="X928" s="741"/>
      <c r="Y928" s="741"/>
      <c r="Z928" s="741"/>
      <c r="AA928" s="741"/>
      <c r="AB928" s="741"/>
      <c r="AC928" s="741"/>
      <c r="AD928" s="741"/>
      <c r="AE928" s="741"/>
      <c r="AF928" s="741"/>
      <c r="AG928" s="741"/>
      <c r="AH928" s="741"/>
      <c r="AI928" s="741"/>
      <c r="AJ928" s="741"/>
      <c r="AK928" s="741"/>
      <c r="AL928" s="741"/>
      <c r="AM928" s="741"/>
      <c r="AN928" s="741"/>
      <c r="AO928" s="741"/>
      <c r="AP928" s="741"/>
    </row>
    <row r="929" spans="1:42" ht="12.75" customHeight="1">
      <c r="A929" s="741"/>
      <c r="B929" s="741"/>
      <c r="C929" s="741"/>
      <c r="D929" s="741"/>
      <c r="E929" s="741"/>
      <c r="F929" s="741"/>
      <c r="G929" s="741"/>
      <c r="H929" s="741"/>
      <c r="I929" s="741"/>
      <c r="J929" s="741"/>
      <c r="K929" s="741"/>
      <c r="L929" s="741"/>
      <c r="M929" s="741"/>
      <c r="N929" s="741"/>
      <c r="O929" s="741"/>
      <c r="P929" s="741"/>
      <c r="Q929" s="741"/>
      <c r="R929" s="741"/>
      <c r="S929" s="741"/>
      <c r="T929" s="741"/>
      <c r="U929" s="741"/>
      <c r="V929" s="741"/>
      <c r="W929" s="741"/>
      <c r="X929" s="741"/>
      <c r="Y929" s="741"/>
      <c r="Z929" s="741"/>
      <c r="AA929" s="741"/>
      <c r="AB929" s="741"/>
      <c r="AC929" s="741"/>
      <c r="AD929" s="741"/>
      <c r="AE929" s="741"/>
      <c r="AF929" s="741"/>
      <c r="AG929" s="741"/>
      <c r="AH929" s="741"/>
      <c r="AI929" s="741"/>
      <c r="AJ929" s="741"/>
      <c r="AK929" s="741"/>
      <c r="AL929" s="741"/>
      <c r="AM929" s="741"/>
      <c r="AN929" s="741"/>
      <c r="AO929" s="741"/>
      <c r="AP929" s="741"/>
    </row>
    <row r="930" spans="1:42" ht="12.75" customHeight="1">
      <c r="A930" s="741"/>
      <c r="B930" s="741"/>
      <c r="C930" s="741"/>
      <c r="D930" s="741"/>
      <c r="E930" s="741"/>
      <c r="F930" s="741"/>
      <c r="G930" s="741"/>
      <c r="H930" s="741"/>
      <c r="I930" s="741"/>
      <c r="J930" s="741"/>
      <c r="K930" s="741"/>
      <c r="L930" s="741"/>
      <c r="M930" s="741"/>
      <c r="N930" s="741"/>
      <c r="O930" s="741"/>
      <c r="P930" s="741"/>
      <c r="Q930" s="741"/>
      <c r="R930" s="741"/>
      <c r="S930" s="741"/>
      <c r="T930" s="741"/>
      <c r="U930" s="741"/>
      <c r="V930" s="741"/>
      <c r="W930" s="741"/>
      <c r="X930" s="741"/>
      <c r="Y930" s="741"/>
      <c r="Z930" s="741"/>
      <c r="AA930" s="741"/>
      <c r="AB930" s="741"/>
      <c r="AC930" s="741"/>
      <c r="AD930" s="741"/>
      <c r="AE930" s="741"/>
      <c r="AF930" s="741"/>
      <c r="AG930" s="741"/>
      <c r="AH930" s="741"/>
      <c r="AI930" s="741"/>
      <c r="AJ930" s="741"/>
      <c r="AK930" s="741"/>
      <c r="AL930" s="741"/>
      <c r="AM930" s="741"/>
      <c r="AN930" s="741"/>
      <c r="AO930" s="741"/>
      <c r="AP930" s="741"/>
    </row>
    <row r="931" spans="1:42" ht="12.75" customHeight="1">
      <c r="A931" s="741"/>
      <c r="B931" s="741"/>
      <c r="C931" s="741"/>
      <c r="D931" s="741"/>
      <c r="E931" s="741"/>
      <c r="F931" s="741"/>
      <c r="G931" s="741"/>
      <c r="H931" s="741"/>
      <c r="I931" s="741"/>
      <c r="J931" s="741"/>
      <c r="K931" s="741"/>
      <c r="L931" s="741"/>
      <c r="M931" s="741"/>
      <c r="N931" s="741"/>
      <c r="O931" s="741"/>
      <c r="P931" s="741"/>
      <c r="Q931" s="741"/>
      <c r="R931" s="741"/>
      <c r="S931" s="741"/>
      <c r="T931" s="741"/>
      <c r="U931" s="741"/>
      <c r="V931" s="741"/>
      <c r="W931" s="741"/>
      <c r="X931" s="741"/>
      <c r="Y931" s="741"/>
      <c r="Z931" s="741"/>
      <c r="AA931" s="741"/>
      <c r="AB931" s="741"/>
      <c r="AC931" s="741"/>
      <c r="AD931" s="741"/>
      <c r="AE931" s="741"/>
      <c r="AF931" s="741"/>
      <c r="AG931" s="741"/>
      <c r="AH931" s="741"/>
      <c r="AI931" s="741"/>
      <c r="AJ931" s="741"/>
      <c r="AK931" s="741"/>
      <c r="AL931" s="741"/>
      <c r="AM931" s="741"/>
      <c r="AN931" s="741"/>
      <c r="AO931" s="741"/>
      <c r="AP931" s="741"/>
    </row>
    <row r="932" spans="1:42" ht="12.75" customHeight="1">
      <c r="A932" s="741"/>
      <c r="B932" s="741"/>
      <c r="C932" s="741"/>
      <c r="D932" s="741"/>
      <c r="E932" s="741"/>
      <c r="F932" s="741"/>
      <c r="G932" s="741"/>
      <c r="H932" s="741"/>
      <c r="I932" s="741"/>
      <c r="J932" s="741"/>
      <c r="K932" s="741"/>
      <c r="L932" s="741"/>
      <c r="M932" s="741"/>
      <c r="N932" s="741"/>
      <c r="O932" s="741"/>
      <c r="P932" s="741"/>
      <c r="Q932" s="741"/>
      <c r="R932" s="741"/>
      <c r="S932" s="741"/>
      <c r="T932" s="741"/>
      <c r="U932" s="741"/>
      <c r="V932" s="741"/>
      <c r="W932" s="741"/>
      <c r="X932" s="741"/>
      <c r="Y932" s="741"/>
      <c r="Z932" s="741"/>
      <c r="AA932" s="741"/>
      <c r="AB932" s="741"/>
      <c r="AC932" s="741"/>
      <c r="AD932" s="741"/>
      <c r="AE932" s="741"/>
      <c r="AF932" s="741"/>
      <c r="AG932" s="741"/>
      <c r="AH932" s="741"/>
      <c r="AI932" s="741"/>
      <c r="AJ932" s="741"/>
      <c r="AK932" s="741"/>
      <c r="AL932" s="741"/>
      <c r="AM932" s="741"/>
      <c r="AN932" s="741"/>
      <c r="AO932" s="741"/>
      <c r="AP932" s="741"/>
    </row>
    <row r="933" spans="1:42" ht="12.75" customHeight="1">
      <c r="A933" s="741"/>
      <c r="B933" s="741"/>
      <c r="C933" s="741"/>
      <c r="D933" s="741"/>
      <c r="E933" s="741"/>
      <c r="F933" s="741"/>
      <c r="G933" s="741"/>
      <c r="H933" s="741"/>
      <c r="I933" s="741"/>
      <c r="J933" s="741"/>
      <c r="K933" s="741"/>
      <c r="L933" s="741"/>
      <c r="M933" s="741"/>
      <c r="N933" s="741"/>
      <c r="O933" s="741"/>
      <c r="P933" s="741"/>
      <c r="Q933" s="741"/>
      <c r="R933" s="741"/>
      <c r="S933" s="741"/>
      <c r="T933" s="741"/>
      <c r="U933" s="741"/>
      <c r="V933" s="741"/>
      <c r="W933" s="741"/>
      <c r="X933" s="741"/>
      <c r="Y933" s="741"/>
      <c r="Z933" s="741"/>
      <c r="AA933" s="741"/>
      <c r="AB933" s="741"/>
      <c r="AC933" s="741"/>
      <c r="AD933" s="741"/>
      <c r="AE933" s="741"/>
      <c r="AF933" s="741"/>
      <c r="AG933" s="741"/>
      <c r="AH933" s="741"/>
      <c r="AI933" s="741"/>
      <c r="AJ933" s="741"/>
      <c r="AK933" s="741"/>
      <c r="AL933" s="741"/>
      <c r="AM933" s="741"/>
      <c r="AN933" s="741"/>
      <c r="AO933" s="741"/>
      <c r="AP933" s="741"/>
    </row>
    <row r="934" spans="1:42" ht="12.75" customHeight="1">
      <c r="A934" s="741"/>
      <c r="B934" s="741"/>
      <c r="C934" s="741"/>
      <c r="D934" s="741"/>
      <c r="E934" s="741"/>
      <c r="F934" s="741"/>
      <c r="G934" s="741"/>
      <c r="H934" s="741"/>
      <c r="I934" s="741"/>
      <c r="J934" s="741"/>
      <c r="K934" s="741"/>
      <c r="L934" s="741"/>
      <c r="M934" s="741"/>
      <c r="N934" s="741"/>
      <c r="O934" s="741"/>
      <c r="P934" s="741"/>
      <c r="Q934" s="741"/>
      <c r="R934" s="741"/>
      <c r="S934" s="741"/>
      <c r="T934" s="741"/>
      <c r="U934" s="741"/>
      <c r="V934" s="741"/>
      <c r="W934" s="741"/>
      <c r="X934" s="741"/>
      <c r="Y934" s="741"/>
      <c r="Z934" s="741"/>
      <c r="AA934" s="741"/>
      <c r="AB934" s="741"/>
      <c r="AC934" s="741"/>
      <c r="AD934" s="741"/>
      <c r="AE934" s="741"/>
      <c r="AF934" s="741"/>
      <c r="AG934" s="741"/>
      <c r="AH934" s="741"/>
      <c r="AI934" s="741"/>
      <c r="AJ934" s="741"/>
      <c r="AK934" s="741"/>
      <c r="AL934" s="741"/>
      <c r="AM934" s="741"/>
      <c r="AN934" s="741"/>
      <c r="AO934" s="741"/>
      <c r="AP934" s="741"/>
    </row>
    <row r="935" spans="1:42" ht="12.75" customHeight="1">
      <c r="A935" s="741"/>
      <c r="B935" s="741"/>
      <c r="C935" s="741"/>
      <c r="D935" s="741"/>
      <c r="E935" s="741"/>
      <c r="F935" s="741"/>
      <c r="G935" s="741"/>
      <c r="H935" s="741"/>
      <c r="I935" s="741"/>
      <c r="J935" s="741"/>
      <c r="K935" s="741"/>
      <c r="L935" s="741"/>
      <c r="M935" s="741"/>
      <c r="N935" s="741"/>
      <c r="O935" s="741"/>
      <c r="P935" s="741"/>
      <c r="Q935" s="741"/>
      <c r="R935" s="741"/>
      <c r="S935" s="741"/>
      <c r="T935" s="741"/>
      <c r="U935" s="741"/>
      <c r="V935" s="741"/>
      <c r="W935" s="741"/>
      <c r="X935" s="741"/>
      <c r="Y935" s="741"/>
      <c r="Z935" s="741"/>
      <c r="AA935" s="741"/>
      <c r="AB935" s="741"/>
      <c r="AC935" s="741"/>
      <c r="AD935" s="741"/>
      <c r="AE935" s="741"/>
      <c r="AF935" s="741"/>
      <c r="AG935" s="741"/>
      <c r="AH935" s="741"/>
      <c r="AI935" s="741"/>
      <c r="AJ935" s="741"/>
      <c r="AK935" s="741"/>
      <c r="AL935" s="741"/>
      <c r="AM935" s="741"/>
      <c r="AN935" s="741"/>
      <c r="AO935" s="741"/>
      <c r="AP935" s="741"/>
    </row>
    <row r="936" spans="1:42" ht="12.75" customHeight="1">
      <c r="A936" s="741"/>
      <c r="B936" s="741"/>
      <c r="C936" s="741"/>
      <c r="D936" s="741"/>
      <c r="E936" s="741"/>
      <c r="F936" s="741"/>
      <c r="G936" s="741"/>
      <c r="H936" s="741"/>
      <c r="I936" s="741"/>
      <c r="J936" s="741"/>
      <c r="K936" s="741"/>
      <c r="L936" s="741"/>
      <c r="M936" s="741"/>
      <c r="N936" s="741"/>
      <c r="O936" s="741"/>
      <c r="P936" s="741"/>
      <c r="Q936" s="741"/>
      <c r="R936" s="741"/>
      <c r="S936" s="741"/>
      <c r="T936" s="741"/>
      <c r="U936" s="741"/>
      <c r="V936" s="741"/>
      <c r="W936" s="741"/>
      <c r="X936" s="741"/>
      <c r="Y936" s="741"/>
      <c r="Z936" s="741"/>
      <c r="AA936" s="741"/>
      <c r="AB936" s="741"/>
      <c r="AC936" s="741"/>
      <c r="AD936" s="741"/>
      <c r="AE936" s="741"/>
      <c r="AF936" s="741"/>
      <c r="AG936" s="741"/>
      <c r="AH936" s="741"/>
      <c r="AI936" s="741"/>
      <c r="AJ936" s="741"/>
      <c r="AK936" s="741"/>
      <c r="AL936" s="741"/>
      <c r="AM936" s="741"/>
      <c r="AN936" s="741"/>
      <c r="AO936" s="741"/>
      <c r="AP936" s="741"/>
    </row>
    <row r="937" spans="1:42" ht="12.75" customHeight="1">
      <c r="A937" s="741"/>
      <c r="B937" s="741"/>
      <c r="C937" s="741"/>
      <c r="D937" s="741"/>
      <c r="E937" s="741"/>
      <c r="F937" s="741"/>
      <c r="G937" s="741"/>
      <c r="H937" s="741"/>
      <c r="I937" s="741"/>
      <c r="J937" s="741"/>
      <c r="K937" s="741"/>
      <c r="L937" s="741"/>
      <c r="M937" s="741"/>
      <c r="N937" s="741"/>
      <c r="O937" s="741"/>
      <c r="P937" s="741"/>
      <c r="Q937" s="741"/>
      <c r="R937" s="741"/>
      <c r="S937" s="741"/>
      <c r="T937" s="741"/>
      <c r="U937" s="741"/>
      <c r="V937" s="741"/>
      <c r="W937" s="741"/>
      <c r="X937" s="741"/>
      <c r="Y937" s="741"/>
      <c r="Z937" s="741"/>
      <c r="AA937" s="741"/>
      <c r="AB937" s="741"/>
      <c r="AC937" s="741"/>
      <c r="AD937" s="741"/>
      <c r="AE937" s="741"/>
      <c r="AF937" s="741"/>
      <c r="AG937" s="741"/>
      <c r="AH937" s="741"/>
      <c r="AI937" s="741"/>
      <c r="AJ937" s="741"/>
      <c r="AK937" s="741"/>
      <c r="AL937" s="741"/>
      <c r="AM937" s="741"/>
      <c r="AN937" s="741"/>
      <c r="AO937" s="741"/>
      <c r="AP937" s="741"/>
    </row>
    <row r="938" spans="1:42" ht="12.75" customHeight="1">
      <c r="A938" s="741"/>
      <c r="B938" s="741"/>
      <c r="C938" s="741"/>
      <c r="D938" s="741"/>
      <c r="E938" s="741"/>
      <c r="F938" s="741"/>
      <c r="G938" s="741"/>
      <c r="H938" s="741"/>
      <c r="I938" s="741"/>
      <c r="J938" s="741"/>
      <c r="K938" s="741"/>
      <c r="L938" s="741"/>
      <c r="M938" s="741"/>
      <c r="N938" s="741"/>
      <c r="O938" s="741"/>
      <c r="P938" s="741"/>
      <c r="Q938" s="741"/>
      <c r="R938" s="741"/>
      <c r="S938" s="741"/>
      <c r="T938" s="741"/>
      <c r="U938" s="741"/>
      <c r="V938" s="741"/>
      <c r="W938" s="741"/>
      <c r="X938" s="741"/>
      <c r="Y938" s="741"/>
      <c r="Z938" s="741"/>
      <c r="AA938" s="741"/>
      <c r="AB938" s="741"/>
      <c r="AC938" s="741"/>
      <c r="AD938" s="741"/>
      <c r="AE938" s="741"/>
      <c r="AF938" s="741"/>
      <c r="AG938" s="741"/>
      <c r="AH938" s="741"/>
      <c r="AI938" s="741"/>
      <c r="AJ938" s="741"/>
      <c r="AK938" s="741"/>
      <c r="AL938" s="741"/>
      <c r="AM938" s="741"/>
      <c r="AN938" s="741"/>
      <c r="AO938" s="741"/>
      <c r="AP938" s="741"/>
    </row>
    <row r="939" spans="1:42" ht="12.75" customHeight="1">
      <c r="A939" s="741"/>
      <c r="B939" s="741"/>
      <c r="C939" s="741"/>
      <c r="D939" s="741"/>
      <c r="E939" s="741"/>
      <c r="F939" s="741"/>
      <c r="G939" s="741"/>
      <c r="H939" s="741"/>
      <c r="I939" s="741"/>
      <c r="J939" s="741"/>
      <c r="K939" s="741"/>
      <c r="L939" s="741"/>
      <c r="M939" s="741"/>
      <c r="N939" s="741"/>
      <c r="O939" s="741"/>
      <c r="P939" s="741"/>
      <c r="Q939" s="741"/>
      <c r="R939" s="741"/>
      <c r="S939" s="741"/>
      <c r="T939" s="741"/>
      <c r="U939" s="741"/>
      <c r="V939" s="741"/>
      <c r="W939" s="741"/>
      <c r="X939" s="741"/>
      <c r="Y939" s="741"/>
      <c r="Z939" s="741"/>
      <c r="AA939" s="741"/>
      <c r="AB939" s="741"/>
      <c r="AC939" s="741"/>
      <c r="AD939" s="741"/>
      <c r="AE939" s="741"/>
      <c r="AF939" s="741"/>
      <c r="AG939" s="741"/>
      <c r="AH939" s="741"/>
      <c r="AI939" s="741"/>
      <c r="AJ939" s="741"/>
      <c r="AK939" s="741"/>
      <c r="AL939" s="741"/>
      <c r="AM939" s="741"/>
      <c r="AN939" s="741"/>
      <c r="AO939" s="741"/>
      <c r="AP939" s="741"/>
    </row>
    <row r="940" spans="1:42" ht="12.75" customHeight="1">
      <c r="A940" s="741"/>
      <c r="B940" s="741"/>
      <c r="C940" s="741"/>
      <c r="D940" s="741"/>
      <c r="E940" s="741"/>
      <c r="F940" s="741"/>
      <c r="G940" s="741"/>
      <c r="H940" s="741"/>
      <c r="I940" s="741"/>
      <c r="J940" s="741"/>
      <c r="K940" s="741"/>
      <c r="L940" s="741"/>
      <c r="M940" s="741"/>
      <c r="N940" s="741"/>
      <c r="O940" s="741"/>
      <c r="P940" s="741"/>
      <c r="Q940" s="741"/>
      <c r="R940" s="741"/>
      <c r="S940" s="741"/>
      <c r="T940" s="741"/>
      <c r="U940" s="741"/>
      <c r="V940" s="741"/>
      <c r="W940" s="741"/>
      <c r="X940" s="741"/>
      <c r="Y940" s="741"/>
      <c r="Z940" s="741"/>
      <c r="AA940" s="741"/>
      <c r="AB940" s="741"/>
      <c r="AC940" s="741"/>
      <c r="AD940" s="741"/>
      <c r="AE940" s="741"/>
      <c r="AF940" s="741"/>
      <c r="AG940" s="741"/>
      <c r="AH940" s="741"/>
      <c r="AI940" s="741"/>
      <c r="AJ940" s="741"/>
      <c r="AK940" s="741"/>
      <c r="AL940" s="741"/>
      <c r="AM940" s="741"/>
      <c r="AN940" s="741"/>
      <c r="AO940" s="741"/>
      <c r="AP940" s="741"/>
    </row>
    <row r="941" spans="1:42" ht="12.75" customHeight="1">
      <c r="A941" s="741"/>
      <c r="B941" s="741"/>
      <c r="C941" s="741"/>
      <c r="D941" s="741"/>
      <c r="E941" s="741"/>
      <c r="F941" s="741"/>
      <c r="G941" s="741"/>
      <c r="H941" s="741"/>
      <c r="I941" s="741"/>
      <c r="J941" s="741"/>
      <c r="K941" s="741"/>
      <c r="L941" s="741"/>
      <c r="M941" s="741"/>
      <c r="N941" s="741"/>
      <c r="O941" s="741"/>
      <c r="P941" s="741"/>
      <c r="Q941" s="741"/>
      <c r="R941" s="741"/>
      <c r="S941" s="741"/>
      <c r="T941" s="741"/>
      <c r="U941" s="741"/>
      <c r="V941" s="741"/>
      <c r="W941" s="741"/>
      <c r="X941" s="741"/>
      <c r="Y941" s="741"/>
      <c r="Z941" s="741"/>
      <c r="AA941" s="741"/>
      <c r="AB941" s="741"/>
      <c r="AC941" s="741"/>
      <c r="AD941" s="741"/>
      <c r="AE941" s="741"/>
      <c r="AF941" s="741"/>
      <c r="AG941" s="741"/>
      <c r="AH941" s="741"/>
      <c r="AI941" s="741"/>
      <c r="AJ941" s="741"/>
      <c r="AK941" s="741"/>
      <c r="AL941" s="741"/>
      <c r="AM941" s="741"/>
      <c r="AN941" s="741"/>
      <c r="AO941" s="741"/>
      <c r="AP941" s="741"/>
    </row>
    <row r="942" spans="1:42" ht="12.75" customHeight="1">
      <c r="A942" s="741"/>
      <c r="B942" s="741"/>
      <c r="C942" s="741"/>
      <c r="D942" s="741"/>
      <c r="E942" s="741"/>
      <c r="F942" s="741"/>
      <c r="G942" s="741"/>
      <c r="H942" s="741"/>
      <c r="I942" s="741"/>
      <c r="J942" s="741"/>
      <c r="K942" s="741"/>
      <c r="L942" s="741"/>
      <c r="M942" s="741"/>
      <c r="N942" s="741"/>
      <c r="O942" s="741"/>
      <c r="P942" s="741"/>
      <c r="Q942" s="741"/>
      <c r="R942" s="741"/>
      <c r="S942" s="741"/>
      <c r="T942" s="741"/>
      <c r="U942" s="741"/>
      <c r="V942" s="741"/>
      <c r="W942" s="741"/>
      <c r="X942" s="741"/>
      <c r="Y942" s="741"/>
      <c r="Z942" s="741"/>
      <c r="AA942" s="741"/>
      <c r="AB942" s="741"/>
      <c r="AC942" s="741"/>
      <c r="AD942" s="741"/>
      <c r="AE942" s="741"/>
      <c r="AF942" s="741"/>
      <c r="AG942" s="741"/>
      <c r="AH942" s="741"/>
      <c r="AI942" s="741"/>
      <c r="AJ942" s="741"/>
      <c r="AK942" s="741"/>
      <c r="AL942" s="741"/>
      <c r="AM942" s="741"/>
      <c r="AN942" s="741"/>
      <c r="AO942" s="741"/>
      <c r="AP942" s="741"/>
    </row>
    <row r="943" spans="1:42" ht="12.75" customHeight="1">
      <c r="A943" s="741"/>
      <c r="B943" s="741"/>
      <c r="C943" s="741"/>
      <c r="D943" s="741"/>
      <c r="E943" s="741"/>
      <c r="F943" s="741"/>
      <c r="G943" s="741"/>
      <c r="H943" s="741"/>
      <c r="I943" s="741"/>
      <c r="J943" s="741"/>
      <c r="K943" s="741"/>
      <c r="L943" s="741"/>
      <c r="M943" s="741"/>
      <c r="N943" s="741"/>
      <c r="O943" s="741"/>
      <c r="P943" s="741"/>
      <c r="Q943" s="741"/>
      <c r="R943" s="741"/>
      <c r="S943" s="741"/>
      <c r="T943" s="741"/>
      <c r="U943" s="741"/>
      <c r="V943" s="741"/>
      <c r="W943" s="741"/>
      <c r="X943" s="741"/>
      <c r="Y943" s="741"/>
      <c r="Z943" s="741"/>
      <c r="AA943" s="741"/>
      <c r="AB943" s="741"/>
      <c r="AC943" s="741"/>
      <c r="AD943" s="741"/>
      <c r="AE943" s="741"/>
      <c r="AF943" s="741"/>
      <c r="AG943" s="741"/>
      <c r="AH943" s="741"/>
      <c r="AI943" s="741"/>
      <c r="AJ943" s="741"/>
      <c r="AK943" s="741"/>
      <c r="AL943" s="741"/>
      <c r="AM943" s="741"/>
      <c r="AN943" s="741"/>
      <c r="AO943" s="741"/>
      <c r="AP943" s="741"/>
    </row>
    <row r="944" spans="1:42" ht="12.75" customHeight="1">
      <c r="A944" s="741"/>
      <c r="B944" s="741"/>
      <c r="C944" s="741"/>
      <c r="D944" s="741"/>
      <c r="E944" s="741"/>
      <c r="F944" s="741"/>
      <c r="G944" s="741"/>
      <c r="H944" s="741"/>
      <c r="I944" s="741"/>
      <c r="J944" s="741"/>
      <c r="K944" s="741"/>
      <c r="L944" s="741"/>
      <c r="M944" s="741"/>
      <c r="N944" s="741"/>
      <c r="O944" s="741"/>
      <c r="P944" s="741"/>
      <c r="Q944" s="741"/>
      <c r="R944" s="741"/>
      <c r="S944" s="741"/>
      <c r="T944" s="741"/>
      <c r="U944" s="741"/>
      <c r="V944" s="741"/>
      <c r="W944" s="741"/>
      <c r="X944" s="741"/>
      <c r="Y944" s="741"/>
      <c r="Z944" s="741"/>
      <c r="AA944" s="741"/>
      <c r="AB944" s="741"/>
      <c r="AC944" s="741"/>
      <c r="AD944" s="741"/>
      <c r="AE944" s="741"/>
      <c r="AF944" s="741"/>
      <c r="AG944" s="741"/>
      <c r="AH944" s="741"/>
      <c r="AI944" s="741"/>
      <c r="AJ944" s="741"/>
      <c r="AK944" s="741"/>
      <c r="AL944" s="741"/>
      <c r="AM944" s="741"/>
      <c r="AN944" s="741"/>
      <c r="AO944" s="741"/>
      <c r="AP944" s="741"/>
    </row>
    <row r="945" spans="1:42" ht="12.75" customHeight="1">
      <c r="A945" s="741"/>
      <c r="B945" s="741"/>
      <c r="C945" s="741"/>
      <c r="D945" s="741"/>
      <c r="E945" s="741"/>
      <c r="F945" s="741"/>
      <c r="G945" s="741"/>
      <c r="H945" s="741"/>
      <c r="I945" s="741"/>
      <c r="J945" s="741"/>
      <c r="K945" s="741"/>
      <c r="L945" s="741"/>
      <c r="M945" s="741"/>
      <c r="N945" s="741"/>
      <c r="O945" s="741"/>
      <c r="P945" s="741"/>
      <c r="Q945" s="741"/>
      <c r="R945" s="741"/>
      <c r="S945" s="741"/>
      <c r="T945" s="741"/>
      <c r="U945" s="741"/>
      <c r="V945" s="741"/>
      <c r="W945" s="741"/>
      <c r="X945" s="741"/>
      <c r="Y945" s="741"/>
      <c r="Z945" s="741"/>
      <c r="AA945" s="741"/>
      <c r="AB945" s="741"/>
      <c r="AC945" s="741"/>
      <c r="AD945" s="741"/>
      <c r="AE945" s="741"/>
      <c r="AF945" s="741"/>
      <c r="AG945" s="741"/>
      <c r="AH945" s="741"/>
      <c r="AI945" s="741"/>
      <c r="AJ945" s="741"/>
      <c r="AK945" s="741"/>
      <c r="AL945" s="741"/>
      <c r="AM945" s="741"/>
      <c r="AN945" s="741"/>
      <c r="AO945" s="741"/>
      <c r="AP945" s="741"/>
    </row>
    <row r="946" spans="1:42" ht="12.75" customHeight="1">
      <c r="A946" s="741"/>
      <c r="B946" s="741"/>
      <c r="C946" s="741"/>
      <c r="D946" s="741"/>
      <c r="E946" s="741"/>
      <c r="F946" s="741"/>
      <c r="G946" s="741"/>
      <c r="H946" s="741"/>
      <c r="I946" s="741"/>
      <c r="J946" s="741"/>
      <c r="K946" s="741"/>
      <c r="L946" s="741"/>
      <c r="M946" s="741"/>
      <c r="N946" s="741"/>
      <c r="O946" s="741"/>
      <c r="P946" s="741"/>
      <c r="Q946" s="741"/>
      <c r="R946" s="741"/>
      <c r="S946" s="741"/>
      <c r="T946" s="741"/>
      <c r="U946" s="741"/>
      <c r="V946" s="741"/>
      <c r="W946" s="741"/>
      <c r="X946" s="741"/>
      <c r="Y946" s="741"/>
      <c r="Z946" s="741"/>
      <c r="AA946" s="741"/>
      <c r="AB946" s="741"/>
      <c r="AC946" s="741"/>
      <c r="AD946" s="741"/>
      <c r="AE946" s="741"/>
      <c r="AF946" s="741"/>
      <c r="AG946" s="741"/>
      <c r="AH946" s="741"/>
      <c r="AI946" s="741"/>
      <c r="AJ946" s="741"/>
      <c r="AK946" s="741"/>
      <c r="AL946" s="741"/>
      <c r="AM946" s="741"/>
      <c r="AN946" s="741"/>
      <c r="AO946" s="741"/>
      <c r="AP946" s="741"/>
    </row>
    <row r="947" spans="1:42" ht="12.75" customHeight="1">
      <c r="A947" s="741"/>
      <c r="B947" s="741"/>
      <c r="C947" s="741"/>
      <c r="D947" s="741"/>
      <c r="E947" s="741"/>
      <c r="F947" s="741"/>
      <c r="G947" s="741"/>
      <c r="H947" s="741"/>
      <c r="I947" s="741"/>
      <c r="J947" s="741"/>
      <c r="K947" s="741"/>
      <c r="L947" s="741"/>
      <c r="M947" s="741"/>
      <c r="N947" s="741"/>
      <c r="O947" s="741"/>
      <c r="P947" s="741"/>
      <c r="Q947" s="741"/>
      <c r="R947" s="741"/>
      <c r="S947" s="741"/>
      <c r="T947" s="741"/>
      <c r="U947" s="741"/>
      <c r="V947" s="741"/>
      <c r="W947" s="741"/>
      <c r="X947" s="741"/>
      <c r="Y947" s="741"/>
      <c r="Z947" s="741"/>
      <c r="AA947" s="741"/>
      <c r="AB947" s="741"/>
      <c r="AC947" s="741"/>
      <c r="AD947" s="741"/>
      <c r="AE947" s="741"/>
      <c r="AF947" s="741"/>
      <c r="AG947" s="741"/>
      <c r="AH947" s="741"/>
      <c r="AI947" s="741"/>
      <c r="AJ947" s="741"/>
      <c r="AK947" s="741"/>
      <c r="AL947" s="741"/>
      <c r="AM947" s="741"/>
      <c r="AN947" s="741"/>
      <c r="AO947" s="741"/>
      <c r="AP947" s="741"/>
    </row>
    <row r="948" spans="1:42" ht="12.75" customHeight="1">
      <c r="A948" s="741"/>
      <c r="B948" s="741"/>
      <c r="C948" s="741"/>
      <c r="D948" s="741"/>
      <c r="E948" s="741"/>
      <c r="F948" s="741"/>
      <c r="G948" s="741"/>
      <c r="H948" s="741"/>
      <c r="I948" s="741"/>
      <c r="J948" s="741"/>
      <c r="K948" s="741"/>
      <c r="L948" s="741"/>
      <c r="M948" s="741"/>
      <c r="N948" s="741"/>
      <c r="O948" s="741"/>
      <c r="P948" s="741"/>
      <c r="Q948" s="741"/>
      <c r="R948" s="741"/>
      <c r="S948" s="741"/>
      <c r="T948" s="741"/>
      <c r="U948" s="741"/>
      <c r="V948" s="741"/>
      <c r="W948" s="741"/>
      <c r="X948" s="741"/>
      <c r="Y948" s="741"/>
      <c r="Z948" s="741"/>
      <c r="AA948" s="741"/>
      <c r="AB948" s="741"/>
      <c r="AC948" s="741"/>
      <c r="AD948" s="741"/>
      <c r="AE948" s="741"/>
      <c r="AF948" s="741"/>
      <c r="AG948" s="741"/>
      <c r="AH948" s="741"/>
      <c r="AI948" s="741"/>
      <c r="AJ948" s="741"/>
      <c r="AK948" s="741"/>
      <c r="AL948" s="741"/>
      <c r="AM948" s="741"/>
      <c r="AN948" s="741"/>
      <c r="AO948" s="741"/>
      <c r="AP948" s="741"/>
    </row>
    <row r="949" spans="1:42" ht="12.75" customHeight="1">
      <c r="A949" s="741"/>
      <c r="B949" s="741"/>
      <c r="C949" s="741"/>
      <c r="D949" s="741"/>
      <c r="E949" s="741"/>
      <c r="F949" s="741"/>
      <c r="G949" s="741"/>
      <c r="H949" s="741"/>
      <c r="I949" s="741"/>
      <c r="J949" s="741"/>
      <c r="K949" s="741"/>
      <c r="L949" s="741"/>
      <c r="M949" s="741"/>
      <c r="N949" s="741"/>
      <c r="O949" s="741"/>
      <c r="P949" s="741"/>
      <c r="Q949" s="741"/>
      <c r="R949" s="741"/>
      <c r="S949" s="741"/>
      <c r="T949" s="741"/>
      <c r="U949" s="741"/>
      <c r="V949" s="741"/>
      <c r="W949" s="741"/>
      <c r="X949" s="741"/>
      <c r="Y949" s="741"/>
      <c r="Z949" s="741"/>
      <c r="AA949" s="741"/>
      <c r="AB949" s="741"/>
      <c r="AC949" s="741"/>
      <c r="AD949" s="741"/>
      <c r="AE949" s="741"/>
      <c r="AF949" s="741"/>
      <c r="AG949" s="741"/>
      <c r="AH949" s="741"/>
      <c r="AI949" s="741"/>
      <c r="AJ949" s="741"/>
      <c r="AK949" s="741"/>
      <c r="AL949" s="741"/>
      <c r="AM949" s="741"/>
      <c r="AN949" s="741"/>
      <c r="AO949" s="741"/>
      <c r="AP949" s="741"/>
    </row>
    <row r="950" spans="1:42" ht="12.75" customHeight="1">
      <c r="A950" s="741"/>
      <c r="B950" s="741"/>
      <c r="C950" s="741"/>
      <c r="D950" s="741"/>
      <c r="E950" s="741"/>
      <c r="F950" s="741"/>
      <c r="G950" s="741"/>
      <c r="H950" s="741"/>
      <c r="I950" s="741"/>
      <c r="J950" s="741"/>
      <c r="K950" s="741"/>
      <c r="L950" s="741"/>
      <c r="M950" s="741"/>
      <c r="N950" s="741"/>
      <c r="O950" s="741"/>
      <c r="P950" s="741"/>
      <c r="Q950" s="741"/>
      <c r="R950" s="741"/>
      <c r="S950" s="741"/>
      <c r="T950" s="741"/>
      <c r="U950" s="741"/>
      <c r="V950" s="741"/>
      <c r="W950" s="741"/>
      <c r="X950" s="741"/>
      <c r="Y950" s="741"/>
      <c r="Z950" s="741"/>
      <c r="AA950" s="741"/>
      <c r="AB950" s="741"/>
      <c r="AC950" s="741"/>
      <c r="AD950" s="741"/>
      <c r="AE950" s="741"/>
      <c r="AF950" s="741"/>
      <c r="AG950" s="741"/>
      <c r="AH950" s="741"/>
      <c r="AI950" s="741"/>
      <c r="AJ950" s="741"/>
      <c r="AK950" s="741"/>
      <c r="AL950" s="741"/>
      <c r="AM950" s="741"/>
      <c r="AN950" s="741"/>
      <c r="AO950" s="741"/>
      <c r="AP950" s="741"/>
    </row>
    <row r="951" spans="1:42" ht="12.75" customHeight="1">
      <c r="A951" s="741"/>
      <c r="B951" s="741"/>
      <c r="C951" s="741"/>
      <c r="D951" s="741"/>
      <c r="E951" s="741"/>
      <c r="F951" s="741"/>
      <c r="G951" s="741"/>
      <c r="H951" s="741"/>
      <c r="I951" s="741"/>
      <c r="J951" s="741"/>
      <c r="K951" s="741"/>
      <c r="L951" s="741"/>
      <c r="M951" s="741"/>
      <c r="N951" s="741"/>
      <c r="O951" s="741"/>
      <c r="P951" s="741"/>
      <c r="Q951" s="741"/>
      <c r="R951" s="741"/>
      <c r="S951" s="741"/>
      <c r="T951" s="741"/>
      <c r="U951" s="741"/>
      <c r="V951" s="741"/>
      <c r="W951" s="741"/>
      <c r="X951" s="741"/>
      <c r="Y951" s="741"/>
      <c r="Z951" s="741"/>
      <c r="AA951" s="741"/>
      <c r="AB951" s="741"/>
      <c r="AC951" s="741"/>
      <c r="AD951" s="741"/>
      <c r="AE951" s="741"/>
      <c r="AF951" s="741"/>
      <c r="AG951" s="741"/>
      <c r="AH951" s="741"/>
      <c r="AI951" s="741"/>
      <c r="AJ951" s="741"/>
      <c r="AK951" s="741"/>
      <c r="AL951" s="741"/>
      <c r="AM951" s="741"/>
      <c r="AN951" s="741"/>
      <c r="AO951" s="741"/>
      <c r="AP951" s="741"/>
    </row>
    <row r="952" spans="1:42" ht="12.75" customHeight="1">
      <c r="A952" s="741"/>
      <c r="B952" s="741"/>
      <c r="C952" s="741"/>
      <c r="D952" s="741"/>
      <c r="E952" s="741"/>
      <c r="F952" s="741"/>
      <c r="G952" s="741"/>
      <c r="H952" s="741"/>
      <c r="I952" s="741"/>
      <c r="J952" s="741"/>
      <c r="K952" s="741"/>
      <c r="L952" s="741"/>
      <c r="M952" s="741"/>
      <c r="N952" s="741"/>
      <c r="O952" s="741"/>
      <c r="P952" s="741"/>
      <c r="Q952" s="741"/>
      <c r="R952" s="741"/>
      <c r="S952" s="741"/>
      <c r="T952" s="741"/>
      <c r="U952" s="741"/>
      <c r="V952" s="741"/>
      <c r="W952" s="741"/>
      <c r="X952" s="741"/>
      <c r="Y952" s="741"/>
      <c r="Z952" s="741"/>
      <c r="AA952" s="741"/>
      <c r="AB952" s="741"/>
      <c r="AC952" s="741"/>
      <c r="AD952" s="741"/>
      <c r="AE952" s="741"/>
      <c r="AF952" s="741"/>
      <c r="AG952" s="741"/>
      <c r="AH952" s="741"/>
      <c r="AI952" s="741"/>
      <c r="AJ952" s="741"/>
      <c r="AK952" s="741"/>
      <c r="AL952" s="741"/>
      <c r="AM952" s="741"/>
      <c r="AN952" s="741"/>
      <c r="AO952" s="741"/>
      <c r="AP952" s="741"/>
    </row>
    <row r="953" spans="1:42" ht="12.75" customHeight="1">
      <c r="A953" s="741"/>
      <c r="B953" s="741"/>
      <c r="C953" s="741"/>
      <c r="D953" s="741"/>
      <c r="E953" s="741"/>
      <c r="F953" s="741"/>
      <c r="G953" s="741"/>
      <c r="H953" s="741"/>
      <c r="I953" s="741"/>
      <c r="J953" s="741"/>
      <c r="K953" s="741"/>
      <c r="L953" s="741"/>
      <c r="M953" s="741"/>
      <c r="N953" s="741"/>
      <c r="O953" s="741"/>
      <c r="P953" s="741"/>
      <c r="Q953" s="741"/>
      <c r="R953" s="741"/>
      <c r="S953" s="741"/>
      <c r="T953" s="741"/>
      <c r="U953" s="741"/>
      <c r="V953" s="741"/>
      <c r="W953" s="741"/>
      <c r="X953" s="741"/>
      <c r="Y953" s="741"/>
      <c r="Z953" s="741"/>
      <c r="AA953" s="741"/>
      <c r="AB953" s="741"/>
      <c r="AC953" s="741"/>
      <c r="AD953" s="741"/>
      <c r="AE953" s="741"/>
      <c r="AF953" s="741"/>
      <c r="AG953" s="741"/>
      <c r="AH953" s="741"/>
      <c r="AI953" s="741"/>
      <c r="AJ953" s="741"/>
      <c r="AK953" s="741"/>
      <c r="AL953" s="741"/>
      <c r="AM953" s="741"/>
      <c r="AN953" s="741"/>
      <c r="AO953" s="741"/>
      <c r="AP953" s="741"/>
    </row>
    <row r="954" spans="1:42" ht="12.75" customHeight="1">
      <c r="A954" s="741"/>
      <c r="B954" s="741"/>
      <c r="C954" s="741"/>
      <c r="D954" s="741"/>
      <c r="E954" s="741"/>
      <c r="F954" s="741"/>
      <c r="G954" s="741"/>
      <c r="H954" s="741"/>
      <c r="I954" s="741"/>
      <c r="J954" s="741"/>
      <c r="K954" s="741"/>
      <c r="L954" s="741"/>
      <c r="M954" s="741"/>
      <c r="N954" s="741"/>
      <c r="O954" s="741"/>
      <c r="P954" s="741"/>
      <c r="Q954" s="741"/>
      <c r="R954" s="741"/>
      <c r="S954" s="741"/>
      <c r="T954" s="741"/>
      <c r="U954" s="741"/>
      <c r="V954" s="741"/>
      <c r="W954" s="741"/>
      <c r="X954" s="741"/>
      <c r="Y954" s="741"/>
      <c r="Z954" s="741"/>
      <c r="AA954" s="741"/>
      <c r="AB954" s="741"/>
      <c r="AC954" s="741"/>
      <c r="AD954" s="741"/>
      <c r="AE954" s="741"/>
      <c r="AF954" s="741"/>
      <c r="AG954" s="741"/>
      <c r="AH954" s="741"/>
      <c r="AI954" s="741"/>
      <c r="AJ954" s="741"/>
      <c r="AK954" s="741"/>
      <c r="AL954" s="741"/>
      <c r="AM954" s="741"/>
      <c r="AN954" s="741"/>
      <c r="AO954" s="741"/>
      <c r="AP954" s="741"/>
    </row>
    <row r="955" spans="1:42" ht="12.75" customHeight="1">
      <c r="A955" s="741"/>
      <c r="B955" s="741"/>
      <c r="C955" s="741"/>
      <c r="D955" s="741"/>
      <c r="E955" s="741"/>
      <c r="F955" s="741"/>
      <c r="G955" s="741"/>
      <c r="H955" s="741"/>
      <c r="I955" s="741"/>
      <c r="J955" s="741"/>
      <c r="K955" s="741"/>
      <c r="L955" s="741"/>
      <c r="M955" s="741"/>
      <c r="N955" s="741"/>
      <c r="O955" s="741"/>
      <c r="P955" s="741"/>
      <c r="Q955" s="741"/>
      <c r="R955" s="741"/>
      <c r="S955" s="741"/>
      <c r="T955" s="741"/>
      <c r="U955" s="741"/>
      <c r="V955" s="741"/>
      <c r="W955" s="741"/>
      <c r="X955" s="741"/>
      <c r="Y955" s="741"/>
      <c r="Z955" s="741"/>
      <c r="AA955" s="741"/>
      <c r="AB955" s="741"/>
      <c r="AC955" s="741"/>
      <c r="AD955" s="741"/>
      <c r="AE955" s="741"/>
      <c r="AF955" s="741"/>
      <c r="AG955" s="741"/>
      <c r="AH955" s="741"/>
      <c r="AI955" s="741"/>
      <c r="AJ955" s="741"/>
      <c r="AK955" s="741"/>
      <c r="AL955" s="741"/>
      <c r="AM955" s="741"/>
      <c r="AN955" s="741"/>
      <c r="AO955" s="741"/>
      <c r="AP955" s="741"/>
    </row>
    <row r="956" spans="1:42" ht="12.75" customHeight="1">
      <c r="A956" s="741"/>
      <c r="B956" s="741"/>
      <c r="C956" s="741"/>
      <c r="D956" s="741"/>
      <c r="E956" s="741"/>
      <c r="F956" s="741"/>
      <c r="G956" s="741"/>
      <c r="H956" s="741"/>
      <c r="I956" s="741"/>
      <c r="J956" s="741"/>
      <c r="K956" s="741"/>
      <c r="L956" s="741"/>
      <c r="M956" s="741"/>
      <c r="N956" s="741"/>
      <c r="O956" s="741"/>
      <c r="P956" s="741"/>
      <c r="Q956" s="741"/>
      <c r="R956" s="741"/>
      <c r="S956" s="741"/>
      <c r="T956" s="741"/>
      <c r="U956" s="741"/>
      <c r="V956" s="741"/>
      <c r="W956" s="741"/>
      <c r="X956" s="741"/>
      <c r="Y956" s="741"/>
      <c r="Z956" s="741"/>
      <c r="AA956" s="741"/>
      <c r="AB956" s="741"/>
      <c r="AC956" s="741"/>
      <c r="AD956" s="741"/>
      <c r="AE956" s="741"/>
      <c r="AF956" s="741"/>
      <c r="AG956" s="741"/>
      <c r="AH956" s="741"/>
      <c r="AI956" s="741"/>
      <c r="AJ956" s="741"/>
      <c r="AK956" s="741"/>
      <c r="AL956" s="741"/>
      <c r="AM956" s="741"/>
      <c r="AN956" s="741"/>
      <c r="AO956" s="741"/>
      <c r="AP956" s="741"/>
    </row>
    <row r="957" spans="1:42" ht="12.75" customHeight="1">
      <c r="A957" s="741"/>
      <c r="B957" s="741"/>
      <c r="C957" s="741"/>
      <c r="D957" s="741"/>
      <c r="E957" s="741"/>
      <c r="F957" s="741"/>
      <c r="G957" s="741"/>
      <c r="H957" s="741"/>
      <c r="I957" s="741"/>
      <c r="J957" s="741"/>
      <c r="K957" s="741"/>
      <c r="L957" s="741"/>
      <c r="M957" s="741"/>
      <c r="N957" s="741"/>
      <c r="O957" s="741"/>
      <c r="P957" s="741"/>
      <c r="Q957" s="741"/>
      <c r="R957" s="741"/>
      <c r="S957" s="741"/>
      <c r="T957" s="741"/>
      <c r="U957" s="741"/>
      <c r="V957" s="741"/>
      <c r="W957" s="741"/>
      <c r="X957" s="741"/>
      <c r="Y957" s="741"/>
      <c r="Z957" s="741"/>
      <c r="AA957" s="741"/>
      <c r="AB957" s="741"/>
      <c r="AC957" s="741"/>
      <c r="AD957" s="741"/>
      <c r="AE957" s="741"/>
      <c r="AF957" s="741"/>
      <c r="AG957" s="741"/>
      <c r="AH957" s="741"/>
      <c r="AI957" s="741"/>
      <c r="AJ957" s="741"/>
      <c r="AK957" s="741"/>
      <c r="AL957" s="741"/>
      <c r="AM957" s="741"/>
      <c r="AN957" s="741"/>
      <c r="AO957" s="741"/>
      <c r="AP957" s="741"/>
    </row>
    <row r="958" spans="1:42" ht="12.75" customHeight="1">
      <c r="A958" s="741"/>
      <c r="B958" s="741"/>
      <c r="C958" s="741"/>
      <c r="D958" s="741"/>
      <c r="E958" s="741"/>
      <c r="F958" s="741"/>
      <c r="G958" s="741"/>
      <c r="H958" s="741"/>
      <c r="I958" s="741"/>
      <c r="J958" s="741"/>
      <c r="K958" s="741"/>
      <c r="L958" s="741"/>
      <c r="M958" s="741"/>
      <c r="N958" s="741"/>
      <c r="O958" s="741"/>
      <c r="P958" s="741"/>
      <c r="Q958" s="741"/>
      <c r="R958" s="741"/>
      <c r="S958" s="741"/>
      <c r="T958" s="741"/>
      <c r="U958" s="741"/>
      <c r="V958" s="741"/>
      <c r="W958" s="741"/>
      <c r="X958" s="741"/>
      <c r="Y958" s="741"/>
      <c r="Z958" s="741"/>
      <c r="AA958" s="741"/>
      <c r="AB958" s="741"/>
      <c r="AC958" s="741"/>
      <c r="AD958" s="741"/>
      <c r="AE958" s="741"/>
      <c r="AF958" s="741"/>
      <c r="AG958" s="741"/>
      <c r="AH958" s="741"/>
      <c r="AI958" s="741"/>
      <c r="AJ958" s="741"/>
      <c r="AK958" s="741"/>
      <c r="AL958" s="741"/>
      <c r="AM958" s="741"/>
      <c r="AN958" s="741"/>
      <c r="AO958" s="741"/>
      <c r="AP958" s="741"/>
    </row>
    <row r="959" spans="1:42" ht="12.75" customHeight="1">
      <c r="A959" s="741"/>
      <c r="B959" s="741"/>
      <c r="C959" s="741"/>
      <c r="D959" s="741"/>
      <c r="E959" s="741"/>
      <c r="F959" s="741"/>
      <c r="G959" s="741"/>
      <c r="H959" s="741"/>
      <c r="I959" s="741"/>
      <c r="J959" s="741"/>
      <c r="K959" s="741"/>
      <c r="L959" s="741"/>
      <c r="M959" s="741"/>
      <c r="N959" s="741"/>
      <c r="O959" s="741"/>
      <c r="P959" s="741"/>
      <c r="Q959" s="741"/>
      <c r="R959" s="741"/>
      <c r="S959" s="741"/>
      <c r="T959" s="741"/>
      <c r="U959" s="741"/>
      <c r="V959" s="741"/>
      <c r="W959" s="741"/>
      <c r="X959" s="741"/>
      <c r="Y959" s="741"/>
      <c r="Z959" s="741"/>
      <c r="AA959" s="741"/>
      <c r="AB959" s="741"/>
      <c r="AC959" s="741"/>
      <c r="AD959" s="741"/>
      <c r="AE959" s="741"/>
      <c r="AF959" s="741"/>
      <c r="AG959" s="741"/>
      <c r="AH959" s="741"/>
      <c r="AI959" s="741"/>
      <c r="AJ959" s="741"/>
      <c r="AK959" s="741"/>
      <c r="AL959" s="741"/>
      <c r="AM959" s="741"/>
      <c r="AN959" s="741"/>
      <c r="AO959" s="741"/>
      <c r="AP959" s="741"/>
    </row>
    <row r="960" spans="1:42" ht="12.75" customHeight="1">
      <c r="A960" s="741"/>
      <c r="B960" s="741"/>
      <c r="C960" s="741"/>
      <c r="D960" s="741"/>
      <c r="E960" s="741"/>
      <c r="F960" s="741"/>
      <c r="G960" s="741"/>
      <c r="H960" s="741"/>
      <c r="I960" s="741"/>
      <c r="J960" s="741"/>
      <c r="K960" s="741"/>
      <c r="L960" s="741"/>
      <c r="M960" s="741"/>
      <c r="N960" s="741"/>
      <c r="O960" s="741"/>
      <c r="P960" s="741"/>
      <c r="Q960" s="741"/>
      <c r="R960" s="741"/>
      <c r="S960" s="741"/>
      <c r="T960" s="741"/>
      <c r="U960" s="741"/>
      <c r="V960" s="741"/>
      <c r="W960" s="741"/>
      <c r="X960" s="741"/>
      <c r="Y960" s="741"/>
      <c r="Z960" s="741"/>
      <c r="AA960" s="741"/>
      <c r="AB960" s="741"/>
      <c r="AC960" s="741"/>
      <c r="AD960" s="741"/>
      <c r="AE960" s="741"/>
      <c r="AF960" s="741"/>
      <c r="AG960" s="741"/>
      <c r="AH960" s="741"/>
      <c r="AI960" s="741"/>
      <c r="AJ960" s="741"/>
      <c r="AK960" s="741"/>
      <c r="AL960" s="741"/>
      <c r="AM960" s="741"/>
      <c r="AN960" s="741"/>
      <c r="AO960" s="741"/>
      <c r="AP960" s="741"/>
    </row>
    <row r="961" spans="1:42" ht="12.75" customHeight="1">
      <c r="A961" s="741"/>
      <c r="B961" s="741"/>
      <c r="C961" s="741"/>
      <c r="D961" s="741"/>
      <c r="E961" s="741"/>
      <c r="F961" s="741"/>
      <c r="G961" s="741"/>
      <c r="H961" s="741"/>
      <c r="I961" s="741"/>
      <c r="J961" s="741"/>
      <c r="K961" s="741"/>
      <c r="L961" s="741"/>
      <c r="M961" s="741"/>
      <c r="N961" s="741"/>
      <c r="O961" s="741"/>
      <c r="P961" s="741"/>
      <c r="Q961" s="741"/>
      <c r="R961" s="741"/>
      <c r="S961" s="741"/>
      <c r="T961" s="741"/>
      <c r="U961" s="741"/>
      <c r="V961" s="741"/>
      <c r="W961" s="741"/>
      <c r="X961" s="741"/>
      <c r="Y961" s="741"/>
      <c r="Z961" s="741"/>
      <c r="AA961" s="741"/>
      <c r="AB961" s="741"/>
      <c r="AC961" s="741"/>
      <c r="AD961" s="741"/>
      <c r="AE961" s="741"/>
      <c r="AF961" s="741"/>
      <c r="AG961" s="741"/>
      <c r="AH961" s="741"/>
      <c r="AI961" s="741"/>
      <c r="AJ961" s="741"/>
      <c r="AK961" s="741"/>
      <c r="AL961" s="741"/>
      <c r="AM961" s="741"/>
      <c r="AN961" s="741"/>
      <c r="AO961" s="741"/>
      <c r="AP961" s="741"/>
    </row>
    <row r="962" spans="1:42" ht="12.75" customHeight="1">
      <c r="A962" s="741"/>
      <c r="B962" s="741"/>
      <c r="C962" s="741"/>
      <c r="D962" s="741"/>
      <c r="E962" s="741"/>
      <c r="F962" s="741"/>
      <c r="G962" s="741"/>
      <c r="H962" s="741"/>
      <c r="I962" s="741"/>
      <c r="J962" s="741"/>
      <c r="K962" s="741"/>
      <c r="L962" s="741"/>
      <c r="M962" s="741"/>
      <c r="N962" s="741"/>
      <c r="O962" s="741"/>
      <c r="P962" s="741"/>
      <c r="Q962" s="741"/>
      <c r="R962" s="741"/>
      <c r="S962" s="741"/>
      <c r="T962" s="741"/>
      <c r="U962" s="741"/>
      <c r="V962" s="741"/>
      <c r="W962" s="741"/>
      <c r="X962" s="741"/>
      <c r="Y962" s="741"/>
      <c r="Z962" s="741"/>
      <c r="AA962" s="741"/>
      <c r="AB962" s="741"/>
      <c r="AC962" s="741"/>
      <c r="AD962" s="741"/>
      <c r="AE962" s="741"/>
      <c r="AF962" s="741"/>
      <c r="AG962" s="741"/>
      <c r="AH962" s="741"/>
      <c r="AI962" s="741"/>
      <c r="AJ962" s="741"/>
      <c r="AK962" s="741"/>
      <c r="AL962" s="741"/>
      <c r="AM962" s="741"/>
      <c r="AN962" s="741"/>
      <c r="AO962" s="741"/>
      <c r="AP962" s="741"/>
    </row>
    <row r="963" spans="1:42" ht="12.75" customHeight="1">
      <c r="A963" s="741"/>
      <c r="B963" s="741"/>
      <c r="C963" s="741"/>
      <c r="D963" s="741"/>
      <c r="E963" s="741"/>
      <c r="F963" s="741"/>
      <c r="G963" s="741"/>
      <c r="H963" s="741"/>
      <c r="I963" s="741"/>
      <c r="J963" s="741"/>
      <c r="K963" s="741"/>
      <c r="L963" s="741"/>
      <c r="M963" s="741"/>
      <c r="N963" s="741"/>
      <c r="O963" s="741"/>
      <c r="P963" s="741"/>
      <c r="Q963" s="741"/>
      <c r="R963" s="741"/>
      <c r="S963" s="741"/>
      <c r="T963" s="741"/>
      <c r="U963" s="741"/>
      <c r="V963" s="741"/>
      <c r="W963" s="741"/>
      <c r="X963" s="741"/>
      <c r="Y963" s="741"/>
      <c r="Z963" s="741"/>
      <c r="AA963" s="741"/>
      <c r="AB963" s="741"/>
      <c r="AC963" s="741"/>
      <c r="AD963" s="741"/>
      <c r="AE963" s="741"/>
      <c r="AF963" s="741"/>
      <c r="AG963" s="741"/>
      <c r="AH963" s="741"/>
      <c r="AI963" s="741"/>
      <c r="AJ963" s="741"/>
      <c r="AK963" s="741"/>
      <c r="AL963" s="741"/>
      <c r="AM963" s="741"/>
      <c r="AN963" s="741"/>
      <c r="AO963" s="741"/>
      <c r="AP963" s="741"/>
    </row>
    <row r="964" spans="1:42" ht="12.75" customHeight="1">
      <c r="A964" s="741"/>
      <c r="B964" s="741"/>
      <c r="C964" s="741"/>
      <c r="D964" s="741"/>
      <c r="E964" s="741"/>
      <c r="F964" s="741"/>
      <c r="G964" s="741"/>
      <c r="H964" s="741"/>
      <c r="I964" s="741"/>
      <c r="J964" s="741"/>
      <c r="K964" s="741"/>
      <c r="L964" s="741"/>
      <c r="M964" s="741"/>
      <c r="N964" s="741"/>
      <c r="O964" s="741"/>
      <c r="P964" s="741"/>
      <c r="Q964" s="741"/>
      <c r="R964" s="741"/>
      <c r="S964" s="741"/>
      <c r="T964" s="741"/>
      <c r="U964" s="741"/>
      <c r="V964" s="741"/>
      <c r="W964" s="741"/>
      <c r="X964" s="741"/>
      <c r="Y964" s="741"/>
      <c r="Z964" s="741"/>
      <c r="AA964" s="741"/>
      <c r="AB964" s="741"/>
      <c r="AC964" s="741"/>
      <c r="AD964" s="741"/>
      <c r="AE964" s="741"/>
      <c r="AF964" s="741"/>
      <c r="AG964" s="741"/>
      <c r="AH964" s="741"/>
      <c r="AI964" s="741"/>
      <c r="AJ964" s="741"/>
      <c r="AK964" s="741"/>
      <c r="AL964" s="741"/>
      <c r="AM964" s="741"/>
      <c r="AN964" s="741"/>
      <c r="AO964" s="741"/>
      <c r="AP964" s="741"/>
    </row>
    <row r="965" spans="1:42" ht="12.75" customHeight="1">
      <c r="A965" s="741"/>
      <c r="B965" s="741"/>
      <c r="C965" s="741"/>
      <c r="D965" s="741"/>
      <c r="E965" s="741"/>
      <c r="F965" s="741"/>
      <c r="G965" s="741"/>
      <c r="H965" s="741"/>
      <c r="I965" s="741"/>
      <c r="J965" s="741"/>
      <c r="K965" s="741"/>
      <c r="L965" s="741"/>
      <c r="M965" s="741"/>
      <c r="N965" s="741"/>
      <c r="O965" s="741"/>
      <c r="P965" s="741"/>
      <c r="Q965" s="741"/>
      <c r="R965" s="741"/>
      <c r="S965" s="741"/>
      <c r="T965" s="741"/>
      <c r="U965" s="741"/>
      <c r="V965" s="741"/>
      <c r="W965" s="741"/>
      <c r="X965" s="741"/>
      <c r="Y965" s="741"/>
      <c r="Z965" s="741"/>
      <c r="AA965" s="741"/>
      <c r="AB965" s="741"/>
      <c r="AC965" s="741"/>
      <c r="AD965" s="741"/>
      <c r="AE965" s="741"/>
      <c r="AF965" s="741"/>
      <c r="AG965" s="741"/>
      <c r="AH965" s="741"/>
      <c r="AI965" s="741"/>
      <c r="AJ965" s="741"/>
      <c r="AK965" s="741"/>
      <c r="AL965" s="741"/>
      <c r="AM965" s="741"/>
      <c r="AN965" s="741"/>
      <c r="AO965" s="741"/>
      <c r="AP965" s="741"/>
    </row>
    <row r="966" spans="1:42" ht="12.75" customHeight="1">
      <c r="A966" s="741"/>
      <c r="B966" s="741"/>
      <c r="C966" s="741"/>
      <c r="D966" s="741"/>
      <c r="E966" s="741"/>
      <c r="F966" s="741"/>
      <c r="G966" s="741"/>
      <c r="H966" s="741"/>
      <c r="I966" s="741"/>
      <c r="J966" s="741"/>
      <c r="K966" s="741"/>
      <c r="L966" s="741"/>
      <c r="M966" s="741"/>
      <c r="N966" s="741"/>
      <c r="O966" s="741"/>
      <c r="P966" s="741"/>
      <c r="Q966" s="741"/>
      <c r="R966" s="741"/>
      <c r="S966" s="741"/>
      <c r="T966" s="741"/>
      <c r="U966" s="741"/>
      <c r="V966" s="741"/>
      <c r="W966" s="741"/>
      <c r="X966" s="741"/>
      <c r="Y966" s="741"/>
      <c r="Z966" s="741"/>
      <c r="AA966" s="741"/>
      <c r="AB966" s="741"/>
      <c r="AC966" s="741"/>
      <c r="AD966" s="741"/>
      <c r="AE966" s="741"/>
      <c r="AF966" s="741"/>
      <c r="AG966" s="741"/>
      <c r="AH966" s="741"/>
      <c r="AI966" s="741"/>
      <c r="AJ966" s="741"/>
      <c r="AK966" s="741"/>
      <c r="AL966" s="741"/>
      <c r="AM966" s="741"/>
      <c r="AN966" s="741"/>
      <c r="AO966" s="741"/>
      <c r="AP966" s="741"/>
    </row>
    <row r="967" spans="1:42" ht="12.75" customHeight="1">
      <c r="A967" s="741"/>
      <c r="B967" s="741"/>
      <c r="C967" s="741"/>
      <c r="D967" s="741"/>
      <c r="E967" s="741"/>
      <c r="F967" s="741"/>
      <c r="G967" s="741"/>
      <c r="H967" s="741"/>
      <c r="I967" s="741"/>
      <c r="J967" s="741"/>
      <c r="K967" s="741"/>
      <c r="L967" s="741"/>
      <c r="M967" s="741"/>
      <c r="N967" s="741"/>
      <c r="O967" s="741"/>
      <c r="P967" s="741"/>
      <c r="Q967" s="741"/>
      <c r="R967" s="741"/>
      <c r="S967" s="741"/>
      <c r="T967" s="741"/>
      <c r="U967" s="741"/>
      <c r="V967" s="741"/>
      <c r="W967" s="741"/>
      <c r="X967" s="741"/>
      <c r="Y967" s="741"/>
      <c r="Z967" s="741"/>
      <c r="AA967" s="741"/>
      <c r="AB967" s="741"/>
      <c r="AC967" s="741"/>
      <c r="AD967" s="741"/>
      <c r="AE967" s="741"/>
      <c r="AF967" s="741"/>
      <c r="AG967" s="741"/>
      <c r="AH967" s="741"/>
      <c r="AI967" s="741"/>
      <c r="AJ967" s="741"/>
      <c r="AK967" s="741"/>
      <c r="AL967" s="741"/>
      <c r="AM967" s="741"/>
      <c r="AN967" s="741"/>
      <c r="AO967" s="741"/>
      <c r="AP967" s="741"/>
    </row>
    <row r="968" spans="1:42" ht="12.75" customHeight="1">
      <c r="A968" s="741"/>
      <c r="B968" s="741"/>
      <c r="C968" s="741"/>
      <c r="D968" s="741"/>
      <c r="E968" s="741"/>
      <c r="F968" s="741"/>
      <c r="G968" s="741"/>
      <c r="H968" s="741"/>
      <c r="I968" s="741"/>
      <c r="J968" s="741"/>
      <c r="K968" s="741"/>
      <c r="L968" s="741"/>
      <c r="M968" s="741"/>
      <c r="N968" s="741"/>
      <c r="O968" s="741"/>
      <c r="P968" s="741"/>
      <c r="Q968" s="741"/>
      <c r="R968" s="741"/>
      <c r="S968" s="741"/>
      <c r="T968" s="741"/>
      <c r="U968" s="741"/>
      <c r="V968" s="741"/>
      <c r="W968" s="741"/>
      <c r="X968" s="741"/>
      <c r="Y968" s="741"/>
      <c r="Z968" s="741"/>
      <c r="AA968" s="741"/>
      <c r="AB968" s="741"/>
      <c r="AC968" s="741"/>
      <c r="AD968" s="741"/>
      <c r="AE968" s="741"/>
      <c r="AF968" s="741"/>
      <c r="AG968" s="741"/>
      <c r="AH968" s="741"/>
      <c r="AI968" s="741"/>
      <c r="AJ968" s="741"/>
      <c r="AK968" s="741"/>
      <c r="AL968" s="741"/>
      <c r="AM968" s="741"/>
      <c r="AN968" s="741"/>
      <c r="AO968" s="741"/>
      <c r="AP968" s="741"/>
    </row>
    <row r="969" spans="1:42" ht="12.75" customHeight="1">
      <c r="A969" s="741"/>
      <c r="B969" s="741"/>
      <c r="C969" s="741"/>
      <c r="D969" s="741"/>
      <c r="E969" s="741"/>
      <c r="F969" s="741"/>
      <c r="G969" s="741"/>
      <c r="H969" s="741"/>
      <c r="I969" s="741"/>
      <c r="J969" s="741"/>
      <c r="K969" s="741"/>
      <c r="L969" s="741"/>
      <c r="M969" s="741"/>
      <c r="N969" s="741"/>
      <c r="O969" s="741"/>
      <c r="P969" s="741"/>
      <c r="Q969" s="741"/>
      <c r="R969" s="741"/>
      <c r="S969" s="741"/>
      <c r="T969" s="741"/>
      <c r="U969" s="741"/>
      <c r="V969" s="741"/>
      <c r="W969" s="741"/>
      <c r="X969" s="741"/>
      <c r="Y969" s="741"/>
      <c r="Z969" s="741"/>
      <c r="AA969" s="741"/>
      <c r="AB969" s="741"/>
      <c r="AC969" s="741"/>
      <c r="AD969" s="741"/>
      <c r="AE969" s="741"/>
      <c r="AF969" s="741"/>
      <c r="AG969" s="741"/>
      <c r="AH969" s="741"/>
      <c r="AI969" s="741"/>
      <c r="AJ969" s="741"/>
      <c r="AK969" s="741"/>
      <c r="AL969" s="741"/>
      <c r="AM969" s="741"/>
      <c r="AN969" s="741"/>
      <c r="AO969" s="741"/>
      <c r="AP969" s="741"/>
    </row>
    <row r="970" spans="1:42" ht="12.75" customHeight="1">
      <c r="A970" s="741"/>
      <c r="B970" s="741"/>
      <c r="C970" s="741"/>
      <c r="D970" s="741"/>
      <c r="E970" s="741"/>
      <c r="F970" s="741"/>
      <c r="G970" s="741"/>
      <c r="H970" s="741"/>
      <c r="I970" s="741"/>
      <c r="J970" s="741"/>
      <c r="K970" s="741"/>
      <c r="L970" s="741"/>
      <c r="M970" s="741"/>
      <c r="N970" s="741"/>
      <c r="O970" s="741"/>
      <c r="P970" s="741"/>
      <c r="Q970" s="741"/>
      <c r="R970" s="741"/>
      <c r="S970" s="741"/>
      <c r="T970" s="741"/>
      <c r="U970" s="741"/>
      <c r="V970" s="741"/>
      <c r="W970" s="741"/>
      <c r="X970" s="741"/>
      <c r="Y970" s="741"/>
      <c r="Z970" s="741"/>
      <c r="AA970" s="741"/>
      <c r="AB970" s="741"/>
      <c r="AC970" s="741"/>
      <c r="AD970" s="741"/>
      <c r="AE970" s="741"/>
      <c r="AF970" s="741"/>
      <c r="AG970" s="741"/>
      <c r="AH970" s="741"/>
      <c r="AI970" s="741"/>
      <c r="AJ970" s="741"/>
      <c r="AK970" s="741"/>
      <c r="AL970" s="741"/>
      <c r="AM970" s="741"/>
      <c r="AN970" s="741"/>
      <c r="AO970" s="741"/>
      <c r="AP970" s="741"/>
    </row>
    <row r="971" spans="1:42" ht="12.75" customHeight="1">
      <c r="A971" s="741"/>
      <c r="B971" s="741"/>
      <c r="C971" s="741"/>
      <c r="D971" s="741"/>
      <c r="E971" s="741"/>
      <c r="F971" s="741"/>
      <c r="G971" s="741"/>
      <c r="H971" s="741"/>
      <c r="I971" s="741"/>
      <c r="J971" s="741"/>
      <c r="K971" s="741"/>
      <c r="L971" s="741"/>
      <c r="M971" s="741"/>
      <c r="N971" s="741"/>
      <c r="O971" s="741"/>
      <c r="P971" s="741"/>
      <c r="Q971" s="741"/>
      <c r="R971" s="741"/>
      <c r="S971" s="741"/>
      <c r="T971" s="741"/>
      <c r="U971" s="741"/>
      <c r="V971" s="741"/>
      <c r="W971" s="741"/>
      <c r="X971" s="741"/>
      <c r="Y971" s="741"/>
      <c r="Z971" s="741"/>
      <c r="AA971" s="741"/>
      <c r="AB971" s="741"/>
      <c r="AC971" s="741"/>
      <c r="AD971" s="741"/>
      <c r="AE971" s="741"/>
      <c r="AF971" s="741"/>
      <c r="AG971" s="741"/>
      <c r="AH971" s="741"/>
      <c r="AI971" s="741"/>
      <c r="AJ971" s="741"/>
      <c r="AK971" s="741"/>
      <c r="AL971" s="741"/>
      <c r="AM971" s="741"/>
      <c r="AN971" s="741"/>
      <c r="AO971" s="741"/>
      <c r="AP971" s="741"/>
    </row>
    <row r="972" spans="1:42" ht="12.75" customHeight="1">
      <c r="A972" s="741"/>
      <c r="B972" s="741"/>
      <c r="C972" s="741"/>
      <c r="D972" s="741"/>
      <c r="E972" s="741"/>
      <c r="F972" s="741"/>
      <c r="G972" s="741"/>
      <c r="H972" s="741"/>
      <c r="I972" s="741"/>
      <c r="J972" s="741"/>
      <c r="K972" s="741"/>
      <c r="L972" s="741"/>
      <c r="M972" s="741"/>
      <c r="N972" s="741"/>
      <c r="O972" s="741"/>
      <c r="P972" s="741"/>
      <c r="Q972" s="741"/>
      <c r="R972" s="741"/>
      <c r="S972" s="741"/>
      <c r="T972" s="741"/>
      <c r="U972" s="741"/>
      <c r="V972" s="741"/>
      <c r="W972" s="741"/>
      <c r="X972" s="741"/>
      <c r="Y972" s="741"/>
      <c r="Z972" s="741"/>
      <c r="AA972" s="741"/>
      <c r="AB972" s="741"/>
      <c r="AC972" s="741"/>
      <c r="AD972" s="741"/>
      <c r="AE972" s="741"/>
      <c r="AF972" s="741"/>
      <c r="AG972" s="741"/>
      <c r="AH972" s="741"/>
      <c r="AI972" s="741"/>
      <c r="AJ972" s="741"/>
      <c r="AK972" s="741"/>
      <c r="AL972" s="741"/>
      <c r="AM972" s="741"/>
      <c r="AN972" s="741"/>
      <c r="AO972" s="741"/>
      <c r="AP972" s="741"/>
    </row>
    <row r="973" spans="1:42" ht="12.75" customHeight="1">
      <c r="A973" s="741"/>
      <c r="B973" s="741"/>
      <c r="C973" s="741"/>
      <c r="D973" s="741"/>
      <c r="E973" s="741"/>
      <c r="F973" s="741"/>
      <c r="G973" s="741"/>
      <c r="H973" s="741"/>
      <c r="I973" s="741"/>
      <c r="J973" s="741"/>
      <c r="K973" s="741"/>
      <c r="L973" s="741"/>
      <c r="M973" s="741"/>
      <c r="N973" s="741"/>
      <c r="O973" s="741"/>
      <c r="P973" s="741"/>
      <c r="Q973" s="741"/>
      <c r="R973" s="741"/>
      <c r="S973" s="741"/>
      <c r="T973" s="741"/>
      <c r="U973" s="741"/>
      <c r="V973" s="741"/>
      <c r="W973" s="741"/>
      <c r="X973" s="741"/>
      <c r="Y973" s="741"/>
      <c r="Z973" s="741"/>
      <c r="AA973" s="741"/>
      <c r="AB973" s="741"/>
      <c r="AC973" s="741"/>
      <c r="AD973" s="741"/>
      <c r="AE973" s="741"/>
      <c r="AF973" s="741"/>
      <c r="AG973" s="741"/>
      <c r="AH973" s="741"/>
      <c r="AI973" s="741"/>
      <c r="AJ973" s="741"/>
      <c r="AK973" s="741"/>
      <c r="AL973" s="741"/>
      <c r="AM973" s="741"/>
      <c r="AN973" s="741"/>
      <c r="AO973" s="741"/>
      <c r="AP973" s="741"/>
    </row>
    <row r="974" spans="1:42" ht="12.75" customHeight="1">
      <c r="A974" s="741"/>
      <c r="B974" s="741"/>
      <c r="C974" s="741"/>
      <c r="D974" s="741"/>
      <c r="E974" s="741"/>
      <c r="F974" s="741"/>
      <c r="G974" s="741"/>
      <c r="H974" s="741"/>
      <c r="I974" s="741"/>
      <c r="J974" s="741"/>
      <c r="K974" s="741"/>
      <c r="L974" s="741"/>
      <c r="M974" s="741"/>
      <c r="N974" s="741"/>
      <c r="O974" s="741"/>
      <c r="P974" s="741"/>
      <c r="Q974" s="741"/>
      <c r="R974" s="741"/>
      <c r="S974" s="741"/>
      <c r="T974" s="741"/>
      <c r="U974" s="741"/>
      <c r="V974" s="741"/>
      <c r="W974" s="741"/>
      <c r="X974" s="741"/>
      <c r="Y974" s="741"/>
      <c r="Z974" s="741"/>
      <c r="AA974" s="741"/>
      <c r="AB974" s="741"/>
      <c r="AC974" s="741"/>
      <c r="AD974" s="741"/>
      <c r="AE974" s="741"/>
      <c r="AF974" s="741"/>
      <c r="AG974" s="741"/>
      <c r="AH974" s="741"/>
      <c r="AI974" s="741"/>
      <c r="AJ974" s="741"/>
      <c r="AK974" s="741"/>
      <c r="AL974" s="741"/>
      <c r="AM974" s="741"/>
      <c r="AN974" s="741"/>
      <c r="AO974" s="741"/>
      <c r="AP974" s="741"/>
    </row>
    <row r="975" spans="1:42" ht="12.75" customHeight="1">
      <c r="A975" s="741"/>
      <c r="B975" s="741"/>
      <c r="C975" s="741"/>
      <c r="D975" s="741"/>
      <c r="E975" s="741"/>
      <c r="F975" s="741"/>
      <c r="G975" s="741"/>
      <c r="H975" s="741"/>
      <c r="I975" s="741"/>
      <c r="J975" s="741"/>
      <c r="K975" s="741"/>
      <c r="L975" s="741"/>
      <c r="M975" s="741"/>
      <c r="N975" s="741"/>
      <c r="O975" s="741"/>
      <c r="P975" s="741"/>
      <c r="Q975" s="741"/>
      <c r="R975" s="741"/>
      <c r="S975" s="741"/>
      <c r="T975" s="741"/>
      <c r="U975" s="741"/>
      <c r="V975" s="741"/>
      <c r="W975" s="741"/>
      <c r="X975" s="741"/>
      <c r="Y975" s="741"/>
      <c r="Z975" s="741"/>
      <c r="AA975" s="741"/>
      <c r="AB975" s="741"/>
      <c r="AC975" s="741"/>
      <c r="AD975" s="741"/>
      <c r="AE975" s="741"/>
      <c r="AF975" s="741"/>
      <c r="AG975" s="741"/>
      <c r="AH975" s="741"/>
      <c r="AI975" s="741"/>
      <c r="AJ975" s="741"/>
      <c r="AK975" s="741"/>
      <c r="AL975" s="741"/>
      <c r="AM975" s="741"/>
      <c r="AN975" s="741"/>
      <c r="AO975" s="741"/>
      <c r="AP975" s="741"/>
    </row>
    <row r="976" spans="1:42" ht="12.75" customHeight="1">
      <c r="A976" s="741"/>
      <c r="B976" s="741"/>
      <c r="C976" s="741"/>
      <c r="D976" s="741"/>
      <c r="E976" s="741"/>
      <c r="F976" s="741"/>
      <c r="G976" s="741"/>
      <c r="H976" s="741"/>
      <c r="I976" s="741"/>
      <c r="J976" s="741"/>
      <c r="K976" s="741"/>
      <c r="L976" s="741"/>
      <c r="M976" s="741"/>
      <c r="N976" s="741"/>
      <c r="O976" s="741"/>
      <c r="P976" s="741"/>
      <c r="Q976" s="741"/>
      <c r="R976" s="741"/>
      <c r="S976" s="741"/>
      <c r="T976" s="741"/>
      <c r="U976" s="741"/>
      <c r="V976" s="741"/>
      <c r="W976" s="741"/>
      <c r="X976" s="741"/>
      <c r="Y976" s="741"/>
      <c r="Z976" s="741"/>
      <c r="AA976" s="741"/>
      <c r="AB976" s="741"/>
      <c r="AC976" s="741"/>
      <c r="AD976" s="741"/>
      <c r="AE976" s="741"/>
      <c r="AF976" s="741"/>
      <c r="AG976" s="741"/>
      <c r="AH976" s="741"/>
      <c r="AI976" s="741"/>
      <c r="AJ976" s="741"/>
      <c r="AK976" s="741"/>
      <c r="AL976" s="741"/>
      <c r="AM976" s="741"/>
      <c r="AN976" s="741"/>
      <c r="AO976" s="741"/>
      <c r="AP976" s="741"/>
    </row>
    <row r="977" spans="1:42" ht="12.75" customHeight="1">
      <c r="A977" s="741"/>
      <c r="B977" s="741"/>
      <c r="C977" s="741"/>
      <c r="D977" s="741"/>
      <c r="E977" s="741"/>
      <c r="F977" s="741"/>
      <c r="G977" s="741"/>
      <c r="H977" s="741"/>
      <c r="I977" s="741"/>
      <c r="J977" s="741"/>
      <c r="K977" s="741"/>
      <c r="L977" s="741"/>
      <c r="M977" s="741"/>
      <c r="N977" s="741"/>
      <c r="O977" s="741"/>
      <c r="P977" s="741"/>
      <c r="Q977" s="741"/>
      <c r="R977" s="741"/>
      <c r="S977" s="741"/>
      <c r="T977" s="741"/>
      <c r="U977" s="741"/>
      <c r="V977" s="741"/>
      <c r="W977" s="741"/>
      <c r="X977" s="741"/>
      <c r="Y977" s="741"/>
      <c r="Z977" s="741"/>
      <c r="AA977" s="741"/>
      <c r="AB977" s="741"/>
      <c r="AC977" s="741"/>
      <c r="AD977" s="741"/>
      <c r="AE977" s="741"/>
      <c r="AF977" s="741"/>
      <c r="AG977" s="741"/>
      <c r="AH977" s="741"/>
      <c r="AI977" s="741"/>
      <c r="AJ977" s="741"/>
      <c r="AK977" s="741"/>
      <c r="AL977" s="741"/>
      <c r="AM977" s="741"/>
      <c r="AN977" s="741"/>
      <c r="AO977" s="741"/>
      <c r="AP977" s="741"/>
    </row>
    <row r="978" spans="1:42" ht="12.75" customHeight="1">
      <c r="A978" s="741"/>
      <c r="B978" s="741"/>
      <c r="C978" s="741"/>
      <c r="D978" s="741"/>
      <c r="E978" s="741"/>
      <c r="F978" s="741"/>
      <c r="G978" s="741"/>
      <c r="H978" s="741"/>
      <c r="I978" s="741"/>
      <c r="J978" s="741"/>
      <c r="K978" s="741"/>
      <c r="L978" s="741"/>
      <c r="M978" s="741"/>
      <c r="N978" s="741"/>
      <c r="O978" s="741"/>
      <c r="P978" s="741"/>
      <c r="Q978" s="741"/>
      <c r="R978" s="741"/>
      <c r="S978" s="741"/>
      <c r="T978" s="741"/>
      <c r="U978" s="741"/>
      <c r="V978" s="741"/>
      <c r="W978" s="741"/>
      <c r="X978" s="741"/>
      <c r="Y978" s="741"/>
      <c r="Z978" s="741"/>
      <c r="AA978" s="741"/>
      <c r="AB978" s="741"/>
      <c r="AC978" s="741"/>
      <c r="AD978" s="741"/>
      <c r="AE978" s="741"/>
      <c r="AF978" s="741"/>
      <c r="AG978" s="741"/>
      <c r="AH978" s="741"/>
      <c r="AI978" s="741"/>
      <c r="AJ978" s="741"/>
      <c r="AK978" s="741"/>
      <c r="AL978" s="741"/>
      <c r="AM978" s="741"/>
      <c r="AN978" s="741"/>
      <c r="AO978" s="741"/>
      <c r="AP978" s="741"/>
    </row>
    <row r="979" spans="1:42" ht="12.75" customHeight="1">
      <c r="A979" s="741"/>
      <c r="B979" s="741"/>
      <c r="C979" s="741"/>
      <c r="D979" s="741"/>
      <c r="E979" s="741"/>
      <c r="F979" s="741"/>
      <c r="G979" s="741"/>
      <c r="H979" s="741"/>
      <c r="I979" s="741"/>
      <c r="J979" s="741"/>
      <c r="K979" s="741"/>
      <c r="L979" s="741"/>
      <c r="M979" s="741"/>
      <c r="N979" s="741"/>
      <c r="O979" s="741"/>
      <c r="P979" s="741"/>
      <c r="Q979" s="741"/>
      <c r="R979" s="741"/>
      <c r="S979" s="741"/>
      <c r="T979" s="741"/>
      <c r="U979" s="741"/>
      <c r="V979" s="741"/>
      <c r="W979" s="741"/>
      <c r="X979" s="741"/>
      <c r="Y979" s="741"/>
      <c r="Z979" s="741"/>
      <c r="AA979" s="741"/>
      <c r="AB979" s="741"/>
      <c r="AC979" s="741"/>
      <c r="AD979" s="741"/>
      <c r="AE979" s="741"/>
      <c r="AF979" s="741"/>
      <c r="AG979" s="741"/>
      <c r="AH979" s="741"/>
      <c r="AI979" s="741"/>
      <c r="AJ979" s="741"/>
      <c r="AK979" s="741"/>
      <c r="AL979" s="741"/>
      <c r="AM979" s="741"/>
      <c r="AN979" s="741"/>
      <c r="AO979" s="741"/>
      <c r="AP979" s="741"/>
    </row>
    <row r="980" spans="1:42" ht="12.75" customHeight="1">
      <c r="A980" s="741"/>
      <c r="B980" s="741"/>
      <c r="C980" s="741"/>
      <c r="D980" s="741"/>
      <c r="E980" s="741"/>
      <c r="F980" s="741"/>
      <c r="G980" s="741"/>
      <c r="H980" s="741"/>
      <c r="I980" s="741"/>
      <c r="J980" s="741"/>
      <c r="K980" s="741"/>
      <c r="L980" s="741"/>
      <c r="M980" s="741"/>
      <c r="N980" s="741"/>
      <c r="O980" s="741"/>
      <c r="P980" s="741"/>
      <c r="Q980" s="741"/>
      <c r="R980" s="741"/>
      <c r="S980" s="741"/>
      <c r="T980" s="741"/>
      <c r="U980" s="741"/>
      <c r="V980" s="741"/>
      <c r="W980" s="741"/>
      <c r="X980" s="741"/>
      <c r="Y980" s="741"/>
      <c r="Z980" s="741"/>
      <c r="AA980" s="741"/>
      <c r="AB980" s="741"/>
      <c r="AC980" s="741"/>
      <c r="AD980" s="741"/>
      <c r="AE980" s="741"/>
      <c r="AF980" s="741"/>
      <c r="AG980" s="741"/>
      <c r="AH980" s="741"/>
      <c r="AI980" s="741"/>
      <c r="AJ980" s="741"/>
      <c r="AK980" s="741"/>
      <c r="AL980" s="741"/>
      <c r="AM980" s="741"/>
      <c r="AN980" s="741"/>
      <c r="AO980" s="741"/>
      <c r="AP980" s="741"/>
    </row>
    <row r="981" spans="1:42" ht="12.75" customHeight="1">
      <c r="A981" s="741"/>
      <c r="B981" s="741"/>
      <c r="C981" s="741"/>
      <c r="D981" s="741"/>
      <c r="E981" s="741"/>
      <c r="F981" s="741"/>
      <c r="G981" s="741"/>
      <c r="H981" s="741"/>
      <c r="I981" s="741"/>
      <c r="J981" s="741"/>
      <c r="K981" s="741"/>
      <c r="L981" s="741"/>
      <c r="M981" s="741"/>
      <c r="N981" s="741"/>
      <c r="O981" s="741"/>
      <c r="P981" s="741"/>
      <c r="Q981" s="741"/>
      <c r="R981" s="741"/>
      <c r="S981" s="741"/>
      <c r="T981" s="741"/>
      <c r="U981" s="741"/>
      <c r="V981" s="741"/>
      <c r="W981" s="741"/>
      <c r="X981" s="741"/>
      <c r="Y981" s="741"/>
      <c r="Z981" s="741"/>
      <c r="AA981" s="741"/>
      <c r="AB981" s="741"/>
      <c r="AC981" s="741"/>
      <c r="AD981" s="741"/>
      <c r="AE981" s="741"/>
      <c r="AF981" s="741"/>
      <c r="AG981" s="741"/>
      <c r="AH981" s="741"/>
      <c r="AI981" s="741"/>
      <c r="AJ981" s="741"/>
      <c r="AK981" s="741"/>
      <c r="AL981" s="741"/>
      <c r="AM981" s="741"/>
      <c r="AN981" s="741"/>
      <c r="AO981" s="741"/>
      <c r="AP981" s="741"/>
    </row>
    <row r="982" spans="1:42" ht="12.75" customHeight="1">
      <c r="A982" s="741"/>
      <c r="B982" s="741"/>
      <c r="C982" s="741"/>
      <c r="D982" s="741"/>
      <c r="E982" s="741"/>
      <c r="F982" s="741"/>
      <c r="G982" s="741"/>
      <c r="H982" s="741"/>
      <c r="I982" s="741"/>
      <c r="J982" s="741"/>
      <c r="K982" s="741"/>
      <c r="L982" s="741"/>
      <c r="M982" s="741"/>
      <c r="N982" s="741"/>
      <c r="O982" s="741"/>
      <c r="P982" s="741"/>
      <c r="Q982" s="741"/>
      <c r="R982" s="741"/>
      <c r="S982" s="741"/>
      <c r="T982" s="741"/>
      <c r="U982" s="741"/>
      <c r="V982" s="741"/>
      <c r="W982" s="741"/>
      <c r="X982" s="741"/>
      <c r="Y982" s="741"/>
      <c r="Z982" s="741"/>
      <c r="AA982" s="741"/>
      <c r="AB982" s="741"/>
      <c r="AC982" s="741"/>
      <c r="AD982" s="741"/>
      <c r="AE982" s="741"/>
      <c r="AF982" s="741"/>
      <c r="AG982" s="741"/>
      <c r="AH982" s="741"/>
      <c r="AI982" s="741"/>
      <c r="AJ982" s="741"/>
      <c r="AK982" s="741"/>
      <c r="AL982" s="741"/>
      <c r="AM982" s="741"/>
      <c r="AN982" s="741"/>
      <c r="AO982" s="741"/>
      <c r="AP982" s="741"/>
    </row>
    <row r="983" spans="1:42" ht="12.75" customHeight="1">
      <c r="A983" s="741"/>
      <c r="B983" s="741"/>
      <c r="C983" s="741"/>
      <c r="D983" s="741"/>
      <c r="E983" s="741"/>
      <c r="F983" s="741"/>
      <c r="G983" s="741"/>
      <c r="H983" s="741"/>
      <c r="I983" s="741"/>
      <c r="J983" s="741"/>
      <c r="K983" s="741"/>
      <c r="L983" s="741"/>
      <c r="M983" s="741"/>
      <c r="N983" s="741"/>
      <c r="O983" s="741"/>
      <c r="P983" s="741"/>
      <c r="Q983" s="741"/>
      <c r="R983" s="741"/>
      <c r="S983" s="741"/>
      <c r="T983" s="741"/>
      <c r="U983" s="741"/>
      <c r="V983" s="741"/>
      <c r="W983" s="741"/>
      <c r="X983" s="741"/>
      <c r="Y983" s="741"/>
      <c r="Z983" s="741"/>
      <c r="AA983" s="741"/>
      <c r="AB983" s="741"/>
      <c r="AC983" s="741"/>
      <c r="AD983" s="741"/>
      <c r="AE983" s="741"/>
      <c r="AF983" s="741"/>
      <c r="AG983" s="741"/>
      <c r="AH983" s="741"/>
      <c r="AI983" s="741"/>
      <c r="AJ983" s="741"/>
      <c r="AK983" s="741"/>
      <c r="AL983" s="741"/>
      <c r="AM983" s="741"/>
      <c r="AN983" s="741"/>
      <c r="AO983" s="741"/>
      <c r="AP983" s="741"/>
    </row>
    <row r="984" spans="1:42" ht="12.75" customHeight="1">
      <c r="A984" s="741"/>
      <c r="B984" s="741"/>
      <c r="C984" s="741"/>
      <c r="D984" s="741"/>
      <c r="E984" s="741"/>
      <c r="F984" s="741"/>
      <c r="G984" s="741"/>
      <c r="H984" s="741"/>
      <c r="I984" s="741"/>
      <c r="J984" s="741"/>
      <c r="K984" s="741"/>
      <c r="L984" s="741"/>
      <c r="M984" s="741"/>
      <c r="N984" s="741"/>
      <c r="O984" s="741"/>
      <c r="P984" s="741"/>
      <c r="Q984" s="741"/>
      <c r="R984" s="741"/>
      <c r="S984" s="741"/>
      <c r="T984" s="741"/>
      <c r="U984" s="741"/>
      <c r="V984" s="741"/>
      <c r="W984" s="741"/>
      <c r="X984" s="741"/>
      <c r="Y984" s="741"/>
      <c r="Z984" s="741"/>
      <c r="AA984" s="741"/>
      <c r="AB984" s="741"/>
      <c r="AC984" s="741"/>
      <c r="AD984" s="741"/>
      <c r="AE984" s="741"/>
      <c r="AF984" s="741"/>
      <c r="AG984" s="741"/>
      <c r="AH984" s="741"/>
      <c r="AI984" s="741"/>
      <c r="AJ984" s="741"/>
      <c r="AK984" s="741"/>
      <c r="AL984" s="741"/>
      <c r="AM984" s="741"/>
      <c r="AN984" s="741"/>
      <c r="AO984" s="741"/>
      <c r="AP984" s="741"/>
    </row>
    <row r="985" spans="1:42" ht="12.75" customHeight="1">
      <c r="A985" s="741"/>
      <c r="B985" s="741"/>
      <c r="C985" s="741"/>
      <c r="D985" s="741"/>
      <c r="E985" s="741"/>
      <c r="F985" s="741"/>
      <c r="G985" s="741"/>
      <c r="H985" s="741"/>
      <c r="I985" s="741"/>
      <c r="J985" s="741"/>
      <c r="K985" s="741"/>
      <c r="L985" s="741"/>
      <c r="M985" s="741"/>
      <c r="N985" s="741"/>
      <c r="O985" s="741"/>
      <c r="P985" s="741"/>
      <c r="Q985" s="741"/>
      <c r="R985" s="741"/>
      <c r="S985" s="741"/>
      <c r="T985" s="741"/>
      <c r="U985" s="741"/>
      <c r="V985" s="741"/>
      <c r="W985" s="741"/>
      <c r="X985" s="741"/>
      <c r="Y985" s="741"/>
      <c r="Z985" s="741"/>
      <c r="AA985" s="741"/>
      <c r="AB985" s="741"/>
      <c r="AC985" s="741"/>
      <c r="AD985" s="741"/>
      <c r="AE985" s="741"/>
      <c r="AF985" s="741"/>
      <c r="AG985" s="741"/>
      <c r="AH985" s="741"/>
      <c r="AI985" s="741"/>
      <c r="AJ985" s="741"/>
      <c r="AK985" s="741"/>
      <c r="AL985" s="741"/>
      <c r="AM985" s="741"/>
      <c r="AN985" s="741"/>
      <c r="AO985" s="741"/>
      <c r="AP985" s="741"/>
    </row>
    <row r="986" spans="1:42" ht="12.75" customHeight="1">
      <c r="A986" s="741"/>
      <c r="B986" s="741"/>
      <c r="C986" s="741"/>
      <c r="D986" s="741"/>
      <c r="E986" s="741"/>
      <c r="F986" s="741"/>
      <c r="G986" s="741"/>
      <c r="H986" s="741"/>
      <c r="I986" s="741"/>
      <c r="J986" s="741"/>
      <c r="K986" s="741"/>
      <c r="L986" s="741"/>
      <c r="M986" s="741"/>
      <c r="N986" s="741"/>
      <c r="O986" s="741"/>
      <c r="P986" s="741"/>
      <c r="Q986" s="741"/>
      <c r="R986" s="741"/>
      <c r="S986" s="741"/>
      <c r="T986" s="741"/>
      <c r="U986" s="741"/>
      <c r="V986" s="741"/>
      <c r="W986" s="741"/>
      <c r="X986" s="741"/>
      <c r="Y986" s="741"/>
      <c r="Z986" s="741"/>
      <c r="AA986" s="741"/>
      <c r="AB986" s="741"/>
      <c r="AC986" s="741"/>
      <c r="AD986" s="741"/>
      <c r="AE986" s="741"/>
      <c r="AF986" s="741"/>
      <c r="AG986" s="741"/>
      <c r="AH986" s="741"/>
      <c r="AI986" s="741"/>
      <c r="AJ986" s="741"/>
      <c r="AK986" s="741"/>
      <c r="AL986" s="741"/>
      <c r="AM986" s="741"/>
      <c r="AN986" s="741"/>
      <c r="AO986" s="741"/>
      <c r="AP986" s="741"/>
    </row>
    <row r="987" spans="1:42" ht="12.75" customHeight="1">
      <c r="A987" s="741"/>
      <c r="B987" s="741"/>
      <c r="C987" s="741"/>
      <c r="D987" s="741"/>
      <c r="E987" s="741"/>
      <c r="F987" s="741"/>
      <c r="G987" s="741"/>
      <c r="H987" s="741"/>
      <c r="I987" s="741"/>
      <c r="J987" s="741"/>
      <c r="K987" s="741"/>
      <c r="L987" s="741"/>
      <c r="M987" s="741"/>
      <c r="N987" s="741"/>
      <c r="O987" s="741"/>
      <c r="P987" s="741"/>
      <c r="Q987" s="741"/>
      <c r="R987" s="741"/>
      <c r="S987" s="741"/>
      <c r="T987" s="741"/>
      <c r="U987" s="741"/>
      <c r="V987" s="741"/>
      <c r="W987" s="741"/>
      <c r="X987" s="741"/>
      <c r="Y987" s="741"/>
      <c r="Z987" s="741"/>
      <c r="AA987" s="741"/>
      <c r="AB987" s="741"/>
      <c r="AC987" s="741"/>
      <c r="AD987" s="741"/>
      <c r="AE987" s="741"/>
      <c r="AF987" s="741"/>
      <c r="AG987" s="741"/>
      <c r="AH987" s="741"/>
      <c r="AI987" s="741"/>
      <c r="AJ987" s="741"/>
      <c r="AK987" s="741"/>
      <c r="AL987" s="741"/>
      <c r="AM987" s="741"/>
      <c r="AN987" s="741"/>
      <c r="AO987" s="741"/>
      <c r="AP987" s="741"/>
    </row>
    <row r="988" spans="1:42" ht="12.75" customHeight="1">
      <c r="A988" s="741"/>
      <c r="B988" s="741"/>
      <c r="C988" s="741"/>
      <c r="D988" s="741"/>
      <c r="E988" s="741"/>
      <c r="F988" s="741"/>
      <c r="G988" s="741"/>
      <c r="H988" s="741"/>
      <c r="I988" s="741"/>
      <c r="J988" s="741"/>
      <c r="K988" s="741"/>
      <c r="L988" s="741"/>
      <c r="M988" s="741"/>
      <c r="N988" s="741"/>
      <c r="O988" s="741"/>
      <c r="P988" s="741"/>
      <c r="Q988" s="741"/>
      <c r="R988" s="741"/>
      <c r="S988" s="741"/>
      <c r="T988" s="741"/>
      <c r="U988" s="741"/>
      <c r="V988" s="741"/>
      <c r="W988" s="741"/>
      <c r="X988" s="741"/>
      <c r="Y988" s="741"/>
      <c r="Z988" s="741"/>
      <c r="AA988" s="741"/>
      <c r="AB988" s="741"/>
      <c r="AC988" s="741"/>
      <c r="AD988" s="741"/>
      <c r="AE988" s="741"/>
      <c r="AF988" s="741"/>
      <c r="AG988" s="741"/>
      <c r="AH988" s="741"/>
      <c r="AI988" s="741"/>
      <c r="AJ988" s="741"/>
      <c r="AK988" s="741"/>
      <c r="AL988" s="741"/>
      <c r="AM988" s="741"/>
      <c r="AN988" s="741"/>
      <c r="AO988" s="741"/>
      <c r="AP988" s="741"/>
    </row>
    <row r="989" spans="1:42" ht="12.75" customHeight="1">
      <c r="A989" s="741"/>
      <c r="B989" s="741"/>
      <c r="C989" s="741"/>
      <c r="D989" s="741"/>
      <c r="E989" s="741"/>
      <c r="F989" s="741"/>
      <c r="G989" s="741"/>
      <c r="H989" s="741"/>
      <c r="I989" s="741"/>
      <c r="J989" s="741"/>
      <c r="K989" s="741"/>
      <c r="L989" s="741"/>
      <c r="M989" s="741"/>
      <c r="N989" s="741"/>
      <c r="O989" s="741"/>
      <c r="P989" s="741"/>
      <c r="Q989" s="741"/>
      <c r="R989" s="741"/>
      <c r="S989" s="741"/>
      <c r="T989" s="741"/>
      <c r="U989" s="741"/>
      <c r="V989" s="741"/>
      <c r="W989" s="741"/>
      <c r="X989" s="741"/>
      <c r="Y989" s="741"/>
      <c r="Z989" s="741"/>
      <c r="AA989" s="741"/>
      <c r="AB989" s="741"/>
      <c r="AC989" s="741"/>
      <c r="AD989" s="741"/>
      <c r="AE989" s="741"/>
      <c r="AF989" s="741"/>
      <c r="AG989" s="741"/>
      <c r="AH989" s="741"/>
      <c r="AI989" s="741"/>
      <c r="AJ989" s="741"/>
      <c r="AK989" s="741"/>
      <c r="AL989" s="741"/>
      <c r="AM989" s="741"/>
      <c r="AN989" s="741"/>
      <c r="AO989" s="741"/>
      <c r="AP989" s="741"/>
    </row>
    <row r="990" spans="1:42" ht="12.75" customHeight="1">
      <c r="A990" s="741"/>
      <c r="B990" s="741"/>
      <c r="C990" s="741"/>
      <c r="D990" s="741"/>
      <c r="E990" s="741"/>
      <c r="F990" s="741"/>
      <c r="G990" s="741"/>
      <c r="H990" s="741"/>
      <c r="I990" s="741"/>
      <c r="J990" s="741"/>
      <c r="K990" s="741"/>
      <c r="L990" s="741"/>
      <c r="M990" s="741"/>
      <c r="N990" s="741"/>
      <c r="O990" s="741"/>
      <c r="P990" s="741"/>
      <c r="Q990" s="741"/>
      <c r="R990" s="741"/>
      <c r="S990" s="741"/>
      <c r="T990" s="741"/>
      <c r="U990" s="741"/>
      <c r="V990" s="741"/>
      <c r="W990" s="741"/>
      <c r="X990" s="741"/>
      <c r="Y990" s="741"/>
      <c r="Z990" s="741"/>
      <c r="AA990" s="741"/>
      <c r="AB990" s="741"/>
      <c r="AC990" s="741"/>
      <c r="AD990" s="741"/>
      <c r="AE990" s="741"/>
      <c r="AF990" s="741"/>
      <c r="AG990" s="741"/>
      <c r="AH990" s="741"/>
      <c r="AI990" s="741"/>
      <c r="AJ990" s="741"/>
      <c r="AK990" s="741"/>
      <c r="AL990" s="741"/>
      <c r="AM990" s="741"/>
      <c r="AN990" s="741"/>
      <c r="AO990" s="741"/>
      <c r="AP990" s="741"/>
    </row>
    <row r="991" spans="1:42" ht="12.75" customHeight="1">
      <c r="A991" s="741"/>
      <c r="B991" s="741"/>
      <c r="C991" s="741"/>
      <c r="D991" s="741"/>
      <c r="E991" s="741"/>
      <c r="F991" s="741"/>
      <c r="G991" s="741"/>
      <c r="H991" s="741"/>
      <c r="I991" s="741"/>
      <c r="J991" s="741"/>
      <c r="K991" s="741"/>
      <c r="L991" s="741"/>
      <c r="M991" s="741"/>
      <c r="N991" s="741"/>
      <c r="O991" s="741"/>
      <c r="P991" s="741"/>
      <c r="Q991" s="741"/>
      <c r="R991" s="741"/>
      <c r="S991" s="741"/>
      <c r="T991" s="741"/>
      <c r="U991" s="741"/>
      <c r="V991" s="741"/>
      <c r="W991" s="741"/>
      <c r="X991" s="741"/>
      <c r="Y991" s="741"/>
      <c r="Z991" s="741"/>
      <c r="AA991" s="741"/>
      <c r="AB991" s="741"/>
      <c r="AC991" s="741"/>
      <c r="AD991" s="741"/>
      <c r="AE991" s="741"/>
      <c r="AF991" s="741"/>
      <c r="AG991" s="741"/>
      <c r="AH991" s="741"/>
      <c r="AI991" s="741"/>
      <c r="AJ991" s="741"/>
      <c r="AK991" s="741"/>
      <c r="AL991" s="741"/>
      <c r="AM991" s="741"/>
      <c r="AN991" s="741"/>
      <c r="AO991" s="741"/>
      <c r="AP991" s="741"/>
    </row>
    <row r="992" spans="1:42" ht="12.75" customHeight="1">
      <c r="A992" s="741"/>
      <c r="B992" s="741"/>
      <c r="C992" s="741"/>
      <c r="D992" s="741"/>
      <c r="E992" s="741"/>
      <c r="F992" s="741"/>
      <c r="G992" s="741"/>
      <c r="H992" s="741"/>
      <c r="I992" s="741"/>
      <c r="J992" s="741"/>
      <c r="K992" s="741"/>
      <c r="L992" s="741"/>
      <c r="M992" s="741"/>
      <c r="N992" s="741"/>
      <c r="O992" s="741"/>
      <c r="P992" s="741"/>
      <c r="Q992" s="741"/>
      <c r="R992" s="741"/>
      <c r="S992" s="741"/>
      <c r="T992" s="741"/>
      <c r="U992" s="741"/>
      <c r="V992" s="741"/>
      <c r="W992" s="741"/>
      <c r="X992" s="741"/>
      <c r="Y992" s="741"/>
      <c r="Z992" s="741"/>
      <c r="AA992" s="741"/>
      <c r="AB992" s="741"/>
      <c r="AC992" s="741"/>
      <c r="AD992" s="741"/>
      <c r="AE992" s="741"/>
      <c r="AF992" s="741"/>
      <c r="AG992" s="741"/>
      <c r="AH992" s="741"/>
      <c r="AI992" s="741"/>
      <c r="AJ992" s="741"/>
      <c r="AK992" s="741"/>
      <c r="AL992" s="741"/>
      <c r="AM992" s="741"/>
      <c r="AN992" s="741"/>
      <c r="AO992" s="741"/>
      <c r="AP992" s="741"/>
    </row>
    <row r="993" spans="1:42" ht="12.75" customHeight="1">
      <c r="A993" s="741"/>
      <c r="B993" s="741"/>
      <c r="C993" s="741"/>
      <c r="D993" s="741"/>
      <c r="E993" s="741"/>
      <c r="F993" s="741"/>
      <c r="G993" s="741"/>
      <c r="H993" s="741"/>
      <c r="I993" s="741"/>
      <c r="J993" s="741"/>
      <c r="K993" s="741"/>
      <c r="L993" s="741"/>
      <c r="M993" s="741"/>
      <c r="N993" s="741"/>
      <c r="O993" s="741"/>
      <c r="P993" s="741"/>
      <c r="Q993" s="741"/>
      <c r="R993" s="741"/>
      <c r="S993" s="741"/>
      <c r="T993" s="741"/>
      <c r="U993" s="741"/>
      <c r="V993" s="741"/>
      <c r="W993" s="741"/>
      <c r="X993" s="741"/>
      <c r="Y993" s="741"/>
      <c r="Z993" s="741"/>
      <c r="AA993" s="741"/>
      <c r="AB993" s="741"/>
      <c r="AC993" s="741"/>
      <c r="AD993" s="741"/>
      <c r="AE993" s="741"/>
      <c r="AF993" s="741"/>
      <c r="AG993" s="741"/>
      <c r="AH993" s="741"/>
      <c r="AI993" s="741"/>
      <c r="AJ993" s="741"/>
      <c r="AK993" s="741"/>
      <c r="AL993" s="741"/>
      <c r="AM993" s="741"/>
      <c r="AN993" s="741"/>
      <c r="AO993" s="741"/>
      <c r="AP993" s="741"/>
    </row>
    <row r="994" spans="1:42" ht="12.75" customHeight="1">
      <c r="A994" s="741"/>
      <c r="B994" s="741"/>
      <c r="C994" s="741"/>
      <c r="D994" s="741"/>
      <c r="E994" s="741"/>
      <c r="F994" s="741"/>
      <c r="G994" s="741"/>
      <c r="H994" s="741"/>
      <c r="I994" s="741"/>
      <c r="J994" s="741"/>
      <c r="K994" s="741"/>
      <c r="L994" s="741"/>
      <c r="M994" s="741"/>
      <c r="N994" s="741"/>
      <c r="O994" s="741"/>
      <c r="P994" s="741"/>
      <c r="Q994" s="741"/>
      <c r="R994" s="741"/>
      <c r="S994" s="741"/>
      <c r="T994" s="741"/>
      <c r="U994" s="741"/>
      <c r="V994" s="741"/>
      <c r="W994" s="741"/>
      <c r="X994" s="741"/>
      <c r="Y994" s="741"/>
      <c r="Z994" s="741"/>
      <c r="AA994" s="741"/>
      <c r="AB994" s="741"/>
      <c r="AC994" s="741"/>
      <c r="AD994" s="741"/>
      <c r="AE994" s="741"/>
      <c r="AF994" s="741"/>
      <c r="AG994" s="741"/>
      <c r="AH994" s="741"/>
      <c r="AI994" s="741"/>
      <c r="AJ994" s="741"/>
      <c r="AK994" s="741"/>
      <c r="AL994" s="741"/>
      <c r="AM994" s="741"/>
      <c r="AN994" s="741"/>
      <c r="AO994" s="741"/>
      <c r="AP994" s="741"/>
    </row>
    <row r="995" spans="1:42" ht="12.75" customHeight="1">
      <c r="A995" s="741"/>
      <c r="B995" s="741"/>
      <c r="C995" s="741"/>
      <c r="D995" s="741"/>
      <c r="E995" s="741"/>
      <c r="F995" s="741"/>
      <c r="G995" s="741"/>
      <c r="H995" s="741"/>
      <c r="I995" s="741"/>
      <c r="J995" s="741"/>
      <c r="K995" s="741"/>
      <c r="L995" s="741"/>
      <c r="M995" s="741"/>
      <c r="N995" s="741"/>
      <c r="O995" s="741"/>
      <c r="P995" s="741"/>
      <c r="Q995" s="741"/>
      <c r="R995" s="741"/>
      <c r="S995" s="741"/>
      <c r="T995" s="741"/>
      <c r="U995" s="741"/>
      <c r="V995" s="741"/>
      <c r="W995" s="741"/>
      <c r="X995" s="741"/>
      <c r="Y995" s="741"/>
      <c r="Z995" s="741"/>
      <c r="AA995" s="741"/>
      <c r="AB995" s="741"/>
      <c r="AC995" s="741"/>
      <c r="AD995" s="741"/>
      <c r="AE995" s="741"/>
      <c r="AF995" s="741"/>
      <c r="AG995" s="741"/>
      <c r="AH995" s="741"/>
      <c r="AI995" s="741"/>
      <c r="AJ995" s="741"/>
      <c r="AK995" s="741"/>
      <c r="AL995" s="741"/>
      <c r="AM995" s="741"/>
      <c r="AN995" s="741"/>
      <c r="AO995" s="741"/>
      <c r="AP995" s="741"/>
    </row>
    <row r="996" spans="1:42" ht="12.75" customHeight="1">
      <c r="A996" s="741"/>
      <c r="B996" s="741"/>
      <c r="C996" s="741"/>
      <c r="D996" s="741"/>
      <c r="E996" s="741"/>
      <c r="F996" s="741"/>
      <c r="G996" s="741"/>
      <c r="H996" s="741"/>
      <c r="I996" s="741"/>
      <c r="J996" s="741"/>
      <c r="K996" s="741"/>
      <c r="L996" s="741"/>
      <c r="M996" s="741"/>
      <c r="N996" s="741"/>
      <c r="O996" s="741"/>
      <c r="P996" s="741"/>
      <c r="Q996" s="741"/>
      <c r="R996" s="741"/>
      <c r="S996" s="741"/>
      <c r="T996" s="741"/>
      <c r="U996" s="741"/>
      <c r="V996" s="741"/>
      <c r="W996" s="741"/>
      <c r="X996" s="741"/>
      <c r="Y996" s="741"/>
      <c r="Z996" s="741"/>
      <c r="AA996" s="741"/>
      <c r="AB996" s="741"/>
      <c r="AC996" s="741"/>
      <c r="AD996" s="741"/>
      <c r="AE996" s="741"/>
      <c r="AF996" s="741"/>
      <c r="AG996" s="741"/>
      <c r="AH996" s="741"/>
      <c r="AI996" s="741"/>
      <c r="AJ996" s="741"/>
      <c r="AK996" s="741"/>
      <c r="AL996" s="741"/>
      <c r="AM996" s="741"/>
      <c r="AN996" s="741"/>
      <c r="AO996" s="741"/>
      <c r="AP996" s="741"/>
    </row>
    <row r="997" spans="1:42" ht="12.75" customHeight="1">
      <c r="A997" s="741"/>
      <c r="B997" s="741"/>
      <c r="C997" s="741"/>
      <c r="D997" s="741"/>
      <c r="E997" s="741"/>
      <c r="F997" s="741"/>
      <c r="G997" s="741"/>
      <c r="H997" s="741"/>
      <c r="I997" s="741"/>
      <c r="J997" s="741"/>
      <c r="K997" s="741"/>
      <c r="L997" s="741"/>
      <c r="M997" s="741"/>
      <c r="N997" s="741"/>
      <c r="O997" s="741"/>
      <c r="P997" s="741"/>
      <c r="Q997" s="741"/>
      <c r="R997" s="741"/>
      <c r="S997" s="741"/>
      <c r="T997" s="741"/>
      <c r="U997" s="741"/>
      <c r="V997" s="741"/>
      <c r="W997" s="741"/>
      <c r="X997" s="741"/>
      <c r="Y997" s="741"/>
      <c r="Z997" s="741"/>
      <c r="AA997" s="741"/>
      <c r="AB997" s="741"/>
      <c r="AC997" s="741"/>
      <c r="AD997" s="741"/>
      <c r="AE997" s="741"/>
      <c r="AF997" s="741"/>
      <c r="AG997" s="741"/>
      <c r="AH997" s="741"/>
      <c r="AI997" s="741"/>
      <c r="AJ997" s="741"/>
      <c r="AK997" s="741"/>
      <c r="AL997" s="741"/>
      <c r="AM997" s="741"/>
      <c r="AN997" s="741"/>
      <c r="AO997" s="741"/>
      <c r="AP997" s="741"/>
    </row>
    <row r="998" spans="1:42" ht="12.75" customHeight="1">
      <c r="A998" s="741"/>
      <c r="B998" s="741"/>
      <c r="C998" s="741"/>
      <c r="D998" s="741"/>
      <c r="E998" s="741"/>
      <c r="F998" s="741"/>
      <c r="G998" s="741"/>
      <c r="H998" s="741"/>
      <c r="I998" s="741"/>
      <c r="J998" s="741"/>
      <c r="K998" s="741"/>
      <c r="L998" s="741"/>
      <c r="M998" s="741"/>
      <c r="N998" s="741"/>
      <c r="O998" s="741"/>
      <c r="P998" s="741"/>
      <c r="Q998" s="741"/>
      <c r="R998" s="741"/>
      <c r="S998" s="741"/>
      <c r="T998" s="741"/>
      <c r="U998" s="741"/>
      <c r="V998" s="741"/>
      <c r="W998" s="741"/>
      <c r="X998" s="741"/>
      <c r="Y998" s="741"/>
      <c r="Z998" s="741"/>
      <c r="AA998" s="741"/>
      <c r="AB998" s="741"/>
      <c r="AC998" s="741"/>
      <c r="AD998" s="741"/>
      <c r="AE998" s="741"/>
      <c r="AF998" s="741"/>
      <c r="AG998" s="741"/>
      <c r="AH998" s="741"/>
      <c r="AI998" s="741"/>
      <c r="AJ998" s="741"/>
      <c r="AK998" s="741"/>
      <c r="AL998" s="741"/>
      <c r="AM998" s="741"/>
      <c r="AN998" s="741"/>
      <c r="AO998" s="741"/>
      <c r="AP998" s="741"/>
    </row>
    <row r="999" spans="1:42" ht="12.75" customHeight="1">
      <c r="A999" s="741"/>
      <c r="B999" s="741"/>
      <c r="C999" s="741"/>
      <c r="D999" s="741"/>
      <c r="E999" s="741"/>
      <c r="F999" s="741"/>
      <c r="G999" s="741"/>
      <c r="H999" s="741"/>
      <c r="I999" s="741"/>
      <c r="J999" s="741"/>
      <c r="K999" s="741"/>
      <c r="L999" s="741"/>
      <c r="M999" s="741"/>
      <c r="N999" s="741"/>
      <c r="O999" s="741"/>
      <c r="P999" s="741"/>
      <c r="Q999" s="741"/>
      <c r="R999" s="741"/>
      <c r="S999" s="741"/>
      <c r="T999" s="741"/>
      <c r="U999" s="741"/>
      <c r="V999" s="741"/>
      <c r="W999" s="741"/>
      <c r="X999" s="741"/>
      <c r="Y999" s="741"/>
      <c r="Z999" s="741"/>
      <c r="AA999" s="741"/>
      <c r="AB999" s="741"/>
      <c r="AC999" s="741"/>
      <c r="AD999" s="741"/>
      <c r="AE999" s="741"/>
      <c r="AF999" s="741"/>
      <c r="AG999" s="741"/>
      <c r="AH999" s="741"/>
      <c r="AI999" s="741"/>
      <c r="AJ999" s="741"/>
      <c r="AK999" s="741"/>
      <c r="AL999" s="741"/>
      <c r="AM999" s="741"/>
      <c r="AN999" s="741"/>
      <c r="AO999" s="741"/>
      <c r="AP999" s="741"/>
    </row>
    <row r="1000" spans="1:42" ht="12.75" customHeight="1">
      <c r="A1000" s="741"/>
      <c r="B1000" s="741"/>
      <c r="C1000" s="741"/>
      <c r="D1000" s="741"/>
      <c r="E1000" s="741"/>
      <c r="F1000" s="741"/>
      <c r="G1000" s="741"/>
      <c r="H1000" s="741"/>
      <c r="I1000" s="741"/>
      <c r="J1000" s="741"/>
      <c r="K1000" s="741"/>
      <c r="L1000" s="741"/>
      <c r="M1000" s="741"/>
      <c r="N1000" s="741"/>
      <c r="O1000" s="741"/>
      <c r="P1000" s="741"/>
      <c r="Q1000" s="741"/>
      <c r="R1000" s="741"/>
      <c r="S1000" s="741"/>
      <c r="T1000" s="741"/>
      <c r="U1000" s="741"/>
      <c r="V1000" s="741"/>
      <c r="W1000" s="741"/>
      <c r="X1000" s="741"/>
      <c r="Y1000" s="741"/>
      <c r="Z1000" s="741"/>
      <c r="AA1000" s="741"/>
      <c r="AB1000" s="741"/>
      <c r="AC1000" s="741"/>
      <c r="AD1000" s="741"/>
      <c r="AE1000" s="741"/>
      <c r="AF1000" s="741"/>
      <c r="AG1000" s="741"/>
      <c r="AH1000" s="741"/>
      <c r="AI1000" s="741"/>
      <c r="AJ1000" s="741"/>
      <c r="AK1000" s="741"/>
      <c r="AL1000" s="741"/>
      <c r="AM1000" s="741"/>
      <c r="AN1000" s="741"/>
      <c r="AO1000" s="741"/>
      <c r="AP1000" s="741"/>
    </row>
    <row r="1001" spans="1:42" ht="12.75" customHeight="1">
      <c r="A1001" s="741"/>
      <c r="B1001" s="741"/>
      <c r="C1001" s="741"/>
      <c r="D1001" s="741"/>
      <c r="E1001" s="741"/>
      <c r="F1001" s="741"/>
      <c r="G1001" s="741"/>
      <c r="H1001" s="741"/>
      <c r="I1001" s="741"/>
      <c r="J1001" s="741"/>
      <c r="K1001" s="741"/>
      <c r="L1001" s="741"/>
      <c r="M1001" s="741"/>
      <c r="N1001" s="741"/>
      <c r="O1001" s="741"/>
      <c r="P1001" s="741"/>
      <c r="Q1001" s="741"/>
      <c r="R1001" s="741"/>
      <c r="S1001" s="741"/>
      <c r="T1001" s="741"/>
      <c r="U1001" s="741"/>
      <c r="V1001" s="741"/>
      <c r="W1001" s="741"/>
      <c r="X1001" s="741"/>
      <c r="Y1001" s="741"/>
      <c r="Z1001" s="741"/>
      <c r="AA1001" s="741"/>
      <c r="AB1001" s="741"/>
      <c r="AC1001" s="741"/>
      <c r="AD1001" s="741"/>
      <c r="AE1001" s="741"/>
      <c r="AF1001" s="741"/>
      <c r="AG1001" s="741"/>
      <c r="AH1001" s="741"/>
      <c r="AI1001" s="741"/>
      <c r="AJ1001" s="741"/>
      <c r="AK1001" s="741"/>
      <c r="AL1001" s="741"/>
      <c r="AM1001" s="741"/>
      <c r="AN1001" s="741"/>
      <c r="AO1001" s="741"/>
      <c r="AP1001" s="741"/>
    </row>
    <row r="1002" spans="1:42" ht="12.75" customHeight="1">
      <c r="A1002" s="741"/>
      <c r="B1002" s="741"/>
      <c r="C1002" s="741"/>
      <c r="D1002" s="741"/>
      <c r="E1002" s="741"/>
      <c r="F1002" s="741"/>
      <c r="G1002" s="741"/>
      <c r="H1002" s="741"/>
      <c r="I1002" s="741"/>
      <c r="J1002" s="741"/>
      <c r="K1002" s="741"/>
      <c r="L1002" s="741"/>
      <c r="M1002" s="741"/>
      <c r="N1002" s="741"/>
      <c r="O1002" s="741"/>
      <c r="P1002" s="741"/>
      <c r="Q1002" s="741"/>
      <c r="R1002" s="741"/>
      <c r="S1002" s="741"/>
      <c r="T1002" s="741"/>
      <c r="U1002" s="741"/>
      <c r="V1002" s="741"/>
      <c r="W1002" s="741"/>
      <c r="X1002" s="741"/>
      <c r="Y1002" s="741"/>
      <c r="Z1002" s="741"/>
      <c r="AA1002" s="741"/>
      <c r="AB1002" s="741"/>
      <c r="AC1002" s="741"/>
      <c r="AD1002" s="741"/>
      <c r="AE1002" s="741"/>
      <c r="AF1002" s="741"/>
      <c r="AG1002" s="741"/>
      <c r="AH1002" s="741"/>
      <c r="AI1002" s="741"/>
      <c r="AJ1002" s="741"/>
      <c r="AK1002" s="741"/>
      <c r="AL1002" s="741"/>
      <c r="AM1002" s="741"/>
      <c r="AN1002" s="741"/>
      <c r="AO1002" s="741"/>
      <c r="AP1002" s="741"/>
    </row>
    <row r="1003" spans="1:42" ht="12.75" customHeight="1">
      <c r="A1003" s="741"/>
      <c r="B1003" s="741"/>
      <c r="C1003" s="741"/>
      <c r="D1003" s="741"/>
      <c r="E1003" s="741"/>
      <c r="F1003" s="741"/>
      <c r="G1003" s="741"/>
      <c r="H1003" s="741"/>
      <c r="I1003" s="741"/>
      <c r="J1003" s="741"/>
      <c r="K1003" s="741"/>
      <c r="L1003" s="741"/>
      <c r="M1003" s="741"/>
      <c r="N1003" s="741"/>
      <c r="O1003" s="741"/>
      <c r="P1003" s="741"/>
      <c r="Q1003" s="741"/>
      <c r="R1003" s="741"/>
      <c r="S1003" s="741"/>
      <c r="T1003" s="741"/>
      <c r="U1003" s="741"/>
      <c r="V1003" s="741"/>
      <c r="W1003" s="741"/>
      <c r="X1003" s="741"/>
      <c r="Y1003" s="741"/>
      <c r="Z1003" s="741"/>
      <c r="AA1003" s="741"/>
      <c r="AB1003" s="741"/>
      <c r="AC1003" s="741"/>
      <c r="AD1003" s="741"/>
      <c r="AE1003" s="741"/>
      <c r="AF1003" s="741"/>
      <c r="AG1003" s="741"/>
      <c r="AH1003" s="741"/>
      <c r="AI1003" s="741"/>
      <c r="AJ1003" s="741"/>
      <c r="AK1003" s="741"/>
      <c r="AL1003" s="741"/>
      <c r="AM1003" s="741"/>
      <c r="AN1003" s="741"/>
      <c r="AO1003" s="741"/>
      <c r="AP1003" s="741"/>
    </row>
    <row r="1004" spans="1:42" ht="12.75" customHeight="1">
      <c r="A1004" s="741"/>
      <c r="B1004" s="741"/>
      <c r="C1004" s="741"/>
      <c r="D1004" s="741"/>
      <c r="E1004" s="741"/>
      <c r="F1004" s="741"/>
      <c r="G1004" s="741"/>
      <c r="H1004" s="741"/>
      <c r="I1004" s="741"/>
      <c r="J1004" s="741"/>
      <c r="K1004" s="741"/>
      <c r="L1004" s="741"/>
      <c r="M1004" s="741"/>
      <c r="N1004" s="741"/>
      <c r="O1004" s="741"/>
      <c r="P1004" s="741"/>
      <c r="Q1004" s="741"/>
      <c r="R1004" s="741"/>
      <c r="S1004" s="741"/>
      <c r="T1004" s="741"/>
      <c r="U1004" s="741"/>
      <c r="V1004" s="741"/>
      <c r="W1004" s="741"/>
      <c r="X1004" s="741"/>
      <c r="Y1004" s="741"/>
      <c r="Z1004" s="741"/>
      <c r="AA1004" s="741"/>
      <c r="AB1004" s="741"/>
      <c r="AC1004" s="741"/>
      <c r="AD1004" s="741"/>
      <c r="AE1004" s="741"/>
      <c r="AF1004" s="741"/>
      <c r="AG1004" s="741"/>
      <c r="AH1004" s="741"/>
      <c r="AI1004" s="741"/>
      <c r="AJ1004" s="741"/>
      <c r="AK1004" s="741"/>
      <c r="AL1004" s="741"/>
      <c r="AM1004" s="741"/>
      <c r="AN1004" s="741"/>
      <c r="AO1004" s="741"/>
      <c r="AP1004" s="741"/>
    </row>
    <row r="1005" spans="1:42" ht="12.75" customHeight="1">
      <c r="A1005" s="741"/>
      <c r="B1005" s="741"/>
      <c r="C1005" s="741"/>
      <c r="D1005" s="741"/>
      <c r="E1005" s="741"/>
      <c r="F1005" s="741"/>
      <c r="G1005" s="741"/>
      <c r="H1005" s="741"/>
      <c r="I1005" s="741"/>
      <c r="J1005" s="741"/>
      <c r="K1005" s="741"/>
      <c r="L1005" s="741"/>
      <c r="M1005" s="741"/>
      <c r="N1005" s="741"/>
      <c r="O1005" s="741"/>
      <c r="P1005" s="741"/>
      <c r="Q1005" s="741"/>
      <c r="R1005" s="741"/>
      <c r="S1005" s="741"/>
      <c r="T1005" s="741"/>
      <c r="U1005" s="741"/>
      <c r="V1005" s="741"/>
      <c r="W1005" s="741"/>
      <c r="X1005" s="741"/>
      <c r="Y1005" s="741"/>
      <c r="Z1005" s="741"/>
      <c r="AA1005" s="741"/>
      <c r="AB1005" s="741"/>
      <c r="AC1005" s="741"/>
      <c r="AD1005" s="741"/>
      <c r="AE1005" s="741"/>
      <c r="AF1005" s="741"/>
      <c r="AG1005" s="741"/>
      <c r="AH1005" s="741"/>
      <c r="AI1005" s="741"/>
      <c r="AJ1005" s="741"/>
      <c r="AK1005" s="741"/>
      <c r="AL1005" s="741"/>
      <c r="AM1005" s="741"/>
      <c r="AN1005" s="741"/>
      <c r="AO1005" s="741"/>
      <c r="AP1005" s="741"/>
    </row>
    <row r="1006" spans="1:42" ht="12.75" customHeight="1">
      <c r="A1006" s="741"/>
      <c r="B1006" s="741"/>
      <c r="C1006" s="741"/>
      <c r="D1006" s="741"/>
      <c r="E1006" s="741"/>
      <c r="F1006" s="741"/>
      <c r="G1006" s="741"/>
      <c r="H1006" s="741"/>
      <c r="I1006" s="741"/>
      <c r="J1006" s="741"/>
      <c r="K1006" s="741"/>
      <c r="L1006" s="741"/>
      <c r="M1006" s="741"/>
      <c r="N1006" s="741"/>
      <c r="O1006" s="741"/>
      <c r="P1006" s="741"/>
      <c r="Q1006" s="741"/>
      <c r="R1006" s="741"/>
      <c r="S1006" s="741"/>
      <c r="T1006" s="741"/>
      <c r="U1006" s="741"/>
      <c r="V1006" s="741"/>
      <c r="W1006" s="741"/>
      <c r="X1006" s="741"/>
      <c r="Y1006" s="741"/>
      <c r="Z1006" s="741"/>
      <c r="AA1006" s="741"/>
      <c r="AB1006" s="741"/>
      <c r="AC1006" s="741"/>
      <c r="AD1006" s="741"/>
      <c r="AE1006" s="741"/>
      <c r="AF1006" s="741"/>
      <c r="AG1006" s="741"/>
      <c r="AH1006" s="741"/>
      <c r="AI1006" s="741"/>
      <c r="AJ1006" s="741"/>
      <c r="AK1006" s="741"/>
      <c r="AL1006" s="741"/>
      <c r="AM1006" s="741"/>
      <c r="AN1006" s="741"/>
      <c r="AO1006" s="741"/>
      <c r="AP1006" s="741"/>
    </row>
    <row r="1007" spans="1:42" ht="12.75" customHeight="1">
      <c r="A1007" s="741"/>
      <c r="B1007" s="741"/>
      <c r="C1007" s="741"/>
      <c r="D1007" s="741"/>
      <c r="E1007" s="741"/>
      <c r="F1007" s="741"/>
      <c r="G1007" s="741"/>
      <c r="H1007" s="741"/>
      <c r="I1007" s="741"/>
      <c r="J1007" s="741"/>
      <c r="K1007" s="741"/>
      <c r="L1007" s="741"/>
      <c r="M1007" s="741"/>
      <c r="N1007" s="741"/>
      <c r="O1007" s="741"/>
      <c r="P1007" s="741"/>
      <c r="Q1007" s="741"/>
      <c r="R1007" s="741"/>
      <c r="S1007" s="741"/>
      <c r="T1007" s="741"/>
      <c r="U1007" s="741"/>
      <c r="V1007" s="741"/>
      <c r="W1007" s="741"/>
      <c r="X1007" s="741"/>
      <c r="Y1007" s="741"/>
      <c r="Z1007" s="741"/>
      <c r="AA1007" s="741"/>
      <c r="AB1007" s="741"/>
      <c r="AC1007" s="741"/>
      <c r="AD1007" s="741"/>
      <c r="AE1007" s="741"/>
      <c r="AF1007" s="741"/>
      <c r="AG1007" s="741"/>
      <c r="AH1007" s="741"/>
      <c r="AI1007" s="741"/>
      <c r="AJ1007" s="741"/>
      <c r="AK1007" s="741"/>
      <c r="AL1007" s="741"/>
      <c r="AM1007" s="741"/>
      <c r="AN1007" s="741"/>
      <c r="AO1007" s="741"/>
      <c r="AP1007" s="741"/>
    </row>
    <row r="1008" spans="1:42" ht="12.75" customHeight="1">
      <c r="A1008" s="741"/>
      <c r="B1008" s="741"/>
      <c r="C1008" s="741"/>
      <c r="D1008" s="741"/>
      <c r="E1008" s="741"/>
      <c r="F1008" s="741"/>
      <c r="G1008" s="741"/>
      <c r="H1008" s="741"/>
      <c r="I1008" s="741"/>
      <c r="J1008" s="741"/>
      <c r="K1008" s="741"/>
      <c r="L1008" s="741"/>
      <c r="M1008" s="741"/>
      <c r="N1008" s="741"/>
      <c r="O1008" s="741"/>
      <c r="P1008" s="741"/>
      <c r="Q1008" s="741"/>
      <c r="R1008" s="741"/>
      <c r="S1008" s="741"/>
      <c r="T1008" s="741"/>
      <c r="U1008" s="741"/>
      <c r="V1008" s="741"/>
      <c r="W1008" s="741"/>
      <c r="X1008" s="741"/>
      <c r="Y1008" s="741"/>
      <c r="Z1008" s="741"/>
      <c r="AA1008" s="741"/>
      <c r="AB1008" s="741"/>
      <c r="AC1008" s="741"/>
      <c r="AD1008" s="741"/>
      <c r="AE1008" s="741"/>
      <c r="AF1008" s="741"/>
      <c r="AG1008" s="741"/>
      <c r="AH1008" s="741"/>
      <c r="AI1008" s="741"/>
      <c r="AJ1008" s="741"/>
      <c r="AK1008" s="741"/>
      <c r="AL1008" s="741"/>
      <c r="AM1008" s="741"/>
      <c r="AN1008" s="741"/>
      <c r="AO1008" s="741"/>
      <c r="AP1008" s="741"/>
    </row>
    <row r="1009" spans="1:42" ht="12.75" customHeight="1">
      <c r="A1009" s="741"/>
      <c r="B1009" s="741"/>
      <c r="C1009" s="741"/>
      <c r="D1009" s="741"/>
      <c r="E1009" s="741"/>
      <c r="F1009" s="741"/>
      <c r="G1009" s="741"/>
      <c r="H1009" s="741"/>
      <c r="I1009" s="741"/>
      <c r="J1009" s="741"/>
      <c r="K1009" s="741"/>
      <c r="L1009" s="741"/>
      <c r="M1009" s="741"/>
      <c r="N1009" s="741"/>
      <c r="O1009" s="741"/>
      <c r="P1009" s="741"/>
      <c r="Q1009" s="741"/>
      <c r="R1009" s="741"/>
      <c r="S1009" s="741"/>
      <c r="T1009" s="741"/>
      <c r="U1009" s="741"/>
      <c r="V1009" s="741"/>
      <c r="W1009" s="741"/>
      <c r="X1009" s="741"/>
      <c r="Y1009" s="741"/>
      <c r="Z1009" s="741"/>
      <c r="AA1009" s="741"/>
      <c r="AB1009" s="741"/>
      <c r="AC1009" s="741"/>
      <c r="AD1009" s="741"/>
      <c r="AE1009" s="741"/>
      <c r="AF1009" s="741"/>
      <c r="AG1009" s="741"/>
      <c r="AH1009" s="741"/>
      <c r="AI1009" s="741"/>
      <c r="AJ1009" s="741"/>
      <c r="AK1009" s="741"/>
      <c r="AL1009" s="741"/>
      <c r="AM1009" s="741"/>
      <c r="AN1009" s="741"/>
      <c r="AO1009" s="741"/>
      <c r="AP1009" s="741"/>
    </row>
  </sheetData>
  <mergeCells count="37">
    <mergeCell ref="N4:N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C4:AC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B4:AB5"/>
    <mergeCell ref="AA4:AA5"/>
    <mergeCell ref="AJ4:AJ5"/>
    <mergeCell ref="AK4:AK5"/>
    <mergeCell ref="AL4:AL5"/>
    <mergeCell ref="AM4:AM5"/>
    <mergeCell ref="AD4:AD5"/>
    <mergeCell ref="AE4:AE5"/>
    <mergeCell ref="AF4:AF5"/>
    <mergeCell ref="AG4:AG5"/>
    <mergeCell ref="AH4:AH5"/>
    <mergeCell ref="AI4:AI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5285-57B4-4D12-A2AC-7F4069BBCB3F}">
  <dimension ref="A1:AM1004"/>
  <sheetViews>
    <sheetView showGridLines="0" topLeftCell="A25" workbookViewId="0">
      <selection activeCell="D11" sqref="D11"/>
    </sheetView>
  </sheetViews>
  <sheetFormatPr defaultColWidth="14.453125" defaultRowHeight="12.5"/>
  <cols>
    <col min="1" max="1" width="35.1796875" style="742" customWidth="1"/>
    <col min="2" max="2" width="17.81640625" style="742" customWidth="1"/>
    <col min="3" max="35" width="15.54296875" style="742" customWidth="1"/>
    <col min="36" max="36" width="16.1796875" style="742" customWidth="1"/>
    <col min="37" max="37" width="15.54296875" style="742" customWidth="1"/>
    <col min="38" max="38" width="13.54296875" style="742" bestFit="1" customWidth="1"/>
    <col min="39" max="39" width="13.81640625" style="742" bestFit="1" customWidth="1"/>
    <col min="40" max="16384" width="14.453125" style="742"/>
  </cols>
  <sheetData>
    <row r="1" spans="1:39" ht="12.75" customHeight="1">
      <c r="A1" s="738"/>
      <c r="B1" s="739">
        <v>176611926142.73544</v>
      </c>
      <c r="C1" s="740">
        <f>SUM(C7:L7)</f>
        <v>176611926143.81549</v>
      </c>
      <c r="D1" s="740"/>
      <c r="E1" s="740"/>
      <c r="F1" s="740">
        <v>153903160236</v>
      </c>
      <c r="G1" s="740"/>
      <c r="H1" s="740"/>
      <c r="I1" s="740"/>
      <c r="J1" s="740"/>
      <c r="K1" s="740"/>
      <c r="L1" s="740"/>
      <c r="M1" s="740"/>
      <c r="N1" s="740"/>
      <c r="O1" s="740"/>
      <c r="P1" s="740"/>
      <c r="Q1" s="740"/>
      <c r="R1" s="740"/>
      <c r="S1" s="740"/>
      <c r="T1" s="740"/>
      <c r="U1" s="740"/>
      <c r="V1" s="740"/>
      <c r="W1" s="740"/>
      <c r="X1" s="740"/>
      <c r="Y1" s="740"/>
      <c r="Z1" s="740"/>
      <c r="AA1" s="740"/>
      <c r="AB1" s="740"/>
      <c r="AC1" s="740"/>
      <c r="AD1" s="740"/>
      <c r="AE1" s="740"/>
      <c r="AF1" s="740"/>
      <c r="AG1" s="740"/>
      <c r="AH1" s="740"/>
      <c r="AI1" s="740"/>
      <c r="AJ1" s="740"/>
      <c r="AK1" s="741"/>
      <c r="AL1" s="741"/>
      <c r="AM1" s="741"/>
    </row>
    <row r="2" spans="1:39" ht="12.75" customHeight="1">
      <c r="A2" s="743">
        <f>C3/2</f>
        <v>0</v>
      </c>
      <c r="B2" s="738"/>
      <c r="C2" s="740">
        <f>SUM(N7:AA7)</f>
        <v>-176611926143.81546</v>
      </c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  <c r="T2" s="740"/>
      <c r="U2" s="740"/>
      <c r="V2" s="740"/>
      <c r="W2" s="740"/>
      <c r="X2" s="740"/>
      <c r="Y2" s="740"/>
      <c r="Z2" s="740"/>
      <c r="AA2" s="740"/>
      <c r="AB2" s="740"/>
      <c r="AC2" s="740"/>
      <c r="AD2" s="740"/>
      <c r="AE2" s="740"/>
      <c r="AF2" s="740"/>
      <c r="AG2" s="740"/>
      <c r="AH2" s="740"/>
      <c r="AI2" s="740"/>
      <c r="AJ2" s="740"/>
      <c r="AK2" s="741"/>
      <c r="AL2" s="741"/>
      <c r="AM2" s="741"/>
    </row>
    <row r="3" spans="1:39" ht="12.75" customHeight="1">
      <c r="A3" s="738"/>
      <c r="B3" s="741"/>
      <c r="C3" s="744">
        <f>C1+C2</f>
        <v>0</v>
      </c>
      <c r="D3" s="744"/>
      <c r="E3" s="744"/>
      <c r="F3" s="744"/>
      <c r="G3" s="740"/>
      <c r="H3" s="740"/>
      <c r="I3" s="740"/>
      <c r="J3" s="740"/>
      <c r="K3" s="740"/>
      <c r="L3" s="740"/>
      <c r="M3" s="740"/>
      <c r="N3" s="740"/>
      <c r="O3" s="740"/>
      <c r="P3" s="740"/>
      <c r="Q3" s="740"/>
      <c r="R3" s="740"/>
      <c r="S3" s="740"/>
      <c r="T3" s="740"/>
      <c r="U3" s="740"/>
      <c r="V3" s="740"/>
      <c r="W3" s="740"/>
      <c r="X3" s="740"/>
      <c r="Y3" s="740"/>
      <c r="Z3" s="740"/>
      <c r="AA3" s="740"/>
      <c r="AB3" s="740"/>
      <c r="AC3" s="740"/>
      <c r="AD3" s="740"/>
      <c r="AE3" s="740"/>
      <c r="AF3" s="740"/>
      <c r="AG3" s="740"/>
      <c r="AH3" s="740"/>
      <c r="AI3" s="740"/>
      <c r="AJ3" s="740"/>
      <c r="AK3" s="741"/>
      <c r="AL3" s="741"/>
      <c r="AM3" s="741"/>
    </row>
    <row r="4" spans="1:39" ht="12.75" customHeight="1">
      <c r="A4" s="745"/>
      <c r="B4" s="745"/>
      <c r="C4" s="977" t="s">
        <v>421</v>
      </c>
      <c r="D4" s="977" t="s">
        <v>1145</v>
      </c>
      <c r="E4" s="977" t="s">
        <v>1146</v>
      </c>
      <c r="F4" s="982" t="s">
        <v>1147</v>
      </c>
      <c r="G4" s="977" t="s">
        <v>431</v>
      </c>
      <c r="H4" s="977" t="s">
        <v>72</v>
      </c>
      <c r="I4" s="982" t="s">
        <v>1148</v>
      </c>
      <c r="J4" s="982" t="s">
        <v>1149</v>
      </c>
      <c r="K4" s="977" t="s">
        <v>442</v>
      </c>
      <c r="L4" s="977" t="s">
        <v>453</v>
      </c>
      <c r="M4" s="982" t="s">
        <v>1150</v>
      </c>
      <c r="N4" s="977" t="s">
        <v>1151</v>
      </c>
      <c r="O4" s="977" t="s">
        <v>1152</v>
      </c>
      <c r="P4" s="977" t="s">
        <v>1153</v>
      </c>
      <c r="Q4" s="977" t="s">
        <v>1154</v>
      </c>
      <c r="R4" s="977" t="s">
        <v>1155</v>
      </c>
      <c r="S4" s="977" t="s">
        <v>1156</v>
      </c>
      <c r="T4" s="977" t="s">
        <v>1157</v>
      </c>
      <c r="U4" s="977" t="s">
        <v>1158</v>
      </c>
      <c r="V4" s="977" t="s">
        <v>473</v>
      </c>
      <c r="W4" s="977" t="s">
        <v>346</v>
      </c>
      <c r="X4" s="974" t="s">
        <v>1159</v>
      </c>
      <c r="Y4" s="974" t="s">
        <v>503</v>
      </c>
      <c r="Z4" s="974" t="s">
        <v>1160</v>
      </c>
      <c r="AA4" s="987" t="s">
        <v>507</v>
      </c>
      <c r="AB4" s="977" t="s">
        <v>1161</v>
      </c>
      <c r="AC4" s="978" t="s">
        <v>1162</v>
      </c>
      <c r="AD4" s="978" t="s">
        <v>526</v>
      </c>
      <c r="AE4" s="979" t="s">
        <v>318</v>
      </c>
      <c r="AF4" s="980" t="s">
        <v>1163</v>
      </c>
      <c r="AG4" s="970" t="s">
        <v>532</v>
      </c>
      <c r="AH4" s="972" t="s">
        <v>1164</v>
      </c>
      <c r="AI4" s="972" t="s">
        <v>1164</v>
      </c>
      <c r="AJ4" s="974" t="s">
        <v>1165</v>
      </c>
      <c r="AK4" s="746">
        <v>17999087818</v>
      </c>
      <c r="AL4" s="747">
        <f>AK4-AK6</f>
        <v>17999087818.005535</v>
      </c>
      <c r="AM4" s="741"/>
    </row>
    <row r="5" spans="1:39" ht="12.75" customHeight="1">
      <c r="A5" s="748"/>
      <c r="B5" s="748"/>
      <c r="C5" s="973"/>
      <c r="D5" s="973"/>
      <c r="E5" s="973"/>
      <c r="F5" s="985"/>
      <c r="G5" s="973"/>
      <c r="H5" s="982"/>
      <c r="I5" s="985"/>
      <c r="J5" s="986"/>
      <c r="K5" s="973"/>
      <c r="L5" s="973"/>
      <c r="M5" s="982"/>
      <c r="N5" s="982"/>
      <c r="O5" s="982"/>
      <c r="P5" s="973"/>
      <c r="Q5" s="973"/>
      <c r="R5" s="973"/>
      <c r="S5" s="973"/>
      <c r="T5" s="973"/>
      <c r="U5" s="973"/>
      <c r="V5" s="973"/>
      <c r="W5" s="973"/>
      <c r="X5" s="973"/>
      <c r="Y5" s="973"/>
      <c r="Z5" s="973"/>
      <c r="AA5" s="973"/>
      <c r="AB5" s="973"/>
      <c r="AC5" s="973"/>
      <c r="AD5" s="973"/>
      <c r="AE5" s="973"/>
      <c r="AF5" s="973"/>
      <c r="AG5" s="971"/>
      <c r="AH5" s="973"/>
      <c r="AI5" s="973"/>
      <c r="AJ5" s="973"/>
      <c r="AK5" s="741"/>
      <c r="AL5" s="741"/>
      <c r="AM5" s="738"/>
    </row>
    <row r="6" spans="1:39" ht="12.75" customHeight="1">
      <c r="A6" s="748"/>
      <c r="B6" s="749" t="s">
        <v>1166</v>
      </c>
      <c r="C6" s="750">
        <f>BS!L14</f>
        <v>2159354956</v>
      </c>
      <c r="D6" s="750">
        <f>BS!L17</f>
        <v>13123277095</v>
      </c>
      <c r="E6" s="750">
        <f>BS!L16</f>
        <v>8079657361</v>
      </c>
      <c r="F6" s="750">
        <f>BS!L18</f>
        <v>133158984576</v>
      </c>
      <c r="G6" s="750">
        <f>BS!L19</f>
        <v>108322822660</v>
      </c>
      <c r="H6" s="750">
        <f>BS!L20</f>
        <v>6807425746</v>
      </c>
      <c r="I6" s="750">
        <f>BS!L21</f>
        <v>897473228</v>
      </c>
      <c r="J6" s="750">
        <f>BS!L34</f>
        <v>1050000000</v>
      </c>
      <c r="K6" s="750">
        <f>BS!L33</f>
        <v>27302363571</v>
      </c>
      <c r="L6" s="750">
        <f>BS!L35</f>
        <v>242569785.03203309</v>
      </c>
      <c r="M6" s="750">
        <v>0</v>
      </c>
      <c r="N6" s="750">
        <f>-BS!L53</f>
        <v>-135768265866</v>
      </c>
      <c r="O6" s="750">
        <v>0</v>
      </c>
      <c r="P6" s="750">
        <f>-BS!L48</f>
        <v>-62518053072</v>
      </c>
      <c r="Q6" s="750">
        <f>-(BS!L49+BS!L51)</f>
        <v>-12029137713</v>
      </c>
      <c r="R6" s="750">
        <f>-BS!L54</f>
        <v>-937337041</v>
      </c>
      <c r="S6" s="750">
        <f>-BS!L52</f>
        <v>-41000000</v>
      </c>
      <c r="T6" s="750">
        <f>-BS!L59</f>
        <v>-76360023</v>
      </c>
      <c r="U6" s="750">
        <v>0</v>
      </c>
      <c r="V6" s="750">
        <f>-BS!L55</f>
        <v>-1699681674.8699999</v>
      </c>
      <c r="W6" s="750">
        <f>-BS!L70</f>
        <v>-2647745936</v>
      </c>
      <c r="X6" s="750">
        <f>-BS!L86</f>
        <v>-40000000000</v>
      </c>
      <c r="Y6" s="750">
        <f>-BS!L87</f>
        <v>-25871690669</v>
      </c>
      <c r="Z6" s="750">
        <f>-BS!L89</f>
        <v>482786190.74000001</v>
      </c>
      <c r="AA6" s="750">
        <f>AA7</f>
        <v>-18637502878.645538</v>
      </c>
      <c r="AB6" s="750">
        <f>-PL!L10</f>
        <v>-189007036121</v>
      </c>
      <c r="AC6" s="750">
        <f>-PL!L11</f>
        <v>156516490239</v>
      </c>
      <c r="AD6" s="750">
        <f>-PL!L14</f>
        <v>11943842250</v>
      </c>
      <c r="AE6" s="750">
        <f>-PL!L15</f>
        <v>8581798722</v>
      </c>
      <c r="AF6" s="750">
        <f>-PL!L16</f>
        <v>601084731</v>
      </c>
      <c r="AG6" s="750">
        <f>-PL!L17</f>
        <v>9352380744.6399994</v>
      </c>
      <c r="AH6" s="750">
        <f>-PL!L24</f>
        <v>-61828680.772033125</v>
      </c>
      <c r="AI6" s="750">
        <f>-PL!L23</f>
        <v>673327819.87</v>
      </c>
      <c r="AJ6" s="750">
        <v>0</v>
      </c>
      <c r="AK6" s="738">
        <f>SUM(C6:AJ6)</f>
        <v>-5.5334568023681641E-3</v>
      </c>
      <c r="AL6" s="741"/>
      <c r="AM6" s="741"/>
    </row>
    <row r="7" spans="1:39" ht="12.75" customHeight="1">
      <c r="A7" s="751"/>
      <c r="B7" s="749">
        <v>44926</v>
      </c>
      <c r="C7" s="750">
        <v>3081571391.1200132</v>
      </c>
      <c r="D7" s="750">
        <v>34091895411.93969</v>
      </c>
      <c r="E7" s="750">
        <v>16817814387.551317</v>
      </c>
      <c r="F7" s="750">
        <v>20159403403.080048</v>
      </c>
      <c r="G7" s="750">
        <v>67167128487.019997</v>
      </c>
      <c r="H7" s="750">
        <v>5344754001</v>
      </c>
      <c r="I7" s="750">
        <v>137236872</v>
      </c>
      <c r="J7" s="750">
        <v>0</v>
      </c>
      <c r="K7" s="750">
        <v>29632564483.748955</v>
      </c>
      <c r="L7" s="750">
        <v>179557706.35546708</v>
      </c>
      <c r="M7" s="750">
        <v>0</v>
      </c>
      <c r="N7" s="750">
        <v>-72317072070</v>
      </c>
      <c r="O7" s="750">
        <v>-3403633332</v>
      </c>
      <c r="P7" s="750">
        <v>-2552178138</v>
      </c>
      <c r="Q7" s="752">
        <v>-4755257674.2900295</v>
      </c>
      <c r="R7" s="750">
        <v>-2130905817.52</v>
      </c>
      <c r="S7" s="750">
        <v>-358595000</v>
      </c>
      <c r="T7" s="750">
        <v>-143835319</v>
      </c>
      <c r="U7" s="750">
        <v>-3403633336</v>
      </c>
      <c r="V7" s="750">
        <v>-1153428890.3599157</v>
      </c>
      <c r="W7" s="750">
        <v>-2362783525</v>
      </c>
      <c r="X7" s="750">
        <v>-40000000000</v>
      </c>
      <c r="Y7" s="750">
        <v>-25871690669</v>
      </c>
      <c r="Z7" s="750">
        <v>478590506.00000006</v>
      </c>
      <c r="AA7" s="750">
        <v>-18637502878.645538</v>
      </c>
      <c r="AB7" s="750"/>
      <c r="AC7" s="750"/>
      <c r="AD7" s="750"/>
      <c r="AE7" s="750"/>
      <c r="AF7" s="750"/>
      <c r="AG7" s="750"/>
      <c r="AH7" s="750"/>
      <c r="AI7" s="750"/>
      <c r="AJ7" s="750"/>
      <c r="AK7" s="738">
        <f>SUM(C7:AJ7)</f>
        <v>0</v>
      </c>
      <c r="AL7" s="753">
        <f>AK7/2</f>
        <v>0</v>
      </c>
      <c r="AM7" s="754"/>
    </row>
    <row r="8" spans="1:39" ht="12.75" customHeight="1">
      <c r="A8" s="748"/>
      <c r="B8" s="755" t="s">
        <v>1167</v>
      </c>
      <c r="C8" s="756">
        <f>C6-C7</f>
        <v>-922216435.12001324</v>
      </c>
      <c r="D8" s="756">
        <f t="shared" ref="D8:AJ8" si="0">D6-D7</f>
        <v>-20968618316.93969</v>
      </c>
      <c r="E8" s="756">
        <f t="shared" si="0"/>
        <v>-8738157026.5513172</v>
      </c>
      <c r="F8" s="756">
        <f t="shared" si="0"/>
        <v>112999581172.91995</v>
      </c>
      <c r="G8" s="756">
        <f t="shared" si="0"/>
        <v>41155694172.980003</v>
      </c>
      <c r="H8" s="756">
        <f t="shared" si="0"/>
        <v>1462671745</v>
      </c>
      <c r="I8" s="756">
        <f t="shared" si="0"/>
        <v>760236356</v>
      </c>
      <c r="J8" s="756">
        <f t="shared" si="0"/>
        <v>1050000000</v>
      </c>
      <c r="K8" s="756">
        <f>K6-K7</f>
        <v>-2330200912.7489548</v>
      </c>
      <c r="L8" s="756">
        <f t="shared" si="0"/>
        <v>63012078.676566005</v>
      </c>
      <c r="M8" s="756">
        <f t="shared" si="0"/>
        <v>0</v>
      </c>
      <c r="N8" s="756">
        <f t="shared" si="0"/>
        <v>-63451193796</v>
      </c>
      <c r="O8" s="756">
        <f t="shared" si="0"/>
        <v>3403633332</v>
      </c>
      <c r="P8" s="756">
        <f t="shared" si="0"/>
        <v>-59965874934</v>
      </c>
      <c r="Q8" s="756">
        <f t="shared" si="0"/>
        <v>-7273880038.7099705</v>
      </c>
      <c r="R8" s="756">
        <f t="shared" si="0"/>
        <v>1193568776.52</v>
      </c>
      <c r="S8" s="756">
        <f t="shared" si="0"/>
        <v>317595000</v>
      </c>
      <c r="T8" s="756">
        <f t="shared" si="0"/>
        <v>67475296</v>
      </c>
      <c r="U8" s="756">
        <f t="shared" si="0"/>
        <v>3403633336</v>
      </c>
      <c r="V8" s="756">
        <f t="shared" si="0"/>
        <v>-546252784.51008415</v>
      </c>
      <c r="W8" s="756">
        <f t="shared" si="0"/>
        <v>-284962411</v>
      </c>
      <c r="X8" s="756">
        <f t="shared" si="0"/>
        <v>0</v>
      </c>
      <c r="Y8" s="756">
        <f t="shared" si="0"/>
        <v>0</v>
      </c>
      <c r="Z8" s="756">
        <f t="shared" si="0"/>
        <v>4195684.7399999499</v>
      </c>
      <c r="AA8" s="756">
        <f t="shared" si="0"/>
        <v>0</v>
      </c>
      <c r="AB8" s="756">
        <f t="shared" si="0"/>
        <v>-189007036121</v>
      </c>
      <c r="AC8" s="756">
        <f t="shared" si="0"/>
        <v>156516490239</v>
      </c>
      <c r="AD8" s="756">
        <f t="shared" si="0"/>
        <v>11943842250</v>
      </c>
      <c r="AE8" s="756">
        <f t="shared" si="0"/>
        <v>8581798722</v>
      </c>
      <c r="AF8" s="756">
        <f t="shared" si="0"/>
        <v>601084731</v>
      </c>
      <c r="AG8" s="756">
        <f t="shared" si="0"/>
        <v>9352380744.6399994</v>
      </c>
      <c r="AH8" s="756">
        <f t="shared" si="0"/>
        <v>-61828680.772033125</v>
      </c>
      <c r="AI8" s="756">
        <f t="shared" si="0"/>
        <v>673327819.87</v>
      </c>
      <c r="AJ8" s="756">
        <f t="shared" si="0"/>
        <v>0</v>
      </c>
      <c r="AK8" s="738">
        <f>SUM(C8:AJ8)</f>
        <v>-5.5639743804931641E-3</v>
      </c>
      <c r="AL8" s="757">
        <f>AK8/2</f>
        <v>-2.781987190246582E-3</v>
      </c>
      <c r="AM8" s="743">
        <f>AL8/2</f>
        <v>-1.390993595123291E-3</v>
      </c>
    </row>
    <row r="9" spans="1:39" ht="12.75" customHeight="1">
      <c r="A9" s="758"/>
      <c r="B9" s="759" t="s">
        <v>1168</v>
      </c>
      <c r="C9" s="741"/>
      <c r="D9" s="741"/>
      <c r="E9" s="741"/>
      <c r="F9" s="741"/>
      <c r="G9" s="741"/>
      <c r="H9" s="741"/>
      <c r="I9" s="741"/>
      <c r="J9" s="741"/>
      <c r="K9" s="741"/>
      <c r="L9" s="741"/>
      <c r="M9" s="741"/>
      <c r="N9" s="741"/>
      <c r="O9" s="741"/>
      <c r="P9" s="741"/>
      <c r="Q9" s="741"/>
      <c r="R9" s="741"/>
      <c r="S9" s="741"/>
      <c r="T9" s="741"/>
      <c r="U9" s="741"/>
      <c r="V9" s="741"/>
      <c r="W9" s="741"/>
      <c r="X9" s="741"/>
      <c r="Y9" s="741"/>
      <c r="Z9" s="738"/>
      <c r="AA9" s="741"/>
      <c r="AB9" s="741"/>
      <c r="AC9" s="741"/>
      <c r="AD9" s="741"/>
      <c r="AE9" s="741"/>
      <c r="AF9" s="741"/>
      <c r="AG9" s="741"/>
      <c r="AH9" s="741"/>
      <c r="AI9" s="741"/>
      <c r="AJ9" s="741"/>
      <c r="AK9" s="741"/>
      <c r="AL9" s="741"/>
      <c r="AM9" s="741"/>
    </row>
    <row r="10" spans="1:39" ht="12.75" customHeight="1">
      <c r="A10" s="760" t="s">
        <v>1169</v>
      </c>
      <c r="B10" s="761"/>
      <c r="C10" s="741"/>
      <c r="D10" s="738"/>
      <c r="E10" s="738"/>
      <c r="F10" s="738"/>
      <c r="G10" s="738"/>
      <c r="H10" s="738"/>
      <c r="I10" s="738"/>
      <c r="J10" s="738"/>
      <c r="K10" s="741"/>
      <c r="L10" s="741"/>
      <c r="M10" s="741"/>
      <c r="N10" s="741"/>
      <c r="O10" s="741"/>
      <c r="P10" s="741"/>
      <c r="Q10" s="741"/>
      <c r="R10" s="741"/>
      <c r="S10" s="741"/>
      <c r="T10" s="741"/>
      <c r="U10" s="741"/>
      <c r="V10" s="741"/>
      <c r="W10" s="741"/>
      <c r="X10" s="741"/>
      <c r="Y10" s="741"/>
      <c r="Z10" s="738"/>
      <c r="AA10" s="738"/>
      <c r="AB10" s="741"/>
      <c r="AC10" s="741"/>
      <c r="AD10" s="741"/>
      <c r="AE10" s="741"/>
      <c r="AF10" s="741"/>
      <c r="AG10" s="741"/>
      <c r="AH10" s="741"/>
      <c r="AI10" s="741"/>
      <c r="AJ10" s="741"/>
      <c r="AK10" s="741"/>
      <c r="AL10" s="741"/>
      <c r="AM10" s="741"/>
    </row>
    <row r="11" spans="1:39" ht="12.75" customHeight="1">
      <c r="A11" s="762" t="s">
        <v>1076</v>
      </c>
      <c r="B11" s="763">
        <f>SUM(D11:AJ11)</f>
        <v>218713811464.491</v>
      </c>
      <c r="C11" s="741"/>
      <c r="D11" s="738">
        <f>-D8</f>
        <v>20968618316.93969</v>
      </c>
      <c r="E11" s="738">
        <f>-E8</f>
        <v>8738157026.5513172</v>
      </c>
      <c r="F11" s="738"/>
      <c r="G11" s="738"/>
      <c r="H11" s="738"/>
      <c r="I11" s="738"/>
      <c r="J11" s="738"/>
      <c r="K11" s="741"/>
      <c r="L11" s="741"/>
      <c r="M11" s="741"/>
      <c r="N11" s="741"/>
      <c r="O11" s="741"/>
      <c r="P11" s="741"/>
      <c r="Q11" s="741"/>
      <c r="R11" s="738"/>
      <c r="S11" s="738"/>
      <c r="T11" s="738"/>
      <c r="U11" s="738"/>
      <c r="V11" s="741"/>
      <c r="W11" s="741"/>
      <c r="X11" s="738"/>
      <c r="Y11" s="741"/>
      <c r="Z11" s="741"/>
      <c r="AA11" s="741"/>
      <c r="AB11" s="738">
        <f>-AB8</f>
        <v>189007036121</v>
      </c>
      <c r="AC11" s="741"/>
      <c r="AD11" s="741"/>
      <c r="AE11" s="741"/>
      <c r="AF11" s="738"/>
      <c r="AG11" s="738"/>
      <c r="AH11" s="738"/>
      <c r="AI11" s="738"/>
      <c r="AJ11" s="741"/>
      <c r="AK11" s="764"/>
      <c r="AL11" s="741"/>
      <c r="AM11" s="741"/>
    </row>
    <row r="12" spans="1:39" ht="12.75" customHeight="1">
      <c r="A12" s="762" t="s">
        <v>1079</v>
      </c>
      <c r="B12" s="763">
        <f>SUM(D12:AJ12)</f>
        <v>-248400274277.92902</v>
      </c>
      <c r="C12" s="741"/>
      <c r="D12" s="741"/>
      <c r="E12" s="741"/>
      <c r="F12" s="738">
        <f>-F8</f>
        <v>-112999581172.91995</v>
      </c>
      <c r="G12" s="738">
        <f>-G8</f>
        <v>-41155694172.980003</v>
      </c>
      <c r="H12" s="738">
        <f t="shared" ref="H12" si="1">-H8</f>
        <v>-1462671745</v>
      </c>
      <c r="I12" s="738">
        <f>-I8</f>
        <v>-760236356</v>
      </c>
      <c r="J12" s="738"/>
      <c r="K12" s="738">
        <f>-K8-K27</f>
        <v>2330200912.7489548</v>
      </c>
      <c r="L12" s="738"/>
      <c r="M12" s="738">
        <f>-M8</f>
        <v>0</v>
      </c>
      <c r="N12" s="738"/>
      <c r="O12" s="738"/>
      <c r="P12" s="738">
        <f>-P8</f>
        <v>59965874934</v>
      </c>
      <c r="Q12" s="738">
        <f>-Q8</f>
        <v>7273880038.7099705</v>
      </c>
      <c r="R12" s="738">
        <f>-R8</f>
        <v>-1193568776.52</v>
      </c>
      <c r="T12" s="738"/>
      <c r="U12" s="738"/>
      <c r="V12" s="738"/>
      <c r="W12" s="738"/>
      <c r="X12" s="738"/>
      <c r="Y12" s="738"/>
      <c r="Z12" s="738">
        <f>-Z8-Z28</f>
        <v>-4195684.7399999499</v>
      </c>
      <c r="AA12" s="738"/>
      <c r="AB12" s="738"/>
      <c r="AC12" s="738">
        <f>-AC8-AC13</f>
        <v>-156275027956</v>
      </c>
      <c r="AD12" s="738"/>
      <c r="AE12" s="738">
        <f>-AE8-AE13-AE14</f>
        <v>-3579998249</v>
      </c>
      <c r="AF12" s="738">
        <f>-(AF8+AF14+AF19)</f>
        <v>-601084731</v>
      </c>
      <c r="AG12" s="738"/>
      <c r="AH12" s="764">
        <f>-(AH8-AI16)</f>
        <v>61828680.772033125</v>
      </c>
      <c r="AI12" s="764"/>
      <c r="AJ12" s="764">
        <f>-AJ20-AJ8</f>
        <v>0</v>
      </c>
      <c r="AK12" s="764"/>
      <c r="AL12" s="741"/>
      <c r="AM12" s="741"/>
    </row>
    <row r="13" spans="1:39" ht="12.75" customHeight="1">
      <c r="A13" s="762" t="s">
        <v>1082</v>
      </c>
      <c r="B13" s="763">
        <f>SUM(D13:AJ13)</f>
        <v>-5127549818</v>
      </c>
      <c r="C13" s="738"/>
      <c r="D13" s="741"/>
      <c r="E13" s="741"/>
      <c r="F13" s="738"/>
      <c r="G13" s="741"/>
      <c r="H13" s="741"/>
      <c r="I13" s="741"/>
      <c r="J13" s="741"/>
      <c r="K13" s="738"/>
      <c r="L13" s="738"/>
      <c r="M13" s="738"/>
      <c r="N13" s="738"/>
      <c r="O13" s="738"/>
      <c r="P13" s="738"/>
      <c r="Q13" s="738"/>
      <c r="R13" s="738"/>
      <c r="S13" s="741"/>
      <c r="T13" s="741"/>
      <c r="U13" s="738"/>
      <c r="V13" s="738"/>
      <c r="W13" s="738"/>
      <c r="X13" s="738"/>
      <c r="Y13" s="738"/>
      <c r="Z13" s="738"/>
      <c r="AA13" s="738"/>
      <c r="AB13" s="738"/>
      <c r="AC13" s="738">
        <v>-241462283</v>
      </c>
      <c r="AD13" s="738"/>
      <c r="AE13" s="738">
        <v>-4886087535</v>
      </c>
      <c r="AF13" s="738"/>
      <c r="AG13" s="738"/>
      <c r="AH13" s="741"/>
      <c r="AI13" s="741"/>
      <c r="AJ13" s="741"/>
      <c r="AK13" s="764"/>
      <c r="AL13" s="741"/>
      <c r="AM13" s="741"/>
    </row>
    <row r="14" spans="1:39" ht="12.75" customHeight="1">
      <c r="A14" s="762" t="s">
        <v>1084</v>
      </c>
      <c r="B14" s="763">
        <f>SUM(D14:AJ14)</f>
        <v>-11291352071.166481</v>
      </c>
      <c r="C14" s="738"/>
      <c r="D14" s="741"/>
      <c r="E14" s="741"/>
      <c r="F14" s="738"/>
      <c r="G14" s="741"/>
      <c r="H14" s="741"/>
      <c r="I14" s="741"/>
      <c r="J14" s="738"/>
      <c r="K14" s="738"/>
      <c r="L14" s="738">
        <f>-L8</f>
        <v>-63012078.676566005</v>
      </c>
      <c r="M14" s="738"/>
      <c r="N14" s="738"/>
      <c r="O14" s="738"/>
      <c r="P14" s="738"/>
      <c r="Q14" s="738"/>
      <c r="R14" s="738"/>
      <c r="S14" s="741"/>
      <c r="T14" s="741"/>
      <c r="U14" s="738"/>
      <c r="V14" s="738">
        <f>-V8</f>
        <v>546252784.51008415</v>
      </c>
      <c r="W14" s="738">
        <f>-W8</f>
        <v>284962411</v>
      </c>
      <c r="X14" s="738"/>
      <c r="Y14" s="738"/>
      <c r="Z14" s="738"/>
      <c r="AA14" s="738"/>
      <c r="AB14" s="738"/>
      <c r="AC14" s="738"/>
      <c r="AD14" s="738">
        <f>-AD8</f>
        <v>-11943842250</v>
      </c>
      <c r="AE14" s="738">
        <v>-115712938</v>
      </c>
      <c r="AF14" s="738"/>
      <c r="AG14" s="738"/>
      <c r="AH14" s="741"/>
      <c r="AI14" s="741"/>
      <c r="AJ14" s="741"/>
      <c r="AK14" s="764"/>
      <c r="AL14" s="741"/>
      <c r="AM14" s="741"/>
    </row>
    <row r="15" spans="1:39" ht="12.75" customHeight="1">
      <c r="A15" s="762" t="s">
        <v>1170</v>
      </c>
      <c r="B15" s="763">
        <f t="shared" ref="B15:B20" si="2">SUM(D15:AJ15)</f>
        <v>0</v>
      </c>
      <c r="C15" s="741"/>
      <c r="D15" s="741"/>
      <c r="E15" s="741"/>
      <c r="F15" s="741"/>
      <c r="G15" s="741"/>
      <c r="H15" s="741"/>
      <c r="I15" s="741"/>
      <c r="J15" s="741"/>
      <c r="K15" s="738"/>
      <c r="L15" s="738"/>
      <c r="M15" s="738"/>
      <c r="N15" s="738"/>
      <c r="O15" s="738"/>
      <c r="P15" s="738"/>
      <c r="Q15" s="738"/>
      <c r="R15" s="738"/>
      <c r="S15" s="741"/>
      <c r="T15" s="741"/>
      <c r="U15" s="738"/>
      <c r="V15" s="738"/>
      <c r="W15" s="738"/>
      <c r="X15" s="738"/>
      <c r="Y15" s="738"/>
      <c r="Z15" s="738"/>
      <c r="AA15" s="738"/>
      <c r="AB15" s="738"/>
      <c r="AC15" s="738"/>
      <c r="AD15" s="738"/>
      <c r="AG15" s="738"/>
      <c r="AH15" s="741"/>
      <c r="AI15" s="741"/>
      <c r="AJ15" s="741"/>
      <c r="AK15" s="764"/>
      <c r="AL15" s="741"/>
      <c r="AM15" s="741"/>
    </row>
    <row r="16" spans="1:39" ht="12.75" customHeight="1">
      <c r="A16" s="765" t="s">
        <v>1171</v>
      </c>
      <c r="B16" s="763">
        <f t="shared" si="2"/>
        <v>0</v>
      </c>
      <c r="C16" s="741"/>
      <c r="D16" s="741"/>
      <c r="E16" s="741"/>
      <c r="F16" s="741"/>
      <c r="G16" s="741"/>
      <c r="H16" s="741"/>
      <c r="I16" s="741"/>
      <c r="J16" s="741"/>
      <c r="K16" s="738"/>
      <c r="M16" s="738"/>
      <c r="N16" s="738"/>
      <c r="O16" s="738"/>
      <c r="P16" s="738"/>
      <c r="Q16" s="738"/>
      <c r="R16" s="738"/>
      <c r="S16" s="741"/>
      <c r="T16" s="741"/>
      <c r="U16" s="738"/>
      <c r="V16" s="738"/>
      <c r="W16" s="738"/>
      <c r="X16" s="738"/>
      <c r="Y16" s="738"/>
      <c r="Z16" s="738"/>
      <c r="AA16" s="738"/>
      <c r="AB16" s="738"/>
      <c r="AC16" s="738"/>
      <c r="AD16" s="738"/>
      <c r="AE16" s="738"/>
      <c r="AF16" s="738"/>
      <c r="AG16" s="738"/>
      <c r="AH16" s="741"/>
      <c r="AI16" s="741"/>
      <c r="AJ16" s="754">
        <v>0</v>
      </c>
      <c r="AK16" s="764"/>
      <c r="AL16" s="741"/>
      <c r="AM16" s="741"/>
    </row>
    <row r="17" spans="1:39" ht="12.75" customHeight="1">
      <c r="A17" s="765" t="s">
        <v>1172</v>
      </c>
      <c r="B17" s="763">
        <f t="shared" si="2"/>
        <v>0</v>
      </c>
      <c r="C17" s="741"/>
      <c r="D17" s="741"/>
      <c r="E17" s="741"/>
      <c r="F17" s="741"/>
      <c r="G17" s="741"/>
      <c r="H17" s="741"/>
      <c r="I17" s="741"/>
      <c r="J17" s="741"/>
      <c r="K17" s="738"/>
      <c r="L17" s="738"/>
      <c r="M17" s="738"/>
      <c r="N17" s="738"/>
      <c r="O17" s="738"/>
      <c r="P17" s="738"/>
      <c r="Q17" s="738"/>
      <c r="R17" s="738"/>
      <c r="S17" s="741"/>
      <c r="T17" s="741"/>
      <c r="U17" s="738"/>
      <c r="V17" s="738"/>
      <c r="X17" s="738"/>
      <c r="Y17" s="738"/>
      <c r="Z17" s="738"/>
      <c r="AA17" s="738"/>
      <c r="AB17" s="738"/>
      <c r="AC17" s="738"/>
      <c r="AD17" s="738"/>
      <c r="AE17" s="738"/>
      <c r="AF17" s="738"/>
      <c r="AG17" s="738"/>
      <c r="AH17" s="741"/>
      <c r="AI17" s="741"/>
      <c r="AJ17" s="754"/>
      <c r="AK17" s="764"/>
      <c r="AL17" s="741"/>
      <c r="AM17" s="741"/>
    </row>
    <row r="18" spans="1:39" ht="12.75" customHeight="1">
      <c r="A18" s="762" t="s">
        <v>1173</v>
      </c>
      <c r="B18" s="763">
        <f t="shared" si="2"/>
        <v>0</v>
      </c>
      <c r="C18" s="741"/>
      <c r="D18" s="741"/>
      <c r="E18" s="741"/>
      <c r="F18" s="741"/>
      <c r="G18" s="741"/>
      <c r="H18" s="741"/>
      <c r="I18" s="741"/>
      <c r="J18" s="741"/>
      <c r="K18" s="738"/>
      <c r="L18" s="738"/>
      <c r="M18" s="738"/>
      <c r="N18" s="738"/>
      <c r="O18" s="738"/>
      <c r="P18" s="738"/>
      <c r="Q18" s="738"/>
      <c r="R18" s="738"/>
      <c r="S18" s="741"/>
      <c r="T18" s="741"/>
      <c r="U18" s="738"/>
      <c r="V18" s="738"/>
      <c r="W18" s="738"/>
      <c r="X18" s="738">
        <f>-X8</f>
        <v>0</v>
      </c>
      <c r="Y18" s="738"/>
      <c r="Z18" s="738"/>
      <c r="AA18" s="738"/>
      <c r="AB18" s="738"/>
      <c r="AC18" s="738"/>
      <c r="AD18" s="738"/>
      <c r="AE18" s="738"/>
      <c r="AF18" s="738"/>
      <c r="AG18" s="738"/>
      <c r="AH18" s="741"/>
      <c r="AI18" s="741"/>
      <c r="AJ18" s="741"/>
      <c r="AK18" s="764"/>
      <c r="AL18" s="741"/>
      <c r="AM18" s="741"/>
    </row>
    <row r="19" spans="1:39" ht="12.75" customHeight="1">
      <c r="A19" s="762" t="s">
        <v>1174</v>
      </c>
      <c r="B19" s="763">
        <f t="shared" si="2"/>
        <v>-9352380744.6399994</v>
      </c>
      <c r="C19" s="741"/>
      <c r="D19" s="741"/>
      <c r="E19" s="741"/>
      <c r="F19" s="741"/>
      <c r="G19" s="741"/>
      <c r="H19" s="741"/>
      <c r="I19" s="741"/>
      <c r="J19" s="741"/>
      <c r="K19" s="738"/>
      <c r="L19" s="738"/>
      <c r="M19" s="738"/>
      <c r="N19" s="738"/>
      <c r="O19" s="738"/>
      <c r="P19" s="738"/>
      <c r="Q19" s="738"/>
      <c r="R19" s="738"/>
      <c r="S19" s="741"/>
      <c r="T19" s="741"/>
      <c r="U19" s="738"/>
      <c r="V19" s="738"/>
      <c r="W19" s="738"/>
      <c r="X19" s="738"/>
      <c r="Y19" s="738"/>
      <c r="Z19" s="738"/>
      <c r="AA19" s="738"/>
      <c r="AB19" s="738"/>
      <c r="AC19" s="738"/>
      <c r="AD19" s="738"/>
      <c r="AE19" s="738"/>
      <c r="AF19" s="738"/>
      <c r="AG19" s="738">
        <f>-AG8</f>
        <v>-9352380744.6399994</v>
      </c>
      <c r="AH19" s="741"/>
      <c r="AI19" s="741"/>
      <c r="AJ19" s="738"/>
      <c r="AK19" s="764"/>
      <c r="AL19" s="741"/>
      <c r="AM19" s="741"/>
    </row>
    <row r="20" spans="1:39" ht="12.75" customHeight="1">
      <c r="A20" s="762" t="s">
        <v>1093</v>
      </c>
      <c r="B20" s="763">
        <f t="shared" si="2"/>
        <v>-673327819.87</v>
      </c>
      <c r="C20" s="741"/>
      <c r="D20" s="741"/>
      <c r="E20" s="741"/>
      <c r="F20" s="741"/>
      <c r="G20" s="741"/>
      <c r="H20" s="741"/>
      <c r="I20" s="741"/>
      <c r="J20" s="741"/>
      <c r="K20" s="741"/>
      <c r="L20" s="741"/>
      <c r="M20" s="741"/>
      <c r="N20" s="741"/>
      <c r="O20" s="741"/>
      <c r="P20" s="741"/>
      <c r="Q20" s="741"/>
      <c r="R20" s="738"/>
      <c r="S20" s="741"/>
      <c r="T20" s="741"/>
      <c r="U20" s="741"/>
      <c r="W20" s="764"/>
      <c r="X20" s="741"/>
      <c r="Y20" s="741"/>
      <c r="Z20" s="741"/>
      <c r="AA20" s="741"/>
      <c r="AB20" s="741"/>
      <c r="AC20" s="741"/>
      <c r="AD20" s="741"/>
      <c r="AE20" s="766"/>
      <c r="AF20" s="741"/>
      <c r="AI20" s="764">
        <f>-AI8</f>
        <v>-673327819.87</v>
      </c>
      <c r="AJ20" s="738"/>
      <c r="AK20" s="738">
        <v>613433271</v>
      </c>
      <c r="AL20" s="741"/>
      <c r="AM20" s="741"/>
    </row>
    <row r="21" spans="1:39" ht="12.75" customHeight="1">
      <c r="A21" s="767" t="s">
        <v>1175</v>
      </c>
      <c r="B21" s="768">
        <f>SUM(B11:B20)</f>
        <v>-56131073267.114502</v>
      </c>
      <c r="C21" s="741"/>
      <c r="D21" s="741"/>
      <c r="E21" s="741"/>
      <c r="F21" s="741"/>
      <c r="G21" s="741"/>
      <c r="H21" s="741"/>
      <c r="I21" s="741"/>
      <c r="J21" s="741"/>
      <c r="K21" s="741"/>
      <c r="L21" s="741"/>
      <c r="M21" s="741"/>
      <c r="N21" s="741"/>
      <c r="O21" s="741"/>
      <c r="P21" s="741"/>
      <c r="Q21" s="741"/>
      <c r="R21" s="741"/>
      <c r="S21" s="741"/>
      <c r="T21" s="741"/>
      <c r="U21" s="741"/>
      <c r="V21" s="741"/>
      <c r="W21" s="741"/>
      <c r="X21" s="741"/>
      <c r="Y21" s="741"/>
      <c r="Z21" s="741"/>
      <c r="AA21" s="741"/>
      <c r="AB21" s="741"/>
      <c r="AC21" s="741"/>
      <c r="AD21" s="741"/>
      <c r="AE21" s="741"/>
      <c r="AF21" s="741"/>
      <c r="AG21" s="741"/>
      <c r="AH21" s="741"/>
      <c r="AI21" s="741"/>
      <c r="AJ21" s="741"/>
      <c r="AK21" s="741"/>
      <c r="AL21" s="741"/>
      <c r="AM21" s="741"/>
    </row>
    <row r="22" spans="1:39" ht="12.75" customHeight="1">
      <c r="A22" s="769"/>
      <c r="B22" s="770"/>
      <c r="C22" s="741"/>
      <c r="D22" s="741"/>
      <c r="E22" s="741"/>
      <c r="F22" s="741"/>
      <c r="G22" s="741"/>
      <c r="H22" s="741"/>
      <c r="I22" s="741"/>
      <c r="J22" s="741"/>
      <c r="K22" s="741"/>
      <c r="L22" s="741"/>
      <c r="M22" s="741"/>
      <c r="N22" s="741"/>
      <c r="O22" s="741"/>
      <c r="P22" s="741"/>
      <c r="Q22" s="741"/>
      <c r="R22" s="741"/>
      <c r="S22" s="741"/>
      <c r="T22" s="741"/>
      <c r="U22" s="741"/>
      <c r="V22" s="741"/>
      <c r="W22" s="741"/>
      <c r="X22" s="741"/>
      <c r="Y22" s="741"/>
      <c r="Z22" s="741"/>
      <c r="AA22" s="741"/>
      <c r="AB22" s="741"/>
      <c r="AC22" s="741"/>
      <c r="AD22" s="741"/>
      <c r="AE22" s="741"/>
      <c r="AF22" s="741"/>
      <c r="AG22" s="741"/>
      <c r="AH22" s="741"/>
      <c r="AI22" s="741"/>
      <c r="AJ22" s="741"/>
      <c r="AK22" s="741"/>
      <c r="AL22" s="741"/>
      <c r="AM22" s="741"/>
    </row>
    <row r="23" spans="1:39" ht="12.75" customHeight="1">
      <c r="A23" s="762"/>
      <c r="B23" s="770"/>
      <c r="C23" s="741"/>
      <c r="D23" s="741"/>
      <c r="E23" s="741"/>
      <c r="F23" s="741"/>
      <c r="G23" s="741"/>
      <c r="H23" s="741"/>
      <c r="I23" s="741"/>
      <c r="J23" s="741"/>
      <c r="K23" s="741"/>
      <c r="L23" s="741"/>
      <c r="M23" s="741"/>
      <c r="N23" s="741"/>
      <c r="O23" s="741"/>
      <c r="P23" s="741"/>
      <c r="Q23" s="741"/>
      <c r="R23" s="741"/>
      <c r="S23" s="741"/>
      <c r="T23" s="741"/>
      <c r="U23" s="741"/>
      <c r="V23" s="741"/>
      <c r="W23" s="741"/>
      <c r="X23" s="741"/>
      <c r="Y23" s="741"/>
      <c r="Z23" s="741"/>
      <c r="AA23" s="741"/>
      <c r="AB23" s="741"/>
      <c r="AC23" s="741"/>
      <c r="AD23" s="741"/>
      <c r="AE23" s="741"/>
      <c r="AF23" s="741"/>
      <c r="AG23" s="741"/>
      <c r="AH23" s="741"/>
      <c r="AI23" s="741"/>
      <c r="AJ23" s="741"/>
      <c r="AK23" s="741"/>
      <c r="AL23" s="741"/>
      <c r="AM23" s="741"/>
    </row>
    <row r="24" spans="1:39" ht="12.75" customHeight="1">
      <c r="A24" s="771" t="s">
        <v>1176</v>
      </c>
      <c r="B24" s="770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1"/>
      <c r="P24" s="741"/>
      <c r="Q24" s="741"/>
      <c r="R24" s="741"/>
      <c r="S24" s="741"/>
      <c r="T24" s="741"/>
      <c r="U24" s="741"/>
      <c r="V24" s="741"/>
      <c r="W24" s="741"/>
      <c r="X24" s="741"/>
      <c r="Y24" s="741"/>
      <c r="Z24" s="741"/>
      <c r="AA24" s="741"/>
      <c r="AB24" s="741"/>
      <c r="AC24" s="741"/>
      <c r="AD24" s="741"/>
      <c r="AE24" s="741"/>
      <c r="AF24" s="741"/>
      <c r="AG24" s="741"/>
      <c r="AH24" s="741"/>
      <c r="AI24" s="741"/>
      <c r="AJ24" s="741"/>
      <c r="AK24" s="741"/>
      <c r="AL24" s="741"/>
      <c r="AM24" s="741"/>
    </row>
    <row r="25" spans="1:39" ht="12.75" customHeight="1">
      <c r="A25" s="762"/>
      <c r="B25" s="770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41"/>
      <c r="N25" s="741"/>
      <c r="O25" s="741"/>
      <c r="P25" s="741"/>
      <c r="Q25" s="741"/>
      <c r="R25" s="741"/>
      <c r="S25" s="741"/>
      <c r="T25" s="741"/>
      <c r="U25" s="741"/>
      <c r="V25" s="741"/>
      <c r="W25" s="741"/>
      <c r="X25" s="741"/>
      <c r="Y25" s="741"/>
      <c r="Z25" s="741"/>
      <c r="AA25" s="741"/>
      <c r="AB25" s="741"/>
      <c r="AC25" s="741"/>
      <c r="AD25" s="741"/>
      <c r="AE25" s="741"/>
      <c r="AF25" s="741"/>
      <c r="AG25" s="741"/>
      <c r="AH25" s="741"/>
      <c r="AI25" s="741"/>
      <c r="AJ25" s="741"/>
      <c r="AK25" s="741"/>
      <c r="AL25" s="741"/>
      <c r="AM25" s="741"/>
    </row>
    <row r="26" spans="1:39" ht="12.75" customHeight="1">
      <c r="A26" s="771" t="s">
        <v>1177</v>
      </c>
      <c r="B26" s="770"/>
      <c r="C26" s="741"/>
      <c r="D26" s="741"/>
      <c r="E26" s="741"/>
      <c r="F26" s="741"/>
      <c r="G26" s="741"/>
      <c r="H26" s="741"/>
      <c r="I26" s="741"/>
      <c r="J26" s="741"/>
      <c r="K26" s="741"/>
      <c r="L26" s="741"/>
      <c r="M26" s="741"/>
      <c r="N26" s="741"/>
      <c r="O26" s="741"/>
      <c r="P26" s="741"/>
      <c r="Q26" s="741"/>
      <c r="R26" s="741"/>
      <c r="S26" s="741"/>
      <c r="T26" s="741"/>
      <c r="U26" s="741"/>
      <c r="V26" s="741"/>
      <c r="W26" s="741"/>
      <c r="X26" s="741"/>
      <c r="Y26" s="741"/>
      <c r="Z26" s="741"/>
      <c r="AA26" s="741"/>
      <c r="AB26" s="741"/>
      <c r="AC26" s="741"/>
      <c r="AD26" s="741"/>
      <c r="AE26" s="741"/>
      <c r="AF26" s="741"/>
      <c r="AG26" s="741"/>
      <c r="AH26" s="741"/>
      <c r="AI26" s="741"/>
      <c r="AJ26" s="741"/>
      <c r="AK26" s="741"/>
      <c r="AL26" s="741"/>
      <c r="AM26" s="741"/>
    </row>
    <row r="27" spans="1:39" ht="12.75" customHeight="1">
      <c r="A27" s="772" t="s">
        <v>1107</v>
      </c>
      <c r="B27" s="763">
        <f t="shared" ref="B27:B32" si="3">SUM(D27:AJ27)</f>
        <v>0</v>
      </c>
      <c r="C27" s="741"/>
      <c r="D27" s="741"/>
      <c r="E27" s="741"/>
      <c r="F27" s="741"/>
      <c r="G27" s="741"/>
      <c r="H27" s="741"/>
      <c r="I27" s="741"/>
      <c r="J27" s="741"/>
      <c r="K27" s="738"/>
      <c r="L27" s="738"/>
      <c r="M27" s="738"/>
      <c r="N27" s="738"/>
      <c r="O27" s="738"/>
      <c r="P27" s="741"/>
      <c r="Q27" s="741"/>
      <c r="R27" s="741"/>
      <c r="S27" s="741"/>
      <c r="T27" s="741"/>
      <c r="U27" s="741"/>
      <c r="V27" s="741"/>
      <c r="W27" s="741"/>
      <c r="X27" s="741"/>
      <c r="Y27" s="741"/>
      <c r="Z27" s="741"/>
      <c r="AA27" s="738">
        <f>-AA8</f>
        <v>0</v>
      </c>
      <c r="AB27" s="741"/>
      <c r="AC27" s="741"/>
      <c r="AD27" s="741"/>
      <c r="AE27" s="764"/>
      <c r="AF27" s="764"/>
      <c r="AG27" s="764"/>
      <c r="AH27" s="741"/>
      <c r="AI27" s="741"/>
      <c r="AJ27" s="741"/>
      <c r="AK27" s="741"/>
      <c r="AL27" s="741"/>
      <c r="AM27" s="741"/>
    </row>
    <row r="28" spans="1:39" ht="12.75" customHeight="1">
      <c r="A28" s="762" t="s">
        <v>1178</v>
      </c>
      <c r="B28" s="773">
        <f t="shared" si="3"/>
        <v>-1050000000</v>
      </c>
      <c r="C28" s="741"/>
      <c r="D28" s="741"/>
      <c r="E28" s="741"/>
      <c r="F28" s="741"/>
      <c r="G28" s="741"/>
      <c r="H28" s="741"/>
      <c r="I28" s="741"/>
      <c r="J28" s="738">
        <f>-J8</f>
        <v>-1050000000</v>
      </c>
      <c r="K28" s="738"/>
      <c r="L28" s="738"/>
      <c r="M28" s="738"/>
      <c r="N28" s="738"/>
      <c r="O28" s="738"/>
      <c r="P28" s="741"/>
      <c r="Q28" s="741"/>
      <c r="R28" s="741"/>
      <c r="S28" s="741"/>
      <c r="T28" s="741"/>
      <c r="U28" s="741"/>
      <c r="V28" s="741"/>
      <c r="W28" s="741"/>
      <c r="X28" s="741"/>
      <c r="Y28" s="741"/>
      <c r="Z28" s="741"/>
      <c r="AA28" s="741"/>
      <c r="AB28" s="741"/>
      <c r="AC28" s="741"/>
      <c r="AD28" s="741"/>
      <c r="AE28" s="764"/>
      <c r="AF28" s="764"/>
      <c r="AG28" s="764"/>
      <c r="AH28" s="741"/>
      <c r="AI28" s="741"/>
      <c r="AJ28" s="741"/>
      <c r="AK28" s="741"/>
      <c r="AL28" s="741"/>
      <c r="AM28" s="738"/>
    </row>
    <row r="29" spans="1:39" ht="12.75" customHeight="1">
      <c r="A29" s="762" t="s">
        <v>1179</v>
      </c>
      <c r="B29" s="773">
        <f t="shared" si="3"/>
        <v>0</v>
      </c>
      <c r="C29" s="741"/>
      <c r="D29" s="741"/>
      <c r="E29" s="741"/>
      <c r="F29" s="741"/>
      <c r="G29" s="741"/>
      <c r="H29" s="741"/>
      <c r="I29" s="741"/>
      <c r="J29" s="741"/>
      <c r="K29" s="738"/>
      <c r="L29" s="738"/>
      <c r="M29" s="738"/>
      <c r="N29" s="738"/>
      <c r="O29" s="738"/>
      <c r="P29" s="741"/>
      <c r="Q29" s="741"/>
      <c r="R29" s="741"/>
      <c r="S29" s="741"/>
      <c r="T29" s="741"/>
      <c r="U29" s="741"/>
      <c r="V29" s="741"/>
      <c r="W29" s="741"/>
      <c r="X29" s="741"/>
      <c r="Y29" s="741"/>
      <c r="Z29" s="741"/>
      <c r="AA29" s="741"/>
      <c r="AB29" s="741"/>
      <c r="AC29" s="741"/>
      <c r="AD29" s="741"/>
      <c r="AE29" s="764"/>
      <c r="AF29" s="764"/>
      <c r="AG29" s="764"/>
      <c r="AH29" s="741"/>
      <c r="AI29" s="741"/>
      <c r="AJ29" s="741"/>
      <c r="AK29" s="741"/>
      <c r="AL29" s="741"/>
      <c r="AM29" s="764"/>
    </row>
    <row r="30" spans="1:39" ht="12.75" customHeight="1">
      <c r="A30" s="762" t="s">
        <v>1180</v>
      </c>
      <c r="B30" s="773">
        <f t="shared" si="3"/>
        <v>0</v>
      </c>
      <c r="C30" s="741"/>
      <c r="D30" s="741"/>
      <c r="E30" s="741"/>
      <c r="F30" s="741"/>
      <c r="G30" s="741"/>
      <c r="H30" s="741"/>
      <c r="I30" s="741"/>
      <c r="J30" s="741"/>
      <c r="K30" s="738"/>
      <c r="L30" s="738"/>
      <c r="M30" s="738"/>
      <c r="N30" s="738"/>
      <c r="O30" s="738"/>
      <c r="P30" s="741"/>
      <c r="Q30" s="741"/>
      <c r="R30" s="741"/>
      <c r="S30" s="741"/>
      <c r="T30" s="741"/>
      <c r="U30" s="741"/>
      <c r="V30" s="741"/>
      <c r="W30" s="741"/>
      <c r="X30" s="741"/>
      <c r="Y30" s="741"/>
      <c r="Z30" s="741"/>
      <c r="AA30" s="741"/>
      <c r="AB30" s="741"/>
      <c r="AC30" s="741"/>
      <c r="AD30" s="741"/>
      <c r="AE30" s="764"/>
      <c r="AF30" s="738"/>
      <c r="AG30" s="738"/>
      <c r="AH30" s="741"/>
      <c r="AI30" s="741"/>
      <c r="AJ30" s="741"/>
      <c r="AK30" s="741"/>
      <c r="AL30" s="741"/>
      <c r="AM30" s="764"/>
    </row>
    <row r="31" spans="1:39" ht="12.75" customHeight="1">
      <c r="A31" s="762" t="s">
        <v>1181</v>
      </c>
      <c r="B31" s="773">
        <f t="shared" si="3"/>
        <v>0</v>
      </c>
      <c r="C31" s="741"/>
      <c r="D31" s="741"/>
      <c r="E31" s="741"/>
      <c r="F31" s="741"/>
      <c r="G31" s="741"/>
      <c r="H31" s="741"/>
      <c r="I31" s="741"/>
      <c r="J31" s="741"/>
      <c r="K31" s="738"/>
      <c r="L31" s="738"/>
      <c r="M31" s="738"/>
      <c r="N31" s="738"/>
      <c r="O31" s="738"/>
      <c r="P31" s="741"/>
      <c r="Q31" s="741"/>
      <c r="R31" s="741"/>
      <c r="S31" s="741"/>
      <c r="T31" s="741"/>
      <c r="U31" s="741"/>
      <c r="V31" s="741"/>
      <c r="W31" s="741"/>
      <c r="X31" s="741"/>
      <c r="Y31" s="741"/>
      <c r="Z31" s="741"/>
      <c r="AA31" s="741"/>
      <c r="AB31" s="741"/>
      <c r="AC31" s="741"/>
      <c r="AD31" s="741"/>
      <c r="AE31" s="764"/>
      <c r="AF31" s="738"/>
      <c r="AG31" s="738"/>
      <c r="AH31" s="741"/>
      <c r="AI31" s="741"/>
      <c r="AJ31" s="741"/>
      <c r="AK31" s="741"/>
      <c r="AL31" s="741"/>
      <c r="AM31" s="741"/>
    </row>
    <row r="32" spans="1:39" ht="12.75" customHeight="1">
      <c r="A32" s="762" t="s">
        <v>1182</v>
      </c>
      <c r="B32" s="773">
        <f t="shared" si="3"/>
        <v>0</v>
      </c>
      <c r="C32" s="741"/>
      <c r="D32" s="738"/>
      <c r="E32" s="738"/>
      <c r="F32" s="738"/>
      <c r="G32" s="738"/>
      <c r="H32" s="738"/>
      <c r="I32" s="738"/>
      <c r="J32" s="738"/>
      <c r="K32" s="738"/>
      <c r="L32" s="738"/>
      <c r="M32" s="738"/>
      <c r="N32" s="738"/>
      <c r="O32" s="738"/>
      <c r="P32" s="741"/>
      <c r="Q32" s="741"/>
      <c r="R32" s="741"/>
      <c r="S32" s="738"/>
      <c r="T32" s="738"/>
      <c r="U32" s="741"/>
      <c r="V32" s="741"/>
      <c r="W32" s="741"/>
      <c r="X32" s="741"/>
      <c r="Y32" s="741"/>
      <c r="Z32" s="741"/>
      <c r="AA32" s="741"/>
      <c r="AB32" s="741"/>
      <c r="AC32" s="741"/>
      <c r="AD32" s="741"/>
      <c r="AE32" s="764"/>
      <c r="AF32" s="764"/>
      <c r="AG32" s="764"/>
      <c r="AH32" s="741"/>
      <c r="AI32" s="741"/>
      <c r="AJ32" s="741"/>
      <c r="AK32" s="741"/>
      <c r="AL32" s="741"/>
      <c r="AM32" s="741"/>
    </row>
    <row r="33" spans="1:39" ht="12.75" customHeight="1">
      <c r="A33" s="762" t="s">
        <v>1183</v>
      </c>
      <c r="B33" s="784">
        <f>SUM(B27:B32)</f>
        <v>-1050000000</v>
      </c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1"/>
      <c r="P33" s="741"/>
      <c r="Q33" s="741"/>
      <c r="R33" s="741"/>
      <c r="S33" s="741"/>
      <c r="T33" s="741"/>
      <c r="U33" s="741"/>
      <c r="V33" s="741"/>
      <c r="W33" s="741"/>
      <c r="X33" s="741"/>
      <c r="Y33" s="741"/>
      <c r="Z33" s="741"/>
      <c r="AA33" s="741"/>
      <c r="AB33" s="741"/>
      <c r="AC33" s="741"/>
      <c r="AD33" s="741"/>
      <c r="AE33" s="741"/>
      <c r="AF33" s="741"/>
      <c r="AG33" s="741"/>
      <c r="AH33" s="741"/>
      <c r="AI33" s="741"/>
      <c r="AJ33" s="741"/>
      <c r="AK33" s="741"/>
      <c r="AL33" s="741"/>
      <c r="AM33" s="741"/>
    </row>
    <row r="34" spans="1:39" ht="12.75" customHeight="1">
      <c r="A34" s="762"/>
      <c r="B34" s="773"/>
      <c r="C34" s="741"/>
      <c r="D34" s="741"/>
      <c r="E34" s="741"/>
      <c r="F34" s="741"/>
      <c r="G34" s="741"/>
      <c r="H34" s="741"/>
      <c r="I34" s="741"/>
      <c r="J34" s="741"/>
      <c r="K34" s="741"/>
      <c r="L34" s="741"/>
      <c r="M34" s="741"/>
      <c r="N34" s="741"/>
      <c r="O34" s="741"/>
      <c r="P34" s="741"/>
      <c r="Q34" s="741"/>
      <c r="R34" s="741"/>
      <c r="S34" s="741"/>
      <c r="T34" s="741"/>
      <c r="U34" s="741"/>
      <c r="V34" s="741"/>
      <c r="W34" s="741"/>
      <c r="X34" s="741"/>
      <c r="Y34" s="741"/>
      <c r="Z34" s="741"/>
      <c r="AA34" s="741"/>
      <c r="AB34" s="741"/>
      <c r="AC34" s="741"/>
      <c r="AD34" s="741"/>
      <c r="AE34" s="741"/>
      <c r="AF34" s="741"/>
      <c r="AG34" s="741"/>
      <c r="AH34" s="741"/>
      <c r="AI34" s="741"/>
      <c r="AJ34" s="741"/>
      <c r="AK34" s="741"/>
      <c r="AL34" s="741"/>
      <c r="AM34" s="741"/>
    </row>
    <row r="35" spans="1:39" ht="12.75" customHeight="1">
      <c r="A35" s="771" t="s">
        <v>1184</v>
      </c>
      <c r="B35" s="774"/>
      <c r="C35" s="741"/>
      <c r="D35" s="741"/>
      <c r="E35" s="741"/>
      <c r="F35" s="741"/>
      <c r="G35" s="741"/>
      <c r="H35" s="741"/>
      <c r="I35" s="741"/>
      <c r="J35" s="741"/>
      <c r="K35" s="741"/>
      <c r="L35" s="741"/>
      <c r="M35" s="741"/>
      <c r="N35" s="741"/>
      <c r="O35" s="741"/>
      <c r="P35" s="741"/>
      <c r="Q35" s="741"/>
      <c r="R35" s="741"/>
      <c r="S35" s="741"/>
      <c r="T35" s="741"/>
      <c r="U35" s="741"/>
      <c r="V35" s="741"/>
      <c r="W35" s="741"/>
      <c r="X35" s="741"/>
      <c r="Y35" s="741"/>
      <c r="Z35" s="741"/>
      <c r="AA35" s="741"/>
      <c r="AB35" s="741"/>
      <c r="AC35" s="741"/>
      <c r="AD35" s="741"/>
      <c r="AE35" s="741"/>
      <c r="AF35" s="741"/>
      <c r="AG35" s="741"/>
      <c r="AH35" s="741"/>
      <c r="AI35" s="741"/>
      <c r="AJ35" s="741"/>
      <c r="AK35" s="741"/>
      <c r="AL35" s="741"/>
      <c r="AM35" s="741"/>
    </row>
    <row r="36" spans="1:39" ht="12.75" customHeight="1">
      <c r="A36" s="762" t="s">
        <v>1185</v>
      </c>
      <c r="B36" s="763">
        <f t="shared" ref="B36:B42" si="4">SUM(D36:AJ36)</f>
        <v>60047560464</v>
      </c>
      <c r="C36" s="741"/>
      <c r="D36" s="741"/>
      <c r="E36" s="741"/>
      <c r="F36" s="741"/>
      <c r="G36" s="741"/>
      <c r="H36" s="741"/>
      <c r="I36" s="741"/>
      <c r="J36" s="741"/>
      <c r="K36" s="741"/>
      <c r="L36" s="741"/>
      <c r="M36" s="741"/>
      <c r="N36" s="738">
        <f>-N8</f>
        <v>63451193796</v>
      </c>
      <c r="O36" s="738">
        <f>-O8</f>
        <v>-3403633332</v>
      </c>
      <c r="P36" s="741"/>
      <c r="Q36" s="741"/>
      <c r="R36" s="764"/>
      <c r="S36" s="738"/>
      <c r="T36" s="738"/>
      <c r="U36" s="738"/>
      <c r="V36" s="741"/>
      <c r="W36" s="738"/>
      <c r="X36" s="741"/>
      <c r="Y36" s="741"/>
      <c r="Z36" s="741"/>
      <c r="AA36" s="741"/>
      <c r="AB36" s="741"/>
      <c r="AC36" s="741"/>
      <c r="AD36" s="741"/>
      <c r="AE36" s="741"/>
      <c r="AF36" s="741"/>
      <c r="AG36" s="741"/>
      <c r="AH36" s="741"/>
      <c r="AI36" s="741"/>
      <c r="AJ36" s="741"/>
      <c r="AK36" s="741"/>
      <c r="AL36" s="741"/>
      <c r="AM36" s="741"/>
    </row>
    <row r="37" spans="1:39" ht="12.75" customHeight="1">
      <c r="A37" s="762" t="s">
        <v>1186</v>
      </c>
      <c r="B37" s="763">
        <f t="shared" si="4"/>
        <v>-3403633336</v>
      </c>
      <c r="C37" s="741"/>
      <c r="D37" s="741"/>
      <c r="E37" s="741"/>
      <c r="F37" s="741"/>
      <c r="G37" s="741"/>
      <c r="H37" s="741"/>
      <c r="I37" s="741"/>
      <c r="J37" s="741"/>
      <c r="K37" s="741"/>
      <c r="L37" s="741"/>
      <c r="M37" s="741"/>
      <c r="N37" s="741"/>
      <c r="O37" s="741"/>
      <c r="P37" s="741"/>
      <c r="Q37" s="741"/>
      <c r="R37" s="764"/>
      <c r="S37" s="738"/>
      <c r="T37" s="738"/>
      <c r="U37" s="738">
        <f>-U8</f>
        <v>-3403633336</v>
      </c>
      <c r="V37" s="741"/>
      <c r="W37" s="738"/>
      <c r="X37" s="741"/>
      <c r="Y37" s="741"/>
      <c r="Z37" s="741"/>
      <c r="AA37" s="741"/>
      <c r="AB37" s="741"/>
      <c r="AC37" s="741"/>
      <c r="AD37" s="741"/>
      <c r="AE37" s="741"/>
      <c r="AF37" s="741"/>
      <c r="AG37" s="741"/>
      <c r="AH37" s="741"/>
      <c r="AI37" s="741"/>
      <c r="AJ37" s="741"/>
      <c r="AK37" s="741"/>
      <c r="AL37" s="741"/>
      <c r="AM37" s="741"/>
    </row>
    <row r="38" spans="1:39" ht="12.75" customHeight="1">
      <c r="A38" s="762" t="s">
        <v>1187</v>
      </c>
      <c r="B38" s="763">
        <f t="shared" si="4"/>
        <v>0</v>
      </c>
      <c r="C38" s="741"/>
      <c r="D38" s="741"/>
      <c r="E38" s="741"/>
      <c r="F38" s="741"/>
      <c r="G38" s="741"/>
      <c r="H38" s="741"/>
      <c r="I38" s="741"/>
      <c r="J38" s="741"/>
      <c r="K38" s="741"/>
      <c r="L38" s="741"/>
      <c r="M38" s="741"/>
      <c r="N38" s="741"/>
      <c r="O38" s="741"/>
      <c r="P38" s="741"/>
      <c r="Q38" s="741"/>
      <c r="R38" s="764"/>
      <c r="S38" s="738"/>
      <c r="T38" s="738"/>
      <c r="U38" s="738"/>
      <c r="V38" s="741"/>
      <c r="W38" s="738"/>
      <c r="X38" s="741"/>
      <c r="Y38" s="741"/>
      <c r="Z38" s="741"/>
      <c r="AA38" s="741"/>
      <c r="AB38" s="741"/>
      <c r="AC38" s="741"/>
      <c r="AD38" s="741"/>
      <c r="AE38" s="741"/>
      <c r="AF38" s="741"/>
      <c r="AG38" s="741"/>
      <c r="AH38" s="741"/>
      <c r="AI38" s="741"/>
      <c r="AJ38" s="741"/>
      <c r="AK38" s="741"/>
      <c r="AL38" s="741"/>
      <c r="AM38" s="741"/>
    </row>
    <row r="39" spans="1:39" ht="12.75" customHeight="1">
      <c r="A39" s="762" t="s">
        <v>1188</v>
      </c>
      <c r="B39" s="763">
        <f t="shared" si="4"/>
        <v>-67475296</v>
      </c>
      <c r="C39" s="741"/>
      <c r="D39" s="741"/>
      <c r="E39" s="741"/>
      <c r="F39" s="741"/>
      <c r="G39" s="741"/>
      <c r="H39" s="741"/>
      <c r="I39" s="741"/>
      <c r="J39" s="741"/>
      <c r="K39" s="741"/>
      <c r="L39" s="741"/>
      <c r="M39" s="741"/>
      <c r="N39" s="741"/>
      <c r="O39" s="741"/>
      <c r="P39" s="741"/>
      <c r="Q39" s="741"/>
      <c r="R39" s="764"/>
      <c r="S39" s="738"/>
      <c r="T39" s="738">
        <f>-T8</f>
        <v>-67475296</v>
      </c>
      <c r="U39" s="738"/>
      <c r="V39" s="741"/>
      <c r="W39" s="738"/>
      <c r="X39" s="741"/>
      <c r="Y39" s="741"/>
      <c r="Z39" s="741"/>
      <c r="AA39" s="741"/>
      <c r="AB39" s="741"/>
      <c r="AC39" s="741"/>
      <c r="AD39" s="741"/>
      <c r="AE39" s="741"/>
      <c r="AF39" s="741"/>
      <c r="AG39" s="741"/>
      <c r="AH39" s="741"/>
      <c r="AI39" s="741"/>
      <c r="AJ39" s="741"/>
      <c r="AK39" s="741"/>
      <c r="AL39" s="741"/>
      <c r="AM39" s="741"/>
    </row>
    <row r="40" spans="1:39" ht="12.75" customHeight="1">
      <c r="A40" s="762" t="s">
        <v>1189</v>
      </c>
      <c r="B40" s="763">
        <f t="shared" si="4"/>
        <v>0</v>
      </c>
      <c r="C40" s="741"/>
      <c r="D40" s="741"/>
      <c r="E40" s="741"/>
      <c r="F40" s="741"/>
      <c r="G40" s="741"/>
      <c r="H40" s="741"/>
      <c r="I40" s="741"/>
      <c r="J40" s="741"/>
      <c r="K40" s="741"/>
      <c r="L40" s="741"/>
      <c r="M40" s="741"/>
      <c r="N40" s="741"/>
      <c r="O40" s="741"/>
      <c r="P40" s="741"/>
      <c r="Q40" s="741"/>
      <c r="R40" s="764"/>
      <c r="S40" s="738"/>
      <c r="T40" s="738"/>
      <c r="U40" s="741"/>
      <c r="V40" s="741"/>
      <c r="W40" s="738"/>
      <c r="X40" s="741"/>
      <c r="Y40" s="741"/>
      <c r="Z40" s="741"/>
      <c r="AA40" s="741"/>
      <c r="AB40" s="741"/>
      <c r="AC40" s="741"/>
      <c r="AD40" s="741"/>
      <c r="AE40" s="741"/>
      <c r="AF40" s="741"/>
      <c r="AG40" s="741"/>
      <c r="AH40" s="741"/>
      <c r="AI40" s="741"/>
      <c r="AJ40" s="741"/>
      <c r="AK40" s="741"/>
      <c r="AL40" s="741"/>
      <c r="AM40" s="741"/>
    </row>
    <row r="41" spans="1:39" ht="12.75" customHeight="1">
      <c r="A41" s="762" t="s">
        <v>1190</v>
      </c>
      <c r="B41" s="763">
        <f t="shared" si="4"/>
        <v>0</v>
      </c>
      <c r="C41" s="741"/>
      <c r="D41" s="741"/>
      <c r="E41" s="741"/>
      <c r="F41" s="741"/>
      <c r="G41" s="741"/>
      <c r="H41" s="741"/>
      <c r="I41" s="741"/>
      <c r="J41" s="741"/>
      <c r="K41" s="741"/>
      <c r="L41" s="741"/>
      <c r="M41" s="741"/>
      <c r="N41" s="741"/>
      <c r="O41" s="741"/>
      <c r="P41" s="741"/>
      <c r="Q41" s="741"/>
      <c r="R41" s="764"/>
      <c r="S41" s="738"/>
      <c r="T41" s="738"/>
      <c r="U41" s="741"/>
      <c r="V41" s="741"/>
      <c r="W41" s="738"/>
      <c r="X41" s="741"/>
      <c r="Y41" s="741"/>
      <c r="Z41" s="741"/>
      <c r="AA41" s="741"/>
      <c r="AB41" s="741"/>
      <c r="AC41" s="741"/>
      <c r="AD41" s="741"/>
      <c r="AE41" s="741"/>
      <c r="AF41" s="741"/>
      <c r="AG41" s="741"/>
      <c r="AH41" s="741"/>
      <c r="AI41" s="741"/>
      <c r="AJ41" s="741"/>
      <c r="AK41" s="741"/>
      <c r="AL41" s="741"/>
      <c r="AM41" s="741"/>
    </row>
    <row r="42" spans="1:39" ht="12.75" customHeight="1">
      <c r="A42" s="762" t="s">
        <v>1191</v>
      </c>
      <c r="B42" s="763">
        <f t="shared" si="4"/>
        <v>-317595000</v>
      </c>
      <c r="C42" s="741"/>
      <c r="D42" s="741"/>
      <c r="E42" s="741"/>
      <c r="F42" s="741"/>
      <c r="G42" s="741"/>
      <c r="H42" s="741"/>
      <c r="I42" s="741"/>
      <c r="J42" s="741"/>
      <c r="K42" s="741"/>
      <c r="L42" s="741"/>
      <c r="M42" s="741"/>
      <c r="N42" s="741"/>
      <c r="O42" s="741"/>
      <c r="P42" s="738"/>
      <c r="Q42" s="738"/>
      <c r="R42" s="738"/>
      <c r="S42" s="738">
        <f>-S8</f>
        <v>-317595000</v>
      </c>
      <c r="T42" s="741"/>
      <c r="U42" s="741"/>
      <c r="V42" s="741"/>
      <c r="W42" s="741"/>
      <c r="X42" s="738"/>
      <c r="Y42" s="738"/>
      <c r="Z42" s="738"/>
      <c r="AA42" s="741"/>
      <c r="AB42" s="741"/>
      <c r="AC42" s="741"/>
      <c r="AD42" s="741"/>
      <c r="AE42" s="741"/>
      <c r="AF42" s="741"/>
      <c r="AG42" s="741"/>
      <c r="AH42" s="741"/>
      <c r="AI42" s="741"/>
      <c r="AJ42" s="741"/>
      <c r="AK42" s="741"/>
      <c r="AL42" s="741"/>
      <c r="AM42" s="741"/>
    </row>
    <row r="43" spans="1:39" ht="12.75" customHeight="1">
      <c r="A43" s="775" t="s">
        <v>1192</v>
      </c>
      <c r="B43" s="783">
        <f>SUM(B36:B42)</f>
        <v>56258856832</v>
      </c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1"/>
      <c r="P43" s="741"/>
      <c r="Q43" s="741"/>
      <c r="R43" s="741"/>
      <c r="S43" s="741"/>
      <c r="T43" s="741"/>
      <c r="U43" s="741"/>
      <c r="V43" s="741"/>
      <c r="W43" s="741"/>
      <c r="X43" s="741"/>
      <c r="Y43" s="741"/>
      <c r="Z43" s="741"/>
      <c r="AA43" s="741"/>
      <c r="AB43" s="741"/>
      <c r="AC43" s="741"/>
      <c r="AD43" s="741"/>
      <c r="AE43" s="741"/>
      <c r="AF43" s="741"/>
      <c r="AG43" s="741"/>
      <c r="AH43" s="741"/>
      <c r="AI43" s="741"/>
      <c r="AJ43" s="741"/>
      <c r="AK43" s="741"/>
      <c r="AL43" s="741"/>
      <c r="AM43" s="741"/>
    </row>
    <row r="44" spans="1:39" ht="12.75" customHeight="1">
      <c r="A44" s="775"/>
      <c r="B44" s="770"/>
      <c r="C44" s="741"/>
      <c r="D44" s="741"/>
      <c r="E44" s="741"/>
      <c r="F44" s="741"/>
      <c r="G44" s="741"/>
      <c r="H44" s="741"/>
      <c r="I44" s="741"/>
      <c r="J44" s="741"/>
      <c r="K44" s="741"/>
      <c r="L44" s="741"/>
      <c r="M44" s="741"/>
      <c r="N44" s="741"/>
      <c r="O44" s="741"/>
      <c r="P44" s="741"/>
      <c r="Q44" s="741"/>
      <c r="R44" s="741"/>
      <c r="S44" s="741"/>
      <c r="T44" s="741"/>
      <c r="U44" s="741"/>
      <c r="V44" s="741"/>
      <c r="W44" s="741"/>
      <c r="X44" s="741"/>
      <c r="Y44" s="741"/>
      <c r="Z44" s="741"/>
      <c r="AA44" s="741"/>
      <c r="AB44" s="741"/>
      <c r="AC44" s="741"/>
      <c r="AD44" s="741"/>
      <c r="AE44" s="741"/>
      <c r="AF44" s="741"/>
      <c r="AG44" s="741"/>
      <c r="AH44" s="741"/>
      <c r="AI44" s="741"/>
      <c r="AJ44" s="741"/>
      <c r="AK44" s="741"/>
      <c r="AL44" s="741"/>
      <c r="AM44" s="741"/>
    </row>
    <row r="45" spans="1:39" ht="12.75" customHeight="1">
      <c r="A45" s="775" t="s">
        <v>1193</v>
      </c>
      <c r="B45" s="770"/>
      <c r="C45" s="741"/>
      <c r="D45" s="741"/>
      <c r="E45" s="741"/>
      <c r="F45" s="741"/>
      <c r="G45" s="741"/>
      <c r="H45" s="741"/>
      <c r="I45" s="741"/>
      <c r="J45" s="741"/>
      <c r="K45" s="741"/>
      <c r="L45" s="741"/>
      <c r="M45" s="741"/>
      <c r="N45" s="741"/>
      <c r="O45" s="741"/>
      <c r="P45" s="741"/>
      <c r="Q45" s="741"/>
      <c r="R45" s="741"/>
      <c r="S45" s="741"/>
      <c r="T45" s="741"/>
      <c r="U45" s="741"/>
      <c r="V45" s="741"/>
      <c r="W45" s="741"/>
      <c r="X45" s="741"/>
      <c r="Y45" s="741"/>
      <c r="Z45" s="741"/>
      <c r="AA45" s="741"/>
      <c r="AB45" s="741"/>
      <c r="AC45" s="741"/>
      <c r="AD45" s="741"/>
      <c r="AE45" s="741"/>
      <c r="AF45" s="741"/>
      <c r="AG45" s="741"/>
      <c r="AH45" s="741"/>
      <c r="AI45" s="741"/>
      <c r="AJ45" s="741"/>
      <c r="AK45" s="741"/>
      <c r="AL45" s="741"/>
      <c r="AM45" s="741"/>
    </row>
    <row r="46" spans="1:39" ht="12.75" customHeight="1">
      <c r="A46" s="775"/>
      <c r="B46" s="770"/>
      <c r="C46" s="741"/>
      <c r="D46" s="741"/>
      <c r="E46" s="741"/>
      <c r="F46" s="741"/>
      <c r="G46" s="741"/>
      <c r="H46" s="741"/>
      <c r="I46" s="741"/>
      <c r="J46" s="741"/>
      <c r="K46" s="741"/>
      <c r="L46" s="741"/>
      <c r="M46" s="741"/>
      <c r="N46" s="741"/>
      <c r="O46" s="741"/>
      <c r="P46" s="741"/>
      <c r="Q46" s="741"/>
      <c r="R46" s="741"/>
      <c r="S46" s="741"/>
      <c r="T46" s="741"/>
      <c r="U46" s="741"/>
      <c r="V46" s="741"/>
      <c r="W46" s="741"/>
      <c r="X46" s="741"/>
      <c r="Y46" s="741"/>
      <c r="Z46" s="741"/>
      <c r="AA46" s="741"/>
      <c r="AB46" s="741"/>
      <c r="AC46" s="741"/>
      <c r="AD46" s="741"/>
      <c r="AE46" s="741"/>
      <c r="AF46" s="741"/>
      <c r="AG46" s="741"/>
      <c r="AH46" s="741"/>
      <c r="AI46" s="741"/>
      <c r="AJ46" s="741"/>
      <c r="AK46" s="741"/>
      <c r="AL46" s="741"/>
      <c r="AM46" s="741"/>
    </row>
    <row r="47" spans="1:39" ht="12.75" customHeight="1">
      <c r="A47" s="762"/>
      <c r="B47" s="770"/>
      <c r="C47" s="741"/>
      <c r="D47" s="741"/>
      <c r="E47" s="741"/>
      <c r="F47" s="741"/>
      <c r="G47" s="741"/>
      <c r="H47" s="741"/>
      <c r="I47" s="741"/>
      <c r="J47" s="741"/>
      <c r="K47" s="741"/>
      <c r="L47" s="741"/>
      <c r="M47" s="741"/>
      <c r="N47" s="741"/>
      <c r="O47" s="741"/>
      <c r="P47" s="741"/>
      <c r="Q47" s="741"/>
      <c r="R47" s="741"/>
      <c r="S47" s="741"/>
      <c r="T47" s="741"/>
      <c r="U47" s="741"/>
      <c r="V47" s="741"/>
      <c r="W47" s="741"/>
      <c r="X47" s="741"/>
      <c r="Y47" s="741"/>
      <c r="Z47" s="741"/>
      <c r="AA47" s="741"/>
      <c r="AB47" s="741"/>
      <c r="AC47" s="741"/>
      <c r="AD47" s="741"/>
      <c r="AE47" s="741"/>
      <c r="AF47" s="741"/>
      <c r="AG47" s="741"/>
      <c r="AH47" s="741"/>
      <c r="AI47" s="741"/>
      <c r="AJ47" s="741"/>
      <c r="AK47" s="741"/>
      <c r="AL47" s="741"/>
      <c r="AM47" s="741"/>
    </row>
    <row r="48" spans="1:39" ht="12.75" customHeight="1">
      <c r="A48" s="771" t="s">
        <v>1194</v>
      </c>
      <c r="B48" s="770">
        <f>B43+B33+B21</f>
        <v>-922216435.11450195</v>
      </c>
      <c r="C48" s="738"/>
      <c r="D48" s="741"/>
      <c r="E48" s="741"/>
      <c r="F48" s="741"/>
      <c r="G48" s="741"/>
      <c r="H48" s="741"/>
      <c r="I48" s="741"/>
      <c r="J48" s="741"/>
      <c r="K48" s="741"/>
      <c r="L48" s="741"/>
      <c r="M48" s="741"/>
      <c r="N48" s="741"/>
      <c r="O48" s="741"/>
      <c r="P48" s="741"/>
      <c r="Q48" s="741"/>
      <c r="R48" s="741"/>
      <c r="S48" s="741"/>
      <c r="T48" s="741"/>
      <c r="U48" s="741"/>
      <c r="V48" s="741"/>
      <c r="W48" s="741"/>
      <c r="X48" s="741"/>
      <c r="Y48" s="741"/>
      <c r="Z48" s="741"/>
      <c r="AA48" s="741"/>
      <c r="AB48" s="741"/>
      <c r="AC48" s="741"/>
      <c r="AD48" s="741"/>
      <c r="AE48" s="741"/>
      <c r="AF48" s="741"/>
      <c r="AG48" s="741"/>
      <c r="AH48" s="741"/>
      <c r="AI48" s="741"/>
      <c r="AJ48" s="741"/>
      <c r="AK48" s="741"/>
      <c r="AL48" s="741"/>
      <c r="AM48" s="741"/>
    </row>
    <row r="49" spans="1:39" ht="12.75" customHeight="1">
      <c r="A49" s="771"/>
      <c r="B49" s="770"/>
      <c r="C49" s="741"/>
      <c r="D49" s="741"/>
      <c r="E49" s="741"/>
      <c r="F49" s="741"/>
      <c r="G49" s="741"/>
      <c r="H49" s="741"/>
      <c r="I49" s="741"/>
      <c r="J49" s="741"/>
      <c r="K49" s="741"/>
      <c r="L49" s="741"/>
      <c r="M49" s="741"/>
      <c r="N49" s="741"/>
      <c r="O49" s="741"/>
      <c r="P49" s="741"/>
      <c r="Q49" s="741"/>
      <c r="R49" s="741"/>
      <c r="S49" s="741"/>
      <c r="T49" s="741"/>
      <c r="U49" s="741"/>
      <c r="V49" s="741"/>
      <c r="W49" s="741"/>
      <c r="X49" s="741"/>
      <c r="Y49" s="741"/>
      <c r="Z49" s="741"/>
      <c r="AA49" s="741"/>
      <c r="AB49" s="741"/>
      <c r="AC49" s="741"/>
      <c r="AD49" s="741"/>
      <c r="AE49" s="741"/>
      <c r="AF49" s="741"/>
      <c r="AG49" s="741"/>
      <c r="AH49" s="741"/>
      <c r="AI49" s="741"/>
      <c r="AJ49" s="741"/>
      <c r="AK49" s="741"/>
      <c r="AL49" s="741"/>
      <c r="AM49" s="741"/>
    </row>
    <row r="50" spans="1:39" ht="12.75" customHeight="1">
      <c r="A50" s="771" t="s">
        <v>1195</v>
      </c>
      <c r="B50" s="770">
        <f>C7</f>
        <v>3081571391.1200132</v>
      </c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1"/>
      <c r="S50" s="741"/>
      <c r="T50" s="741"/>
      <c r="U50" s="741"/>
      <c r="V50" s="741"/>
      <c r="W50" s="741"/>
      <c r="X50" s="741"/>
      <c r="Y50" s="741"/>
      <c r="Z50" s="741"/>
      <c r="AA50" s="741"/>
      <c r="AB50" s="741"/>
      <c r="AC50" s="741"/>
      <c r="AD50" s="741"/>
      <c r="AE50" s="741"/>
      <c r="AF50" s="741"/>
      <c r="AG50" s="741"/>
      <c r="AH50" s="741"/>
      <c r="AI50" s="741"/>
      <c r="AJ50" s="741"/>
      <c r="AK50" s="741"/>
      <c r="AL50" s="741"/>
      <c r="AM50" s="741"/>
    </row>
    <row r="51" spans="1:39" ht="12.75" customHeight="1">
      <c r="A51" s="771"/>
      <c r="B51" s="776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1"/>
      <c r="P51" s="741"/>
      <c r="Q51" s="741"/>
      <c r="R51" s="741"/>
      <c r="S51" s="741"/>
      <c r="T51" s="741"/>
      <c r="U51" s="741"/>
      <c r="V51" s="741"/>
      <c r="W51" s="741"/>
      <c r="X51" s="741"/>
      <c r="Y51" s="741"/>
      <c r="Z51" s="741"/>
      <c r="AA51" s="741"/>
      <c r="AB51" s="741"/>
      <c r="AC51" s="741"/>
      <c r="AD51" s="741"/>
      <c r="AE51" s="741"/>
      <c r="AF51" s="741"/>
      <c r="AG51" s="741"/>
      <c r="AH51" s="741"/>
      <c r="AI51" s="741"/>
      <c r="AJ51" s="741"/>
      <c r="AK51" s="741"/>
      <c r="AL51" s="741"/>
      <c r="AM51" s="741"/>
    </row>
    <row r="52" spans="1:39" ht="12.75" customHeight="1">
      <c r="A52" s="777" t="s">
        <v>1196</v>
      </c>
      <c r="B52" s="778">
        <f>B48+B50</f>
        <v>2159354956.0055113</v>
      </c>
      <c r="C52" s="779"/>
      <c r="D52" s="779"/>
      <c r="E52" s="779"/>
      <c r="F52" s="779"/>
      <c r="G52" s="779"/>
      <c r="H52" s="779"/>
      <c r="I52" s="779"/>
      <c r="J52" s="779"/>
      <c r="K52" s="779"/>
      <c r="L52" s="779"/>
      <c r="M52" s="779"/>
      <c r="N52" s="779"/>
      <c r="O52" s="779"/>
      <c r="P52" s="779"/>
      <c r="Q52" s="779"/>
      <c r="R52" s="779"/>
      <c r="S52" s="779"/>
      <c r="T52" s="779"/>
      <c r="U52" s="779"/>
      <c r="V52" s="779"/>
      <c r="W52" s="779"/>
      <c r="X52" s="779"/>
      <c r="Y52" s="779"/>
      <c r="Z52" s="779"/>
      <c r="AA52" s="779"/>
      <c r="AB52" s="779"/>
      <c r="AC52" s="779"/>
      <c r="AD52" s="741"/>
      <c r="AE52" s="741"/>
      <c r="AF52" s="741"/>
      <c r="AG52" s="741"/>
      <c r="AH52" s="741"/>
      <c r="AI52" s="741"/>
      <c r="AJ52" s="741"/>
      <c r="AK52" s="741"/>
      <c r="AL52" s="741"/>
      <c r="AM52" s="741"/>
    </row>
    <row r="53" spans="1:39" ht="12.75" customHeight="1">
      <c r="A53" s="780"/>
      <c r="B53" s="738"/>
      <c r="C53" s="781">
        <f>SUM(C8:C52)</f>
        <v>-922216435.12001324</v>
      </c>
      <c r="D53" s="781">
        <f t="shared" ref="D53:N53" si="5">SUM(D8:D52)</f>
        <v>0</v>
      </c>
      <c r="E53" s="781">
        <f t="shared" si="5"/>
        <v>0</v>
      </c>
      <c r="F53" s="781">
        <f t="shared" si="5"/>
        <v>0</v>
      </c>
      <c r="G53" s="781">
        <f t="shared" si="5"/>
        <v>0</v>
      </c>
      <c r="H53" s="781">
        <f t="shared" si="5"/>
        <v>0</v>
      </c>
      <c r="I53" s="781">
        <f t="shared" si="5"/>
        <v>0</v>
      </c>
      <c r="J53" s="781"/>
      <c r="K53" s="781">
        <f t="shared" si="5"/>
        <v>0</v>
      </c>
      <c r="L53" s="781">
        <f t="shared" si="5"/>
        <v>0</v>
      </c>
      <c r="M53" s="781">
        <f t="shared" si="5"/>
        <v>0</v>
      </c>
      <c r="N53" s="781">
        <f t="shared" si="5"/>
        <v>0</v>
      </c>
      <c r="O53" s="781"/>
      <c r="P53" s="781">
        <f t="shared" ref="P53:AJ53" si="6">SUM(P8:P52)</f>
        <v>0</v>
      </c>
      <c r="Q53" s="781">
        <f t="shared" si="6"/>
        <v>0</v>
      </c>
      <c r="R53" s="781">
        <f t="shared" si="6"/>
        <v>0</v>
      </c>
      <c r="S53" s="781">
        <f t="shared" si="6"/>
        <v>0</v>
      </c>
      <c r="T53" s="781">
        <f t="shared" si="6"/>
        <v>0</v>
      </c>
      <c r="U53" s="781">
        <f t="shared" si="6"/>
        <v>0</v>
      </c>
      <c r="V53" s="781">
        <f t="shared" si="6"/>
        <v>0</v>
      </c>
      <c r="W53" s="781">
        <f t="shared" si="6"/>
        <v>0</v>
      </c>
      <c r="X53" s="781">
        <f t="shared" si="6"/>
        <v>0</v>
      </c>
      <c r="Y53" s="781">
        <f t="shared" si="6"/>
        <v>0</v>
      </c>
      <c r="Z53" s="781">
        <f t="shared" si="6"/>
        <v>0</v>
      </c>
      <c r="AA53" s="781">
        <f t="shared" si="6"/>
        <v>0</v>
      </c>
      <c r="AB53" s="781">
        <f t="shared" si="6"/>
        <v>0</v>
      </c>
      <c r="AC53" s="781">
        <f t="shared" si="6"/>
        <v>0</v>
      </c>
      <c r="AD53" s="781"/>
      <c r="AE53" s="781">
        <f>SUM(AE8:AE52)</f>
        <v>0</v>
      </c>
      <c r="AF53" s="781">
        <f>SUM(AF8:AF52)</f>
        <v>0</v>
      </c>
      <c r="AG53" s="781"/>
      <c r="AH53" s="781">
        <f>SUM(AH8:AH52)</f>
        <v>0</v>
      </c>
      <c r="AI53" s="781">
        <f>SUM(AI8:AI52)</f>
        <v>0</v>
      </c>
      <c r="AJ53" s="781">
        <f t="shared" si="6"/>
        <v>0</v>
      </c>
      <c r="AK53" s="738">
        <f>SUM(D53:AJ53)</f>
        <v>0</v>
      </c>
      <c r="AL53" s="741"/>
      <c r="AM53" s="741"/>
    </row>
    <row r="54" spans="1:39" ht="12.75" customHeight="1">
      <c r="A54" s="741"/>
      <c r="B54" s="738"/>
      <c r="C54" s="741"/>
      <c r="D54" s="741"/>
      <c r="E54" s="741"/>
      <c r="F54" s="741"/>
      <c r="G54" s="741"/>
      <c r="H54" s="741"/>
      <c r="I54" s="741"/>
      <c r="J54" s="741"/>
      <c r="K54" s="741"/>
      <c r="L54" s="741"/>
      <c r="M54" s="741"/>
      <c r="N54" s="741"/>
      <c r="O54" s="741"/>
      <c r="P54" s="741"/>
      <c r="Q54" s="741"/>
      <c r="R54" s="741"/>
      <c r="S54" s="741"/>
      <c r="T54" s="741"/>
      <c r="U54" s="741"/>
      <c r="V54" s="741"/>
      <c r="W54" s="741"/>
      <c r="X54" s="741"/>
      <c r="Y54" s="741"/>
      <c r="Z54" s="741"/>
      <c r="AA54" s="741"/>
      <c r="AB54" s="741"/>
      <c r="AC54" s="741"/>
      <c r="AD54" s="741"/>
      <c r="AE54" s="741"/>
      <c r="AF54" s="741"/>
      <c r="AG54" s="741"/>
      <c r="AH54" s="741"/>
      <c r="AI54" s="741"/>
      <c r="AJ54" s="741"/>
      <c r="AK54" s="741"/>
      <c r="AL54" s="741"/>
      <c r="AM54" s="741"/>
    </row>
    <row r="55" spans="1:39" ht="12.75" customHeight="1">
      <c r="A55" s="741"/>
      <c r="B55" s="738"/>
      <c r="C55" s="741"/>
      <c r="D55" s="741"/>
      <c r="E55" s="741"/>
      <c r="F55" s="741"/>
      <c r="G55" s="741"/>
      <c r="H55" s="741"/>
      <c r="I55" s="741"/>
      <c r="J55" s="741"/>
      <c r="K55" s="741"/>
      <c r="L55" s="741"/>
      <c r="M55" s="741"/>
      <c r="N55" s="741"/>
      <c r="O55" s="741"/>
      <c r="P55" s="741"/>
      <c r="Q55" s="741"/>
      <c r="R55" s="741"/>
      <c r="S55" s="741"/>
      <c r="T55" s="741"/>
      <c r="U55" s="741"/>
      <c r="V55" s="741"/>
      <c r="W55" s="741"/>
      <c r="X55" s="741"/>
      <c r="Y55" s="741"/>
      <c r="Z55" s="741"/>
      <c r="AA55" s="741"/>
      <c r="AB55" s="741"/>
      <c r="AC55" s="741"/>
      <c r="AD55" s="741"/>
      <c r="AE55" s="741"/>
      <c r="AF55" s="741"/>
      <c r="AG55" s="741"/>
      <c r="AH55" s="741"/>
      <c r="AI55" s="741"/>
      <c r="AJ55" s="741"/>
      <c r="AK55" s="741"/>
      <c r="AL55" s="741"/>
      <c r="AM55" s="741"/>
    </row>
    <row r="56" spans="1:39" ht="12.75" customHeight="1">
      <c r="A56" s="741"/>
      <c r="B56" s="782">
        <f>C6</f>
        <v>2159354956</v>
      </c>
      <c r="C56" s="741"/>
      <c r="D56" s="741"/>
      <c r="E56" s="741"/>
      <c r="F56" s="741"/>
      <c r="G56" s="741"/>
      <c r="H56" s="741"/>
      <c r="I56" s="741"/>
      <c r="J56" s="741"/>
      <c r="K56" s="741"/>
      <c r="L56" s="741"/>
      <c r="M56" s="741"/>
      <c r="N56" s="741"/>
      <c r="O56" s="741"/>
      <c r="P56" s="741"/>
      <c r="Q56" s="741"/>
      <c r="R56" s="741"/>
      <c r="S56" s="741"/>
      <c r="T56" s="741"/>
      <c r="U56" s="741"/>
      <c r="V56" s="741"/>
      <c r="W56" s="741"/>
      <c r="X56" s="741"/>
      <c r="Y56" s="741"/>
      <c r="Z56" s="741"/>
      <c r="AA56" s="741"/>
      <c r="AB56" s="741"/>
      <c r="AC56" s="741"/>
      <c r="AD56" s="741"/>
      <c r="AE56" s="741"/>
      <c r="AF56" s="741"/>
      <c r="AG56" s="741"/>
      <c r="AH56" s="741"/>
      <c r="AI56" s="741"/>
      <c r="AJ56" s="741"/>
      <c r="AK56" s="741"/>
      <c r="AL56" s="741"/>
      <c r="AM56" s="741"/>
    </row>
    <row r="57" spans="1:39" ht="12.75" customHeight="1">
      <c r="A57" s="741" t="s">
        <v>1197</v>
      </c>
      <c r="B57" s="738">
        <f>B56-B52</f>
        <v>-5.5112838745117188E-3</v>
      </c>
      <c r="C57" s="741"/>
      <c r="D57" s="741"/>
      <c r="E57" s="741"/>
      <c r="F57" s="741"/>
      <c r="G57" s="741"/>
      <c r="H57" s="741"/>
      <c r="I57" s="741"/>
      <c r="J57" s="741"/>
      <c r="K57" s="741"/>
      <c r="L57" s="741"/>
      <c r="M57" s="741"/>
      <c r="N57" s="741"/>
      <c r="O57" s="741"/>
      <c r="P57" s="741"/>
      <c r="Q57" s="741"/>
      <c r="R57" s="741"/>
      <c r="S57" s="741"/>
      <c r="T57" s="741"/>
      <c r="U57" s="741"/>
      <c r="V57" s="741"/>
      <c r="W57" s="741"/>
      <c r="X57" s="741"/>
      <c r="Y57" s="741"/>
      <c r="Z57" s="741"/>
      <c r="AA57" s="741"/>
      <c r="AB57" s="741"/>
      <c r="AC57" s="741"/>
      <c r="AD57" s="741"/>
      <c r="AE57" s="741"/>
      <c r="AF57" s="741"/>
      <c r="AG57" s="741"/>
      <c r="AH57" s="741"/>
      <c r="AI57" s="741"/>
      <c r="AJ57" s="741"/>
      <c r="AK57" s="741"/>
      <c r="AL57" s="741"/>
      <c r="AM57" s="741"/>
    </row>
    <row r="58" spans="1:39" ht="12.75" customHeight="1">
      <c r="A58" s="741"/>
      <c r="B58" s="738"/>
      <c r="C58" s="741"/>
      <c r="D58" s="741"/>
      <c r="E58" s="741"/>
      <c r="F58" s="741"/>
      <c r="G58" s="741"/>
      <c r="H58" s="741"/>
      <c r="I58" s="741"/>
      <c r="J58" s="741"/>
      <c r="K58" s="741"/>
      <c r="L58" s="741"/>
      <c r="M58" s="741"/>
      <c r="N58" s="741"/>
      <c r="O58" s="741"/>
      <c r="P58" s="741"/>
      <c r="Q58" s="741"/>
      <c r="R58" s="741"/>
      <c r="S58" s="741"/>
      <c r="T58" s="741"/>
      <c r="U58" s="741"/>
      <c r="V58" s="741"/>
      <c r="W58" s="741"/>
      <c r="X58" s="741"/>
      <c r="Y58" s="741"/>
      <c r="Z58" s="741"/>
      <c r="AA58" s="741"/>
      <c r="AB58" s="741"/>
      <c r="AC58" s="741"/>
      <c r="AD58" s="741"/>
      <c r="AE58" s="741"/>
      <c r="AF58" s="741"/>
      <c r="AG58" s="741"/>
      <c r="AH58" s="741"/>
      <c r="AI58" s="741"/>
      <c r="AJ58" s="741"/>
      <c r="AK58" s="741"/>
      <c r="AL58" s="741"/>
      <c r="AM58" s="741"/>
    </row>
    <row r="59" spans="1:39" ht="12.75" customHeight="1">
      <c r="A59" s="741"/>
      <c r="B59" s="738"/>
      <c r="C59" s="741"/>
      <c r="D59" s="741"/>
      <c r="E59" s="741"/>
      <c r="F59" s="741"/>
      <c r="G59" s="741"/>
      <c r="H59" s="741"/>
      <c r="I59" s="741"/>
      <c r="J59" s="741"/>
      <c r="K59" s="741"/>
      <c r="L59" s="741"/>
      <c r="M59" s="741"/>
      <c r="N59" s="741"/>
      <c r="O59" s="741"/>
      <c r="P59" s="741"/>
      <c r="Q59" s="741"/>
      <c r="R59" s="741"/>
      <c r="S59" s="741"/>
      <c r="T59" s="741"/>
      <c r="U59" s="741"/>
      <c r="V59" s="741"/>
      <c r="W59" s="741"/>
      <c r="X59" s="741"/>
      <c r="Y59" s="741"/>
      <c r="Z59" s="741"/>
      <c r="AA59" s="741"/>
      <c r="AB59" s="741"/>
      <c r="AC59" s="741"/>
      <c r="AD59" s="741"/>
      <c r="AE59" s="741"/>
      <c r="AF59" s="741"/>
      <c r="AG59" s="741"/>
      <c r="AH59" s="741"/>
      <c r="AI59" s="741"/>
      <c r="AJ59" s="741"/>
      <c r="AK59" s="741"/>
      <c r="AL59" s="741"/>
      <c r="AM59" s="741"/>
    </row>
    <row r="60" spans="1:39" ht="12.75" customHeight="1">
      <c r="A60" s="741"/>
      <c r="B60" s="738"/>
      <c r="C60" s="741"/>
      <c r="D60" s="741"/>
      <c r="E60" s="741"/>
      <c r="F60" s="741"/>
      <c r="G60" s="741"/>
      <c r="H60" s="741"/>
      <c r="I60" s="741"/>
      <c r="J60" s="741"/>
      <c r="K60" s="741"/>
      <c r="L60" s="741"/>
      <c r="M60" s="741"/>
      <c r="N60" s="741"/>
      <c r="O60" s="741"/>
      <c r="P60" s="741"/>
      <c r="Q60" s="741"/>
      <c r="R60" s="741"/>
      <c r="S60" s="741"/>
      <c r="T60" s="741"/>
      <c r="U60" s="741"/>
      <c r="V60" s="741"/>
      <c r="W60" s="741"/>
      <c r="X60" s="741"/>
      <c r="Y60" s="741"/>
      <c r="Z60" s="741"/>
      <c r="AA60" s="741"/>
      <c r="AB60" s="741"/>
      <c r="AC60" s="741"/>
      <c r="AD60" s="741"/>
      <c r="AE60" s="741"/>
      <c r="AF60" s="741"/>
      <c r="AG60" s="741"/>
      <c r="AH60" s="741"/>
      <c r="AI60" s="741"/>
      <c r="AJ60" s="741"/>
      <c r="AK60" s="741"/>
      <c r="AL60" s="741"/>
      <c r="AM60" s="741"/>
    </row>
    <row r="61" spans="1:39" ht="12.75" customHeight="1">
      <c r="A61" s="741"/>
      <c r="B61" s="738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1"/>
      <c r="P61" s="741"/>
      <c r="Q61" s="741"/>
      <c r="R61" s="741"/>
      <c r="S61" s="741"/>
      <c r="T61" s="741"/>
      <c r="U61" s="741"/>
      <c r="V61" s="741"/>
      <c r="W61" s="741"/>
      <c r="X61" s="741"/>
      <c r="Y61" s="741"/>
      <c r="Z61" s="741"/>
      <c r="AA61" s="741"/>
      <c r="AB61" s="741"/>
      <c r="AC61" s="741"/>
      <c r="AD61" s="741"/>
      <c r="AE61" s="741"/>
      <c r="AF61" s="741"/>
      <c r="AG61" s="741"/>
      <c r="AH61" s="741"/>
      <c r="AI61" s="741"/>
      <c r="AJ61" s="741"/>
      <c r="AK61" s="741"/>
      <c r="AL61" s="741"/>
      <c r="AM61" s="741"/>
    </row>
    <row r="62" spans="1:39" ht="12.75" customHeight="1">
      <c r="A62" s="741"/>
      <c r="B62" s="738"/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41"/>
      <c r="N62" s="741"/>
      <c r="O62" s="741"/>
      <c r="P62" s="741"/>
      <c r="Q62" s="741"/>
      <c r="R62" s="741"/>
      <c r="S62" s="741"/>
      <c r="T62" s="741"/>
      <c r="U62" s="741"/>
      <c r="V62" s="741"/>
      <c r="W62" s="741"/>
      <c r="X62" s="741"/>
      <c r="Y62" s="741"/>
      <c r="Z62" s="741"/>
      <c r="AA62" s="741"/>
      <c r="AB62" s="741"/>
      <c r="AC62" s="741"/>
      <c r="AD62" s="741"/>
      <c r="AE62" s="741"/>
      <c r="AF62" s="741"/>
      <c r="AG62" s="741"/>
      <c r="AH62" s="741"/>
      <c r="AI62" s="741"/>
      <c r="AJ62" s="741"/>
      <c r="AK62" s="741"/>
      <c r="AL62" s="741"/>
      <c r="AM62" s="741"/>
    </row>
    <row r="63" spans="1:39" ht="12.75" customHeight="1">
      <c r="A63" s="741"/>
      <c r="B63" s="738"/>
      <c r="C63" s="741"/>
      <c r="D63" s="741"/>
      <c r="E63" s="741"/>
      <c r="F63" s="741"/>
      <c r="G63" s="741"/>
      <c r="H63" s="741"/>
      <c r="I63" s="741"/>
      <c r="J63" s="741"/>
      <c r="K63" s="741"/>
      <c r="L63" s="741"/>
      <c r="M63" s="741"/>
      <c r="N63" s="741"/>
      <c r="O63" s="741"/>
      <c r="P63" s="741"/>
      <c r="Q63" s="741"/>
      <c r="R63" s="741"/>
      <c r="S63" s="741"/>
      <c r="T63" s="741"/>
      <c r="U63" s="741"/>
      <c r="V63" s="741"/>
      <c r="W63" s="741"/>
      <c r="X63" s="741"/>
      <c r="Y63" s="741"/>
      <c r="Z63" s="741"/>
      <c r="AA63" s="741"/>
      <c r="AB63" s="741"/>
      <c r="AC63" s="741"/>
      <c r="AD63" s="741"/>
      <c r="AE63" s="741"/>
      <c r="AF63" s="741"/>
      <c r="AG63" s="741"/>
      <c r="AH63" s="741"/>
      <c r="AI63" s="741"/>
      <c r="AJ63" s="741"/>
      <c r="AK63" s="741"/>
      <c r="AL63" s="741"/>
      <c r="AM63" s="741"/>
    </row>
    <row r="64" spans="1:39" ht="12.75" customHeight="1">
      <c r="A64" s="741"/>
      <c r="B64" s="738"/>
      <c r="C64" s="741"/>
      <c r="D64" s="741"/>
      <c r="E64" s="741"/>
      <c r="F64" s="741"/>
      <c r="G64" s="741"/>
      <c r="H64" s="741"/>
      <c r="I64" s="741"/>
      <c r="J64" s="741"/>
      <c r="K64" s="741"/>
      <c r="L64" s="741"/>
      <c r="M64" s="741"/>
      <c r="N64" s="741"/>
      <c r="O64" s="741"/>
      <c r="P64" s="741"/>
      <c r="Q64" s="741"/>
      <c r="R64" s="741"/>
      <c r="S64" s="741"/>
      <c r="T64" s="741"/>
      <c r="U64" s="741"/>
      <c r="V64" s="741"/>
      <c r="W64" s="741"/>
      <c r="X64" s="741"/>
      <c r="Y64" s="741"/>
      <c r="Z64" s="741"/>
      <c r="AA64" s="741"/>
      <c r="AB64" s="741"/>
      <c r="AC64" s="741"/>
      <c r="AD64" s="741"/>
      <c r="AE64" s="741"/>
      <c r="AF64" s="741"/>
      <c r="AG64" s="741"/>
      <c r="AH64" s="741"/>
      <c r="AI64" s="741"/>
      <c r="AJ64" s="741"/>
      <c r="AK64" s="741"/>
      <c r="AL64" s="741"/>
      <c r="AM64" s="741"/>
    </row>
    <row r="65" spans="1:39" ht="12.75" customHeight="1">
      <c r="A65" s="741"/>
      <c r="B65" s="738"/>
      <c r="C65" s="741"/>
      <c r="D65" s="741"/>
      <c r="E65" s="741"/>
      <c r="F65" s="741"/>
      <c r="G65" s="741"/>
      <c r="H65" s="741"/>
      <c r="I65" s="741"/>
      <c r="J65" s="741"/>
      <c r="K65" s="741"/>
      <c r="L65" s="741"/>
      <c r="M65" s="741"/>
      <c r="N65" s="741"/>
      <c r="O65" s="741"/>
      <c r="P65" s="741"/>
      <c r="Q65" s="741"/>
      <c r="R65" s="741"/>
      <c r="S65" s="741"/>
      <c r="T65" s="741"/>
      <c r="U65" s="741"/>
      <c r="V65" s="741"/>
      <c r="W65" s="741"/>
      <c r="X65" s="741"/>
      <c r="Y65" s="741"/>
      <c r="Z65" s="741"/>
      <c r="AA65" s="741"/>
      <c r="AB65" s="741"/>
      <c r="AC65" s="741"/>
      <c r="AD65" s="741"/>
      <c r="AE65" s="741"/>
      <c r="AF65" s="741"/>
      <c r="AG65" s="741"/>
      <c r="AH65" s="741"/>
      <c r="AI65" s="741"/>
      <c r="AJ65" s="741"/>
      <c r="AK65" s="741"/>
      <c r="AL65" s="741"/>
      <c r="AM65" s="741"/>
    </row>
    <row r="66" spans="1:39" ht="12.75" customHeight="1">
      <c r="A66" s="741"/>
      <c r="B66" s="741"/>
      <c r="C66" s="741"/>
      <c r="D66" s="741"/>
      <c r="E66" s="741"/>
      <c r="F66" s="741"/>
      <c r="G66" s="741"/>
      <c r="H66" s="741"/>
      <c r="I66" s="741"/>
      <c r="J66" s="741"/>
      <c r="K66" s="741"/>
      <c r="L66" s="741"/>
      <c r="M66" s="741"/>
      <c r="N66" s="741"/>
      <c r="O66" s="741"/>
      <c r="P66" s="741"/>
      <c r="Q66" s="741"/>
      <c r="R66" s="741"/>
      <c r="S66" s="741"/>
      <c r="T66" s="741"/>
      <c r="U66" s="741"/>
      <c r="V66" s="741"/>
      <c r="W66" s="741"/>
      <c r="X66" s="741"/>
      <c r="Y66" s="741"/>
      <c r="Z66" s="741"/>
      <c r="AA66" s="741"/>
      <c r="AB66" s="741"/>
      <c r="AC66" s="741"/>
      <c r="AD66" s="741"/>
      <c r="AE66" s="741"/>
      <c r="AF66" s="741"/>
      <c r="AG66" s="741"/>
      <c r="AH66" s="741"/>
      <c r="AI66" s="741"/>
      <c r="AJ66" s="741"/>
      <c r="AK66" s="741"/>
      <c r="AL66" s="741"/>
      <c r="AM66" s="741"/>
    </row>
    <row r="67" spans="1:39" ht="12.75" customHeight="1">
      <c r="A67" s="741"/>
      <c r="B67" s="741"/>
      <c r="C67" s="741"/>
      <c r="D67" s="741"/>
      <c r="E67" s="741"/>
      <c r="F67" s="741"/>
      <c r="G67" s="741"/>
      <c r="H67" s="741"/>
      <c r="I67" s="741"/>
      <c r="J67" s="741"/>
      <c r="K67" s="741"/>
      <c r="L67" s="741"/>
      <c r="M67" s="741"/>
      <c r="N67" s="741"/>
      <c r="O67" s="741"/>
      <c r="P67" s="741"/>
      <c r="Q67" s="741"/>
      <c r="R67" s="741"/>
      <c r="S67" s="741"/>
      <c r="T67" s="741"/>
      <c r="U67" s="741"/>
      <c r="V67" s="741"/>
      <c r="W67" s="741"/>
      <c r="X67" s="741"/>
      <c r="Y67" s="741"/>
      <c r="Z67" s="741"/>
      <c r="AA67" s="741"/>
      <c r="AB67" s="741"/>
      <c r="AC67" s="741"/>
      <c r="AD67" s="741"/>
      <c r="AE67" s="741"/>
      <c r="AF67" s="741"/>
      <c r="AG67" s="741"/>
      <c r="AH67" s="741"/>
      <c r="AI67" s="741"/>
      <c r="AJ67" s="741"/>
      <c r="AK67" s="741"/>
      <c r="AL67" s="741"/>
      <c r="AM67" s="741"/>
    </row>
    <row r="68" spans="1:39" ht="12.75" customHeight="1">
      <c r="A68" s="741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1"/>
      <c r="P68" s="741"/>
      <c r="Q68" s="741"/>
      <c r="R68" s="741"/>
      <c r="S68" s="741"/>
      <c r="T68" s="741"/>
      <c r="U68" s="741"/>
      <c r="V68" s="741"/>
      <c r="W68" s="741"/>
      <c r="X68" s="741"/>
      <c r="Y68" s="741"/>
      <c r="Z68" s="741"/>
      <c r="AA68" s="741"/>
      <c r="AB68" s="741"/>
      <c r="AC68" s="741"/>
      <c r="AD68" s="741"/>
      <c r="AE68" s="741"/>
      <c r="AF68" s="741"/>
      <c r="AG68" s="741"/>
      <c r="AH68" s="741"/>
      <c r="AI68" s="741"/>
      <c r="AJ68" s="741"/>
      <c r="AK68" s="741"/>
      <c r="AL68" s="741"/>
      <c r="AM68" s="741"/>
    </row>
    <row r="69" spans="1:39" ht="12.75" customHeight="1">
      <c r="A69" s="741"/>
      <c r="B69" s="741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41"/>
      <c r="N69" s="741"/>
      <c r="O69" s="741"/>
      <c r="P69" s="741"/>
      <c r="Q69" s="741"/>
      <c r="R69" s="741"/>
      <c r="S69" s="741"/>
      <c r="T69" s="741"/>
      <c r="U69" s="741"/>
      <c r="V69" s="741"/>
      <c r="W69" s="741"/>
      <c r="X69" s="741"/>
      <c r="Y69" s="741"/>
      <c r="Z69" s="741"/>
      <c r="AA69" s="741"/>
      <c r="AB69" s="741"/>
      <c r="AC69" s="741"/>
      <c r="AD69" s="741"/>
      <c r="AE69" s="741"/>
      <c r="AF69" s="741"/>
      <c r="AG69" s="741"/>
      <c r="AH69" s="741"/>
      <c r="AI69" s="741"/>
      <c r="AJ69" s="741"/>
      <c r="AK69" s="741"/>
      <c r="AL69" s="741"/>
      <c r="AM69" s="741"/>
    </row>
    <row r="70" spans="1:39" ht="12.75" customHeight="1">
      <c r="A70" s="741"/>
      <c r="B70" s="741"/>
      <c r="C70" s="741"/>
      <c r="D70" s="741"/>
      <c r="E70" s="741"/>
      <c r="F70" s="741"/>
      <c r="G70" s="741"/>
      <c r="H70" s="741"/>
      <c r="I70" s="741"/>
      <c r="J70" s="741"/>
      <c r="K70" s="741"/>
      <c r="L70" s="741"/>
      <c r="M70" s="741"/>
      <c r="N70" s="741"/>
      <c r="O70" s="741"/>
      <c r="P70" s="741"/>
      <c r="Q70" s="741"/>
      <c r="R70" s="741"/>
      <c r="S70" s="741"/>
      <c r="T70" s="741"/>
      <c r="U70" s="741"/>
      <c r="V70" s="741"/>
      <c r="W70" s="741"/>
      <c r="X70" s="741"/>
      <c r="Y70" s="741"/>
      <c r="Z70" s="741"/>
      <c r="AA70" s="741"/>
      <c r="AB70" s="741"/>
      <c r="AC70" s="741"/>
      <c r="AD70" s="741"/>
      <c r="AE70" s="741"/>
      <c r="AF70" s="741"/>
      <c r="AG70" s="741"/>
      <c r="AH70" s="741"/>
      <c r="AI70" s="741"/>
      <c r="AJ70" s="741"/>
      <c r="AK70" s="741"/>
      <c r="AL70" s="741"/>
      <c r="AM70" s="741"/>
    </row>
    <row r="71" spans="1:39" ht="12.75" customHeight="1">
      <c r="A71" s="741"/>
      <c r="B71" s="741"/>
      <c r="C71" s="741"/>
      <c r="D71" s="741"/>
      <c r="E71" s="741"/>
      <c r="F71" s="741"/>
      <c r="G71" s="741"/>
      <c r="H71" s="741"/>
      <c r="I71" s="741"/>
      <c r="J71" s="741"/>
      <c r="K71" s="741"/>
      <c r="L71" s="741"/>
      <c r="M71" s="741"/>
      <c r="N71" s="741"/>
      <c r="O71" s="741"/>
      <c r="P71" s="741"/>
      <c r="Q71" s="741"/>
      <c r="R71" s="741"/>
      <c r="S71" s="741"/>
      <c r="T71" s="741"/>
      <c r="U71" s="741"/>
      <c r="V71" s="741"/>
      <c r="W71" s="741"/>
      <c r="X71" s="741"/>
      <c r="Y71" s="741"/>
      <c r="Z71" s="741"/>
      <c r="AA71" s="741"/>
      <c r="AB71" s="741"/>
      <c r="AC71" s="741"/>
      <c r="AD71" s="741"/>
      <c r="AE71" s="741"/>
      <c r="AF71" s="741"/>
      <c r="AG71" s="741"/>
      <c r="AH71" s="741"/>
      <c r="AI71" s="741"/>
      <c r="AJ71" s="741"/>
      <c r="AK71" s="741"/>
      <c r="AL71" s="741"/>
      <c r="AM71" s="741"/>
    </row>
    <row r="72" spans="1:39" ht="12.75" customHeight="1">
      <c r="A72" s="741"/>
      <c r="B72" s="741"/>
      <c r="C72" s="741"/>
      <c r="D72" s="741"/>
      <c r="E72" s="741"/>
      <c r="F72" s="741"/>
      <c r="G72" s="741"/>
      <c r="H72" s="741"/>
      <c r="I72" s="741"/>
      <c r="J72" s="741"/>
      <c r="K72" s="741"/>
      <c r="L72" s="741"/>
      <c r="M72" s="741"/>
      <c r="N72" s="741"/>
      <c r="O72" s="741"/>
      <c r="P72" s="741"/>
      <c r="Q72" s="741"/>
      <c r="R72" s="741"/>
      <c r="S72" s="741"/>
      <c r="T72" s="741"/>
      <c r="U72" s="741"/>
      <c r="V72" s="741"/>
      <c r="W72" s="741"/>
      <c r="X72" s="741"/>
      <c r="Y72" s="741"/>
      <c r="Z72" s="741"/>
      <c r="AA72" s="741"/>
      <c r="AB72" s="741"/>
      <c r="AC72" s="741"/>
      <c r="AD72" s="741"/>
      <c r="AE72" s="741"/>
      <c r="AF72" s="741"/>
      <c r="AG72" s="741"/>
      <c r="AH72" s="741"/>
      <c r="AI72" s="741"/>
      <c r="AJ72" s="741"/>
      <c r="AK72" s="741"/>
      <c r="AL72" s="741"/>
      <c r="AM72" s="741"/>
    </row>
    <row r="73" spans="1:39" ht="12.75" customHeight="1">
      <c r="A73" s="741"/>
      <c r="B73" s="741"/>
      <c r="C73" s="741"/>
      <c r="D73" s="741"/>
      <c r="E73" s="741"/>
      <c r="F73" s="741"/>
      <c r="G73" s="741"/>
      <c r="H73" s="741"/>
      <c r="I73" s="741"/>
      <c r="J73" s="741"/>
      <c r="K73" s="741"/>
      <c r="L73" s="741"/>
      <c r="M73" s="741"/>
      <c r="N73" s="741"/>
      <c r="O73" s="741"/>
      <c r="P73" s="741"/>
      <c r="Q73" s="741"/>
      <c r="R73" s="741"/>
      <c r="S73" s="741"/>
      <c r="T73" s="741"/>
      <c r="U73" s="741"/>
      <c r="V73" s="741"/>
      <c r="W73" s="741"/>
      <c r="X73" s="741"/>
      <c r="Y73" s="741"/>
      <c r="Z73" s="741"/>
      <c r="AA73" s="741"/>
      <c r="AB73" s="741"/>
      <c r="AC73" s="741"/>
      <c r="AD73" s="741"/>
      <c r="AE73" s="741"/>
      <c r="AF73" s="741"/>
      <c r="AG73" s="741"/>
      <c r="AH73" s="741"/>
      <c r="AI73" s="741"/>
      <c r="AJ73" s="741"/>
      <c r="AK73" s="741"/>
      <c r="AL73" s="741"/>
      <c r="AM73" s="741"/>
    </row>
    <row r="74" spans="1:39" ht="12.75" customHeight="1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  <c r="N74" s="741"/>
      <c r="O74" s="741"/>
      <c r="P74" s="741"/>
      <c r="Q74" s="741"/>
      <c r="R74" s="741"/>
      <c r="S74" s="741"/>
      <c r="T74" s="741"/>
      <c r="U74" s="741"/>
      <c r="V74" s="741"/>
      <c r="W74" s="741"/>
      <c r="X74" s="741"/>
      <c r="Y74" s="741"/>
      <c r="Z74" s="741"/>
      <c r="AA74" s="741"/>
      <c r="AB74" s="741"/>
      <c r="AC74" s="741"/>
      <c r="AD74" s="741"/>
      <c r="AE74" s="741"/>
      <c r="AF74" s="741"/>
      <c r="AG74" s="741"/>
      <c r="AH74" s="741"/>
      <c r="AI74" s="741"/>
      <c r="AJ74" s="741"/>
      <c r="AK74" s="741"/>
      <c r="AL74" s="741"/>
      <c r="AM74" s="741"/>
    </row>
    <row r="75" spans="1:39" ht="12.75" customHeight="1">
      <c r="A75" s="741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1"/>
      <c r="P75" s="741"/>
      <c r="Q75" s="741"/>
      <c r="R75" s="741"/>
      <c r="S75" s="741"/>
      <c r="T75" s="741"/>
      <c r="U75" s="741"/>
      <c r="V75" s="741"/>
      <c r="W75" s="741"/>
      <c r="X75" s="741"/>
      <c r="Y75" s="741"/>
      <c r="Z75" s="741"/>
      <c r="AA75" s="741"/>
      <c r="AB75" s="741"/>
      <c r="AC75" s="741"/>
      <c r="AD75" s="741"/>
      <c r="AE75" s="741"/>
      <c r="AF75" s="741"/>
      <c r="AG75" s="741"/>
      <c r="AH75" s="741"/>
      <c r="AI75" s="741"/>
      <c r="AJ75" s="741"/>
      <c r="AK75" s="741"/>
      <c r="AL75" s="741"/>
      <c r="AM75" s="741"/>
    </row>
    <row r="76" spans="1:39" ht="12.75" customHeight="1">
      <c r="A76" s="741"/>
      <c r="B76" s="741"/>
      <c r="C76" s="741"/>
      <c r="D76" s="741"/>
      <c r="E76" s="741"/>
      <c r="F76" s="741"/>
      <c r="G76" s="741"/>
      <c r="H76" s="741"/>
      <c r="I76" s="741"/>
      <c r="J76" s="741"/>
      <c r="K76" s="741"/>
      <c r="L76" s="741"/>
      <c r="M76" s="741"/>
      <c r="N76" s="741"/>
      <c r="O76" s="741"/>
      <c r="P76" s="741"/>
      <c r="Q76" s="741"/>
      <c r="R76" s="741"/>
      <c r="S76" s="741"/>
      <c r="T76" s="741"/>
      <c r="U76" s="741"/>
      <c r="V76" s="741"/>
      <c r="W76" s="741"/>
      <c r="X76" s="741"/>
      <c r="Y76" s="741"/>
      <c r="Z76" s="741"/>
      <c r="AA76" s="741"/>
      <c r="AB76" s="741"/>
      <c r="AC76" s="741"/>
      <c r="AD76" s="741"/>
      <c r="AE76" s="741"/>
      <c r="AF76" s="741"/>
      <c r="AG76" s="741"/>
      <c r="AH76" s="741"/>
      <c r="AI76" s="741"/>
      <c r="AJ76" s="741"/>
      <c r="AK76" s="741"/>
      <c r="AL76" s="741"/>
      <c r="AM76" s="741"/>
    </row>
    <row r="77" spans="1:39" ht="12.75" customHeight="1">
      <c r="A77" s="741"/>
      <c r="B77" s="741"/>
      <c r="C77" s="741"/>
      <c r="D77" s="741"/>
      <c r="E77" s="741"/>
      <c r="F77" s="741"/>
      <c r="G77" s="741"/>
      <c r="H77" s="741"/>
      <c r="I77" s="741"/>
      <c r="J77" s="741"/>
      <c r="K77" s="741"/>
      <c r="L77" s="741"/>
      <c r="M77" s="741"/>
      <c r="N77" s="741"/>
      <c r="O77" s="741"/>
      <c r="P77" s="741"/>
      <c r="Q77" s="741"/>
      <c r="R77" s="741"/>
      <c r="S77" s="741"/>
      <c r="T77" s="741"/>
      <c r="U77" s="741"/>
      <c r="V77" s="741"/>
      <c r="W77" s="741"/>
      <c r="X77" s="741"/>
      <c r="Y77" s="741"/>
      <c r="Z77" s="741"/>
      <c r="AA77" s="741"/>
      <c r="AB77" s="741"/>
      <c r="AC77" s="741"/>
      <c r="AD77" s="741"/>
      <c r="AE77" s="741"/>
      <c r="AF77" s="741"/>
      <c r="AG77" s="741"/>
      <c r="AH77" s="741"/>
      <c r="AI77" s="741"/>
      <c r="AJ77" s="741"/>
      <c r="AK77" s="741"/>
      <c r="AL77" s="741"/>
      <c r="AM77" s="741"/>
    </row>
    <row r="78" spans="1:39" ht="12.75" customHeight="1">
      <c r="A78" s="741"/>
      <c r="B78" s="741"/>
      <c r="C78" s="741"/>
      <c r="D78" s="741"/>
      <c r="E78" s="741"/>
      <c r="F78" s="741"/>
      <c r="G78" s="741"/>
      <c r="H78" s="741"/>
      <c r="I78" s="741"/>
      <c r="J78" s="741"/>
      <c r="K78" s="741"/>
      <c r="L78" s="741"/>
      <c r="M78" s="741"/>
      <c r="N78" s="741"/>
      <c r="O78" s="741"/>
      <c r="P78" s="741"/>
      <c r="Q78" s="741"/>
      <c r="R78" s="741"/>
      <c r="S78" s="741"/>
      <c r="T78" s="741"/>
      <c r="U78" s="741"/>
      <c r="V78" s="741"/>
      <c r="W78" s="741"/>
      <c r="X78" s="741"/>
      <c r="Y78" s="741"/>
      <c r="Z78" s="741"/>
      <c r="AA78" s="741"/>
      <c r="AB78" s="741"/>
      <c r="AC78" s="741"/>
      <c r="AD78" s="741"/>
      <c r="AE78" s="741"/>
      <c r="AF78" s="741"/>
      <c r="AG78" s="741"/>
      <c r="AH78" s="741"/>
      <c r="AI78" s="741"/>
      <c r="AJ78" s="741"/>
      <c r="AK78" s="741"/>
      <c r="AL78" s="741"/>
      <c r="AM78" s="741"/>
    </row>
    <row r="79" spans="1:39" ht="12.75" customHeight="1">
      <c r="A79" s="741"/>
      <c r="B79" s="741"/>
      <c r="C79" s="741"/>
      <c r="D79" s="741"/>
      <c r="E79" s="741"/>
      <c r="F79" s="741"/>
      <c r="G79" s="741"/>
      <c r="H79" s="741"/>
      <c r="I79" s="741"/>
      <c r="J79" s="741"/>
      <c r="K79" s="741"/>
      <c r="L79" s="741"/>
      <c r="M79" s="741"/>
      <c r="N79" s="741"/>
      <c r="O79" s="741"/>
      <c r="P79" s="741"/>
      <c r="Q79" s="741"/>
      <c r="R79" s="741"/>
      <c r="S79" s="741"/>
      <c r="T79" s="741"/>
      <c r="U79" s="741"/>
      <c r="V79" s="741"/>
      <c r="W79" s="741"/>
      <c r="X79" s="741"/>
      <c r="Y79" s="741"/>
      <c r="Z79" s="741"/>
      <c r="AA79" s="741"/>
      <c r="AB79" s="741"/>
      <c r="AC79" s="741"/>
      <c r="AD79" s="741"/>
      <c r="AE79" s="741"/>
      <c r="AF79" s="741"/>
      <c r="AG79" s="741"/>
      <c r="AH79" s="741"/>
      <c r="AI79" s="741"/>
      <c r="AJ79" s="741"/>
      <c r="AK79" s="741"/>
      <c r="AL79" s="741"/>
      <c r="AM79" s="741"/>
    </row>
    <row r="80" spans="1:39" ht="12.75" customHeight="1">
      <c r="A80" s="741"/>
      <c r="B80" s="741"/>
      <c r="C80" s="741"/>
      <c r="D80" s="741"/>
      <c r="E80" s="741"/>
      <c r="F80" s="741"/>
      <c r="G80" s="741"/>
      <c r="H80" s="741"/>
      <c r="I80" s="741"/>
      <c r="J80" s="741"/>
      <c r="K80" s="741"/>
      <c r="L80" s="741"/>
      <c r="M80" s="741"/>
      <c r="N80" s="741"/>
      <c r="O80" s="741"/>
      <c r="P80" s="741"/>
      <c r="Q80" s="741"/>
      <c r="R80" s="741"/>
      <c r="S80" s="741"/>
      <c r="T80" s="741"/>
      <c r="U80" s="741"/>
      <c r="V80" s="741"/>
      <c r="W80" s="741"/>
      <c r="X80" s="741"/>
      <c r="Y80" s="741"/>
      <c r="Z80" s="741"/>
      <c r="AA80" s="741"/>
      <c r="AB80" s="741"/>
      <c r="AC80" s="741"/>
      <c r="AD80" s="741"/>
      <c r="AE80" s="741"/>
      <c r="AF80" s="741"/>
      <c r="AG80" s="741"/>
      <c r="AH80" s="741"/>
      <c r="AI80" s="741"/>
      <c r="AJ80" s="741"/>
      <c r="AK80" s="741"/>
      <c r="AL80" s="741"/>
      <c r="AM80" s="741"/>
    </row>
    <row r="81" spans="1:39" ht="12.75" customHeight="1">
      <c r="A81" s="741"/>
      <c r="B81" s="741"/>
      <c r="C81" s="741"/>
      <c r="D81" s="741"/>
      <c r="E81" s="741"/>
      <c r="F81" s="741"/>
      <c r="G81" s="741"/>
      <c r="H81" s="741"/>
      <c r="I81" s="741"/>
      <c r="J81" s="741"/>
      <c r="K81" s="741"/>
      <c r="L81" s="741"/>
      <c r="M81" s="741"/>
      <c r="N81" s="741"/>
      <c r="O81" s="741"/>
      <c r="P81" s="741"/>
      <c r="Q81" s="741"/>
      <c r="R81" s="741"/>
      <c r="S81" s="741"/>
      <c r="T81" s="741"/>
      <c r="U81" s="741"/>
      <c r="V81" s="741"/>
      <c r="W81" s="741"/>
      <c r="X81" s="741"/>
      <c r="Y81" s="741"/>
      <c r="Z81" s="741"/>
      <c r="AA81" s="741"/>
      <c r="AB81" s="741"/>
      <c r="AC81" s="741"/>
      <c r="AD81" s="741"/>
      <c r="AE81" s="741"/>
      <c r="AF81" s="741"/>
      <c r="AG81" s="741"/>
      <c r="AH81" s="741"/>
      <c r="AI81" s="741"/>
      <c r="AJ81" s="741"/>
      <c r="AK81" s="741"/>
      <c r="AL81" s="741"/>
      <c r="AM81" s="741"/>
    </row>
    <row r="82" spans="1:39" ht="12.75" customHeight="1">
      <c r="A82" s="741"/>
      <c r="B82" s="741"/>
      <c r="C82" s="741"/>
      <c r="D82" s="741"/>
      <c r="E82" s="741"/>
      <c r="F82" s="741"/>
      <c r="G82" s="741"/>
      <c r="H82" s="741"/>
      <c r="I82" s="741"/>
      <c r="J82" s="741"/>
      <c r="K82" s="741"/>
      <c r="L82" s="741"/>
      <c r="M82" s="741"/>
      <c r="N82" s="741"/>
      <c r="O82" s="741"/>
      <c r="P82" s="741"/>
      <c r="Q82" s="741"/>
      <c r="R82" s="741"/>
      <c r="S82" s="741"/>
      <c r="T82" s="741"/>
      <c r="U82" s="741"/>
      <c r="V82" s="741"/>
      <c r="W82" s="741"/>
      <c r="X82" s="741"/>
      <c r="Y82" s="741"/>
      <c r="Z82" s="741"/>
      <c r="AA82" s="741"/>
      <c r="AB82" s="741"/>
      <c r="AC82" s="741"/>
      <c r="AD82" s="741"/>
      <c r="AE82" s="741"/>
      <c r="AF82" s="741"/>
      <c r="AG82" s="741"/>
      <c r="AH82" s="741"/>
      <c r="AI82" s="741"/>
      <c r="AJ82" s="741"/>
      <c r="AK82" s="741"/>
      <c r="AL82" s="741"/>
      <c r="AM82" s="741"/>
    </row>
    <row r="83" spans="1:39" ht="12.75" customHeight="1">
      <c r="A83" s="741"/>
      <c r="B83" s="741"/>
      <c r="C83" s="741"/>
      <c r="D83" s="741"/>
      <c r="E83" s="741"/>
      <c r="F83" s="741"/>
      <c r="G83" s="741"/>
      <c r="H83" s="741"/>
      <c r="I83" s="741"/>
      <c r="J83" s="741"/>
      <c r="K83" s="741"/>
      <c r="L83" s="741"/>
      <c r="M83" s="741"/>
      <c r="N83" s="741"/>
      <c r="O83" s="741"/>
      <c r="P83" s="741"/>
      <c r="Q83" s="741"/>
      <c r="R83" s="741"/>
      <c r="S83" s="741"/>
      <c r="T83" s="741"/>
      <c r="U83" s="741"/>
      <c r="V83" s="741"/>
      <c r="W83" s="741"/>
      <c r="X83" s="741"/>
      <c r="Y83" s="741"/>
      <c r="Z83" s="741"/>
      <c r="AA83" s="741"/>
      <c r="AB83" s="741"/>
      <c r="AC83" s="741"/>
      <c r="AD83" s="741"/>
      <c r="AE83" s="741"/>
      <c r="AF83" s="741"/>
      <c r="AG83" s="741"/>
      <c r="AH83" s="741"/>
      <c r="AI83" s="741"/>
      <c r="AJ83" s="741"/>
      <c r="AK83" s="741"/>
      <c r="AL83" s="741"/>
      <c r="AM83" s="741"/>
    </row>
    <row r="84" spans="1:39" ht="12.75" customHeight="1">
      <c r="A84" s="741"/>
      <c r="B84" s="741"/>
      <c r="C84" s="741"/>
      <c r="D84" s="741"/>
      <c r="E84" s="741"/>
      <c r="F84" s="741"/>
      <c r="G84" s="741"/>
      <c r="H84" s="741"/>
      <c r="I84" s="741"/>
      <c r="J84" s="741"/>
      <c r="K84" s="741"/>
      <c r="L84" s="741"/>
      <c r="M84" s="741"/>
      <c r="N84" s="741"/>
      <c r="O84" s="741"/>
      <c r="P84" s="741"/>
      <c r="Q84" s="741"/>
      <c r="R84" s="741"/>
      <c r="S84" s="741"/>
      <c r="T84" s="741"/>
      <c r="U84" s="741"/>
      <c r="V84" s="741"/>
      <c r="W84" s="741"/>
      <c r="X84" s="741"/>
      <c r="Y84" s="741"/>
      <c r="Z84" s="741"/>
      <c r="AA84" s="741"/>
      <c r="AB84" s="741"/>
      <c r="AC84" s="741"/>
      <c r="AD84" s="741"/>
      <c r="AE84" s="741"/>
      <c r="AF84" s="741"/>
      <c r="AG84" s="741"/>
      <c r="AH84" s="741"/>
      <c r="AI84" s="741"/>
      <c r="AJ84" s="741"/>
      <c r="AK84" s="741"/>
      <c r="AL84" s="741"/>
      <c r="AM84" s="741"/>
    </row>
    <row r="85" spans="1:39" ht="12.75" customHeight="1">
      <c r="A85" s="741"/>
      <c r="B85" s="741"/>
      <c r="C85" s="741"/>
      <c r="D85" s="741"/>
      <c r="E85" s="741"/>
      <c r="F85" s="741"/>
      <c r="G85" s="741"/>
      <c r="H85" s="741"/>
      <c r="I85" s="741"/>
      <c r="J85" s="741"/>
      <c r="K85" s="741"/>
      <c r="L85" s="741"/>
      <c r="M85" s="741"/>
      <c r="N85" s="741"/>
      <c r="O85" s="741"/>
      <c r="P85" s="741"/>
      <c r="Q85" s="741"/>
      <c r="R85" s="741"/>
      <c r="S85" s="741"/>
      <c r="T85" s="741"/>
      <c r="U85" s="741"/>
      <c r="V85" s="741"/>
      <c r="W85" s="741"/>
      <c r="X85" s="741"/>
      <c r="Y85" s="741"/>
      <c r="Z85" s="741"/>
      <c r="AA85" s="741"/>
      <c r="AB85" s="741"/>
      <c r="AC85" s="741"/>
      <c r="AD85" s="741"/>
      <c r="AE85" s="741"/>
      <c r="AF85" s="741"/>
      <c r="AG85" s="741"/>
      <c r="AH85" s="741"/>
      <c r="AI85" s="741"/>
      <c r="AJ85" s="741"/>
      <c r="AK85" s="741"/>
      <c r="AL85" s="741"/>
      <c r="AM85" s="741"/>
    </row>
    <row r="86" spans="1:39" ht="12.75" customHeight="1">
      <c r="A86" s="741"/>
      <c r="B86" s="741"/>
      <c r="C86" s="741"/>
      <c r="D86" s="741"/>
      <c r="E86" s="741"/>
      <c r="F86" s="741"/>
      <c r="G86" s="741"/>
      <c r="H86" s="741"/>
      <c r="I86" s="741"/>
      <c r="J86" s="741"/>
      <c r="K86" s="741"/>
      <c r="L86" s="741"/>
      <c r="M86" s="741"/>
      <c r="N86" s="741"/>
      <c r="O86" s="741"/>
      <c r="P86" s="741"/>
      <c r="Q86" s="741"/>
      <c r="R86" s="741"/>
      <c r="S86" s="741"/>
      <c r="T86" s="741"/>
      <c r="U86" s="741"/>
      <c r="V86" s="741"/>
      <c r="W86" s="741"/>
      <c r="X86" s="741"/>
      <c r="Y86" s="741"/>
      <c r="Z86" s="741"/>
      <c r="AA86" s="741"/>
      <c r="AB86" s="741"/>
      <c r="AC86" s="741"/>
      <c r="AD86" s="741"/>
      <c r="AE86" s="741"/>
      <c r="AF86" s="741"/>
      <c r="AG86" s="741"/>
      <c r="AH86" s="741"/>
      <c r="AI86" s="741"/>
      <c r="AJ86" s="741"/>
      <c r="AK86" s="741"/>
      <c r="AL86" s="741"/>
      <c r="AM86" s="741"/>
    </row>
    <row r="87" spans="1:39" ht="12.75" customHeight="1">
      <c r="A87" s="741"/>
      <c r="B87" s="741"/>
      <c r="C87" s="741"/>
      <c r="D87" s="741"/>
      <c r="E87" s="741"/>
      <c r="F87" s="741"/>
      <c r="G87" s="741"/>
      <c r="H87" s="741"/>
      <c r="I87" s="741"/>
      <c r="J87" s="741"/>
      <c r="K87" s="741"/>
      <c r="L87" s="741"/>
      <c r="M87" s="741"/>
      <c r="N87" s="741"/>
      <c r="O87" s="741"/>
      <c r="P87" s="741"/>
      <c r="Q87" s="741"/>
      <c r="R87" s="741"/>
      <c r="S87" s="741"/>
      <c r="T87" s="741"/>
      <c r="U87" s="741"/>
      <c r="V87" s="741"/>
      <c r="W87" s="741"/>
      <c r="X87" s="741"/>
      <c r="Y87" s="741"/>
      <c r="Z87" s="741"/>
      <c r="AA87" s="741"/>
      <c r="AB87" s="741"/>
      <c r="AC87" s="741"/>
      <c r="AD87" s="741"/>
      <c r="AE87" s="741"/>
      <c r="AF87" s="741"/>
      <c r="AG87" s="741"/>
      <c r="AH87" s="741"/>
      <c r="AI87" s="741"/>
      <c r="AJ87" s="741"/>
      <c r="AK87" s="741"/>
      <c r="AL87" s="741"/>
      <c r="AM87" s="741"/>
    </row>
    <row r="88" spans="1:39" ht="12.75" customHeight="1">
      <c r="A88" s="741"/>
      <c r="B88" s="741"/>
      <c r="C88" s="741"/>
      <c r="D88" s="741"/>
      <c r="E88" s="741"/>
      <c r="F88" s="741"/>
      <c r="G88" s="741"/>
      <c r="H88" s="741"/>
      <c r="I88" s="741"/>
      <c r="J88" s="741"/>
      <c r="K88" s="741"/>
      <c r="L88" s="741"/>
      <c r="M88" s="741"/>
      <c r="N88" s="741"/>
      <c r="O88" s="741"/>
      <c r="P88" s="741"/>
      <c r="Q88" s="741"/>
      <c r="R88" s="741"/>
      <c r="S88" s="741"/>
      <c r="T88" s="741"/>
      <c r="U88" s="741"/>
      <c r="V88" s="741"/>
      <c r="W88" s="741"/>
      <c r="X88" s="741"/>
      <c r="Y88" s="741"/>
      <c r="Z88" s="741"/>
      <c r="AA88" s="741"/>
      <c r="AB88" s="741"/>
      <c r="AC88" s="741"/>
      <c r="AD88" s="741"/>
      <c r="AE88" s="741"/>
      <c r="AF88" s="741"/>
      <c r="AG88" s="741"/>
      <c r="AH88" s="741"/>
      <c r="AI88" s="741"/>
      <c r="AJ88" s="741"/>
      <c r="AK88" s="741"/>
      <c r="AL88" s="741"/>
      <c r="AM88" s="741"/>
    </row>
    <row r="89" spans="1:39" ht="12.75" customHeight="1">
      <c r="A89" s="741"/>
      <c r="B89" s="741"/>
      <c r="C89" s="741"/>
      <c r="D89" s="741"/>
      <c r="E89" s="741"/>
      <c r="F89" s="741"/>
      <c r="G89" s="741"/>
      <c r="H89" s="741"/>
      <c r="I89" s="741"/>
      <c r="J89" s="741"/>
      <c r="K89" s="741"/>
      <c r="L89" s="741"/>
      <c r="M89" s="741"/>
      <c r="N89" s="741"/>
      <c r="O89" s="741"/>
      <c r="P89" s="741"/>
      <c r="Q89" s="741"/>
      <c r="R89" s="741"/>
      <c r="S89" s="741"/>
      <c r="T89" s="741"/>
      <c r="U89" s="741"/>
      <c r="V89" s="741"/>
      <c r="W89" s="741"/>
      <c r="X89" s="741"/>
      <c r="Y89" s="741"/>
      <c r="Z89" s="741"/>
      <c r="AA89" s="741"/>
      <c r="AB89" s="741"/>
      <c r="AC89" s="741"/>
      <c r="AD89" s="741"/>
      <c r="AE89" s="741"/>
      <c r="AF89" s="741"/>
      <c r="AG89" s="741"/>
      <c r="AH89" s="741"/>
      <c r="AI89" s="741"/>
      <c r="AJ89" s="741"/>
      <c r="AK89" s="741"/>
      <c r="AL89" s="741"/>
      <c r="AM89" s="741"/>
    </row>
    <row r="90" spans="1:39" ht="12.75" customHeight="1">
      <c r="A90" s="741"/>
      <c r="B90" s="741"/>
      <c r="C90" s="741"/>
      <c r="D90" s="741"/>
      <c r="E90" s="741"/>
      <c r="F90" s="741"/>
      <c r="G90" s="741"/>
      <c r="H90" s="741"/>
      <c r="I90" s="741"/>
      <c r="J90" s="741"/>
      <c r="K90" s="741"/>
      <c r="L90" s="741"/>
      <c r="M90" s="741"/>
      <c r="N90" s="741"/>
      <c r="O90" s="741"/>
      <c r="P90" s="741"/>
      <c r="Q90" s="741"/>
      <c r="R90" s="741"/>
      <c r="S90" s="741"/>
      <c r="T90" s="741"/>
      <c r="U90" s="741"/>
      <c r="V90" s="741"/>
      <c r="W90" s="741"/>
      <c r="X90" s="741"/>
      <c r="Y90" s="741"/>
      <c r="Z90" s="741"/>
      <c r="AA90" s="741"/>
      <c r="AB90" s="741"/>
      <c r="AC90" s="741"/>
      <c r="AD90" s="741"/>
      <c r="AE90" s="741"/>
      <c r="AF90" s="741"/>
      <c r="AG90" s="741"/>
      <c r="AH90" s="741"/>
      <c r="AI90" s="741"/>
      <c r="AJ90" s="741"/>
      <c r="AK90" s="741"/>
      <c r="AL90" s="741"/>
      <c r="AM90" s="741"/>
    </row>
    <row r="91" spans="1:39" ht="12.75" customHeight="1">
      <c r="A91" s="741"/>
      <c r="B91" s="741"/>
      <c r="C91" s="741"/>
      <c r="D91" s="741"/>
      <c r="E91" s="741"/>
      <c r="F91" s="741"/>
      <c r="G91" s="741"/>
      <c r="H91" s="741"/>
      <c r="I91" s="741"/>
      <c r="J91" s="741"/>
      <c r="K91" s="741"/>
      <c r="L91" s="741"/>
      <c r="M91" s="741"/>
      <c r="N91" s="741"/>
      <c r="O91" s="741"/>
      <c r="P91" s="741"/>
      <c r="Q91" s="741"/>
      <c r="R91" s="741"/>
      <c r="S91" s="741"/>
      <c r="T91" s="741"/>
      <c r="U91" s="741"/>
      <c r="V91" s="741"/>
      <c r="W91" s="741"/>
      <c r="X91" s="741"/>
      <c r="Y91" s="741"/>
      <c r="Z91" s="741"/>
      <c r="AA91" s="741"/>
      <c r="AB91" s="741"/>
      <c r="AC91" s="741"/>
      <c r="AD91" s="741"/>
      <c r="AE91" s="741"/>
      <c r="AF91" s="741"/>
      <c r="AG91" s="741"/>
      <c r="AH91" s="741"/>
      <c r="AI91" s="741"/>
      <c r="AJ91" s="741"/>
      <c r="AK91" s="741"/>
      <c r="AL91" s="741"/>
      <c r="AM91" s="741"/>
    </row>
    <row r="92" spans="1:39" ht="12.75" customHeight="1">
      <c r="A92" s="741"/>
      <c r="B92" s="741"/>
      <c r="C92" s="741"/>
      <c r="D92" s="741"/>
      <c r="E92" s="741"/>
      <c r="F92" s="741"/>
      <c r="G92" s="741"/>
      <c r="H92" s="741"/>
      <c r="I92" s="741"/>
      <c r="J92" s="741"/>
      <c r="K92" s="741"/>
      <c r="L92" s="741"/>
      <c r="M92" s="741"/>
      <c r="N92" s="741"/>
      <c r="O92" s="741"/>
      <c r="P92" s="741"/>
      <c r="Q92" s="741"/>
      <c r="R92" s="741"/>
      <c r="S92" s="741"/>
      <c r="T92" s="741"/>
      <c r="U92" s="741"/>
      <c r="V92" s="741"/>
      <c r="W92" s="741"/>
      <c r="X92" s="741"/>
      <c r="Y92" s="741"/>
      <c r="Z92" s="741"/>
      <c r="AA92" s="741"/>
      <c r="AB92" s="741"/>
      <c r="AC92" s="741"/>
      <c r="AD92" s="741"/>
      <c r="AE92" s="741"/>
      <c r="AF92" s="741"/>
      <c r="AG92" s="741"/>
      <c r="AH92" s="741"/>
      <c r="AI92" s="741"/>
      <c r="AJ92" s="741"/>
      <c r="AK92" s="741"/>
      <c r="AL92" s="741"/>
      <c r="AM92" s="741"/>
    </row>
    <row r="93" spans="1:39" ht="12.75" customHeight="1">
      <c r="A93" s="741"/>
      <c r="B93" s="741"/>
      <c r="C93" s="741"/>
      <c r="D93" s="741"/>
      <c r="E93" s="741"/>
      <c r="F93" s="741"/>
      <c r="G93" s="741"/>
      <c r="H93" s="741"/>
      <c r="I93" s="741"/>
      <c r="J93" s="741"/>
      <c r="K93" s="741"/>
      <c r="L93" s="741"/>
      <c r="M93" s="741"/>
      <c r="N93" s="741"/>
      <c r="O93" s="741"/>
      <c r="P93" s="741"/>
      <c r="Q93" s="741"/>
      <c r="R93" s="741"/>
      <c r="S93" s="741"/>
      <c r="T93" s="741"/>
      <c r="U93" s="741"/>
      <c r="V93" s="741"/>
      <c r="W93" s="741"/>
      <c r="X93" s="741"/>
      <c r="Y93" s="741"/>
      <c r="Z93" s="741"/>
      <c r="AA93" s="741"/>
      <c r="AB93" s="741"/>
      <c r="AC93" s="741"/>
      <c r="AD93" s="741"/>
      <c r="AE93" s="741"/>
      <c r="AF93" s="741"/>
      <c r="AG93" s="741"/>
      <c r="AH93" s="741"/>
      <c r="AI93" s="741"/>
      <c r="AJ93" s="741"/>
      <c r="AK93" s="741"/>
      <c r="AL93" s="741"/>
      <c r="AM93" s="741"/>
    </row>
    <row r="94" spans="1:39" ht="12.75" customHeight="1">
      <c r="A94" s="741"/>
      <c r="B94" s="741"/>
      <c r="C94" s="741"/>
      <c r="D94" s="741"/>
      <c r="E94" s="741"/>
      <c r="F94" s="741"/>
      <c r="G94" s="741"/>
      <c r="H94" s="741"/>
      <c r="I94" s="741"/>
      <c r="J94" s="741"/>
      <c r="K94" s="741"/>
      <c r="L94" s="741"/>
      <c r="M94" s="741"/>
      <c r="N94" s="741"/>
      <c r="O94" s="741"/>
      <c r="P94" s="741"/>
      <c r="Q94" s="741"/>
      <c r="R94" s="741"/>
      <c r="S94" s="741"/>
      <c r="T94" s="741"/>
      <c r="U94" s="741"/>
      <c r="V94" s="741"/>
      <c r="W94" s="741"/>
      <c r="X94" s="741"/>
      <c r="Y94" s="741"/>
      <c r="Z94" s="741"/>
      <c r="AA94" s="741"/>
      <c r="AB94" s="741"/>
      <c r="AC94" s="741"/>
      <c r="AD94" s="741"/>
      <c r="AE94" s="741"/>
      <c r="AF94" s="741"/>
      <c r="AG94" s="741"/>
      <c r="AH94" s="741"/>
      <c r="AI94" s="741"/>
      <c r="AJ94" s="741"/>
      <c r="AK94" s="741"/>
      <c r="AL94" s="741"/>
      <c r="AM94" s="741"/>
    </row>
    <row r="95" spans="1:39" ht="12.75" customHeight="1">
      <c r="A95" s="741"/>
      <c r="B95" s="741"/>
      <c r="C95" s="741"/>
      <c r="D95" s="741"/>
      <c r="E95" s="741"/>
      <c r="F95" s="741"/>
      <c r="G95" s="741"/>
      <c r="H95" s="741"/>
      <c r="I95" s="741"/>
      <c r="J95" s="741"/>
      <c r="K95" s="741"/>
      <c r="L95" s="741"/>
      <c r="M95" s="741"/>
      <c r="N95" s="741"/>
      <c r="O95" s="741"/>
      <c r="P95" s="741"/>
      <c r="Q95" s="741"/>
      <c r="R95" s="741"/>
      <c r="S95" s="741"/>
      <c r="T95" s="741"/>
      <c r="U95" s="741"/>
      <c r="V95" s="741"/>
      <c r="W95" s="741"/>
      <c r="X95" s="741"/>
      <c r="Y95" s="741"/>
      <c r="Z95" s="741"/>
      <c r="AA95" s="741"/>
      <c r="AB95" s="741"/>
      <c r="AC95" s="741"/>
      <c r="AD95" s="741"/>
      <c r="AE95" s="741"/>
      <c r="AF95" s="741"/>
      <c r="AG95" s="741"/>
      <c r="AH95" s="741"/>
      <c r="AI95" s="741"/>
      <c r="AJ95" s="741"/>
      <c r="AK95" s="741"/>
      <c r="AL95" s="741"/>
      <c r="AM95" s="741"/>
    </row>
    <row r="96" spans="1:39" ht="12.75" customHeight="1">
      <c r="A96" s="741"/>
      <c r="B96" s="741"/>
      <c r="C96" s="741"/>
      <c r="D96" s="741"/>
      <c r="E96" s="741"/>
      <c r="F96" s="741"/>
      <c r="G96" s="741"/>
      <c r="H96" s="741"/>
      <c r="I96" s="741"/>
      <c r="J96" s="741"/>
      <c r="K96" s="741"/>
      <c r="L96" s="741"/>
      <c r="M96" s="741"/>
      <c r="N96" s="741"/>
      <c r="O96" s="741"/>
      <c r="P96" s="741"/>
      <c r="Q96" s="741"/>
      <c r="R96" s="741"/>
      <c r="S96" s="741"/>
      <c r="T96" s="741"/>
      <c r="U96" s="741"/>
      <c r="V96" s="741"/>
      <c r="W96" s="741"/>
      <c r="X96" s="741"/>
      <c r="Y96" s="741"/>
      <c r="Z96" s="741"/>
      <c r="AA96" s="741"/>
      <c r="AB96" s="741"/>
      <c r="AC96" s="741"/>
      <c r="AD96" s="741"/>
      <c r="AE96" s="741"/>
      <c r="AF96" s="741"/>
      <c r="AG96" s="741"/>
      <c r="AH96" s="741"/>
      <c r="AI96" s="741"/>
      <c r="AJ96" s="741"/>
      <c r="AK96" s="741"/>
      <c r="AL96" s="741"/>
      <c r="AM96" s="741"/>
    </row>
    <row r="97" spans="1:39" ht="12.75" customHeight="1">
      <c r="A97" s="741"/>
      <c r="B97" s="741"/>
      <c r="C97" s="741"/>
      <c r="D97" s="741"/>
      <c r="E97" s="741"/>
      <c r="F97" s="741"/>
      <c r="G97" s="741"/>
      <c r="H97" s="741"/>
      <c r="I97" s="741"/>
      <c r="J97" s="741"/>
      <c r="K97" s="741"/>
      <c r="L97" s="741"/>
      <c r="M97" s="741"/>
      <c r="N97" s="741"/>
      <c r="O97" s="741"/>
      <c r="P97" s="741"/>
      <c r="Q97" s="741"/>
      <c r="R97" s="741"/>
      <c r="S97" s="741"/>
      <c r="T97" s="741"/>
      <c r="U97" s="741"/>
      <c r="V97" s="741"/>
      <c r="W97" s="741"/>
      <c r="X97" s="741"/>
      <c r="Y97" s="741"/>
      <c r="Z97" s="741"/>
      <c r="AA97" s="741"/>
      <c r="AB97" s="741"/>
      <c r="AC97" s="741"/>
      <c r="AD97" s="741"/>
      <c r="AE97" s="741"/>
      <c r="AF97" s="741"/>
      <c r="AG97" s="741"/>
      <c r="AH97" s="741"/>
      <c r="AI97" s="741"/>
      <c r="AJ97" s="741"/>
      <c r="AK97" s="741"/>
      <c r="AL97" s="741"/>
      <c r="AM97" s="741"/>
    </row>
    <row r="98" spans="1:39" ht="12.75" customHeight="1">
      <c r="A98" s="741"/>
      <c r="B98" s="741"/>
      <c r="C98" s="741"/>
      <c r="D98" s="741"/>
      <c r="E98" s="741"/>
      <c r="F98" s="741"/>
      <c r="G98" s="741"/>
      <c r="H98" s="741"/>
      <c r="I98" s="741"/>
      <c r="J98" s="741"/>
      <c r="K98" s="741"/>
      <c r="L98" s="741"/>
      <c r="M98" s="741"/>
      <c r="N98" s="741"/>
      <c r="O98" s="741"/>
      <c r="P98" s="741"/>
      <c r="Q98" s="741"/>
      <c r="R98" s="741"/>
      <c r="S98" s="741"/>
      <c r="T98" s="741"/>
      <c r="U98" s="741"/>
      <c r="V98" s="741"/>
      <c r="W98" s="741"/>
      <c r="X98" s="741"/>
      <c r="Y98" s="741"/>
      <c r="Z98" s="741"/>
      <c r="AA98" s="741"/>
      <c r="AB98" s="741"/>
      <c r="AC98" s="741"/>
      <c r="AD98" s="741"/>
      <c r="AE98" s="741"/>
      <c r="AF98" s="741"/>
      <c r="AG98" s="741"/>
      <c r="AH98" s="741"/>
      <c r="AI98" s="741"/>
      <c r="AJ98" s="741"/>
      <c r="AK98" s="741"/>
      <c r="AL98" s="741"/>
      <c r="AM98" s="741"/>
    </row>
    <row r="99" spans="1:39" ht="12.75" customHeight="1">
      <c r="A99" s="741"/>
      <c r="B99" s="741"/>
      <c r="C99" s="741"/>
      <c r="D99" s="741"/>
      <c r="E99" s="741"/>
      <c r="F99" s="741"/>
      <c r="G99" s="741"/>
      <c r="H99" s="741"/>
      <c r="I99" s="741"/>
      <c r="J99" s="741"/>
      <c r="K99" s="741"/>
      <c r="L99" s="741"/>
      <c r="M99" s="741"/>
      <c r="N99" s="741"/>
      <c r="O99" s="741"/>
      <c r="P99" s="741"/>
      <c r="Q99" s="741"/>
      <c r="R99" s="741"/>
      <c r="S99" s="741"/>
      <c r="T99" s="741"/>
      <c r="U99" s="741"/>
      <c r="V99" s="741"/>
      <c r="W99" s="741"/>
      <c r="X99" s="741"/>
      <c r="Y99" s="741"/>
      <c r="Z99" s="741"/>
      <c r="AA99" s="741"/>
      <c r="AB99" s="741"/>
      <c r="AC99" s="741"/>
      <c r="AD99" s="741"/>
      <c r="AE99" s="741"/>
      <c r="AF99" s="741"/>
      <c r="AG99" s="741"/>
      <c r="AH99" s="741"/>
      <c r="AI99" s="741"/>
      <c r="AJ99" s="741"/>
      <c r="AK99" s="741"/>
      <c r="AL99" s="741"/>
      <c r="AM99" s="741"/>
    </row>
    <row r="100" spans="1:39" ht="12.75" customHeight="1">
      <c r="A100" s="741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1"/>
      <c r="P100" s="741"/>
      <c r="Q100" s="741"/>
      <c r="R100" s="741"/>
      <c r="S100" s="741"/>
      <c r="T100" s="741"/>
      <c r="U100" s="741"/>
      <c r="V100" s="741"/>
      <c r="W100" s="741"/>
      <c r="X100" s="741"/>
      <c r="Y100" s="741"/>
      <c r="Z100" s="741"/>
      <c r="AA100" s="741"/>
      <c r="AB100" s="741"/>
      <c r="AC100" s="741"/>
      <c r="AD100" s="741"/>
      <c r="AE100" s="741"/>
      <c r="AF100" s="741"/>
      <c r="AG100" s="741"/>
      <c r="AH100" s="741"/>
      <c r="AI100" s="741"/>
      <c r="AJ100" s="741"/>
      <c r="AK100" s="741"/>
      <c r="AL100" s="741"/>
      <c r="AM100" s="741"/>
    </row>
    <row r="101" spans="1:39" ht="12.75" customHeight="1">
      <c r="A101" s="741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1"/>
      <c r="P101" s="741"/>
      <c r="Q101" s="741"/>
      <c r="R101" s="741"/>
      <c r="S101" s="741"/>
      <c r="T101" s="741"/>
      <c r="U101" s="741"/>
      <c r="V101" s="741"/>
      <c r="W101" s="741"/>
      <c r="X101" s="741"/>
      <c r="Y101" s="741"/>
      <c r="Z101" s="741"/>
      <c r="AA101" s="741"/>
      <c r="AB101" s="741"/>
      <c r="AC101" s="741"/>
      <c r="AD101" s="741"/>
      <c r="AE101" s="741"/>
      <c r="AF101" s="741"/>
      <c r="AG101" s="741"/>
      <c r="AH101" s="741"/>
      <c r="AI101" s="741"/>
      <c r="AJ101" s="741"/>
      <c r="AK101" s="741"/>
      <c r="AL101" s="741"/>
      <c r="AM101" s="741"/>
    </row>
    <row r="102" spans="1:39" ht="12.75" customHeight="1">
      <c r="A102" s="741"/>
      <c r="B102" s="741"/>
      <c r="C102" s="741"/>
      <c r="D102" s="741"/>
      <c r="E102" s="741"/>
      <c r="F102" s="741"/>
      <c r="G102" s="741"/>
      <c r="H102" s="741"/>
      <c r="I102" s="741"/>
      <c r="J102" s="741"/>
      <c r="K102" s="741"/>
      <c r="L102" s="741"/>
      <c r="M102" s="741"/>
      <c r="N102" s="741"/>
      <c r="O102" s="741"/>
      <c r="P102" s="741"/>
      <c r="Q102" s="741"/>
      <c r="R102" s="741"/>
      <c r="S102" s="741"/>
      <c r="T102" s="741"/>
      <c r="U102" s="741"/>
      <c r="V102" s="741"/>
      <c r="W102" s="741"/>
      <c r="X102" s="741"/>
      <c r="Y102" s="741"/>
      <c r="Z102" s="741"/>
      <c r="AA102" s="741"/>
      <c r="AB102" s="741"/>
      <c r="AC102" s="741"/>
      <c r="AD102" s="741"/>
      <c r="AE102" s="741"/>
      <c r="AF102" s="741"/>
      <c r="AG102" s="741"/>
      <c r="AH102" s="741"/>
      <c r="AI102" s="741"/>
      <c r="AJ102" s="741"/>
      <c r="AK102" s="741"/>
      <c r="AL102" s="741"/>
      <c r="AM102" s="741"/>
    </row>
    <row r="103" spans="1:39" ht="12.75" customHeight="1">
      <c r="A103" s="741"/>
      <c r="B103" s="741"/>
      <c r="C103" s="741"/>
      <c r="D103" s="741"/>
      <c r="E103" s="741"/>
      <c r="F103" s="741"/>
      <c r="G103" s="741"/>
      <c r="H103" s="741"/>
      <c r="I103" s="741"/>
      <c r="J103" s="741"/>
      <c r="K103" s="741"/>
      <c r="L103" s="741"/>
      <c r="M103" s="741"/>
      <c r="N103" s="741"/>
      <c r="O103" s="741"/>
      <c r="P103" s="741"/>
      <c r="Q103" s="741"/>
      <c r="R103" s="741"/>
      <c r="S103" s="741"/>
      <c r="T103" s="741"/>
      <c r="U103" s="741"/>
      <c r="V103" s="741"/>
      <c r="W103" s="741"/>
      <c r="X103" s="741"/>
      <c r="Y103" s="741"/>
      <c r="Z103" s="741"/>
      <c r="AA103" s="741"/>
      <c r="AB103" s="741"/>
      <c r="AC103" s="741"/>
      <c r="AD103" s="741"/>
      <c r="AE103" s="741"/>
      <c r="AF103" s="741"/>
      <c r="AG103" s="741"/>
      <c r="AH103" s="741"/>
      <c r="AI103" s="741"/>
      <c r="AJ103" s="741"/>
      <c r="AK103" s="741"/>
      <c r="AL103" s="741"/>
      <c r="AM103" s="741"/>
    </row>
    <row r="104" spans="1:39" ht="12.75" customHeight="1">
      <c r="A104" s="741"/>
      <c r="B104" s="741"/>
      <c r="C104" s="741"/>
      <c r="D104" s="741"/>
      <c r="E104" s="741"/>
      <c r="F104" s="741"/>
      <c r="G104" s="741"/>
      <c r="H104" s="741"/>
      <c r="I104" s="741"/>
      <c r="J104" s="741"/>
      <c r="K104" s="741"/>
      <c r="L104" s="741"/>
      <c r="M104" s="741"/>
      <c r="N104" s="741"/>
      <c r="O104" s="741"/>
      <c r="P104" s="741"/>
      <c r="Q104" s="741"/>
      <c r="R104" s="741"/>
      <c r="S104" s="741"/>
      <c r="T104" s="741"/>
      <c r="U104" s="741"/>
      <c r="V104" s="741"/>
      <c r="W104" s="741"/>
      <c r="X104" s="741"/>
      <c r="Y104" s="741"/>
      <c r="Z104" s="741"/>
      <c r="AA104" s="741"/>
      <c r="AB104" s="741"/>
      <c r="AC104" s="741"/>
      <c r="AD104" s="741"/>
      <c r="AE104" s="741"/>
      <c r="AF104" s="741"/>
      <c r="AG104" s="741"/>
      <c r="AH104" s="741"/>
      <c r="AI104" s="741"/>
      <c r="AJ104" s="741"/>
      <c r="AK104" s="741"/>
      <c r="AL104" s="741"/>
      <c r="AM104" s="741"/>
    </row>
    <row r="105" spans="1:39" ht="12.75" customHeight="1">
      <c r="A105" s="741"/>
      <c r="B105" s="741"/>
      <c r="C105" s="741"/>
      <c r="D105" s="741"/>
      <c r="E105" s="741"/>
      <c r="F105" s="741"/>
      <c r="G105" s="741"/>
      <c r="H105" s="741"/>
      <c r="I105" s="741"/>
      <c r="J105" s="741"/>
      <c r="K105" s="741"/>
      <c r="L105" s="741"/>
      <c r="M105" s="741"/>
      <c r="N105" s="741"/>
      <c r="O105" s="741"/>
      <c r="P105" s="741"/>
      <c r="Q105" s="741"/>
      <c r="R105" s="741"/>
      <c r="S105" s="741"/>
      <c r="T105" s="741"/>
      <c r="U105" s="741"/>
      <c r="V105" s="741"/>
      <c r="W105" s="741"/>
      <c r="X105" s="741"/>
      <c r="Y105" s="741"/>
      <c r="Z105" s="741"/>
      <c r="AA105" s="741"/>
      <c r="AB105" s="741"/>
      <c r="AC105" s="741"/>
      <c r="AD105" s="741"/>
      <c r="AE105" s="741"/>
      <c r="AF105" s="741"/>
      <c r="AG105" s="741"/>
      <c r="AH105" s="741"/>
      <c r="AI105" s="741"/>
      <c r="AJ105" s="741"/>
      <c r="AK105" s="741"/>
      <c r="AL105" s="741"/>
      <c r="AM105" s="741"/>
    </row>
    <row r="106" spans="1:39" ht="12.75" customHeight="1">
      <c r="A106" s="741"/>
      <c r="B106" s="741"/>
      <c r="C106" s="741"/>
      <c r="D106" s="741"/>
      <c r="E106" s="741"/>
      <c r="F106" s="741"/>
      <c r="G106" s="741"/>
      <c r="H106" s="741"/>
      <c r="I106" s="741"/>
      <c r="J106" s="741"/>
      <c r="K106" s="741"/>
      <c r="L106" s="741"/>
      <c r="M106" s="741"/>
      <c r="N106" s="741"/>
      <c r="O106" s="741"/>
      <c r="P106" s="741"/>
      <c r="Q106" s="741"/>
      <c r="R106" s="741"/>
      <c r="S106" s="741"/>
      <c r="T106" s="741"/>
      <c r="U106" s="741"/>
      <c r="V106" s="741"/>
      <c r="W106" s="741"/>
      <c r="X106" s="741"/>
      <c r="Y106" s="741"/>
      <c r="Z106" s="741"/>
      <c r="AA106" s="741"/>
      <c r="AB106" s="741"/>
      <c r="AC106" s="741"/>
      <c r="AD106" s="741"/>
      <c r="AE106" s="741"/>
      <c r="AF106" s="741"/>
      <c r="AG106" s="741"/>
      <c r="AH106" s="741"/>
      <c r="AI106" s="741"/>
      <c r="AJ106" s="741"/>
      <c r="AK106" s="741"/>
      <c r="AL106" s="741"/>
      <c r="AM106" s="741"/>
    </row>
    <row r="107" spans="1:39" ht="12.75" customHeight="1">
      <c r="A107" s="741"/>
      <c r="B107" s="741"/>
      <c r="C107" s="741"/>
      <c r="D107" s="741"/>
      <c r="E107" s="741"/>
      <c r="F107" s="741"/>
      <c r="G107" s="741"/>
      <c r="H107" s="741"/>
      <c r="I107" s="741"/>
      <c r="J107" s="741"/>
      <c r="K107" s="741"/>
      <c r="L107" s="741"/>
      <c r="M107" s="741"/>
      <c r="N107" s="741"/>
      <c r="O107" s="741"/>
      <c r="P107" s="741"/>
      <c r="Q107" s="741"/>
      <c r="R107" s="741"/>
      <c r="S107" s="741"/>
      <c r="T107" s="741"/>
      <c r="U107" s="741"/>
      <c r="V107" s="741"/>
      <c r="W107" s="741"/>
      <c r="X107" s="741"/>
      <c r="Y107" s="741"/>
      <c r="Z107" s="741"/>
      <c r="AA107" s="741"/>
      <c r="AB107" s="741"/>
      <c r="AC107" s="741"/>
      <c r="AD107" s="741"/>
      <c r="AE107" s="741"/>
      <c r="AF107" s="741"/>
      <c r="AG107" s="741"/>
      <c r="AH107" s="741"/>
      <c r="AI107" s="741"/>
      <c r="AJ107" s="741"/>
      <c r="AK107" s="741"/>
      <c r="AL107" s="741"/>
      <c r="AM107" s="741"/>
    </row>
    <row r="108" spans="1:39" ht="12.75" customHeight="1">
      <c r="A108" s="741"/>
      <c r="B108" s="741"/>
      <c r="C108" s="741"/>
      <c r="D108" s="741"/>
      <c r="E108" s="741"/>
      <c r="F108" s="741"/>
      <c r="G108" s="741"/>
      <c r="H108" s="741"/>
      <c r="I108" s="741"/>
      <c r="J108" s="741"/>
      <c r="K108" s="741"/>
      <c r="L108" s="741"/>
      <c r="M108" s="741"/>
      <c r="N108" s="741"/>
      <c r="O108" s="741"/>
      <c r="P108" s="741"/>
      <c r="Q108" s="741"/>
      <c r="R108" s="741"/>
      <c r="S108" s="741"/>
      <c r="T108" s="741"/>
      <c r="U108" s="741"/>
      <c r="V108" s="741"/>
      <c r="W108" s="741"/>
      <c r="X108" s="741"/>
      <c r="Y108" s="741"/>
      <c r="Z108" s="741"/>
      <c r="AA108" s="741"/>
      <c r="AB108" s="741"/>
      <c r="AC108" s="741"/>
      <c r="AD108" s="741"/>
      <c r="AE108" s="741"/>
      <c r="AF108" s="741"/>
      <c r="AG108" s="741"/>
      <c r="AH108" s="741"/>
      <c r="AI108" s="741"/>
      <c r="AJ108" s="741"/>
      <c r="AK108" s="741"/>
      <c r="AL108" s="741"/>
      <c r="AM108" s="741"/>
    </row>
    <row r="109" spans="1:39" ht="12.75" customHeight="1">
      <c r="A109" s="741"/>
      <c r="B109" s="741"/>
      <c r="C109" s="741"/>
      <c r="D109" s="741"/>
      <c r="E109" s="741"/>
      <c r="F109" s="741"/>
      <c r="G109" s="741"/>
      <c r="H109" s="741"/>
      <c r="I109" s="741"/>
      <c r="J109" s="741"/>
      <c r="K109" s="741"/>
      <c r="L109" s="741"/>
      <c r="M109" s="741"/>
      <c r="N109" s="741"/>
      <c r="O109" s="741"/>
      <c r="P109" s="741"/>
      <c r="Q109" s="741"/>
      <c r="R109" s="741"/>
      <c r="S109" s="741"/>
      <c r="T109" s="741"/>
      <c r="U109" s="741"/>
      <c r="V109" s="741"/>
      <c r="W109" s="741"/>
      <c r="X109" s="741"/>
      <c r="Y109" s="741"/>
      <c r="Z109" s="741"/>
      <c r="AA109" s="741"/>
      <c r="AB109" s="741"/>
      <c r="AC109" s="741"/>
      <c r="AD109" s="741"/>
      <c r="AE109" s="741"/>
      <c r="AF109" s="741"/>
      <c r="AG109" s="741"/>
      <c r="AH109" s="741"/>
      <c r="AI109" s="741"/>
      <c r="AJ109" s="741"/>
      <c r="AK109" s="741"/>
      <c r="AL109" s="741"/>
      <c r="AM109" s="741"/>
    </row>
    <row r="110" spans="1:39" ht="12.75" customHeight="1">
      <c r="A110" s="741"/>
      <c r="B110" s="741"/>
      <c r="C110" s="741"/>
      <c r="D110" s="741"/>
      <c r="E110" s="741"/>
      <c r="F110" s="741"/>
      <c r="G110" s="741"/>
      <c r="H110" s="741"/>
      <c r="I110" s="741"/>
      <c r="J110" s="741"/>
      <c r="K110" s="741"/>
      <c r="L110" s="741"/>
      <c r="M110" s="741"/>
      <c r="N110" s="741"/>
      <c r="O110" s="741"/>
      <c r="P110" s="741"/>
      <c r="Q110" s="741"/>
      <c r="R110" s="741"/>
      <c r="S110" s="741"/>
      <c r="T110" s="741"/>
      <c r="U110" s="741"/>
      <c r="V110" s="741"/>
      <c r="W110" s="741"/>
      <c r="X110" s="741"/>
      <c r="Y110" s="741"/>
      <c r="Z110" s="741"/>
      <c r="AA110" s="741"/>
      <c r="AB110" s="741"/>
      <c r="AC110" s="741"/>
      <c r="AD110" s="741"/>
      <c r="AE110" s="741"/>
      <c r="AF110" s="741"/>
      <c r="AG110" s="741"/>
      <c r="AH110" s="741"/>
      <c r="AI110" s="741"/>
      <c r="AJ110" s="741"/>
      <c r="AK110" s="741"/>
      <c r="AL110" s="741"/>
      <c r="AM110" s="741"/>
    </row>
    <row r="111" spans="1:39" ht="12.75" customHeight="1">
      <c r="A111" s="741"/>
      <c r="B111" s="741"/>
      <c r="C111" s="741"/>
      <c r="D111" s="741"/>
      <c r="E111" s="741"/>
      <c r="F111" s="741"/>
      <c r="G111" s="741"/>
      <c r="H111" s="741"/>
      <c r="I111" s="741"/>
      <c r="J111" s="741"/>
      <c r="K111" s="741"/>
      <c r="L111" s="741"/>
      <c r="M111" s="741"/>
      <c r="N111" s="741"/>
      <c r="O111" s="741"/>
      <c r="P111" s="741"/>
      <c r="Q111" s="741"/>
      <c r="R111" s="741"/>
      <c r="S111" s="741"/>
      <c r="T111" s="741"/>
      <c r="U111" s="741"/>
      <c r="V111" s="741"/>
      <c r="W111" s="741"/>
      <c r="X111" s="741"/>
      <c r="Y111" s="741"/>
      <c r="Z111" s="741"/>
      <c r="AA111" s="741"/>
      <c r="AB111" s="741"/>
      <c r="AC111" s="741"/>
      <c r="AD111" s="741"/>
      <c r="AE111" s="741"/>
      <c r="AF111" s="741"/>
      <c r="AG111" s="741"/>
      <c r="AH111" s="741"/>
      <c r="AI111" s="741"/>
      <c r="AJ111" s="741"/>
      <c r="AK111" s="741"/>
      <c r="AL111" s="741"/>
      <c r="AM111" s="741"/>
    </row>
    <row r="112" spans="1:39" ht="12.75" customHeight="1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1"/>
      <c r="P112" s="741"/>
      <c r="Q112" s="741"/>
      <c r="R112" s="741"/>
      <c r="S112" s="741"/>
      <c r="T112" s="741"/>
      <c r="U112" s="741"/>
      <c r="V112" s="741"/>
      <c r="W112" s="741"/>
      <c r="X112" s="741"/>
      <c r="Y112" s="741"/>
      <c r="Z112" s="741"/>
      <c r="AA112" s="741"/>
      <c r="AB112" s="741"/>
      <c r="AC112" s="741"/>
      <c r="AD112" s="741"/>
      <c r="AE112" s="741"/>
      <c r="AF112" s="741"/>
      <c r="AG112" s="741"/>
      <c r="AH112" s="741"/>
      <c r="AI112" s="741"/>
      <c r="AJ112" s="741"/>
      <c r="AK112" s="741"/>
      <c r="AL112" s="741"/>
      <c r="AM112" s="741"/>
    </row>
    <row r="113" spans="1:39" ht="12.75" customHeight="1">
      <c r="A113" s="741"/>
      <c r="B113" s="741"/>
      <c r="C113" s="741"/>
      <c r="D113" s="741"/>
      <c r="E113" s="741"/>
      <c r="F113" s="741"/>
      <c r="G113" s="741"/>
      <c r="H113" s="741"/>
      <c r="I113" s="741"/>
      <c r="J113" s="741"/>
      <c r="K113" s="741"/>
      <c r="L113" s="741"/>
      <c r="M113" s="741"/>
      <c r="N113" s="741"/>
      <c r="O113" s="741"/>
      <c r="P113" s="741"/>
      <c r="Q113" s="741"/>
      <c r="R113" s="741"/>
      <c r="S113" s="741"/>
      <c r="T113" s="741"/>
      <c r="U113" s="741"/>
      <c r="V113" s="741"/>
      <c r="W113" s="741"/>
      <c r="X113" s="741"/>
      <c r="Y113" s="741"/>
      <c r="Z113" s="741"/>
      <c r="AA113" s="741"/>
      <c r="AB113" s="741"/>
      <c r="AC113" s="741"/>
      <c r="AD113" s="741"/>
      <c r="AE113" s="741"/>
      <c r="AF113" s="741"/>
      <c r="AG113" s="741"/>
      <c r="AH113" s="741"/>
      <c r="AI113" s="741"/>
      <c r="AJ113" s="741"/>
      <c r="AK113" s="741"/>
      <c r="AL113" s="741"/>
      <c r="AM113" s="741"/>
    </row>
    <row r="114" spans="1:39" ht="12.75" customHeight="1">
      <c r="A114" s="741"/>
      <c r="B114" s="741"/>
      <c r="C114" s="741"/>
      <c r="D114" s="741"/>
      <c r="E114" s="741"/>
      <c r="F114" s="741"/>
      <c r="G114" s="741"/>
      <c r="H114" s="741"/>
      <c r="I114" s="741"/>
      <c r="J114" s="741"/>
      <c r="K114" s="741"/>
      <c r="L114" s="741"/>
      <c r="M114" s="741"/>
      <c r="N114" s="741"/>
      <c r="O114" s="741"/>
      <c r="P114" s="741"/>
      <c r="Q114" s="741"/>
      <c r="R114" s="741"/>
      <c r="S114" s="741"/>
      <c r="T114" s="741"/>
      <c r="U114" s="741"/>
      <c r="V114" s="741"/>
      <c r="W114" s="741"/>
      <c r="X114" s="741"/>
      <c r="Y114" s="741"/>
      <c r="Z114" s="741"/>
      <c r="AA114" s="741"/>
      <c r="AB114" s="741"/>
      <c r="AC114" s="741"/>
      <c r="AD114" s="741"/>
      <c r="AE114" s="741"/>
      <c r="AF114" s="741"/>
      <c r="AG114" s="741"/>
      <c r="AH114" s="741"/>
      <c r="AI114" s="741"/>
      <c r="AJ114" s="741"/>
      <c r="AK114" s="741"/>
      <c r="AL114" s="741"/>
      <c r="AM114" s="741"/>
    </row>
    <row r="115" spans="1:39" ht="12.75" customHeight="1">
      <c r="A115" s="741"/>
      <c r="B115" s="741"/>
      <c r="C115" s="741"/>
      <c r="D115" s="741"/>
      <c r="E115" s="741"/>
      <c r="F115" s="741"/>
      <c r="G115" s="741"/>
      <c r="H115" s="741"/>
      <c r="I115" s="741"/>
      <c r="J115" s="741"/>
      <c r="K115" s="741"/>
      <c r="L115" s="741"/>
      <c r="M115" s="741"/>
      <c r="N115" s="741"/>
      <c r="O115" s="741"/>
      <c r="P115" s="741"/>
      <c r="Q115" s="741"/>
      <c r="R115" s="741"/>
      <c r="S115" s="741"/>
      <c r="T115" s="741"/>
      <c r="U115" s="741"/>
      <c r="V115" s="741"/>
      <c r="W115" s="741"/>
      <c r="X115" s="741"/>
      <c r="Y115" s="741"/>
      <c r="Z115" s="741"/>
      <c r="AA115" s="741"/>
      <c r="AB115" s="741"/>
      <c r="AC115" s="741"/>
      <c r="AD115" s="741"/>
      <c r="AE115" s="741"/>
      <c r="AF115" s="741"/>
      <c r="AG115" s="741"/>
      <c r="AH115" s="741"/>
      <c r="AI115" s="741"/>
      <c r="AJ115" s="741"/>
      <c r="AK115" s="741"/>
      <c r="AL115" s="741"/>
      <c r="AM115" s="741"/>
    </row>
    <row r="116" spans="1:39" ht="12.75" customHeight="1">
      <c r="A116" s="741"/>
      <c r="B116" s="741"/>
      <c r="C116" s="741"/>
      <c r="D116" s="741"/>
      <c r="E116" s="741"/>
      <c r="F116" s="741"/>
      <c r="G116" s="741"/>
      <c r="H116" s="741"/>
      <c r="I116" s="741"/>
      <c r="J116" s="741"/>
      <c r="K116" s="741"/>
      <c r="L116" s="741"/>
      <c r="M116" s="741"/>
      <c r="N116" s="741"/>
      <c r="O116" s="741"/>
      <c r="P116" s="741"/>
      <c r="Q116" s="741"/>
      <c r="R116" s="741"/>
      <c r="S116" s="741"/>
      <c r="T116" s="741"/>
      <c r="U116" s="741"/>
      <c r="V116" s="741"/>
      <c r="W116" s="741"/>
      <c r="X116" s="741"/>
      <c r="Y116" s="741"/>
      <c r="Z116" s="741"/>
      <c r="AA116" s="741"/>
      <c r="AB116" s="741"/>
      <c r="AC116" s="741"/>
      <c r="AD116" s="741"/>
      <c r="AE116" s="741"/>
      <c r="AF116" s="741"/>
      <c r="AG116" s="741"/>
      <c r="AH116" s="741"/>
      <c r="AI116" s="741"/>
      <c r="AJ116" s="741"/>
      <c r="AK116" s="741"/>
      <c r="AL116" s="741"/>
      <c r="AM116" s="741"/>
    </row>
    <row r="117" spans="1:39" ht="12.75" customHeight="1">
      <c r="A117" s="741"/>
      <c r="B117" s="741"/>
      <c r="C117" s="741"/>
      <c r="D117" s="741"/>
      <c r="E117" s="741"/>
      <c r="F117" s="741"/>
      <c r="G117" s="741"/>
      <c r="H117" s="741"/>
      <c r="I117" s="741"/>
      <c r="J117" s="741"/>
      <c r="K117" s="741"/>
      <c r="L117" s="741"/>
      <c r="M117" s="741"/>
      <c r="N117" s="741"/>
      <c r="O117" s="741"/>
      <c r="P117" s="741"/>
      <c r="Q117" s="741"/>
      <c r="R117" s="741"/>
      <c r="S117" s="741"/>
      <c r="T117" s="741"/>
      <c r="U117" s="741"/>
      <c r="V117" s="741"/>
      <c r="W117" s="741"/>
      <c r="X117" s="741"/>
      <c r="Y117" s="741"/>
      <c r="Z117" s="741"/>
      <c r="AA117" s="741"/>
      <c r="AB117" s="741"/>
      <c r="AC117" s="741"/>
      <c r="AD117" s="741"/>
      <c r="AE117" s="741"/>
      <c r="AF117" s="741"/>
      <c r="AG117" s="741"/>
      <c r="AH117" s="741"/>
      <c r="AI117" s="741"/>
      <c r="AJ117" s="741"/>
      <c r="AK117" s="741"/>
      <c r="AL117" s="741"/>
      <c r="AM117" s="741"/>
    </row>
    <row r="118" spans="1:39" ht="12.75" customHeight="1">
      <c r="A118" s="741"/>
      <c r="B118" s="741"/>
      <c r="C118" s="741"/>
      <c r="D118" s="741"/>
      <c r="E118" s="741"/>
      <c r="F118" s="741"/>
      <c r="G118" s="741"/>
      <c r="H118" s="741"/>
      <c r="I118" s="741"/>
      <c r="J118" s="741"/>
      <c r="K118" s="741"/>
      <c r="L118" s="741"/>
      <c r="M118" s="741"/>
      <c r="N118" s="741"/>
      <c r="O118" s="741"/>
      <c r="P118" s="741"/>
      <c r="Q118" s="741"/>
      <c r="R118" s="741"/>
      <c r="S118" s="741"/>
      <c r="T118" s="741"/>
      <c r="U118" s="741"/>
      <c r="V118" s="741"/>
      <c r="W118" s="741"/>
      <c r="X118" s="741"/>
      <c r="Y118" s="741"/>
      <c r="Z118" s="741"/>
      <c r="AA118" s="741"/>
      <c r="AB118" s="741"/>
      <c r="AC118" s="741"/>
      <c r="AD118" s="741"/>
      <c r="AE118" s="741"/>
      <c r="AF118" s="741"/>
      <c r="AG118" s="741"/>
      <c r="AH118" s="741"/>
      <c r="AI118" s="741"/>
      <c r="AJ118" s="741"/>
      <c r="AK118" s="741"/>
      <c r="AL118" s="741"/>
      <c r="AM118" s="741"/>
    </row>
    <row r="119" spans="1:39" ht="12.75" customHeight="1">
      <c r="A119" s="741"/>
      <c r="B119" s="741"/>
      <c r="C119" s="741"/>
      <c r="D119" s="741"/>
      <c r="E119" s="741"/>
      <c r="F119" s="741"/>
      <c r="G119" s="741"/>
      <c r="H119" s="741"/>
      <c r="I119" s="741"/>
      <c r="J119" s="741"/>
      <c r="K119" s="741"/>
      <c r="L119" s="741"/>
      <c r="M119" s="741"/>
      <c r="N119" s="741"/>
      <c r="O119" s="741"/>
      <c r="P119" s="741"/>
      <c r="Q119" s="741"/>
      <c r="R119" s="741"/>
      <c r="S119" s="741"/>
      <c r="T119" s="741"/>
      <c r="U119" s="741"/>
      <c r="V119" s="741"/>
      <c r="W119" s="741"/>
      <c r="X119" s="741"/>
      <c r="Y119" s="741"/>
      <c r="Z119" s="741"/>
      <c r="AA119" s="741"/>
      <c r="AB119" s="741"/>
      <c r="AC119" s="741"/>
      <c r="AD119" s="741"/>
      <c r="AE119" s="741"/>
      <c r="AF119" s="741"/>
      <c r="AG119" s="741"/>
      <c r="AH119" s="741"/>
      <c r="AI119" s="741"/>
      <c r="AJ119" s="741"/>
      <c r="AK119" s="741"/>
      <c r="AL119" s="741"/>
      <c r="AM119" s="741"/>
    </row>
    <row r="120" spans="1:39" ht="12.75" customHeight="1">
      <c r="A120" s="741"/>
      <c r="B120" s="741"/>
      <c r="C120" s="741"/>
      <c r="D120" s="741"/>
      <c r="E120" s="741"/>
      <c r="F120" s="741"/>
      <c r="G120" s="741"/>
      <c r="H120" s="741"/>
      <c r="I120" s="741"/>
      <c r="J120" s="741"/>
      <c r="K120" s="741"/>
      <c r="L120" s="741"/>
      <c r="M120" s="741"/>
      <c r="N120" s="741"/>
      <c r="O120" s="741"/>
      <c r="P120" s="741"/>
      <c r="Q120" s="741"/>
      <c r="R120" s="741"/>
      <c r="S120" s="741"/>
      <c r="T120" s="741"/>
      <c r="U120" s="741"/>
      <c r="V120" s="741"/>
      <c r="W120" s="741"/>
      <c r="X120" s="741"/>
      <c r="Y120" s="741"/>
      <c r="Z120" s="741"/>
      <c r="AA120" s="741"/>
      <c r="AB120" s="741"/>
      <c r="AC120" s="741"/>
      <c r="AD120" s="741"/>
      <c r="AE120" s="741"/>
      <c r="AF120" s="741"/>
      <c r="AG120" s="741"/>
      <c r="AH120" s="741"/>
      <c r="AI120" s="741"/>
      <c r="AJ120" s="741"/>
      <c r="AK120" s="741"/>
      <c r="AL120" s="741"/>
      <c r="AM120" s="741"/>
    </row>
    <row r="121" spans="1:39" ht="12.75" customHeight="1">
      <c r="A121" s="741"/>
      <c r="B121" s="741"/>
      <c r="C121" s="741"/>
      <c r="D121" s="741"/>
      <c r="E121" s="741"/>
      <c r="F121" s="741"/>
      <c r="G121" s="741"/>
      <c r="H121" s="741"/>
      <c r="I121" s="741"/>
      <c r="J121" s="741"/>
      <c r="K121" s="741"/>
      <c r="L121" s="741"/>
      <c r="M121" s="741"/>
      <c r="N121" s="741"/>
      <c r="O121" s="741"/>
      <c r="P121" s="741"/>
      <c r="Q121" s="741"/>
      <c r="R121" s="741"/>
      <c r="S121" s="741"/>
      <c r="T121" s="741"/>
      <c r="U121" s="741"/>
      <c r="V121" s="741"/>
      <c r="W121" s="741"/>
      <c r="X121" s="741"/>
      <c r="Y121" s="741"/>
      <c r="Z121" s="741"/>
      <c r="AA121" s="741"/>
      <c r="AB121" s="741"/>
      <c r="AC121" s="741"/>
      <c r="AD121" s="741"/>
      <c r="AE121" s="741"/>
      <c r="AF121" s="741"/>
      <c r="AG121" s="741"/>
      <c r="AH121" s="741"/>
      <c r="AI121" s="741"/>
      <c r="AJ121" s="741"/>
      <c r="AK121" s="741"/>
      <c r="AL121" s="741"/>
      <c r="AM121" s="741"/>
    </row>
    <row r="122" spans="1:39" ht="12.75" customHeight="1">
      <c r="A122" s="741"/>
      <c r="B122" s="741"/>
      <c r="C122" s="741"/>
      <c r="D122" s="741"/>
      <c r="E122" s="741"/>
      <c r="F122" s="741"/>
      <c r="G122" s="741"/>
      <c r="H122" s="741"/>
      <c r="I122" s="741"/>
      <c r="J122" s="741"/>
      <c r="K122" s="741"/>
      <c r="L122" s="741"/>
      <c r="M122" s="741"/>
      <c r="N122" s="741"/>
      <c r="O122" s="741"/>
      <c r="P122" s="741"/>
      <c r="Q122" s="741"/>
      <c r="R122" s="741"/>
      <c r="S122" s="741"/>
      <c r="T122" s="741"/>
      <c r="U122" s="741"/>
      <c r="V122" s="741"/>
      <c r="W122" s="741"/>
      <c r="X122" s="741"/>
      <c r="Y122" s="741"/>
      <c r="Z122" s="741"/>
      <c r="AA122" s="741"/>
      <c r="AB122" s="741"/>
      <c r="AC122" s="741"/>
      <c r="AD122" s="741"/>
      <c r="AE122" s="741"/>
      <c r="AF122" s="741"/>
      <c r="AG122" s="741"/>
      <c r="AH122" s="741"/>
      <c r="AI122" s="741"/>
      <c r="AJ122" s="741"/>
      <c r="AK122" s="741"/>
      <c r="AL122" s="741"/>
      <c r="AM122" s="741"/>
    </row>
    <row r="123" spans="1:39" ht="12.75" customHeight="1">
      <c r="A123" s="741"/>
      <c r="B123" s="741"/>
      <c r="C123" s="741"/>
      <c r="D123" s="741"/>
      <c r="E123" s="741"/>
      <c r="F123" s="741"/>
      <c r="G123" s="741"/>
      <c r="H123" s="741"/>
      <c r="I123" s="741"/>
      <c r="J123" s="741"/>
      <c r="K123" s="741"/>
      <c r="L123" s="741"/>
      <c r="M123" s="741"/>
      <c r="N123" s="741"/>
      <c r="O123" s="741"/>
      <c r="P123" s="741"/>
      <c r="Q123" s="741"/>
      <c r="R123" s="741"/>
      <c r="S123" s="741"/>
      <c r="T123" s="741"/>
      <c r="U123" s="741"/>
      <c r="V123" s="741"/>
      <c r="W123" s="741"/>
      <c r="X123" s="741"/>
      <c r="Y123" s="741"/>
      <c r="Z123" s="741"/>
      <c r="AA123" s="741"/>
      <c r="AB123" s="741"/>
      <c r="AC123" s="741"/>
      <c r="AD123" s="741"/>
      <c r="AE123" s="741"/>
      <c r="AF123" s="741"/>
      <c r="AG123" s="741"/>
      <c r="AH123" s="741"/>
      <c r="AI123" s="741"/>
      <c r="AJ123" s="741"/>
      <c r="AK123" s="741"/>
      <c r="AL123" s="741"/>
      <c r="AM123" s="741"/>
    </row>
    <row r="124" spans="1:39" ht="12.75" customHeight="1">
      <c r="A124" s="741"/>
      <c r="B124" s="741"/>
      <c r="C124" s="741"/>
      <c r="D124" s="741"/>
      <c r="E124" s="741"/>
      <c r="F124" s="741"/>
      <c r="G124" s="741"/>
      <c r="H124" s="741"/>
      <c r="I124" s="741"/>
      <c r="J124" s="741"/>
      <c r="K124" s="741"/>
      <c r="L124" s="741"/>
      <c r="M124" s="741"/>
      <c r="N124" s="741"/>
      <c r="O124" s="741"/>
      <c r="P124" s="741"/>
      <c r="Q124" s="741"/>
      <c r="R124" s="741"/>
      <c r="S124" s="741"/>
      <c r="T124" s="741"/>
      <c r="U124" s="741"/>
      <c r="V124" s="741"/>
      <c r="W124" s="741"/>
      <c r="X124" s="741"/>
      <c r="Y124" s="741"/>
      <c r="Z124" s="741"/>
      <c r="AA124" s="741"/>
      <c r="AB124" s="741"/>
      <c r="AC124" s="741"/>
      <c r="AD124" s="741"/>
      <c r="AE124" s="741"/>
      <c r="AF124" s="741"/>
      <c r="AG124" s="741"/>
      <c r="AH124" s="741"/>
      <c r="AI124" s="741"/>
      <c r="AJ124" s="741"/>
      <c r="AK124" s="741"/>
      <c r="AL124" s="741"/>
      <c r="AM124" s="741"/>
    </row>
    <row r="125" spans="1:39" ht="12.75" customHeight="1">
      <c r="A125" s="741"/>
      <c r="B125" s="741"/>
      <c r="C125" s="741"/>
      <c r="D125" s="741"/>
      <c r="E125" s="741"/>
      <c r="F125" s="741"/>
      <c r="G125" s="741"/>
      <c r="H125" s="741"/>
      <c r="I125" s="741"/>
      <c r="J125" s="741"/>
      <c r="K125" s="741"/>
      <c r="L125" s="741"/>
      <c r="M125" s="741"/>
      <c r="N125" s="741"/>
      <c r="O125" s="741"/>
      <c r="P125" s="741"/>
      <c r="Q125" s="741"/>
      <c r="R125" s="741"/>
      <c r="S125" s="741"/>
      <c r="T125" s="741"/>
      <c r="U125" s="741"/>
      <c r="V125" s="741"/>
      <c r="W125" s="741"/>
      <c r="X125" s="741"/>
      <c r="Y125" s="741"/>
      <c r="Z125" s="741"/>
      <c r="AA125" s="741"/>
      <c r="AB125" s="741"/>
      <c r="AC125" s="741"/>
      <c r="AD125" s="741"/>
      <c r="AE125" s="741"/>
      <c r="AF125" s="741"/>
      <c r="AG125" s="741"/>
      <c r="AH125" s="741"/>
      <c r="AI125" s="741"/>
      <c r="AJ125" s="741"/>
      <c r="AK125" s="741"/>
      <c r="AL125" s="741"/>
      <c r="AM125" s="741"/>
    </row>
    <row r="126" spans="1:39" ht="12.75" customHeight="1">
      <c r="A126" s="741"/>
      <c r="B126" s="741"/>
      <c r="C126" s="741"/>
      <c r="D126" s="741"/>
      <c r="E126" s="741"/>
      <c r="F126" s="741"/>
      <c r="G126" s="741"/>
      <c r="H126" s="741"/>
      <c r="I126" s="741"/>
      <c r="J126" s="741"/>
      <c r="K126" s="741"/>
      <c r="L126" s="741"/>
      <c r="M126" s="741"/>
      <c r="N126" s="741"/>
      <c r="O126" s="741"/>
      <c r="P126" s="741"/>
      <c r="Q126" s="741"/>
      <c r="R126" s="741"/>
      <c r="S126" s="741"/>
      <c r="T126" s="741"/>
      <c r="U126" s="741"/>
      <c r="V126" s="741"/>
      <c r="W126" s="741"/>
      <c r="X126" s="741"/>
      <c r="Y126" s="741"/>
      <c r="Z126" s="741"/>
      <c r="AA126" s="741"/>
      <c r="AB126" s="741"/>
      <c r="AC126" s="741"/>
      <c r="AD126" s="741"/>
      <c r="AE126" s="741"/>
      <c r="AF126" s="741"/>
      <c r="AG126" s="741"/>
      <c r="AH126" s="741"/>
      <c r="AI126" s="741"/>
      <c r="AJ126" s="741"/>
      <c r="AK126" s="741"/>
      <c r="AL126" s="741"/>
      <c r="AM126" s="741"/>
    </row>
    <row r="127" spans="1:39" ht="12.75" customHeight="1">
      <c r="A127" s="741"/>
      <c r="B127" s="741"/>
      <c r="C127" s="741"/>
      <c r="D127" s="741"/>
      <c r="E127" s="741"/>
      <c r="F127" s="741"/>
      <c r="G127" s="741"/>
      <c r="H127" s="741"/>
      <c r="I127" s="741"/>
      <c r="J127" s="741"/>
      <c r="K127" s="741"/>
      <c r="L127" s="741"/>
      <c r="M127" s="741"/>
      <c r="N127" s="741"/>
      <c r="O127" s="741"/>
      <c r="P127" s="741"/>
      <c r="Q127" s="741"/>
      <c r="R127" s="741"/>
      <c r="S127" s="741"/>
      <c r="T127" s="741"/>
      <c r="U127" s="741"/>
      <c r="V127" s="741"/>
      <c r="W127" s="741"/>
      <c r="X127" s="741"/>
      <c r="Y127" s="741"/>
      <c r="Z127" s="741"/>
      <c r="AA127" s="741"/>
      <c r="AB127" s="741"/>
      <c r="AC127" s="741"/>
      <c r="AD127" s="741"/>
      <c r="AE127" s="741"/>
      <c r="AF127" s="741"/>
      <c r="AG127" s="741"/>
      <c r="AH127" s="741"/>
      <c r="AI127" s="741"/>
      <c r="AJ127" s="741"/>
      <c r="AK127" s="741"/>
      <c r="AL127" s="741"/>
      <c r="AM127" s="741"/>
    </row>
    <row r="128" spans="1:39" ht="12.75" customHeight="1">
      <c r="A128" s="741"/>
      <c r="B128" s="741"/>
      <c r="C128" s="741"/>
      <c r="D128" s="741"/>
      <c r="E128" s="741"/>
      <c r="F128" s="741"/>
      <c r="G128" s="741"/>
      <c r="H128" s="741"/>
      <c r="I128" s="741"/>
      <c r="J128" s="741"/>
      <c r="K128" s="741"/>
      <c r="L128" s="741"/>
      <c r="M128" s="741"/>
      <c r="N128" s="741"/>
      <c r="O128" s="741"/>
      <c r="P128" s="741"/>
      <c r="Q128" s="741"/>
      <c r="R128" s="741"/>
      <c r="S128" s="741"/>
      <c r="T128" s="741"/>
      <c r="U128" s="741"/>
      <c r="V128" s="741"/>
      <c r="W128" s="741"/>
      <c r="X128" s="741"/>
      <c r="Y128" s="741"/>
      <c r="Z128" s="741"/>
      <c r="AA128" s="741"/>
      <c r="AB128" s="741"/>
      <c r="AC128" s="741"/>
      <c r="AD128" s="741"/>
      <c r="AE128" s="741"/>
      <c r="AF128" s="741"/>
      <c r="AG128" s="741"/>
      <c r="AH128" s="741"/>
      <c r="AI128" s="741"/>
      <c r="AJ128" s="741"/>
      <c r="AK128" s="741"/>
      <c r="AL128" s="741"/>
      <c r="AM128" s="741"/>
    </row>
    <row r="129" spans="1:39" ht="12.75" customHeight="1">
      <c r="A129" s="741"/>
      <c r="B129" s="741"/>
      <c r="C129" s="741"/>
      <c r="D129" s="741"/>
      <c r="E129" s="741"/>
      <c r="F129" s="741"/>
      <c r="G129" s="741"/>
      <c r="H129" s="741"/>
      <c r="I129" s="741"/>
      <c r="J129" s="741"/>
      <c r="K129" s="741"/>
      <c r="L129" s="741"/>
      <c r="M129" s="741"/>
      <c r="N129" s="741"/>
      <c r="O129" s="741"/>
      <c r="P129" s="741"/>
      <c r="Q129" s="741"/>
      <c r="R129" s="741"/>
      <c r="S129" s="741"/>
      <c r="T129" s="741"/>
      <c r="U129" s="741"/>
      <c r="V129" s="741"/>
      <c r="W129" s="741"/>
      <c r="X129" s="741"/>
      <c r="Y129" s="741"/>
      <c r="Z129" s="741"/>
      <c r="AA129" s="741"/>
      <c r="AB129" s="741"/>
      <c r="AC129" s="741"/>
      <c r="AD129" s="741"/>
      <c r="AE129" s="741"/>
      <c r="AF129" s="741"/>
      <c r="AG129" s="741"/>
      <c r="AH129" s="741"/>
      <c r="AI129" s="741"/>
      <c r="AJ129" s="741"/>
      <c r="AK129" s="741"/>
      <c r="AL129" s="741"/>
      <c r="AM129" s="741"/>
    </row>
    <row r="130" spans="1:39" ht="12.75" customHeight="1">
      <c r="A130" s="741"/>
      <c r="B130" s="741"/>
      <c r="C130" s="741"/>
      <c r="D130" s="741"/>
      <c r="E130" s="741"/>
      <c r="F130" s="741"/>
      <c r="G130" s="741"/>
      <c r="H130" s="741"/>
      <c r="I130" s="741"/>
      <c r="J130" s="741"/>
      <c r="K130" s="741"/>
      <c r="L130" s="741"/>
      <c r="M130" s="741"/>
      <c r="N130" s="741"/>
      <c r="O130" s="741"/>
      <c r="P130" s="741"/>
      <c r="Q130" s="741"/>
      <c r="R130" s="741"/>
      <c r="S130" s="741"/>
      <c r="T130" s="741"/>
      <c r="U130" s="741"/>
      <c r="V130" s="741"/>
      <c r="W130" s="741"/>
      <c r="X130" s="741"/>
      <c r="Y130" s="741"/>
      <c r="Z130" s="741"/>
      <c r="AA130" s="741"/>
      <c r="AB130" s="741"/>
      <c r="AC130" s="741"/>
      <c r="AD130" s="741"/>
      <c r="AE130" s="741"/>
      <c r="AF130" s="741"/>
      <c r="AG130" s="741"/>
      <c r="AH130" s="741"/>
      <c r="AI130" s="741"/>
      <c r="AJ130" s="741"/>
      <c r="AK130" s="741"/>
      <c r="AL130" s="741"/>
      <c r="AM130" s="741"/>
    </row>
    <row r="131" spans="1:39" ht="12.75" customHeight="1">
      <c r="A131" s="741"/>
      <c r="B131" s="741"/>
      <c r="C131" s="741"/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1"/>
      <c r="P131" s="741"/>
      <c r="Q131" s="741"/>
      <c r="R131" s="741"/>
      <c r="S131" s="741"/>
      <c r="T131" s="741"/>
      <c r="U131" s="741"/>
      <c r="V131" s="741"/>
      <c r="W131" s="741"/>
      <c r="X131" s="741"/>
      <c r="Y131" s="741"/>
      <c r="Z131" s="741"/>
      <c r="AA131" s="741"/>
      <c r="AB131" s="741"/>
      <c r="AC131" s="741"/>
      <c r="AD131" s="741"/>
      <c r="AE131" s="741"/>
      <c r="AF131" s="741"/>
      <c r="AG131" s="741"/>
      <c r="AH131" s="741"/>
      <c r="AI131" s="741"/>
      <c r="AJ131" s="741"/>
      <c r="AK131" s="741"/>
      <c r="AL131" s="741"/>
      <c r="AM131" s="741"/>
    </row>
    <row r="132" spans="1:39" ht="12.75" customHeight="1">
      <c r="A132" s="741"/>
      <c r="B132" s="741"/>
      <c r="C132" s="741"/>
      <c r="D132" s="741"/>
      <c r="E132" s="741"/>
      <c r="F132" s="741"/>
      <c r="G132" s="741"/>
      <c r="H132" s="741"/>
      <c r="I132" s="741"/>
      <c r="J132" s="741"/>
      <c r="K132" s="741"/>
      <c r="L132" s="741"/>
      <c r="M132" s="741"/>
      <c r="N132" s="741"/>
      <c r="O132" s="741"/>
      <c r="P132" s="741"/>
      <c r="Q132" s="741"/>
      <c r="R132" s="741"/>
      <c r="S132" s="741"/>
      <c r="T132" s="741"/>
      <c r="U132" s="741"/>
      <c r="V132" s="741"/>
      <c r="W132" s="741"/>
      <c r="X132" s="741"/>
      <c r="Y132" s="741"/>
      <c r="Z132" s="741"/>
      <c r="AA132" s="741"/>
      <c r="AB132" s="741"/>
      <c r="AC132" s="741"/>
      <c r="AD132" s="741"/>
      <c r="AE132" s="741"/>
      <c r="AF132" s="741"/>
      <c r="AG132" s="741"/>
      <c r="AH132" s="741"/>
      <c r="AI132" s="741"/>
      <c r="AJ132" s="741"/>
      <c r="AK132" s="741"/>
      <c r="AL132" s="741"/>
      <c r="AM132" s="741"/>
    </row>
    <row r="133" spans="1:39" ht="12.75" customHeight="1">
      <c r="A133" s="741"/>
      <c r="B133" s="741"/>
      <c r="C133" s="741"/>
      <c r="D133" s="741"/>
      <c r="E133" s="741"/>
      <c r="F133" s="741"/>
      <c r="G133" s="741"/>
      <c r="H133" s="741"/>
      <c r="I133" s="741"/>
      <c r="J133" s="741"/>
      <c r="K133" s="741"/>
      <c r="L133" s="741"/>
      <c r="M133" s="741"/>
      <c r="N133" s="741"/>
      <c r="O133" s="741"/>
      <c r="P133" s="741"/>
      <c r="Q133" s="741"/>
      <c r="R133" s="741"/>
      <c r="S133" s="741"/>
      <c r="T133" s="741"/>
      <c r="U133" s="741"/>
      <c r="V133" s="741"/>
      <c r="W133" s="741"/>
      <c r="X133" s="741"/>
      <c r="Y133" s="741"/>
      <c r="Z133" s="741"/>
      <c r="AA133" s="741"/>
      <c r="AB133" s="741"/>
      <c r="AC133" s="741"/>
      <c r="AD133" s="741"/>
      <c r="AE133" s="741"/>
      <c r="AF133" s="741"/>
      <c r="AG133" s="741"/>
      <c r="AH133" s="741"/>
      <c r="AI133" s="741"/>
      <c r="AJ133" s="741"/>
      <c r="AK133" s="741"/>
      <c r="AL133" s="741"/>
      <c r="AM133" s="741"/>
    </row>
    <row r="134" spans="1:39" ht="12.75" customHeight="1">
      <c r="A134" s="741"/>
      <c r="B134" s="741"/>
      <c r="C134" s="741"/>
      <c r="D134" s="741"/>
      <c r="E134" s="741"/>
      <c r="F134" s="741"/>
      <c r="G134" s="741"/>
      <c r="H134" s="741"/>
      <c r="I134" s="741"/>
      <c r="J134" s="741"/>
      <c r="K134" s="741"/>
      <c r="L134" s="741"/>
      <c r="M134" s="741"/>
      <c r="N134" s="741"/>
      <c r="O134" s="741"/>
      <c r="P134" s="741"/>
      <c r="Q134" s="741"/>
      <c r="R134" s="741"/>
      <c r="S134" s="741"/>
      <c r="T134" s="741"/>
      <c r="U134" s="741"/>
      <c r="V134" s="741"/>
      <c r="W134" s="741"/>
      <c r="X134" s="741"/>
      <c r="Y134" s="741"/>
      <c r="Z134" s="741"/>
      <c r="AA134" s="741"/>
      <c r="AB134" s="741"/>
      <c r="AC134" s="741"/>
      <c r="AD134" s="741"/>
      <c r="AE134" s="741"/>
      <c r="AF134" s="741"/>
      <c r="AG134" s="741"/>
      <c r="AH134" s="741"/>
      <c r="AI134" s="741"/>
      <c r="AJ134" s="741"/>
      <c r="AK134" s="741"/>
      <c r="AL134" s="741"/>
      <c r="AM134" s="741"/>
    </row>
    <row r="135" spans="1:39" ht="12.75" customHeight="1">
      <c r="A135" s="741"/>
      <c r="B135" s="741"/>
      <c r="C135" s="741"/>
      <c r="D135" s="741"/>
      <c r="E135" s="741"/>
      <c r="F135" s="741"/>
      <c r="G135" s="741"/>
      <c r="H135" s="741"/>
      <c r="I135" s="741"/>
      <c r="J135" s="741"/>
      <c r="K135" s="741"/>
      <c r="L135" s="741"/>
      <c r="M135" s="741"/>
      <c r="N135" s="741"/>
      <c r="O135" s="741"/>
      <c r="P135" s="741"/>
      <c r="Q135" s="741"/>
      <c r="R135" s="741"/>
      <c r="S135" s="741"/>
      <c r="T135" s="741"/>
      <c r="U135" s="741"/>
      <c r="V135" s="741"/>
      <c r="W135" s="741"/>
      <c r="X135" s="741"/>
      <c r="Y135" s="741"/>
      <c r="Z135" s="741"/>
      <c r="AA135" s="741"/>
      <c r="AB135" s="741"/>
      <c r="AC135" s="741"/>
      <c r="AD135" s="741"/>
      <c r="AE135" s="741"/>
      <c r="AF135" s="741"/>
      <c r="AG135" s="741"/>
      <c r="AH135" s="741"/>
      <c r="AI135" s="741"/>
      <c r="AJ135" s="741"/>
      <c r="AK135" s="741"/>
      <c r="AL135" s="741"/>
      <c r="AM135" s="741"/>
    </row>
    <row r="136" spans="1:39" ht="12.75" customHeight="1">
      <c r="A136" s="741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1"/>
      <c r="P136" s="741"/>
      <c r="Q136" s="741"/>
      <c r="R136" s="741"/>
      <c r="S136" s="741"/>
      <c r="T136" s="741"/>
      <c r="U136" s="741"/>
      <c r="V136" s="741"/>
      <c r="W136" s="741"/>
      <c r="X136" s="741"/>
      <c r="Y136" s="741"/>
      <c r="Z136" s="741"/>
      <c r="AA136" s="741"/>
      <c r="AB136" s="741"/>
      <c r="AC136" s="741"/>
      <c r="AD136" s="741"/>
      <c r="AE136" s="741"/>
      <c r="AF136" s="741"/>
      <c r="AG136" s="741"/>
      <c r="AH136" s="741"/>
      <c r="AI136" s="741"/>
      <c r="AJ136" s="741"/>
      <c r="AK136" s="741"/>
      <c r="AL136" s="741"/>
      <c r="AM136" s="741"/>
    </row>
    <row r="137" spans="1:39" ht="12.75" customHeight="1">
      <c r="A137" s="741"/>
      <c r="B137" s="741"/>
      <c r="C137" s="741"/>
      <c r="D137" s="741"/>
      <c r="E137" s="741"/>
      <c r="F137" s="741"/>
      <c r="G137" s="741"/>
      <c r="H137" s="741"/>
      <c r="I137" s="741"/>
      <c r="J137" s="741"/>
      <c r="K137" s="741"/>
      <c r="L137" s="741"/>
      <c r="M137" s="741"/>
      <c r="N137" s="741"/>
      <c r="O137" s="741"/>
      <c r="P137" s="741"/>
      <c r="Q137" s="741"/>
      <c r="R137" s="741"/>
      <c r="S137" s="741"/>
      <c r="T137" s="741"/>
      <c r="U137" s="741"/>
      <c r="V137" s="741"/>
      <c r="W137" s="741"/>
      <c r="X137" s="741"/>
      <c r="Y137" s="741"/>
      <c r="Z137" s="741"/>
      <c r="AA137" s="741"/>
      <c r="AB137" s="741"/>
      <c r="AC137" s="741"/>
      <c r="AD137" s="741"/>
      <c r="AE137" s="741"/>
      <c r="AF137" s="741"/>
      <c r="AG137" s="741"/>
      <c r="AH137" s="741"/>
      <c r="AI137" s="741"/>
      <c r="AJ137" s="741"/>
      <c r="AK137" s="741"/>
      <c r="AL137" s="741"/>
      <c r="AM137" s="741"/>
    </row>
    <row r="138" spans="1:39" ht="12.75" customHeight="1">
      <c r="A138" s="741"/>
      <c r="B138" s="741"/>
      <c r="C138" s="741"/>
      <c r="D138" s="741"/>
      <c r="E138" s="741"/>
      <c r="F138" s="741"/>
      <c r="G138" s="741"/>
      <c r="H138" s="741"/>
      <c r="I138" s="741"/>
      <c r="J138" s="741"/>
      <c r="K138" s="741"/>
      <c r="L138" s="741"/>
      <c r="M138" s="741"/>
      <c r="N138" s="741"/>
      <c r="O138" s="741"/>
      <c r="P138" s="741"/>
      <c r="Q138" s="741"/>
      <c r="R138" s="741"/>
      <c r="S138" s="741"/>
      <c r="T138" s="741"/>
      <c r="U138" s="741"/>
      <c r="V138" s="741"/>
      <c r="W138" s="741"/>
      <c r="X138" s="741"/>
      <c r="Y138" s="741"/>
      <c r="Z138" s="741"/>
      <c r="AA138" s="741"/>
      <c r="AB138" s="741"/>
      <c r="AC138" s="741"/>
      <c r="AD138" s="741"/>
      <c r="AE138" s="741"/>
      <c r="AF138" s="741"/>
      <c r="AG138" s="741"/>
      <c r="AH138" s="741"/>
      <c r="AI138" s="741"/>
      <c r="AJ138" s="741"/>
      <c r="AK138" s="741"/>
      <c r="AL138" s="741"/>
      <c r="AM138" s="741"/>
    </row>
    <row r="139" spans="1:39" ht="12.75" customHeight="1">
      <c r="A139" s="741"/>
      <c r="B139" s="741"/>
      <c r="C139" s="741"/>
      <c r="D139" s="741"/>
      <c r="E139" s="741"/>
      <c r="F139" s="741"/>
      <c r="G139" s="741"/>
      <c r="H139" s="741"/>
      <c r="I139" s="741"/>
      <c r="J139" s="741"/>
      <c r="K139" s="741"/>
      <c r="L139" s="741"/>
      <c r="M139" s="741"/>
      <c r="N139" s="741"/>
      <c r="O139" s="741"/>
      <c r="P139" s="741"/>
      <c r="Q139" s="741"/>
      <c r="R139" s="741"/>
      <c r="S139" s="741"/>
      <c r="T139" s="741"/>
      <c r="U139" s="741"/>
      <c r="V139" s="741"/>
      <c r="W139" s="741"/>
      <c r="X139" s="741"/>
      <c r="Y139" s="741"/>
      <c r="Z139" s="741"/>
      <c r="AA139" s="741"/>
      <c r="AB139" s="741"/>
      <c r="AC139" s="741"/>
      <c r="AD139" s="741"/>
      <c r="AE139" s="741"/>
      <c r="AF139" s="741"/>
      <c r="AG139" s="741"/>
      <c r="AH139" s="741"/>
      <c r="AI139" s="741"/>
      <c r="AJ139" s="741"/>
      <c r="AK139" s="741"/>
      <c r="AL139" s="741"/>
      <c r="AM139" s="741"/>
    </row>
    <row r="140" spans="1:39" ht="12.75" customHeight="1">
      <c r="A140" s="741"/>
      <c r="B140" s="741"/>
      <c r="C140" s="741"/>
      <c r="D140" s="741"/>
      <c r="E140" s="741"/>
      <c r="F140" s="741"/>
      <c r="G140" s="741"/>
      <c r="H140" s="741"/>
      <c r="I140" s="741"/>
      <c r="J140" s="741"/>
      <c r="K140" s="741"/>
      <c r="L140" s="741"/>
      <c r="M140" s="741"/>
      <c r="N140" s="741"/>
      <c r="O140" s="741"/>
      <c r="P140" s="741"/>
      <c r="Q140" s="741"/>
      <c r="R140" s="741"/>
      <c r="S140" s="741"/>
      <c r="T140" s="741"/>
      <c r="U140" s="741"/>
      <c r="V140" s="741"/>
      <c r="W140" s="741"/>
      <c r="X140" s="741"/>
      <c r="Y140" s="741"/>
      <c r="Z140" s="741"/>
      <c r="AA140" s="741"/>
      <c r="AB140" s="741"/>
      <c r="AC140" s="741"/>
      <c r="AD140" s="741"/>
      <c r="AE140" s="741"/>
      <c r="AF140" s="741"/>
      <c r="AG140" s="741"/>
      <c r="AH140" s="741"/>
      <c r="AI140" s="741"/>
      <c r="AJ140" s="741"/>
      <c r="AK140" s="741"/>
      <c r="AL140" s="741"/>
      <c r="AM140" s="741"/>
    </row>
    <row r="141" spans="1:39" ht="12.75" customHeight="1">
      <c r="A141" s="741"/>
      <c r="B141" s="741"/>
      <c r="C141" s="741"/>
      <c r="D141" s="741"/>
      <c r="E141" s="741"/>
      <c r="F141" s="741"/>
      <c r="G141" s="741"/>
      <c r="H141" s="741"/>
      <c r="I141" s="741"/>
      <c r="J141" s="741"/>
      <c r="K141" s="741"/>
      <c r="L141" s="741"/>
      <c r="M141" s="741"/>
      <c r="N141" s="741"/>
      <c r="O141" s="741"/>
      <c r="P141" s="741"/>
      <c r="Q141" s="741"/>
      <c r="R141" s="741"/>
      <c r="S141" s="741"/>
      <c r="T141" s="741"/>
      <c r="U141" s="741"/>
      <c r="V141" s="741"/>
      <c r="W141" s="741"/>
      <c r="X141" s="741"/>
      <c r="Y141" s="741"/>
      <c r="Z141" s="741"/>
      <c r="AA141" s="741"/>
      <c r="AB141" s="741"/>
      <c r="AC141" s="741"/>
      <c r="AD141" s="741"/>
      <c r="AE141" s="741"/>
      <c r="AF141" s="741"/>
      <c r="AG141" s="741"/>
      <c r="AH141" s="741"/>
      <c r="AI141" s="741"/>
      <c r="AJ141" s="741"/>
      <c r="AK141" s="741"/>
      <c r="AL141" s="741"/>
      <c r="AM141" s="741"/>
    </row>
    <row r="142" spans="1:39" ht="12.75" customHeight="1">
      <c r="A142" s="741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1"/>
      <c r="P142" s="741"/>
      <c r="Q142" s="741"/>
      <c r="R142" s="741"/>
      <c r="S142" s="741"/>
      <c r="T142" s="741"/>
      <c r="U142" s="741"/>
      <c r="V142" s="741"/>
      <c r="W142" s="741"/>
      <c r="X142" s="741"/>
      <c r="Y142" s="741"/>
      <c r="Z142" s="741"/>
      <c r="AA142" s="741"/>
      <c r="AB142" s="741"/>
      <c r="AC142" s="741"/>
      <c r="AD142" s="741"/>
      <c r="AE142" s="741"/>
      <c r="AF142" s="741"/>
      <c r="AG142" s="741"/>
      <c r="AH142" s="741"/>
      <c r="AI142" s="741"/>
      <c r="AJ142" s="741"/>
      <c r="AK142" s="741"/>
      <c r="AL142" s="741"/>
      <c r="AM142" s="741"/>
    </row>
    <row r="143" spans="1:39" ht="12.75" customHeight="1">
      <c r="A143" s="741"/>
      <c r="B143" s="741"/>
      <c r="C143" s="741"/>
      <c r="D143" s="741"/>
      <c r="E143" s="741"/>
      <c r="F143" s="741"/>
      <c r="G143" s="741"/>
      <c r="H143" s="741"/>
      <c r="I143" s="741"/>
      <c r="J143" s="741"/>
      <c r="K143" s="741"/>
      <c r="L143" s="741"/>
      <c r="M143" s="741"/>
      <c r="N143" s="741"/>
      <c r="O143" s="741"/>
      <c r="P143" s="741"/>
      <c r="Q143" s="741"/>
      <c r="R143" s="741"/>
      <c r="S143" s="741"/>
      <c r="T143" s="741"/>
      <c r="U143" s="741"/>
      <c r="V143" s="741"/>
      <c r="W143" s="741"/>
      <c r="X143" s="741"/>
      <c r="Y143" s="741"/>
      <c r="Z143" s="741"/>
      <c r="AA143" s="741"/>
      <c r="AB143" s="741"/>
      <c r="AC143" s="741"/>
      <c r="AD143" s="741"/>
      <c r="AE143" s="741"/>
      <c r="AF143" s="741"/>
      <c r="AG143" s="741"/>
      <c r="AH143" s="741"/>
      <c r="AI143" s="741"/>
      <c r="AJ143" s="741"/>
      <c r="AK143" s="741"/>
      <c r="AL143" s="741"/>
      <c r="AM143" s="741"/>
    </row>
    <row r="144" spans="1:39" ht="12.75" customHeight="1">
      <c r="A144" s="741"/>
      <c r="B144" s="741"/>
      <c r="C144" s="741"/>
      <c r="D144" s="741"/>
      <c r="E144" s="741"/>
      <c r="F144" s="741"/>
      <c r="G144" s="741"/>
      <c r="H144" s="741"/>
      <c r="I144" s="741"/>
      <c r="J144" s="741"/>
      <c r="K144" s="741"/>
      <c r="L144" s="741"/>
      <c r="M144" s="741"/>
      <c r="N144" s="741"/>
      <c r="O144" s="741"/>
      <c r="P144" s="741"/>
      <c r="Q144" s="741"/>
      <c r="R144" s="741"/>
      <c r="S144" s="741"/>
      <c r="T144" s="741"/>
      <c r="U144" s="741"/>
      <c r="V144" s="741"/>
      <c r="W144" s="741"/>
      <c r="X144" s="741"/>
      <c r="Y144" s="741"/>
      <c r="Z144" s="741"/>
      <c r="AA144" s="741"/>
      <c r="AB144" s="741"/>
      <c r="AC144" s="741"/>
      <c r="AD144" s="741"/>
      <c r="AE144" s="741"/>
      <c r="AF144" s="741"/>
      <c r="AG144" s="741"/>
      <c r="AH144" s="741"/>
      <c r="AI144" s="741"/>
      <c r="AJ144" s="741"/>
      <c r="AK144" s="741"/>
      <c r="AL144" s="741"/>
      <c r="AM144" s="741"/>
    </row>
    <row r="145" spans="1:39" ht="12.75" customHeight="1">
      <c r="A145" s="741"/>
      <c r="B145" s="741"/>
      <c r="C145" s="741"/>
      <c r="D145" s="741"/>
      <c r="E145" s="741"/>
      <c r="F145" s="741"/>
      <c r="G145" s="741"/>
      <c r="H145" s="741"/>
      <c r="I145" s="741"/>
      <c r="J145" s="741"/>
      <c r="K145" s="741"/>
      <c r="L145" s="741"/>
      <c r="M145" s="741"/>
      <c r="N145" s="741"/>
      <c r="O145" s="741"/>
      <c r="P145" s="741"/>
      <c r="Q145" s="741"/>
      <c r="R145" s="741"/>
      <c r="S145" s="741"/>
      <c r="T145" s="741"/>
      <c r="U145" s="741"/>
      <c r="V145" s="741"/>
      <c r="W145" s="741"/>
      <c r="X145" s="741"/>
      <c r="Y145" s="741"/>
      <c r="Z145" s="741"/>
      <c r="AA145" s="741"/>
      <c r="AB145" s="741"/>
      <c r="AC145" s="741"/>
      <c r="AD145" s="741"/>
      <c r="AE145" s="741"/>
      <c r="AF145" s="741"/>
      <c r="AG145" s="741"/>
      <c r="AH145" s="741"/>
      <c r="AI145" s="741"/>
      <c r="AJ145" s="741"/>
      <c r="AK145" s="741"/>
      <c r="AL145" s="741"/>
      <c r="AM145" s="741"/>
    </row>
    <row r="146" spans="1:39" ht="12.75" customHeight="1">
      <c r="A146" s="741"/>
      <c r="B146" s="741"/>
      <c r="C146" s="741"/>
      <c r="D146" s="741"/>
      <c r="E146" s="741"/>
      <c r="F146" s="741"/>
      <c r="G146" s="741"/>
      <c r="H146" s="741"/>
      <c r="I146" s="741"/>
      <c r="J146" s="741"/>
      <c r="K146" s="741"/>
      <c r="L146" s="741"/>
      <c r="M146" s="741"/>
      <c r="N146" s="741"/>
      <c r="O146" s="741"/>
      <c r="P146" s="741"/>
      <c r="Q146" s="741"/>
      <c r="R146" s="741"/>
      <c r="S146" s="741"/>
      <c r="T146" s="741"/>
      <c r="U146" s="741"/>
      <c r="V146" s="741"/>
      <c r="W146" s="741"/>
      <c r="X146" s="741"/>
      <c r="Y146" s="741"/>
      <c r="Z146" s="741"/>
      <c r="AA146" s="741"/>
      <c r="AB146" s="741"/>
      <c r="AC146" s="741"/>
      <c r="AD146" s="741"/>
      <c r="AE146" s="741"/>
      <c r="AF146" s="741"/>
      <c r="AG146" s="741"/>
      <c r="AH146" s="741"/>
      <c r="AI146" s="741"/>
      <c r="AJ146" s="741"/>
      <c r="AK146" s="741"/>
      <c r="AL146" s="741"/>
      <c r="AM146" s="741"/>
    </row>
    <row r="147" spans="1:39" ht="12.75" customHeight="1">
      <c r="A147" s="741"/>
      <c r="B147" s="741"/>
      <c r="C147" s="741"/>
      <c r="D147" s="741"/>
      <c r="E147" s="741"/>
      <c r="F147" s="741"/>
      <c r="G147" s="741"/>
      <c r="H147" s="741"/>
      <c r="I147" s="741"/>
      <c r="J147" s="741"/>
      <c r="K147" s="741"/>
      <c r="L147" s="741"/>
      <c r="M147" s="741"/>
      <c r="N147" s="741"/>
      <c r="O147" s="741"/>
      <c r="P147" s="741"/>
      <c r="Q147" s="741"/>
      <c r="R147" s="741"/>
      <c r="S147" s="741"/>
      <c r="T147" s="741"/>
      <c r="U147" s="741"/>
      <c r="V147" s="741"/>
      <c r="W147" s="741"/>
      <c r="X147" s="741"/>
      <c r="Y147" s="741"/>
      <c r="Z147" s="741"/>
      <c r="AA147" s="741"/>
      <c r="AB147" s="741"/>
      <c r="AC147" s="741"/>
      <c r="AD147" s="741"/>
      <c r="AE147" s="741"/>
      <c r="AF147" s="741"/>
      <c r="AG147" s="741"/>
      <c r="AH147" s="741"/>
      <c r="AI147" s="741"/>
      <c r="AJ147" s="741"/>
      <c r="AK147" s="741"/>
      <c r="AL147" s="741"/>
      <c r="AM147" s="741"/>
    </row>
    <row r="148" spans="1:39" ht="12.75" customHeight="1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  <c r="N148" s="741"/>
      <c r="O148" s="741"/>
      <c r="P148" s="741"/>
      <c r="Q148" s="741"/>
      <c r="R148" s="741"/>
      <c r="S148" s="741"/>
      <c r="T148" s="741"/>
      <c r="U148" s="741"/>
      <c r="V148" s="741"/>
      <c r="W148" s="741"/>
      <c r="X148" s="741"/>
      <c r="Y148" s="741"/>
      <c r="Z148" s="741"/>
      <c r="AA148" s="741"/>
      <c r="AB148" s="741"/>
      <c r="AC148" s="741"/>
      <c r="AD148" s="741"/>
      <c r="AE148" s="741"/>
      <c r="AF148" s="741"/>
      <c r="AG148" s="741"/>
      <c r="AH148" s="741"/>
      <c r="AI148" s="741"/>
      <c r="AJ148" s="741"/>
      <c r="AK148" s="741"/>
      <c r="AL148" s="741"/>
      <c r="AM148" s="741"/>
    </row>
    <row r="149" spans="1:39" ht="12.75" customHeight="1">
      <c r="A149" s="741"/>
      <c r="B149" s="741"/>
      <c r="C149" s="741"/>
      <c r="D149" s="741"/>
      <c r="E149" s="741"/>
      <c r="F149" s="741"/>
      <c r="G149" s="741"/>
      <c r="H149" s="741"/>
      <c r="I149" s="741"/>
      <c r="J149" s="741"/>
      <c r="K149" s="741"/>
      <c r="L149" s="741"/>
      <c r="M149" s="741"/>
      <c r="N149" s="741"/>
      <c r="O149" s="741"/>
      <c r="P149" s="741"/>
      <c r="Q149" s="741"/>
      <c r="R149" s="741"/>
      <c r="S149" s="741"/>
      <c r="T149" s="741"/>
      <c r="U149" s="741"/>
      <c r="V149" s="741"/>
      <c r="W149" s="741"/>
      <c r="X149" s="741"/>
      <c r="Y149" s="741"/>
      <c r="Z149" s="741"/>
      <c r="AA149" s="741"/>
      <c r="AB149" s="741"/>
      <c r="AC149" s="741"/>
      <c r="AD149" s="741"/>
      <c r="AE149" s="741"/>
      <c r="AF149" s="741"/>
      <c r="AG149" s="741"/>
      <c r="AH149" s="741"/>
      <c r="AI149" s="741"/>
      <c r="AJ149" s="741"/>
      <c r="AK149" s="741"/>
      <c r="AL149" s="741"/>
      <c r="AM149" s="741"/>
    </row>
    <row r="150" spans="1:39" ht="12.75" customHeight="1">
      <c r="A150" s="741"/>
      <c r="B150" s="741"/>
      <c r="C150" s="741"/>
      <c r="D150" s="741"/>
      <c r="E150" s="741"/>
      <c r="F150" s="741"/>
      <c r="G150" s="741"/>
      <c r="H150" s="741"/>
      <c r="I150" s="741"/>
      <c r="J150" s="741"/>
      <c r="K150" s="741"/>
      <c r="L150" s="741"/>
      <c r="M150" s="741"/>
      <c r="N150" s="741"/>
      <c r="O150" s="741"/>
      <c r="P150" s="741"/>
      <c r="Q150" s="741"/>
      <c r="R150" s="741"/>
      <c r="S150" s="741"/>
      <c r="T150" s="741"/>
      <c r="U150" s="741"/>
      <c r="V150" s="741"/>
      <c r="W150" s="741"/>
      <c r="X150" s="741"/>
      <c r="Y150" s="741"/>
      <c r="Z150" s="741"/>
      <c r="AA150" s="741"/>
      <c r="AB150" s="741"/>
      <c r="AC150" s="741"/>
      <c r="AD150" s="741"/>
      <c r="AE150" s="741"/>
      <c r="AF150" s="741"/>
      <c r="AG150" s="741"/>
      <c r="AH150" s="741"/>
      <c r="AI150" s="741"/>
      <c r="AJ150" s="741"/>
      <c r="AK150" s="741"/>
      <c r="AL150" s="741"/>
      <c r="AM150" s="741"/>
    </row>
    <row r="151" spans="1:39" ht="12.75" customHeight="1">
      <c r="A151" s="741"/>
      <c r="B151" s="741"/>
      <c r="C151" s="741"/>
      <c r="D151" s="741"/>
      <c r="E151" s="741"/>
      <c r="F151" s="741"/>
      <c r="G151" s="741"/>
      <c r="H151" s="741"/>
      <c r="I151" s="741"/>
      <c r="J151" s="741"/>
      <c r="K151" s="741"/>
      <c r="L151" s="741"/>
      <c r="M151" s="741"/>
      <c r="N151" s="741"/>
      <c r="O151" s="741"/>
      <c r="P151" s="741"/>
      <c r="Q151" s="741"/>
      <c r="R151" s="741"/>
      <c r="S151" s="741"/>
      <c r="T151" s="741"/>
      <c r="U151" s="741"/>
      <c r="V151" s="741"/>
      <c r="W151" s="741"/>
      <c r="X151" s="741"/>
      <c r="Y151" s="741"/>
      <c r="Z151" s="741"/>
      <c r="AA151" s="741"/>
      <c r="AB151" s="741"/>
      <c r="AC151" s="741"/>
      <c r="AD151" s="741"/>
      <c r="AE151" s="741"/>
      <c r="AF151" s="741"/>
      <c r="AG151" s="741"/>
      <c r="AH151" s="741"/>
      <c r="AI151" s="741"/>
      <c r="AJ151" s="741"/>
      <c r="AK151" s="741"/>
      <c r="AL151" s="741"/>
      <c r="AM151" s="741"/>
    </row>
    <row r="152" spans="1:39" ht="12.75" customHeight="1">
      <c r="A152" s="741"/>
      <c r="B152" s="741"/>
      <c r="C152" s="741"/>
      <c r="D152" s="741"/>
      <c r="E152" s="741"/>
      <c r="F152" s="741"/>
      <c r="G152" s="741"/>
      <c r="H152" s="741"/>
      <c r="I152" s="741"/>
      <c r="J152" s="741"/>
      <c r="K152" s="741"/>
      <c r="L152" s="741"/>
      <c r="M152" s="741"/>
      <c r="N152" s="741"/>
      <c r="O152" s="741"/>
      <c r="P152" s="741"/>
      <c r="Q152" s="741"/>
      <c r="R152" s="741"/>
      <c r="S152" s="741"/>
      <c r="T152" s="741"/>
      <c r="U152" s="741"/>
      <c r="V152" s="741"/>
      <c r="W152" s="741"/>
      <c r="X152" s="741"/>
      <c r="Y152" s="741"/>
      <c r="Z152" s="741"/>
      <c r="AA152" s="741"/>
      <c r="AB152" s="741"/>
      <c r="AC152" s="741"/>
      <c r="AD152" s="741"/>
      <c r="AE152" s="741"/>
      <c r="AF152" s="741"/>
      <c r="AG152" s="741"/>
      <c r="AH152" s="741"/>
      <c r="AI152" s="741"/>
      <c r="AJ152" s="741"/>
      <c r="AK152" s="741"/>
      <c r="AL152" s="741"/>
      <c r="AM152" s="741"/>
    </row>
    <row r="153" spans="1:39" ht="12.75" customHeight="1">
      <c r="A153" s="741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1"/>
      <c r="P153" s="741"/>
      <c r="Q153" s="741"/>
      <c r="R153" s="741"/>
      <c r="S153" s="741"/>
      <c r="T153" s="741"/>
      <c r="U153" s="741"/>
      <c r="V153" s="741"/>
      <c r="W153" s="741"/>
      <c r="X153" s="741"/>
      <c r="Y153" s="741"/>
      <c r="Z153" s="741"/>
      <c r="AA153" s="741"/>
      <c r="AB153" s="741"/>
      <c r="AC153" s="741"/>
      <c r="AD153" s="741"/>
      <c r="AE153" s="741"/>
      <c r="AF153" s="741"/>
      <c r="AG153" s="741"/>
      <c r="AH153" s="741"/>
      <c r="AI153" s="741"/>
      <c r="AJ153" s="741"/>
      <c r="AK153" s="741"/>
      <c r="AL153" s="741"/>
      <c r="AM153" s="741"/>
    </row>
    <row r="154" spans="1:39" ht="12.75" customHeight="1">
      <c r="A154" s="741"/>
      <c r="B154" s="741"/>
      <c r="C154" s="741"/>
      <c r="D154" s="741"/>
      <c r="E154" s="741"/>
      <c r="F154" s="741"/>
      <c r="G154" s="741"/>
      <c r="H154" s="741"/>
      <c r="I154" s="741"/>
      <c r="J154" s="741"/>
      <c r="K154" s="741"/>
      <c r="L154" s="741"/>
      <c r="M154" s="741"/>
      <c r="N154" s="741"/>
      <c r="O154" s="741"/>
      <c r="P154" s="741"/>
      <c r="Q154" s="741"/>
      <c r="R154" s="741"/>
      <c r="S154" s="741"/>
      <c r="T154" s="741"/>
      <c r="U154" s="741"/>
      <c r="V154" s="741"/>
      <c r="W154" s="741"/>
      <c r="X154" s="741"/>
      <c r="Y154" s="741"/>
      <c r="Z154" s="741"/>
      <c r="AA154" s="741"/>
      <c r="AB154" s="741"/>
      <c r="AC154" s="741"/>
      <c r="AD154" s="741"/>
      <c r="AE154" s="741"/>
      <c r="AF154" s="741"/>
      <c r="AG154" s="741"/>
      <c r="AH154" s="741"/>
      <c r="AI154" s="741"/>
      <c r="AJ154" s="741"/>
      <c r="AK154" s="741"/>
      <c r="AL154" s="741"/>
      <c r="AM154" s="741"/>
    </row>
    <row r="155" spans="1:39" ht="12.75" customHeight="1">
      <c r="A155" s="741"/>
      <c r="B155" s="741"/>
      <c r="C155" s="741"/>
      <c r="D155" s="741"/>
      <c r="E155" s="741"/>
      <c r="F155" s="741"/>
      <c r="G155" s="741"/>
      <c r="H155" s="741"/>
      <c r="I155" s="741"/>
      <c r="J155" s="741"/>
      <c r="K155" s="741"/>
      <c r="L155" s="741"/>
      <c r="M155" s="741"/>
      <c r="N155" s="741"/>
      <c r="O155" s="741"/>
      <c r="P155" s="741"/>
      <c r="Q155" s="741"/>
      <c r="R155" s="741"/>
      <c r="S155" s="741"/>
      <c r="T155" s="741"/>
      <c r="U155" s="741"/>
      <c r="V155" s="741"/>
      <c r="W155" s="741"/>
      <c r="X155" s="741"/>
      <c r="Y155" s="741"/>
      <c r="Z155" s="741"/>
      <c r="AA155" s="741"/>
      <c r="AB155" s="741"/>
      <c r="AC155" s="741"/>
      <c r="AD155" s="741"/>
      <c r="AE155" s="741"/>
      <c r="AF155" s="741"/>
      <c r="AG155" s="741"/>
      <c r="AH155" s="741"/>
      <c r="AI155" s="741"/>
      <c r="AJ155" s="741"/>
      <c r="AK155" s="741"/>
      <c r="AL155" s="741"/>
      <c r="AM155" s="741"/>
    </row>
    <row r="156" spans="1:39" ht="12.75" customHeight="1">
      <c r="A156" s="741"/>
      <c r="B156" s="741"/>
      <c r="C156" s="741"/>
      <c r="D156" s="741"/>
      <c r="E156" s="741"/>
      <c r="F156" s="741"/>
      <c r="G156" s="741"/>
      <c r="H156" s="741"/>
      <c r="I156" s="741"/>
      <c r="J156" s="741"/>
      <c r="K156" s="741"/>
      <c r="L156" s="741"/>
      <c r="M156" s="741"/>
      <c r="N156" s="741"/>
      <c r="O156" s="741"/>
      <c r="P156" s="741"/>
      <c r="Q156" s="741"/>
      <c r="R156" s="741"/>
      <c r="S156" s="741"/>
      <c r="T156" s="741"/>
      <c r="U156" s="741"/>
      <c r="V156" s="741"/>
      <c r="W156" s="741"/>
      <c r="X156" s="741"/>
      <c r="Y156" s="741"/>
      <c r="Z156" s="741"/>
      <c r="AA156" s="741"/>
      <c r="AB156" s="741"/>
      <c r="AC156" s="741"/>
      <c r="AD156" s="741"/>
      <c r="AE156" s="741"/>
      <c r="AF156" s="741"/>
      <c r="AG156" s="741"/>
      <c r="AH156" s="741"/>
      <c r="AI156" s="741"/>
      <c r="AJ156" s="741"/>
      <c r="AK156" s="741"/>
      <c r="AL156" s="741"/>
      <c r="AM156" s="741"/>
    </row>
    <row r="157" spans="1:39" ht="12.75" customHeight="1">
      <c r="A157" s="741"/>
      <c r="B157" s="741"/>
      <c r="C157" s="741"/>
      <c r="D157" s="741"/>
      <c r="E157" s="741"/>
      <c r="F157" s="741"/>
      <c r="G157" s="741"/>
      <c r="H157" s="741"/>
      <c r="I157" s="741"/>
      <c r="J157" s="741"/>
      <c r="K157" s="741"/>
      <c r="L157" s="741"/>
      <c r="M157" s="741"/>
      <c r="N157" s="741"/>
      <c r="O157" s="741"/>
      <c r="P157" s="741"/>
      <c r="Q157" s="741"/>
      <c r="R157" s="741"/>
      <c r="S157" s="741"/>
      <c r="T157" s="741"/>
      <c r="U157" s="741"/>
      <c r="V157" s="741"/>
      <c r="W157" s="741"/>
      <c r="X157" s="741"/>
      <c r="Y157" s="741"/>
      <c r="Z157" s="741"/>
      <c r="AA157" s="741"/>
      <c r="AB157" s="741"/>
      <c r="AC157" s="741"/>
      <c r="AD157" s="741"/>
      <c r="AE157" s="741"/>
      <c r="AF157" s="741"/>
      <c r="AG157" s="741"/>
      <c r="AH157" s="741"/>
      <c r="AI157" s="741"/>
      <c r="AJ157" s="741"/>
      <c r="AK157" s="741"/>
      <c r="AL157" s="741"/>
      <c r="AM157" s="741"/>
    </row>
    <row r="158" spans="1:39" ht="12.75" customHeight="1">
      <c r="A158" s="741"/>
      <c r="B158" s="741"/>
      <c r="C158" s="741"/>
      <c r="D158" s="741"/>
      <c r="E158" s="741"/>
      <c r="F158" s="741"/>
      <c r="G158" s="741"/>
      <c r="H158" s="741"/>
      <c r="I158" s="741"/>
      <c r="J158" s="741"/>
      <c r="K158" s="741"/>
      <c r="L158" s="741"/>
      <c r="M158" s="741"/>
      <c r="N158" s="741"/>
      <c r="O158" s="741"/>
      <c r="P158" s="741"/>
      <c r="Q158" s="741"/>
      <c r="R158" s="741"/>
      <c r="S158" s="741"/>
      <c r="T158" s="741"/>
      <c r="U158" s="741"/>
      <c r="V158" s="741"/>
      <c r="W158" s="741"/>
      <c r="X158" s="741"/>
      <c r="Y158" s="741"/>
      <c r="Z158" s="741"/>
      <c r="AA158" s="741"/>
      <c r="AB158" s="741"/>
      <c r="AC158" s="741"/>
      <c r="AD158" s="741"/>
      <c r="AE158" s="741"/>
      <c r="AF158" s="741"/>
      <c r="AG158" s="741"/>
      <c r="AH158" s="741"/>
      <c r="AI158" s="741"/>
      <c r="AJ158" s="741"/>
      <c r="AK158" s="741"/>
      <c r="AL158" s="741"/>
      <c r="AM158" s="741"/>
    </row>
    <row r="159" spans="1:39" ht="12.75" customHeight="1">
      <c r="A159" s="741"/>
      <c r="B159" s="741"/>
      <c r="C159" s="741"/>
      <c r="D159" s="741"/>
      <c r="E159" s="741"/>
      <c r="F159" s="741"/>
      <c r="G159" s="741"/>
      <c r="H159" s="741"/>
      <c r="I159" s="741"/>
      <c r="J159" s="741"/>
      <c r="K159" s="741"/>
      <c r="L159" s="741"/>
      <c r="M159" s="741"/>
      <c r="N159" s="741"/>
      <c r="O159" s="741"/>
      <c r="P159" s="741"/>
      <c r="Q159" s="741"/>
      <c r="R159" s="741"/>
      <c r="S159" s="741"/>
      <c r="T159" s="741"/>
      <c r="U159" s="741"/>
      <c r="V159" s="741"/>
      <c r="W159" s="741"/>
      <c r="X159" s="741"/>
      <c r="Y159" s="741"/>
      <c r="Z159" s="741"/>
      <c r="AA159" s="741"/>
      <c r="AB159" s="741"/>
      <c r="AC159" s="741"/>
      <c r="AD159" s="741"/>
      <c r="AE159" s="741"/>
      <c r="AF159" s="741"/>
      <c r="AG159" s="741"/>
      <c r="AH159" s="741"/>
      <c r="AI159" s="741"/>
      <c r="AJ159" s="741"/>
      <c r="AK159" s="741"/>
      <c r="AL159" s="741"/>
      <c r="AM159" s="741"/>
    </row>
    <row r="160" spans="1:39" ht="12.75" customHeight="1">
      <c r="A160" s="741"/>
      <c r="B160" s="741"/>
      <c r="C160" s="741"/>
      <c r="D160" s="741"/>
      <c r="E160" s="741"/>
      <c r="F160" s="741"/>
      <c r="G160" s="741"/>
      <c r="H160" s="741"/>
      <c r="I160" s="741"/>
      <c r="J160" s="741"/>
      <c r="K160" s="741"/>
      <c r="L160" s="741"/>
      <c r="M160" s="741"/>
      <c r="N160" s="741"/>
      <c r="O160" s="741"/>
      <c r="P160" s="741"/>
      <c r="Q160" s="741"/>
      <c r="R160" s="741"/>
      <c r="S160" s="741"/>
      <c r="T160" s="741"/>
      <c r="U160" s="741"/>
      <c r="V160" s="741"/>
      <c r="W160" s="741"/>
      <c r="X160" s="741"/>
      <c r="Y160" s="741"/>
      <c r="Z160" s="741"/>
      <c r="AA160" s="741"/>
      <c r="AB160" s="741"/>
      <c r="AC160" s="741"/>
      <c r="AD160" s="741"/>
      <c r="AE160" s="741"/>
      <c r="AF160" s="741"/>
      <c r="AG160" s="741"/>
      <c r="AH160" s="741"/>
      <c r="AI160" s="741"/>
      <c r="AJ160" s="741"/>
      <c r="AK160" s="741"/>
      <c r="AL160" s="741"/>
      <c r="AM160" s="741"/>
    </row>
    <row r="161" spans="1:39" ht="12.75" customHeight="1">
      <c r="A161" s="741"/>
      <c r="B161" s="741"/>
      <c r="C161" s="741"/>
      <c r="D161" s="741"/>
      <c r="E161" s="741"/>
      <c r="F161" s="741"/>
      <c r="G161" s="741"/>
      <c r="H161" s="741"/>
      <c r="I161" s="741"/>
      <c r="J161" s="741"/>
      <c r="K161" s="741"/>
      <c r="L161" s="741"/>
      <c r="M161" s="741"/>
      <c r="N161" s="741"/>
      <c r="O161" s="741"/>
      <c r="P161" s="741"/>
      <c r="Q161" s="741"/>
      <c r="R161" s="741"/>
      <c r="S161" s="741"/>
      <c r="T161" s="741"/>
      <c r="U161" s="741"/>
      <c r="V161" s="741"/>
      <c r="W161" s="741"/>
      <c r="X161" s="741"/>
      <c r="Y161" s="741"/>
      <c r="Z161" s="741"/>
      <c r="AA161" s="741"/>
      <c r="AB161" s="741"/>
      <c r="AC161" s="741"/>
      <c r="AD161" s="741"/>
      <c r="AE161" s="741"/>
      <c r="AF161" s="741"/>
      <c r="AG161" s="741"/>
      <c r="AH161" s="741"/>
      <c r="AI161" s="741"/>
      <c r="AJ161" s="741"/>
      <c r="AK161" s="741"/>
      <c r="AL161" s="741"/>
      <c r="AM161" s="741"/>
    </row>
    <row r="162" spans="1:39" ht="12.75" customHeight="1">
      <c r="A162" s="741"/>
      <c r="B162" s="741"/>
      <c r="C162" s="741"/>
      <c r="D162" s="741"/>
      <c r="E162" s="741"/>
      <c r="F162" s="741"/>
      <c r="G162" s="741"/>
      <c r="H162" s="741"/>
      <c r="I162" s="741"/>
      <c r="J162" s="741"/>
      <c r="K162" s="741"/>
      <c r="L162" s="741"/>
      <c r="M162" s="741"/>
      <c r="N162" s="741"/>
      <c r="O162" s="741"/>
      <c r="P162" s="741"/>
      <c r="Q162" s="741"/>
      <c r="R162" s="741"/>
      <c r="S162" s="741"/>
      <c r="T162" s="741"/>
      <c r="U162" s="741"/>
      <c r="V162" s="741"/>
      <c r="W162" s="741"/>
      <c r="X162" s="741"/>
      <c r="Y162" s="741"/>
      <c r="Z162" s="741"/>
      <c r="AA162" s="741"/>
      <c r="AB162" s="741"/>
      <c r="AC162" s="741"/>
      <c r="AD162" s="741"/>
      <c r="AE162" s="741"/>
      <c r="AF162" s="741"/>
      <c r="AG162" s="741"/>
      <c r="AH162" s="741"/>
      <c r="AI162" s="741"/>
      <c r="AJ162" s="741"/>
      <c r="AK162" s="741"/>
      <c r="AL162" s="741"/>
      <c r="AM162" s="741"/>
    </row>
    <row r="163" spans="1:39" ht="12.75" customHeight="1">
      <c r="A163" s="741"/>
      <c r="B163" s="741"/>
      <c r="C163" s="741"/>
      <c r="D163" s="741"/>
      <c r="E163" s="741"/>
      <c r="F163" s="741"/>
      <c r="G163" s="741"/>
      <c r="H163" s="741"/>
      <c r="I163" s="741"/>
      <c r="J163" s="741"/>
      <c r="K163" s="741"/>
      <c r="L163" s="741"/>
      <c r="M163" s="741"/>
      <c r="N163" s="741"/>
      <c r="O163" s="741"/>
      <c r="P163" s="741"/>
      <c r="Q163" s="741"/>
      <c r="R163" s="741"/>
      <c r="S163" s="741"/>
      <c r="T163" s="741"/>
      <c r="U163" s="741"/>
      <c r="V163" s="741"/>
      <c r="W163" s="741"/>
      <c r="X163" s="741"/>
      <c r="Y163" s="741"/>
      <c r="Z163" s="741"/>
      <c r="AA163" s="741"/>
      <c r="AB163" s="741"/>
      <c r="AC163" s="741"/>
      <c r="AD163" s="741"/>
      <c r="AE163" s="741"/>
      <c r="AF163" s="741"/>
      <c r="AG163" s="741"/>
      <c r="AH163" s="741"/>
      <c r="AI163" s="741"/>
      <c r="AJ163" s="741"/>
      <c r="AK163" s="741"/>
      <c r="AL163" s="741"/>
      <c r="AM163" s="741"/>
    </row>
    <row r="164" spans="1:39" ht="12.75" customHeight="1">
      <c r="A164" s="741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1"/>
      <c r="P164" s="741"/>
      <c r="Q164" s="741"/>
      <c r="R164" s="741"/>
      <c r="S164" s="741"/>
      <c r="T164" s="741"/>
      <c r="U164" s="741"/>
      <c r="V164" s="741"/>
      <c r="W164" s="741"/>
      <c r="X164" s="741"/>
      <c r="Y164" s="741"/>
      <c r="Z164" s="741"/>
      <c r="AA164" s="741"/>
      <c r="AB164" s="741"/>
      <c r="AC164" s="741"/>
      <c r="AD164" s="741"/>
      <c r="AE164" s="741"/>
      <c r="AF164" s="741"/>
      <c r="AG164" s="741"/>
      <c r="AH164" s="741"/>
      <c r="AI164" s="741"/>
      <c r="AJ164" s="741"/>
      <c r="AK164" s="741"/>
      <c r="AL164" s="741"/>
      <c r="AM164" s="741"/>
    </row>
    <row r="165" spans="1:39" ht="12.75" customHeight="1">
      <c r="A165" s="741"/>
      <c r="B165" s="741"/>
      <c r="C165" s="741"/>
      <c r="D165" s="741"/>
      <c r="E165" s="741"/>
      <c r="F165" s="741"/>
      <c r="G165" s="741"/>
      <c r="H165" s="741"/>
      <c r="I165" s="741"/>
      <c r="J165" s="741"/>
      <c r="K165" s="741"/>
      <c r="L165" s="741"/>
      <c r="M165" s="741"/>
      <c r="N165" s="741"/>
      <c r="O165" s="741"/>
      <c r="P165" s="741"/>
      <c r="Q165" s="741"/>
      <c r="R165" s="741"/>
      <c r="S165" s="741"/>
      <c r="T165" s="741"/>
      <c r="U165" s="741"/>
      <c r="V165" s="741"/>
      <c r="W165" s="741"/>
      <c r="X165" s="741"/>
      <c r="Y165" s="741"/>
      <c r="Z165" s="741"/>
      <c r="AA165" s="741"/>
      <c r="AB165" s="741"/>
      <c r="AC165" s="741"/>
      <c r="AD165" s="741"/>
      <c r="AE165" s="741"/>
      <c r="AF165" s="741"/>
      <c r="AG165" s="741"/>
      <c r="AH165" s="741"/>
      <c r="AI165" s="741"/>
      <c r="AJ165" s="741"/>
      <c r="AK165" s="741"/>
      <c r="AL165" s="741"/>
      <c r="AM165" s="741"/>
    </row>
    <row r="166" spans="1:39" ht="12.75" customHeight="1">
      <c r="A166" s="741"/>
      <c r="B166" s="741"/>
      <c r="C166" s="741"/>
      <c r="D166" s="741"/>
      <c r="E166" s="741"/>
      <c r="F166" s="741"/>
      <c r="G166" s="741"/>
      <c r="H166" s="741"/>
      <c r="I166" s="741"/>
      <c r="J166" s="741"/>
      <c r="K166" s="741"/>
      <c r="L166" s="741"/>
      <c r="M166" s="741"/>
      <c r="N166" s="741"/>
      <c r="O166" s="741"/>
      <c r="P166" s="741"/>
      <c r="Q166" s="741"/>
      <c r="R166" s="741"/>
      <c r="S166" s="741"/>
      <c r="T166" s="741"/>
      <c r="U166" s="741"/>
      <c r="V166" s="741"/>
      <c r="W166" s="741"/>
      <c r="X166" s="741"/>
      <c r="Y166" s="741"/>
      <c r="Z166" s="741"/>
      <c r="AA166" s="741"/>
      <c r="AB166" s="741"/>
      <c r="AC166" s="741"/>
      <c r="AD166" s="741"/>
      <c r="AE166" s="741"/>
      <c r="AF166" s="741"/>
      <c r="AG166" s="741"/>
      <c r="AH166" s="741"/>
      <c r="AI166" s="741"/>
      <c r="AJ166" s="741"/>
      <c r="AK166" s="741"/>
      <c r="AL166" s="741"/>
      <c r="AM166" s="741"/>
    </row>
    <row r="167" spans="1:39" ht="12.75" customHeight="1">
      <c r="A167" s="741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1"/>
      <c r="P167" s="741"/>
      <c r="Q167" s="741"/>
      <c r="R167" s="741"/>
      <c r="S167" s="741"/>
      <c r="T167" s="741"/>
      <c r="U167" s="741"/>
      <c r="V167" s="741"/>
      <c r="W167" s="741"/>
      <c r="X167" s="741"/>
      <c r="Y167" s="741"/>
      <c r="Z167" s="741"/>
      <c r="AA167" s="741"/>
      <c r="AB167" s="741"/>
      <c r="AC167" s="741"/>
      <c r="AD167" s="741"/>
      <c r="AE167" s="741"/>
      <c r="AF167" s="741"/>
      <c r="AG167" s="741"/>
      <c r="AH167" s="741"/>
      <c r="AI167" s="741"/>
      <c r="AJ167" s="741"/>
      <c r="AK167" s="741"/>
      <c r="AL167" s="741"/>
      <c r="AM167" s="741"/>
    </row>
    <row r="168" spans="1:39" ht="12.75" customHeight="1">
      <c r="A168" s="741"/>
      <c r="B168" s="741"/>
      <c r="C168" s="741"/>
      <c r="D168" s="741"/>
      <c r="E168" s="741"/>
      <c r="F168" s="741"/>
      <c r="G168" s="741"/>
      <c r="H168" s="741"/>
      <c r="I168" s="741"/>
      <c r="J168" s="741"/>
      <c r="K168" s="741"/>
      <c r="L168" s="741"/>
      <c r="M168" s="741"/>
      <c r="N168" s="741"/>
      <c r="O168" s="741"/>
      <c r="P168" s="741"/>
      <c r="Q168" s="741"/>
      <c r="R168" s="741"/>
      <c r="S168" s="741"/>
      <c r="T168" s="741"/>
      <c r="U168" s="741"/>
      <c r="V168" s="741"/>
      <c r="W168" s="741"/>
      <c r="X168" s="741"/>
      <c r="Y168" s="741"/>
      <c r="Z168" s="741"/>
      <c r="AA168" s="741"/>
      <c r="AB168" s="741"/>
      <c r="AC168" s="741"/>
      <c r="AD168" s="741"/>
      <c r="AE168" s="741"/>
      <c r="AF168" s="741"/>
      <c r="AG168" s="741"/>
      <c r="AH168" s="741"/>
      <c r="AI168" s="741"/>
      <c r="AJ168" s="741"/>
      <c r="AK168" s="741"/>
      <c r="AL168" s="741"/>
      <c r="AM168" s="741"/>
    </row>
    <row r="169" spans="1:39" ht="12.75" customHeight="1">
      <c r="A169" s="741"/>
      <c r="B169" s="741"/>
      <c r="C169" s="741"/>
      <c r="D169" s="741"/>
      <c r="E169" s="741"/>
      <c r="F169" s="741"/>
      <c r="G169" s="741"/>
      <c r="H169" s="741"/>
      <c r="I169" s="741"/>
      <c r="J169" s="741"/>
      <c r="K169" s="741"/>
      <c r="L169" s="741"/>
      <c r="M169" s="741"/>
      <c r="N169" s="741"/>
      <c r="O169" s="741"/>
      <c r="P169" s="741"/>
      <c r="Q169" s="741"/>
      <c r="R169" s="741"/>
      <c r="S169" s="741"/>
      <c r="T169" s="741"/>
      <c r="U169" s="741"/>
      <c r="V169" s="741"/>
      <c r="W169" s="741"/>
      <c r="X169" s="741"/>
      <c r="Y169" s="741"/>
      <c r="Z169" s="741"/>
      <c r="AA169" s="741"/>
      <c r="AB169" s="741"/>
      <c r="AC169" s="741"/>
      <c r="AD169" s="741"/>
      <c r="AE169" s="741"/>
      <c r="AF169" s="741"/>
      <c r="AG169" s="741"/>
      <c r="AH169" s="741"/>
      <c r="AI169" s="741"/>
      <c r="AJ169" s="741"/>
      <c r="AK169" s="741"/>
      <c r="AL169" s="741"/>
      <c r="AM169" s="741"/>
    </row>
    <row r="170" spans="1:39" ht="12.75" customHeight="1">
      <c r="A170" s="741"/>
      <c r="B170" s="741"/>
      <c r="C170" s="741"/>
      <c r="D170" s="741"/>
      <c r="E170" s="741"/>
      <c r="F170" s="741"/>
      <c r="G170" s="741"/>
      <c r="H170" s="741"/>
      <c r="I170" s="741"/>
      <c r="J170" s="741"/>
      <c r="K170" s="741"/>
      <c r="L170" s="741"/>
      <c r="M170" s="741"/>
      <c r="N170" s="741"/>
      <c r="O170" s="741"/>
      <c r="P170" s="741"/>
      <c r="Q170" s="741"/>
      <c r="R170" s="741"/>
      <c r="S170" s="741"/>
      <c r="T170" s="741"/>
      <c r="U170" s="741"/>
      <c r="V170" s="741"/>
      <c r="W170" s="741"/>
      <c r="X170" s="741"/>
      <c r="Y170" s="741"/>
      <c r="Z170" s="741"/>
      <c r="AA170" s="741"/>
      <c r="AB170" s="741"/>
      <c r="AC170" s="741"/>
      <c r="AD170" s="741"/>
      <c r="AE170" s="741"/>
      <c r="AF170" s="741"/>
      <c r="AG170" s="741"/>
      <c r="AH170" s="741"/>
      <c r="AI170" s="741"/>
      <c r="AJ170" s="741"/>
      <c r="AK170" s="741"/>
      <c r="AL170" s="741"/>
      <c r="AM170" s="741"/>
    </row>
    <row r="171" spans="1:39" ht="12.75" customHeight="1">
      <c r="A171" s="741"/>
      <c r="B171" s="741"/>
      <c r="C171" s="741"/>
      <c r="D171" s="741"/>
      <c r="E171" s="741"/>
      <c r="F171" s="741"/>
      <c r="G171" s="741"/>
      <c r="H171" s="741"/>
      <c r="I171" s="741"/>
      <c r="J171" s="741"/>
      <c r="K171" s="741"/>
      <c r="L171" s="741"/>
      <c r="M171" s="741"/>
      <c r="N171" s="741"/>
      <c r="O171" s="741"/>
      <c r="P171" s="741"/>
      <c r="Q171" s="741"/>
      <c r="R171" s="741"/>
      <c r="S171" s="741"/>
      <c r="T171" s="741"/>
      <c r="U171" s="741"/>
      <c r="V171" s="741"/>
      <c r="W171" s="741"/>
      <c r="X171" s="741"/>
      <c r="Y171" s="741"/>
      <c r="Z171" s="741"/>
      <c r="AA171" s="741"/>
      <c r="AB171" s="741"/>
      <c r="AC171" s="741"/>
      <c r="AD171" s="741"/>
      <c r="AE171" s="741"/>
      <c r="AF171" s="741"/>
      <c r="AG171" s="741"/>
      <c r="AH171" s="741"/>
      <c r="AI171" s="741"/>
      <c r="AJ171" s="741"/>
      <c r="AK171" s="741"/>
      <c r="AL171" s="741"/>
      <c r="AM171" s="741"/>
    </row>
    <row r="172" spans="1:39" ht="12.75" customHeight="1">
      <c r="A172" s="741"/>
      <c r="B172" s="741"/>
      <c r="C172" s="741"/>
      <c r="D172" s="741"/>
      <c r="E172" s="741"/>
      <c r="F172" s="741"/>
      <c r="G172" s="741"/>
      <c r="H172" s="741"/>
      <c r="I172" s="741"/>
      <c r="J172" s="741"/>
      <c r="K172" s="741"/>
      <c r="L172" s="741"/>
      <c r="M172" s="741"/>
      <c r="N172" s="741"/>
      <c r="O172" s="741"/>
      <c r="P172" s="741"/>
      <c r="Q172" s="741"/>
      <c r="R172" s="741"/>
      <c r="S172" s="741"/>
      <c r="T172" s="741"/>
      <c r="U172" s="741"/>
      <c r="V172" s="741"/>
      <c r="W172" s="741"/>
      <c r="X172" s="741"/>
      <c r="Y172" s="741"/>
      <c r="Z172" s="741"/>
      <c r="AA172" s="741"/>
      <c r="AB172" s="741"/>
      <c r="AC172" s="741"/>
      <c r="AD172" s="741"/>
      <c r="AE172" s="741"/>
      <c r="AF172" s="741"/>
      <c r="AG172" s="741"/>
      <c r="AH172" s="741"/>
      <c r="AI172" s="741"/>
      <c r="AJ172" s="741"/>
      <c r="AK172" s="741"/>
      <c r="AL172" s="741"/>
      <c r="AM172" s="741"/>
    </row>
    <row r="173" spans="1:39" ht="12.75" customHeight="1">
      <c r="A173" s="741"/>
      <c r="B173" s="741"/>
      <c r="C173" s="741"/>
      <c r="D173" s="741"/>
      <c r="E173" s="741"/>
      <c r="F173" s="741"/>
      <c r="G173" s="741"/>
      <c r="H173" s="741"/>
      <c r="I173" s="741"/>
      <c r="J173" s="741"/>
      <c r="K173" s="741"/>
      <c r="L173" s="741"/>
      <c r="M173" s="741"/>
      <c r="N173" s="741"/>
      <c r="O173" s="741"/>
      <c r="P173" s="741"/>
      <c r="Q173" s="741"/>
      <c r="R173" s="741"/>
      <c r="S173" s="741"/>
      <c r="T173" s="741"/>
      <c r="U173" s="741"/>
      <c r="V173" s="741"/>
      <c r="W173" s="741"/>
      <c r="X173" s="741"/>
      <c r="Y173" s="741"/>
      <c r="Z173" s="741"/>
      <c r="AA173" s="741"/>
      <c r="AB173" s="741"/>
      <c r="AC173" s="741"/>
      <c r="AD173" s="741"/>
      <c r="AE173" s="741"/>
      <c r="AF173" s="741"/>
      <c r="AG173" s="741"/>
      <c r="AH173" s="741"/>
      <c r="AI173" s="741"/>
      <c r="AJ173" s="741"/>
      <c r="AK173" s="741"/>
      <c r="AL173" s="741"/>
      <c r="AM173" s="741"/>
    </row>
    <row r="174" spans="1:39" ht="12.75" customHeight="1">
      <c r="A174" s="741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1"/>
      <c r="P174" s="741"/>
      <c r="Q174" s="741"/>
      <c r="R174" s="741"/>
      <c r="S174" s="741"/>
      <c r="T174" s="741"/>
      <c r="U174" s="741"/>
      <c r="V174" s="741"/>
      <c r="W174" s="741"/>
      <c r="X174" s="741"/>
      <c r="Y174" s="741"/>
      <c r="Z174" s="741"/>
      <c r="AA174" s="741"/>
      <c r="AB174" s="741"/>
      <c r="AC174" s="741"/>
      <c r="AD174" s="741"/>
      <c r="AE174" s="741"/>
      <c r="AF174" s="741"/>
      <c r="AG174" s="741"/>
      <c r="AH174" s="741"/>
      <c r="AI174" s="741"/>
      <c r="AJ174" s="741"/>
      <c r="AK174" s="741"/>
      <c r="AL174" s="741"/>
      <c r="AM174" s="741"/>
    </row>
    <row r="175" spans="1:39" ht="12.75" customHeight="1">
      <c r="A175" s="741"/>
      <c r="B175" s="741"/>
      <c r="C175" s="741"/>
      <c r="D175" s="741"/>
      <c r="E175" s="741"/>
      <c r="F175" s="741"/>
      <c r="G175" s="741"/>
      <c r="H175" s="741"/>
      <c r="I175" s="741"/>
      <c r="J175" s="741"/>
      <c r="K175" s="741"/>
      <c r="L175" s="741"/>
      <c r="M175" s="741"/>
      <c r="N175" s="741"/>
      <c r="O175" s="741"/>
      <c r="P175" s="741"/>
      <c r="Q175" s="741"/>
      <c r="R175" s="741"/>
      <c r="S175" s="741"/>
      <c r="T175" s="741"/>
      <c r="U175" s="741"/>
      <c r="V175" s="741"/>
      <c r="W175" s="741"/>
      <c r="X175" s="741"/>
      <c r="Y175" s="741"/>
      <c r="Z175" s="741"/>
      <c r="AA175" s="741"/>
      <c r="AB175" s="741"/>
      <c r="AC175" s="741"/>
      <c r="AD175" s="741"/>
      <c r="AE175" s="741"/>
      <c r="AF175" s="741"/>
      <c r="AG175" s="741"/>
      <c r="AH175" s="741"/>
      <c r="AI175" s="741"/>
      <c r="AJ175" s="741"/>
      <c r="AK175" s="741"/>
      <c r="AL175" s="741"/>
      <c r="AM175" s="741"/>
    </row>
    <row r="176" spans="1:39" ht="12.75" customHeight="1">
      <c r="A176" s="741"/>
      <c r="B176" s="741"/>
      <c r="C176" s="741"/>
      <c r="D176" s="741"/>
      <c r="E176" s="741"/>
      <c r="F176" s="741"/>
      <c r="G176" s="741"/>
      <c r="H176" s="741"/>
      <c r="I176" s="741"/>
      <c r="J176" s="741"/>
      <c r="K176" s="741"/>
      <c r="L176" s="741"/>
      <c r="M176" s="741"/>
      <c r="N176" s="741"/>
      <c r="O176" s="741"/>
      <c r="P176" s="741"/>
      <c r="Q176" s="741"/>
      <c r="R176" s="741"/>
      <c r="S176" s="741"/>
      <c r="T176" s="741"/>
      <c r="U176" s="741"/>
      <c r="V176" s="741"/>
      <c r="W176" s="741"/>
      <c r="X176" s="741"/>
      <c r="Y176" s="741"/>
      <c r="Z176" s="741"/>
      <c r="AA176" s="741"/>
      <c r="AB176" s="741"/>
      <c r="AC176" s="741"/>
      <c r="AD176" s="741"/>
      <c r="AE176" s="741"/>
      <c r="AF176" s="741"/>
      <c r="AG176" s="741"/>
      <c r="AH176" s="741"/>
      <c r="AI176" s="741"/>
      <c r="AJ176" s="741"/>
      <c r="AK176" s="741"/>
      <c r="AL176" s="741"/>
      <c r="AM176" s="741"/>
    </row>
    <row r="177" spans="1:39" ht="12.75" customHeight="1">
      <c r="A177" s="741"/>
      <c r="B177" s="741"/>
      <c r="C177" s="741"/>
      <c r="D177" s="741"/>
      <c r="E177" s="741"/>
      <c r="F177" s="741"/>
      <c r="G177" s="741"/>
      <c r="H177" s="741"/>
      <c r="I177" s="741"/>
      <c r="J177" s="741"/>
      <c r="K177" s="741"/>
      <c r="L177" s="741"/>
      <c r="M177" s="741"/>
      <c r="N177" s="741"/>
      <c r="O177" s="741"/>
      <c r="P177" s="741"/>
      <c r="Q177" s="741"/>
      <c r="R177" s="741"/>
      <c r="S177" s="741"/>
      <c r="T177" s="741"/>
      <c r="U177" s="741"/>
      <c r="V177" s="741"/>
      <c r="W177" s="741"/>
      <c r="X177" s="741"/>
      <c r="Y177" s="741"/>
      <c r="Z177" s="741"/>
      <c r="AA177" s="741"/>
      <c r="AB177" s="741"/>
      <c r="AC177" s="741"/>
      <c r="AD177" s="741"/>
      <c r="AE177" s="741"/>
      <c r="AF177" s="741"/>
      <c r="AG177" s="741"/>
      <c r="AH177" s="741"/>
      <c r="AI177" s="741"/>
      <c r="AJ177" s="741"/>
      <c r="AK177" s="741"/>
      <c r="AL177" s="741"/>
      <c r="AM177" s="741"/>
    </row>
    <row r="178" spans="1:39" ht="12.75" customHeight="1">
      <c r="A178" s="741"/>
      <c r="B178" s="741"/>
      <c r="C178" s="741"/>
      <c r="D178" s="741"/>
      <c r="E178" s="741"/>
      <c r="F178" s="741"/>
      <c r="G178" s="741"/>
      <c r="H178" s="741"/>
      <c r="I178" s="741"/>
      <c r="J178" s="741"/>
      <c r="K178" s="741"/>
      <c r="L178" s="741"/>
      <c r="M178" s="741"/>
      <c r="N178" s="741"/>
      <c r="O178" s="741"/>
      <c r="P178" s="741"/>
      <c r="Q178" s="741"/>
      <c r="R178" s="741"/>
      <c r="S178" s="741"/>
      <c r="T178" s="741"/>
      <c r="U178" s="741"/>
      <c r="V178" s="741"/>
      <c r="W178" s="741"/>
      <c r="X178" s="741"/>
      <c r="Y178" s="741"/>
      <c r="Z178" s="741"/>
      <c r="AA178" s="741"/>
      <c r="AB178" s="741"/>
      <c r="AC178" s="741"/>
      <c r="AD178" s="741"/>
      <c r="AE178" s="741"/>
      <c r="AF178" s="741"/>
      <c r="AG178" s="741"/>
      <c r="AH178" s="741"/>
      <c r="AI178" s="741"/>
      <c r="AJ178" s="741"/>
      <c r="AK178" s="741"/>
      <c r="AL178" s="741"/>
      <c r="AM178" s="741"/>
    </row>
    <row r="179" spans="1:39" ht="12.75" customHeight="1">
      <c r="A179" s="741"/>
      <c r="B179" s="741"/>
      <c r="C179" s="741"/>
      <c r="D179" s="741"/>
      <c r="E179" s="741"/>
      <c r="F179" s="741"/>
      <c r="G179" s="741"/>
      <c r="H179" s="741"/>
      <c r="I179" s="741"/>
      <c r="J179" s="741"/>
      <c r="K179" s="741"/>
      <c r="L179" s="741"/>
      <c r="M179" s="741"/>
      <c r="N179" s="741"/>
      <c r="O179" s="741"/>
      <c r="P179" s="741"/>
      <c r="Q179" s="741"/>
      <c r="R179" s="741"/>
      <c r="S179" s="741"/>
      <c r="T179" s="741"/>
      <c r="U179" s="741"/>
      <c r="V179" s="741"/>
      <c r="W179" s="741"/>
      <c r="X179" s="741"/>
      <c r="Y179" s="741"/>
      <c r="Z179" s="741"/>
      <c r="AA179" s="741"/>
      <c r="AB179" s="741"/>
      <c r="AC179" s="741"/>
      <c r="AD179" s="741"/>
      <c r="AE179" s="741"/>
      <c r="AF179" s="741"/>
      <c r="AG179" s="741"/>
      <c r="AH179" s="741"/>
      <c r="AI179" s="741"/>
      <c r="AJ179" s="741"/>
      <c r="AK179" s="741"/>
      <c r="AL179" s="741"/>
      <c r="AM179" s="741"/>
    </row>
    <row r="180" spans="1:39" ht="12.75" customHeight="1">
      <c r="A180" s="741"/>
      <c r="B180" s="741"/>
      <c r="C180" s="741"/>
      <c r="D180" s="741"/>
      <c r="E180" s="741"/>
      <c r="F180" s="741"/>
      <c r="G180" s="741"/>
      <c r="H180" s="741"/>
      <c r="I180" s="741"/>
      <c r="J180" s="741"/>
      <c r="K180" s="741"/>
      <c r="L180" s="741"/>
      <c r="M180" s="741"/>
      <c r="N180" s="741"/>
      <c r="O180" s="741"/>
      <c r="P180" s="741"/>
      <c r="Q180" s="741"/>
      <c r="R180" s="741"/>
      <c r="S180" s="741"/>
      <c r="T180" s="741"/>
      <c r="U180" s="741"/>
      <c r="V180" s="741"/>
      <c r="W180" s="741"/>
      <c r="X180" s="741"/>
      <c r="Y180" s="741"/>
      <c r="Z180" s="741"/>
      <c r="AA180" s="741"/>
      <c r="AB180" s="741"/>
      <c r="AC180" s="741"/>
      <c r="AD180" s="741"/>
      <c r="AE180" s="741"/>
      <c r="AF180" s="741"/>
      <c r="AG180" s="741"/>
      <c r="AH180" s="741"/>
      <c r="AI180" s="741"/>
      <c r="AJ180" s="741"/>
      <c r="AK180" s="741"/>
      <c r="AL180" s="741"/>
      <c r="AM180" s="741"/>
    </row>
    <row r="181" spans="1:39" ht="12.75" customHeight="1">
      <c r="A181" s="741"/>
      <c r="B181" s="741"/>
      <c r="C181" s="741"/>
      <c r="D181" s="741"/>
      <c r="E181" s="741"/>
      <c r="F181" s="741"/>
      <c r="G181" s="741"/>
      <c r="H181" s="741"/>
      <c r="I181" s="741"/>
      <c r="J181" s="741"/>
      <c r="K181" s="741"/>
      <c r="L181" s="741"/>
      <c r="M181" s="741"/>
      <c r="N181" s="741"/>
      <c r="O181" s="741"/>
      <c r="P181" s="741"/>
      <c r="Q181" s="741"/>
      <c r="R181" s="741"/>
      <c r="S181" s="741"/>
      <c r="T181" s="741"/>
      <c r="U181" s="741"/>
      <c r="V181" s="741"/>
      <c r="W181" s="741"/>
      <c r="X181" s="741"/>
      <c r="Y181" s="741"/>
      <c r="Z181" s="741"/>
      <c r="AA181" s="741"/>
      <c r="AB181" s="741"/>
      <c r="AC181" s="741"/>
      <c r="AD181" s="741"/>
      <c r="AE181" s="741"/>
      <c r="AF181" s="741"/>
      <c r="AG181" s="741"/>
      <c r="AH181" s="741"/>
      <c r="AI181" s="741"/>
      <c r="AJ181" s="741"/>
      <c r="AK181" s="741"/>
      <c r="AL181" s="741"/>
      <c r="AM181" s="741"/>
    </row>
    <row r="182" spans="1:39" ht="12.75" customHeight="1">
      <c r="A182" s="741"/>
      <c r="B182" s="741"/>
      <c r="C182" s="741"/>
      <c r="D182" s="741"/>
      <c r="E182" s="741"/>
      <c r="F182" s="741"/>
      <c r="G182" s="741"/>
      <c r="H182" s="741"/>
      <c r="I182" s="741"/>
      <c r="J182" s="741"/>
      <c r="K182" s="741"/>
      <c r="L182" s="741"/>
      <c r="M182" s="741"/>
      <c r="N182" s="741"/>
      <c r="O182" s="741"/>
      <c r="P182" s="741"/>
      <c r="Q182" s="741"/>
      <c r="R182" s="741"/>
      <c r="S182" s="741"/>
      <c r="T182" s="741"/>
      <c r="U182" s="741"/>
      <c r="V182" s="741"/>
      <c r="W182" s="741"/>
      <c r="X182" s="741"/>
      <c r="Y182" s="741"/>
      <c r="Z182" s="741"/>
      <c r="AA182" s="741"/>
      <c r="AB182" s="741"/>
      <c r="AC182" s="741"/>
      <c r="AD182" s="741"/>
      <c r="AE182" s="741"/>
      <c r="AF182" s="741"/>
      <c r="AG182" s="741"/>
      <c r="AH182" s="741"/>
      <c r="AI182" s="741"/>
      <c r="AJ182" s="741"/>
      <c r="AK182" s="741"/>
      <c r="AL182" s="741"/>
      <c r="AM182" s="741"/>
    </row>
    <row r="183" spans="1:39" ht="12.75" customHeight="1">
      <c r="A183" s="741"/>
      <c r="B183" s="741"/>
      <c r="C183" s="741"/>
      <c r="D183" s="741"/>
      <c r="E183" s="741"/>
      <c r="F183" s="741"/>
      <c r="G183" s="741"/>
      <c r="H183" s="741"/>
      <c r="I183" s="741"/>
      <c r="J183" s="741"/>
      <c r="K183" s="741"/>
      <c r="L183" s="741"/>
      <c r="M183" s="741"/>
      <c r="N183" s="741"/>
      <c r="O183" s="741"/>
      <c r="P183" s="741"/>
      <c r="Q183" s="741"/>
      <c r="R183" s="741"/>
      <c r="S183" s="741"/>
      <c r="T183" s="741"/>
      <c r="U183" s="741"/>
      <c r="V183" s="741"/>
      <c r="W183" s="741"/>
      <c r="X183" s="741"/>
      <c r="Y183" s="741"/>
      <c r="Z183" s="741"/>
      <c r="AA183" s="741"/>
      <c r="AB183" s="741"/>
      <c r="AC183" s="741"/>
      <c r="AD183" s="741"/>
      <c r="AE183" s="741"/>
      <c r="AF183" s="741"/>
      <c r="AG183" s="741"/>
      <c r="AH183" s="741"/>
      <c r="AI183" s="741"/>
      <c r="AJ183" s="741"/>
      <c r="AK183" s="741"/>
      <c r="AL183" s="741"/>
      <c r="AM183" s="741"/>
    </row>
    <row r="184" spans="1:39" ht="12.75" customHeight="1">
      <c r="A184" s="741"/>
      <c r="B184" s="741"/>
      <c r="C184" s="741"/>
      <c r="D184" s="741"/>
      <c r="E184" s="741"/>
      <c r="F184" s="741"/>
      <c r="G184" s="741"/>
      <c r="H184" s="741"/>
      <c r="I184" s="741"/>
      <c r="J184" s="741"/>
      <c r="K184" s="741"/>
      <c r="L184" s="741"/>
      <c r="M184" s="741"/>
      <c r="N184" s="741"/>
      <c r="O184" s="741"/>
      <c r="P184" s="741"/>
      <c r="Q184" s="741"/>
      <c r="R184" s="741"/>
      <c r="S184" s="741"/>
      <c r="T184" s="741"/>
      <c r="U184" s="741"/>
      <c r="V184" s="741"/>
      <c r="W184" s="741"/>
      <c r="X184" s="741"/>
      <c r="Y184" s="741"/>
      <c r="Z184" s="741"/>
      <c r="AA184" s="741"/>
      <c r="AB184" s="741"/>
      <c r="AC184" s="741"/>
      <c r="AD184" s="741"/>
      <c r="AE184" s="741"/>
      <c r="AF184" s="741"/>
      <c r="AG184" s="741"/>
      <c r="AH184" s="741"/>
      <c r="AI184" s="741"/>
      <c r="AJ184" s="741"/>
      <c r="AK184" s="741"/>
      <c r="AL184" s="741"/>
      <c r="AM184" s="741"/>
    </row>
    <row r="185" spans="1:39" ht="12.75" customHeight="1">
      <c r="A185" s="741"/>
      <c r="B185" s="741"/>
      <c r="C185" s="741"/>
      <c r="D185" s="741"/>
      <c r="E185" s="741"/>
      <c r="F185" s="741"/>
      <c r="G185" s="741"/>
      <c r="H185" s="741"/>
      <c r="I185" s="741"/>
      <c r="J185" s="741"/>
      <c r="K185" s="741"/>
      <c r="L185" s="741"/>
      <c r="M185" s="741"/>
      <c r="N185" s="741"/>
      <c r="O185" s="741"/>
      <c r="P185" s="741"/>
      <c r="Q185" s="741"/>
      <c r="R185" s="741"/>
      <c r="S185" s="741"/>
      <c r="T185" s="741"/>
      <c r="U185" s="741"/>
      <c r="V185" s="741"/>
      <c r="W185" s="741"/>
      <c r="X185" s="741"/>
      <c r="Y185" s="741"/>
      <c r="Z185" s="741"/>
      <c r="AA185" s="741"/>
      <c r="AB185" s="741"/>
      <c r="AC185" s="741"/>
      <c r="AD185" s="741"/>
      <c r="AE185" s="741"/>
      <c r="AF185" s="741"/>
      <c r="AG185" s="741"/>
      <c r="AH185" s="741"/>
      <c r="AI185" s="741"/>
      <c r="AJ185" s="741"/>
      <c r="AK185" s="741"/>
      <c r="AL185" s="741"/>
      <c r="AM185" s="741"/>
    </row>
    <row r="186" spans="1:39" ht="12.75" customHeight="1">
      <c r="A186" s="741"/>
      <c r="B186" s="741"/>
      <c r="C186" s="741"/>
      <c r="D186" s="741"/>
      <c r="E186" s="741"/>
      <c r="F186" s="741"/>
      <c r="G186" s="741"/>
      <c r="H186" s="741"/>
      <c r="I186" s="741"/>
      <c r="J186" s="741"/>
      <c r="K186" s="741"/>
      <c r="L186" s="741"/>
      <c r="M186" s="741"/>
      <c r="N186" s="741"/>
      <c r="O186" s="741"/>
      <c r="P186" s="741"/>
      <c r="Q186" s="741"/>
      <c r="R186" s="741"/>
      <c r="S186" s="741"/>
      <c r="T186" s="741"/>
      <c r="U186" s="741"/>
      <c r="V186" s="741"/>
      <c r="W186" s="741"/>
      <c r="X186" s="741"/>
      <c r="Y186" s="741"/>
      <c r="Z186" s="741"/>
      <c r="AA186" s="741"/>
      <c r="AB186" s="741"/>
      <c r="AC186" s="741"/>
      <c r="AD186" s="741"/>
      <c r="AE186" s="741"/>
      <c r="AF186" s="741"/>
      <c r="AG186" s="741"/>
      <c r="AH186" s="741"/>
      <c r="AI186" s="741"/>
      <c r="AJ186" s="741"/>
      <c r="AK186" s="741"/>
      <c r="AL186" s="741"/>
      <c r="AM186" s="741"/>
    </row>
    <row r="187" spans="1:39" ht="12.75" customHeight="1">
      <c r="A187" s="741"/>
      <c r="B187" s="741"/>
      <c r="C187" s="741"/>
      <c r="D187" s="741"/>
      <c r="E187" s="741"/>
      <c r="F187" s="741"/>
      <c r="G187" s="741"/>
      <c r="H187" s="741"/>
      <c r="I187" s="741"/>
      <c r="J187" s="741"/>
      <c r="K187" s="741"/>
      <c r="L187" s="741"/>
      <c r="M187" s="741"/>
      <c r="N187" s="741"/>
      <c r="O187" s="741"/>
      <c r="P187" s="741"/>
      <c r="Q187" s="741"/>
      <c r="R187" s="741"/>
      <c r="S187" s="741"/>
      <c r="T187" s="741"/>
      <c r="U187" s="741"/>
      <c r="V187" s="741"/>
      <c r="W187" s="741"/>
      <c r="X187" s="741"/>
      <c r="Y187" s="741"/>
      <c r="Z187" s="741"/>
      <c r="AA187" s="741"/>
      <c r="AB187" s="741"/>
      <c r="AC187" s="741"/>
      <c r="AD187" s="741"/>
      <c r="AE187" s="741"/>
      <c r="AF187" s="741"/>
      <c r="AG187" s="741"/>
      <c r="AH187" s="741"/>
      <c r="AI187" s="741"/>
      <c r="AJ187" s="741"/>
      <c r="AK187" s="741"/>
      <c r="AL187" s="741"/>
      <c r="AM187" s="741"/>
    </row>
    <row r="188" spans="1:39" ht="12.75" customHeight="1">
      <c r="A188" s="741"/>
      <c r="B188" s="741"/>
      <c r="C188" s="741"/>
      <c r="D188" s="741"/>
      <c r="E188" s="741"/>
      <c r="F188" s="741"/>
      <c r="G188" s="741"/>
      <c r="H188" s="741"/>
      <c r="I188" s="741"/>
      <c r="J188" s="741"/>
      <c r="K188" s="741"/>
      <c r="L188" s="741"/>
      <c r="M188" s="741"/>
      <c r="N188" s="741"/>
      <c r="O188" s="741"/>
      <c r="P188" s="741"/>
      <c r="Q188" s="741"/>
      <c r="R188" s="741"/>
      <c r="S188" s="741"/>
      <c r="T188" s="741"/>
      <c r="U188" s="741"/>
      <c r="V188" s="741"/>
      <c r="W188" s="741"/>
      <c r="X188" s="741"/>
      <c r="Y188" s="741"/>
      <c r="Z188" s="741"/>
      <c r="AA188" s="741"/>
      <c r="AB188" s="741"/>
      <c r="AC188" s="741"/>
      <c r="AD188" s="741"/>
      <c r="AE188" s="741"/>
      <c r="AF188" s="741"/>
      <c r="AG188" s="741"/>
      <c r="AH188" s="741"/>
      <c r="AI188" s="741"/>
      <c r="AJ188" s="741"/>
      <c r="AK188" s="741"/>
      <c r="AL188" s="741"/>
      <c r="AM188" s="741"/>
    </row>
    <row r="189" spans="1:39" ht="12.75" customHeight="1">
      <c r="A189" s="741"/>
      <c r="B189" s="741"/>
      <c r="C189" s="741"/>
      <c r="D189" s="741"/>
      <c r="E189" s="741"/>
      <c r="F189" s="741"/>
      <c r="G189" s="741"/>
      <c r="H189" s="741"/>
      <c r="I189" s="741"/>
      <c r="J189" s="741"/>
      <c r="K189" s="741"/>
      <c r="L189" s="741"/>
      <c r="M189" s="741"/>
      <c r="N189" s="741"/>
      <c r="O189" s="741"/>
      <c r="P189" s="741"/>
      <c r="Q189" s="741"/>
      <c r="R189" s="741"/>
      <c r="S189" s="741"/>
      <c r="T189" s="741"/>
      <c r="U189" s="741"/>
      <c r="V189" s="741"/>
      <c r="W189" s="741"/>
      <c r="X189" s="741"/>
      <c r="Y189" s="741"/>
      <c r="Z189" s="741"/>
      <c r="AA189" s="741"/>
      <c r="AB189" s="741"/>
      <c r="AC189" s="741"/>
      <c r="AD189" s="741"/>
      <c r="AE189" s="741"/>
      <c r="AF189" s="741"/>
      <c r="AG189" s="741"/>
      <c r="AH189" s="741"/>
      <c r="AI189" s="741"/>
      <c r="AJ189" s="741"/>
      <c r="AK189" s="741"/>
      <c r="AL189" s="741"/>
      <c r="AM189" s="741"/>
    </row>
    <row r="190" spans="1:39" ht="12.75" customHeight="1">
      <c r="A190" s="741"/>
      <c r="B190" s="741"/>
      <c r="C190" s="741"/>
      <c r="D190" s="741"/>
      <c r="E190" s="741"/>
      <c r="F190" s="741"/>
      <c r="G190" s="741"/>
      <c r="H190" s="741"/>
      <c r="I190" s="741"/>
      <c r="J190" s="741"/>
      <c r="K190" s="741"/>
      <c r="L190" s="741"/>
      <c r="M190" s="741"/>
      <c r="N190" s="741"/>
      <c r="O190" s="741"/>
      <c r="P190" s="741"/>
      <c r="Q190" s="741"/>
      <c r="R190" s="741"/>
      <c r="S190" s="741"/>
      <c r="T190" s="741"/>
      <c r="U190" s="741"/>
      <c r="V190" s="741"/>
      <c r="W190" s="741"/>
      <c r="X190" s="741"/>
      <c r="Y190" s="741"/>
      <c r="Z190" s="741"/>
      <c r="AA190" s="741"/>
      <c r="AB190" s="741"/>
      <c r="AC190" s="741"/>
      <c r="AD190" s="741"/>
      <c r="AE190" s="741"/>
      <c r="AF190" s="741"/>
      <c r="AG190" s="741"/>
      <c r="AH190" s="741"/>
      <c r="AI190" s="741"/>
      <c r="AJ190" s="741"/>
      <c r="AK190" s="741"/>
      <c r="AL190" s="741"/>
      <c r="AM190" s="741"/>
    </row>
    <row r="191" spans="1:39" ht="12.75" customHeight="1">
      <c r="A191" s="741"/>
      <c r="B191" s="741"/>
      <c r="C191" s="741"/>
      <c r="D191" s="741"/>
      <c r="E191" s="741"/>
      <c r="F191" s="741"/>
      <c r="G191" s="741"/>
      <c r="H191" s="741"/>
      <c r="I191" s="741"/>
      <c r="J191" s="741"/>
      <c r="K191" s="741"/>
      <c r="L191" s="741"/>
      <c r="M191" s="741"/>
      <c r="N191" s="741"/>
      <c r="O191" s="741"/>
      <c r="P191" s="741"/>
      <c r="Q191" s="741"/>
      <c r="R191" s="741"/>
      <c r="S191" s="741"/>
      <c r="T191" s="741"/>
      <c r="U191" s="741"/>
      <c r="V191" s="741"/>
      <c r="W191" s="741"/>
      <c r="X191" s="741"/>
      <c r="Y191" s="741"/>
      <c r="Z191" s="741"/>
      <c r="AA191" s="741"/>
      <c r="AB191" s="741"/>
      <c r="AC191" s="741"/>
      <c r="AD191" s="741"/>
      <c r="AE191" s="741"/>
      <c r="AF191" s="741"/>
      <c r="AG191" s="741"/>
      <c r="AH191" s="741"/>
      <c r="AI191" s="741"/>
      <c r="AJ191" s="741"/>
      <c r="AK191" s="741"/>
      <c r="AL191" s="741"/>
      <c r="AM191" s="741"/>
    </row>
    <row r="192" spans="1:39" ht="12.75" customHeight="1">
      <c r="A192" s="741"/>
      <c r="B192" s="741"/>
      <c r="C192" s="741"/>
      <c r="D192" s="741"/>
      <c r="E192" s="741"/>
      <c r="F192" s="741"/>
      <c r="G192" s="741"/>
      <c r="H192" s="741"/>
      <c r="I192" s="741"/>
      <c r="J192" s="741"/>
      <c r="K192" s="741"/>
      <c r="L192" s="741"/>
      <c r="M192" s="741"/>
      <c r="N192" s="741"/>
      <c r="O192" s="741"/>
      <c r="P192" s="741"/>
      <c r="Q192" s="741"/>
      <c r="R192" s="741"/>
      <c r="S192" s="741"/>
      <c r="T192" s="741"/>
      <c r="U192" s="741"/>
      <c r="V192" s="741"/>
      <c r="W192" s="741"/>
      <c r="X192" s="741"/>
      <c r="Y192" s="741"/>
      <c r="Z192" s="741"/>
      <c r="AA192" s="741"/>
      <c r="AB192" s="741"/>
      <c r="AC192" s="741"/>
      <c r="AD192" s="741"/>
      <c r="AE192" s="741"/>
      <c r="AF192" s="741"/>
      <c r="AG192" s="741"/>
      <c r="AH192" s="741"/>
      <c r="AI192" s="741"/>
      <c r="AJ192" s="741"/>
      <c r="AK192" s="741"/>
      <c r="AL192" s="741"/>
      <c r="AM192" s="741"/>
    </row>
    <row r="193" spans="1:39" ht="12.75" customHeight="1">
      <c r="A193" s="741"/>
      <c r="B193" s="741"/>
      <c r="C193" s="741"/>
      <c r="D193" s="741"/>
      <c r="E193" s="741"/>
      <c r="F193" s="741"/>
      <c r="G193" s="741"/>
      <c r="H193" s="741"/>
      <c r="I193" s="741"/>
      <c r="J193" s="741"/>
      <c r="K193" s="741"/>
      <c r="L193" s="741"/>
      <c r="M193" s="741"/>
      <c r="N193" s="741"/>
      <c r="O193" s="741"/>
      <c r="P193" s="741"/>
      <c r="Q193" s="741"/>
      <c r="R193" s="741"/>
      <c r="S193" s="741"/>
      <c r="T193" s="741"/>
      <c r="U193" s="741"/>
      <c r="V193" s="741"/>
      <c r="W193" s="741"/>
      <c r="X193" s="741"/>
      <c r="Y193" s="741"/>
      <c r="Z193" s="741"/>
      <c r="AA193" s="741"/>
      <c r="AB193" s="741"/>
      <c r="AC193" s="741"/>
      <c r="AD193" s="741"/>
      <c r="AE193" s="741"/>
      <c r="AF193" s="741"/>
      <c r="AG193" s="741"/>
      <c r="AH193" s="741"/>
      <c r="AI193" s="741"/>
      <c r="AJ193" s="741"/>
      <c r="AK193" s="741"/>
      <c r="AL193" s="741"/>
      <c r="AM193" s="741"/>
    </row>
    <row r="194" spans="1:39" ht="12.75" customHeight="1">
      <c r="A194" s="741"/>
      <c r="B194" s="741"/>
      <c r="C194" s="741"/>
      <c r="D194" s="741"/>
      <c r="E194" s="741"/>
      <c r="F194" s="741"/>
      <c r="G194" s="741"/>
      <c r="H194" s="741"/>
      <c r="I194" s="741"/>
      <c r="J194" s="741"/>
      <c r="K194" s="741"/>
      <c r="L194" s="741"/>
      <c r="M194" s="741"/>
      <c r="N194" s="741"/>
      <c r="O194" s="741"/>
      <c r="P194" s="741"/>
      <c r="Q194" s="741"/>
      <c r="R194" s="741"/>
      <c r="S194" s="741"/>
      <c r="T194" s="741"/>
      <c r="U194" s="741"/>
      <c r="V194" s="741"/>
      <c r="W194" s="741"/>
      <c r="X194" s="741"/>
      <c r="Y194" s="741"/>
      <c r="Z194" s="741"/>
      <c r="AA194" s="741"/>
      <c r="AB194" s="741"/>
      <c r="AC194" s="741"/>
      <c r="AD194" s="741"/>
      <c r="AE194" s="741"/>
      <c r="AF194" s="741"/>
      <c r="AG194" s="741"/>
      <c r="AH194" s="741"/>
      <c r="AI194" s="741"/>
      <c r="AJ194" s="741"/>
      <c r="AK194" s="741"/>
      <c r="AL194" s="741"/>
      <c r="AM194" s="741"/>
    </row>
    <row r="195" spans="1:39" ht="12.75" customHeight="1">
      <c r="A195" s="741"/>
      <c r="B195" s="741"/>
      <c r="C195" s="741"/>
      <c r="D195" s="741"/>
      <c r="E195" s="741"/>
      <c r="F195" s="741"/>
      <c r="G195" s="741"/>
      <c r="H195" s="741"/>
      <c r="I195" s="741"/>
      <c r="J195" s="741"/>
      <c r="K195" s="741"/>
      <c r="L195" s="741"/>
      <c r="M195" s="741"/>
      <c r="N195" s="741"/>
      <c r="O195" s="741"/>
      <c r="P195" s="741"/>
      <c r="Q195" s="741"/>
      <c r="R195" s="741"/>
      <c r="S195" s="741"/>
      <c r="T195" s="741"/>
      <c r="U195" s="741"/>
      <c r="V195" s="741"/>
      <c r="W195" s="741"/>
      <c r="X195" s="741"/>
      <c r="Y195" s="741"/>
      <c r="Z195" s="741"/>
      <c r="AA195" s="741"/>
      <c r="AB195" s="741"/>
      <c r="AC195" s="741"/>
      <c r="AD195" s="741"/>
      <c r="AE195" s="741"/>
      <c r="AF195" s="741"/>
      <c r="AG195" s="741"/>
      <c r="AH195" s="741"/>
      <c r="AI195" s="741"/>
      <c r="AJ195" s="741"/>
      <c r="AK195" s="741"/>
      <c r="AL195" s="741"/>
      <c r="AM195" s="741"/>
    </row>
    <row r="196" spans="1:39" ht="12.75" customHeight="1">
      <c r="A196" s="741"/>
      <c r="B196" s="741"/>
      <c r="C196" s="741"/>
      <c r="D196" s="741"/>
      <c r="E196" s="741"/>
      <c r="F196" s="741"/>
      <c r="G196" s="741"/>
      <c r="H196" s="741"/>
      <c r="I196" s="741"/>
      <c r="J196" s="741"/>
      <c r="K196" s="741"/>
      <c r="L196" s="741"/>
      <c r="M196" s="741"/>
      <c r="N196" s="741"/>
      <c r="O196" s="741"/>
      <c r="P196" s="741"/>
      <c r="Q196" s="741"/>
      <c r="R196" s="741"/>
      <c r="S196" s="741"/>
      <c r="T196" s="741"/>
      <c r="U196" s="741"/>
      <c r="V196" s="741"/>
      <c r="W196" s="741"/>
      <c r="X196" s="741"/>
      <c r="Y196" s="741"/>
      <c r="Z196" s="741"/>
      <c r="AA196" s="741"/>
      <c r="AB196" s="741"/>
      <c r="AC196" s="741"/>
      <c r="AD196" s="741"/>
      <c r="AE196" s="741"/>
      <c r="AF196" s="741"/>
      <c r="AG196" s="741"/>
      <c r="AH196" s="741"/>
      <c r="AI196" s="741"/>
      <c r="AJ196" s="741"/>
      <c r="AK196" s="741"/>
      <c r="AL196" s="741"/>
      <c r="AM196" s="741"/>
    </row>
    <row r="197" spans="1:39" ht="12.75" customHeight="1">
      <c r="A197" s="741"/>
      <c r="B197" s="741"/>
      <c r="C197" s="741"/>
      <c r="D197" s="741"/>
      <c r="E197" s="741"/>
      <c r="F197" s="741"/>
      <c r="G197" s="741"/>
      <c r="H197" s="741"/>
      <c r="I197" s="741"/>
      <c r="J197" s="741"/>
      <c r="K197" s="741"/>
      <c r="L197" s="741"/>
      <c r="M197" s="741"/>
      <c r="N197" s="741"/>
      <c r="O197" s="741"/>
      <c r="P197" s="741"/>
      <c r="Q197" s="741"/>
      <c r="R197" s="741"/>
      <c r="S197" s="741"/>
      <c r="T197" s="741"/>
      <c r="U197" s="741"/>
      <c r="V197" s="741"/>
      <c r="W197" s="741"/>
      <c r="X197" s="741"/>
      <c r="Y197" s="741"/>
      <c r="Z197" s="741"/>
      <c r="AA197" s="741"/>
      <c r="AB197" s="741"/>
      <c r="AC197" s="741"/>
      <c r="AD197" s="741"/>
      <c r="AE197" s="741"/>
      <c r="AF197" s="741"/>
      <c r="AG197" s="741"/>
      <c r="AH197" s="741"/>
      <c r="AI197" s="741"/>
      <c r="AJ197" s="741"/>
      <c r="AK197" s="741"/>
      <c r="AL197" s="741"/>
      <c r="AM197" s="741"/>
    </row>
    <row r="198" spans="1:39" ht="12.75" customHeight="1">
      <c r="A198" s="741"/>
      <c r="B198" s="741"/>
      <c r="C198" s="741"/>
      <c r="D198" s="741"/>
      <c r="E198" s="741"/>
      <c r="F198" s="741"/>
      <c r="G198" s="741"/>
      <c r="H198" s="741"/>
      <c r="I198" s="741"/>
      <c r="J198" s="741"/>
      <c r="K198" s="741"/>
      <c r="L198" s="741"/>
      <c r="M198" s="741"/>
      <c r="N198" s="741"/>
      <c r="O198" s="741"/>
      <c r="P198" s="741"/>
      <c r="Q198" s="741"/>
      <c r="R198" s="741"/>
      <c r="S198" s="741"/>
      <c r="T198" s="741"/>
      <c r="U198" s="741"/>
      <c r="V198" s="741"/>
      <c r="W198" s="741"/>
      <c r="X198" s="741"/>
      <c r="Y198" s="741"/>
      <c r="Z198" s="741"/>
      <c r="AA198" s="741"/>
      <c r="AB198" s="741"/>
      <c r="AC198" s="741"/>
      <c r="AD198" s="741"/>
      <c r="AE198" s="741"/>
      <c r="AF198" s="741"/>
      <c r="AG198" s="741"/>
      <c r="AH198" s="741"/>
      <c r="AI198" s="741"/>
      <c r="AJ198" s="741"/>
      <c r="AK198" s="741"/>
      <c r="AL198" s="741"/>
      <c r="AM198" s="741"/>
    </row>
    <row r="199" spans="1:39" ht="12.75" customHeight="1">
      <c r="A199" s="741"/>
      <c r="B199" s="741"/>
      <c r="C199" s="741"/>
      <c r="D199" s="741"/>
      <c r="E199" s="741"/>
      <c r="F199" s="741"/>
      <c r="G199" s="741"/>
      <c r="H199" s="741"/>
      <c r="I199" s="741"/>
      <c r="J199" s="741"/>
      <c r="K199" s="741"/>
      <c r="L199" s="741"/>
      <c r="M199" s="741"/>
      <c r="N199" s="741"/>
      <c r="O199" s="741"/>
      <c r="P199" s="741"/>
      <c r="Q199" s="741"/>
      <c r="R199" s="741"/>
      <c r="S199" s="741"/>
      <c r="T199" s="741"/>
      <c r="U199" s="741"/>
      <c r="V199" s="741"/>
      <c r="W199" s="741"/>
      <c r="X199" s="741"/>
      <c r="Y199" s="741"/>
      <c r="Z199" s="741"/>
      <c r="AA199" s="741"/>
      <c r="AB199" s="741"/>
      <c r="AC199" s="741"/>
      <c r="AD199" s="741"/>
      <c r="AE199" s="741"/>
      <c r="AF199" s="741"/>
      <c r="AG199" s="741"/>
      <c r="AH199" s="741"/>
      <c r="AI199" s="741"/>
      <c r="AJ199" s="741"/>
      <c r="AK199" s="741"/>
      <c r="AL199" s="741"/>
      <c r="AM199" s="741"/>
    </row>
    <row r="200" spans="1:39" ht="12.75" customHeight="1">
      <c r="A200" s="741"/>
      <c r="B200" s="741"/>
      <c r="C200" s="741"/>
      <c r="D200" s="741"/>
      <c r="E200" s="741"/>
      <c r="F200" s="741"/>
      <c r="G200" s="741"/>
      <c r="H200" s="741"/>
      <c r="I200" s="741"/>
      <c r="J200" s="741"/>
      <c r="K200" s="741"/>
      <c r="L200" s="741"/>
      <c r="M200" s="741"/>
      <c r="N200" s="741"/>
      <c r="O200" s="741"/>
      <c r="P200" s="741"/>
      <c r="Q200" s="741"/>
      <c r="R200" s="741"/>
      <c r="S200" s="741"/>
      <c r="T200" s="741"/>
      <c r="U200" s="741"/>
      <c r="V200" s="741"/>
      <c r="W200" s="741"/>
      <c r="X200" s="741"/>
      <c r="Y200" s="741"/>
      <c r="Z200" s="741"/>
      <c r="AA200" s="741"/>
      <c r="AB200" s="741"/>
      <c r="AC200" s="741"/>
      <c r="AD200" s="741"/>
      <c r="AE200" s="741"/>
      <c r="AF200" s="741"/>
      <c r="AG200" s="741"/>
      <c r="AH200" s="741"/>
      <c r="AI200" s="741"/>
      <c r="AJ200" s="741"/>
      <c r="AK200" s="741"/>
      <c r="AL200" s="741"/>
      <c r="AM200" s="741"/>
    </row>
    <row r="201" spans="1:39" ht="12.75" customHeight="1">
      <c r="A201" s="741"/>
      <c r="B201" s="741"/>
      <c r="C201" s="741"/>
      <c r="D201" s="741"/>
      <c r="E201" s="741"/>
      <c r="F201" s="741"/>
      <c r="G201" s="741"/>
      <c r="H201" s="741"/>
      <c r="I201" s="741"/>
      <c r="J201" s="741"/>
      <c r="K201" s="741"/>
      <c r="L201" s="741"/>
      <c r="M201" s="741"/>
      <c r="N201" s="741"/>
      <c r="O201" s="741"/>
      <c r="P201" s="741"/>
      <c r="Q201" s="741"/>
      <c r="R201" s="741"/>
      <c r="S201" s="741"/>
      <c r="T201" s="741"/>
      <c r="U201" s="741"/>
      <c r="V201" s="741"/>
      <c r="W201" s="741"/>
      <c r="X201" s="741"/>
      <c r="Y201" s="741"/>
      <c r="Z201" s="741"/>
      <c r="AA201" s="741"/>
      <c r="AB201" s="741"/>
      <c r="AC201" s="741"/>
      <c r="AD201" s="741"/>
      <c r="AE201" s="741"/>
      <c r="AF201" s="741"/>
      <c r="AG201" s="741"/>
      <c r="AH201" s="741"/>
      <c r="AI201" s="741"/>
      <c r="AJ201" s="741"/>
      <c r="AK201" s="741"/>
      <c r="AL201" s="741"/>
      <c r="AM201" s="741"/>
    </row>
    <row r="202" spans="1:39" ht="12.75" customHeight="1">
      <c r="A202" s="741"/>
      <c r="B202" s="741"/>
      <c r="C202" s="741"/>
      <c r="D202" s="741"/>
      <c r="E202" s="741"/>
      <c r="F202" s="741"/>
      <c r="G202" s="741"/>
      <c r="H202" s="741"/>
      <c r="I202" s="741"/>
      <c r="J202" s="741"/>
      <c r="K202" s="741"/>
      <c r="L202" s="741"/>
      <c r="M202" s="741"/>
      <c r="N202" s="741"/>
      <c r="O202" s="741"/>
      <c r="P202" s="741"/>
      <c r="Q202" s="741"/>
      <c r="R202" s="741"/>
      <c r="S202" s="741"/>
      <c r="T202" s="741"/>
      <c r="U202" s="741"/>
      <c r="V202" s="741"/>
      <c r="W202" s="741"/>
      <c r="X202" s="741"/>
      <c r="Y202" s="741"/>
      <c r="Z202" s="741"/>
      <c r="AA202" s="741"/>
      <c r="AB202" s="741"/>
      <c r="AC202" s="741"/>
      <c r="AD202" s="741"/>
      <c r="AE202" s="741"/>
      <c r="AF202" s="741"/>
      <c r="AG202" s="741"/>
      <c r="AH202" s="741"/>
      <c r="AI202" s="741"/>
      <c r="AJ202" s="741"/>
      <c r="AK202" s="741"/>
      <c r="AL202" s="741"/>
      <c r="AM202" s="741"/>
    </row>
    <row r="203" spans="1:39" ht="12.75" customHeight="1">
      <c r="A203" s="741"/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1"/>
      <c r="P203" s="741"/>
      <c r="Q203" s="741"/>
      <c r="R203" s="741"/>
      <c r="S203" s="741"/>
      <c r="T203" s="741"/>
      <c r="U203" s="741"/>
      <c r="V203" s="741"/>
      <c r="W203" s="741"/>
      <c r="X203" s="741"/>
      <c r="Y203" s="741"/>
      <c r="Z203" s="741"/>
      <c r="AA203" s="741"/>
      <c r="AB203" s="741"/>
      <c r="AC203" s="741"/>
      <c r="AD203" s="741"/>
      <c r="AE203" s="741"/>
      <c r="AF203" s="741"/>
      <c r="AG203" s="741"/>
      <c r="AH203" s="741"/>
      <c r="AI203" s="741"/>
      <c r="AJ203" s="741"/>
      <c r="AK203" s="741"/>
      <c r="AL203" s="741"/>
      <c r="AM203" s="741"/>
    </row>
    <row r="204" spans="1:39" ht="12.75" customHeight="1">
      <c r="A204" s="741"/>
      <c r="B204" s="741"/>
      <c r="C204" s="741"/>
      <c r="D204" s="741"/>
      <c r="E204" s="741"/>
      <c r="F204" s="741"/>
      <c r="G204" s="741"/>
      <c r="H204" s="741"/>
      <c r="I204" s="741"/>
      <c r="J204" s="741"/>
      <c r="K204" s="741"/>
      <c r="L204" s="741"/>
      <c r="M204" s="741"/>
      <c r="N204" s="741"/>
      <c r="O204" s="741"/>
      <c r="P204" s="741"/>
      <c r="Q204" s="741"/>
      <c r="R204" s="741"/>
      <c r="S204" s="741"/>
      <c r="T204" s="741"/>
      <c r="U204" s="741"/>
      <c r="V204" s="741"/>
      <c r="W204" s="741"/>
      <c r="X204" s="741"/>
      <c r="Y204" s="741"/>
      <c r="Z204" s="741"/>
      <c r="AA204" s="741"/>
      <c r="AB204" s="741"/>
      <c r="AC204" s="741"/>
      <c r="AD204" s="741"/>
      <c r="AE204" s="741"/>
      <c r="AF204" s="741"/>
      <c r="AG204" s="741"/>
      <c r="AH204" s="741"/>
      <c r="AI204" s="741"/>
      <c r="AJ204" s="741"/>
      <c r="AK204" s="741"/>
      <c r="AL204" s="741"/>
      <c r="AM204" s="741"/>
    </row>
    <row r="205" spans="1:39" ht="12.75" customHeight="1">
      <c r="A205" s="741"/>
      <c r="B205" s="741"/>
      <c r="C205" s="741"/>
      <c r="D205" s="741"/>
      <c r="E205" s="741"/>
      <c r="F205" s="741"/>
      <c r="G205" s="741"/>
      <c r="H205" s="741"/>
      <c r="I205" s="741"/>
      <c r="J205" s="741"/>
      <c r="K205" s="741"/>
      <c r="L205" s="741"/>
      <c r="M205" s="741"/>
      <c r="N205" s="741"/>
      <c r="O205" s="741"/>
      <c r="P205" s="741"/>
      <c r="Q205" s="741"/>
      <c r="R205" s="741"/>
      <c r="S205" s="741"/>
      <c r="T205" s="741"/>
      <c r="U205" s="741"/>
      <c r="V205" s="741"/>
      <c r="W205" s="741"/>
      <c r="X205" s="741"/>
      <c r="Y205" s="741"/>
      <c r="Z205" s="741"/>
      <c r="AA205" s="741"/>
      <c r="AB205" s="741"/>
      <c r="AC205" s="741"/>
      <c r="AD205" s="741"/>
      <c r="AE205" s="741"/>
      <c r="AF205" s="741"/>
      <c r="AG205" s="741"/>
      <c r="AH205" s="741"/>
      <c r="AI205" s="741"/>
      <c r="AJ205" s="741"/>
      <c r="AK205" s="741"/>
      <c r="AL205" s="741"/>
      <c r="AM205" s="741"/>
    </row>
    <row r="206" spans="1:39" ht="12.75" customHeight="1">
      <c r="A206" s="741"/>
      <c r="B206" s="741"/>
      <c r="C206" s="741"/>
      <c r="D206" s="741"/>
      <c r="E206" s="741"/>
      <c r="F206" s="741"/>
      <c r="G206" s="741"/>
      <c r="H206" s="741"/>
      <c r="I206" s="741"/>
      <c r="J206" s="741"/>
      <c r="K206" s="741"/>
      <c r="L206" s="741"/>
      <c r="M206" s="741"/>
      <c r="N206" s="741"/>
      <c r="O206" s="741"/>
      <c r="P206" s="741"/>
      <c r="Q206" s="741"/>
      <c r="R206" s="741"/>
      <c r="S206" s="741"/>
      <c r="T206" s="741"/>
      <c r="U206" s="741"/>
      <c r="V206" s="741"/>
      <c r="W206" s="741"/>
      <c r="X206" s="741"/>
      <c r="Y206" s="741"/>
      <c r="Z206" s="741"/>
      <c r="AA206" s="741"/>
      <c r="AB206" s="741"/>
      <c r="AC206" s="741"/>
      <c r="AD206" s="741"/>
      <c r="AE206" s="741"/>
      <c r="AF206" s="741"/>
      <c r="AG206" s="741"/>
      <c r="AH206" s="741"/>
      <c r="AI206" s="741"/>
      <c r="AJ206" s="741"/>
      <c r="AK206" s="741"/>
      <c r="AL206" s="741"/>
      <c r="AM206" s="741"/>
    </row>
    <row r="207" spans="1:39" ht="12.75" customHeight="1">
      <c r="A207" s="741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1"/>
      <c r="P207" s="741"/>
      <c r="Q207" s="741"/>
      <c r="R207" s="741"/>
      <c r="S207" s="741"/>
      <c r="T207" s="741"/>
      <c r="U207" s="741"/>
      <c r="V207" s="741"/>
      <c r="W207" s="741"/>
      <c r="X207" s="741"/>
      <c r="Y207" s="741"/>
      <c r="Z207" s="741"/>
      <c r="AA207" s="741"/>
      <c r="AB207" s="741"/>
      <c r="AC207" s="741"/>
      <c r="AD207" s="741"/>
      <c r="AE207" s="741"/>
      <c r="AF207" s="741"/>
      <c r="AG207" s="741"/>
      <c r="AH207" s="741"/>
      <c r="AI207" s="741"/>
      <c r="AJ207" s="741"/>
      <c r="AK207" s="741"/>
      <c r="AL207" s="741"/>
      <c r="AM207" s="741"/>
    </row>
    <row r="208" spans="1:39" ht="12.75" customHeight="1">
      <c r="A208" s="741"/>
      <c r="B208" s="741"/>
      <c r="C208" s="741"/>
      <c r="D208" s="741"/>
      <c r="E208" s="741"/>
      <c r="F208" s="741"/>
      <c r="G208" s="741"/>
      <c r="H208" s="741"/>
      <c r="I208" s="741"/>
      <c r="J208" s="741"/>
      <c r="K208" s="741"/>
      <c r="L208" s="741"/>
      <c r="M208" s="741"/>
      <c r="N208" s="741"/>
      <c r="O208" s="741"/>
      <c r="P208" s="741"/>
      <c r="Q208" s="741"/>
      <c r="R208" s="741"/>
      <c r="S208" s="741"/>
      <c r="T208" s="741"/>
      <c r="U208" s="741"/>
      <c r="V208" s="741"/>
      <c r="W208" s="741"/>
      <c r="X208" s="741"/>
      <c r="Y208" s="741"/>
      <c r="Z208" s="741"/>
      <c r="AA208" s="741"/>
      <c r="AB208" s="741"/>
      <c r="AC208" s="741"/>
      <c r="AD208" s="741"/>
      <c r="AE208" s="741"/>
      <c r="AF208" s="741"/>
      <c r="AG208" s="741"/>
      <c r="AH208" s="741"/>
      <c r="AI208" s="741"/>
      <c r="AJ208" s="741"/>
      <c r="AK208" s="741"/>
      <c r="AL208" s="741"/>
      <c r="AM208" s="741"/>
    </row>
    <row r="209" spans="1:39" ht="12.75" customHeight="1">
      <c r="A209" s="741"/>
      <c r="B209" s="741"/>
      <c r="C209" s="741"/>
      <c r="D209" s="741"/>
      <c r="E209" s="741"/>
      <c r="F209" s="741"/>
      <c r="G209" s="741"/>
      <c r="H209" s="741"/>
      <c r="I209" s="741"/>
      <c r="J209" s="741"/>
      <c r="K209" s="741"/>
      <c r="L209" s="741"/>
      <c r="M209" s="741"/>
      <c r="N209" s="741"/>
      <c r="O209" s="741"/>
      <c r="P209" s="741"/>
      <c r="Q209" s="741"/>
      <c r="R209" s="741"/>
      <c r="S209" s="741"/>
      <c r="T209" s="741"/>
      <c r="U209" s="741"/>
      <c r="V209" s="741"/>
      <c r="W209" s="741"/>
      <c r="X209" s="741"/>
      <c r="Y209" s="741"/>
      <c r="Z209" s="741"/>
      <c r="AA209" s="741"/>
      <c r="AB209" s="741"/>
      <c r="AC209" s="741"/>
      <c r="AD209" s="741"/>
      <c r="AE209" s="741"/>
      <c r="AF209" s="741"/>
      <c r="AG209" s="741"/>
      <c r="AH209" s="741"/>
      <c r="AI209" s="741"/>
      <c r="AJ209" s="741"/>
      <c r="AK209" s="741"/>
      <c r="AL209" s="741"/>
      <c r="AM209" s="741"/>
    </row>
    <row r="210" spans="1:39" ht="12.75" customHeight="1">
      <c r="A210" s="741"/>
      <c r="B210" s="741"/>
      <c r="C210" s="741"/>
      <c r="D210" s="741"/>
      <c r="E210" s="741"/>
      <c r="F210" s="741"/>
      <c r="G210" s="741"/>
      <c r="H210" s="741"/>
      <c r="I210" s="741"/>
      <c r="J210" s="741"/>
      <c r="K210" s="741"/>
      <c r="L210" s="741"/>
      <c r="M210" s="741"/>
      <c r="N210" s="741"/>
      <c r="O210" s="741"/>
      <c r="P210" s="741"/>
      <c r="Q210" s="741"/>
      <c r="R210" s="741"/>
      <c r="S210" s="741"/>
      <c r="T210" s="741"/>
      <c r="U210" s="741"/>
      <c r="V210" s="741"/>
      <c r="W210" s="741"/>
      <c r="X210" s="741"/>
      <c r="Y210" s="741"/>
      <c r="Z210" s="741"/>
      <c r="AA210" s="741"/>
      <c r="AB210" s="741"/>
      <c r="AC210" s="741"/>
      <c r="AD210" s="741"/>
      <c r="AE210" s="741"/>
      <c r="AF210" s="741"/>
      <c r="AG210" s="741"/>
      <c r="AH210" s="741"/>
      <c r="AI210" s="741"/>
      <c r="AJ210" s="741"/>
      <c r="AK210" s="741"/>
      <c r="AL210" s="741"/>
      <c r="AM210" s="741"/>
    </row>
    <row r="211" spans="1:39" ht="12.75" customHeight="1">
      <c r="A211" s="741"/>
      <c r="B211" s="741"/>
      <c r="C211" s="741"/>
      <c r="D211" s="741"/>
      <c r="E211" s="741"/>
      <c r="F211" s="741"/>
      <c r="G211" s="741"/>
      <c r="H211" s="741"/>
      <c r="I211" s="741"/>
      <c r="J211" s="741"/>
      <c r="K211" s="741"/>
      <c r="L211" s="741"/>
      <c r="M211" s="741"/>
      <c r="N211" s="741"/>
      <c r="O211" s="741"/>
      <c r="P211" s="741"/>
      <c r="Q211" s="741"/>
      <c r="R211" s="741"/>
      <c r="S211" s="741"/>
      <c r="T211" s="741"/>
      <c r="U211" s="741"/>
      <c r="V211" s="741"/>
      <c r="W211" s="741"/>
      <c r="X211" s="741"/>
      <c r="Y211" s="741"/>
      <c r="Z211" s="741"/>
      <c r="AA211" s="741"/>
      <c r="AB211" s="741"/>
      <c r="AC211" s="741"/>
      <c r="AD211" s="741"/>
      <c r="AE211" s="741"/>
      <c r="AF211" s="741"/>
      <c r="AG211" s="741"/>
      <c r="AH211" s="741"/>
      <c r="AI211" s="741"/>
      <c r="AJ211" s="741"/>
      <c r="AK211" s="741"/>
      <c r="AL211" s="741"/>
      <c r="AM211" s="741"/>
    </row>
    <row r="212" spans="1:39" ht="12.75" customHeight="1">
      <c r="A212" s="741"/>
      <c r="B212" s="741"/>
      <c r="C212" s="741"/>
      <c r="D212" s="741"/>
      <c r="E212" s="741"/>
      <c r="F212" s="741"/>
      <c r="G212" s="741"/>
      <c r="H212" s="741"/>
      <c r="I212" s="741"/>
      <c r="J212" s="741"/>
      <c r="K212" s="741"/>
      <c r="L212" s="741"/>
      <c r="M212" s="741"/>
      <c r="N212" s="741"/>
      <c r="O212" s="741"/>
      <c r="P212" s="741"/>
      <c r="Q212" s="741"/>
      <c r="R212" s="741"/>
      <c r="S212" s="741"/>
      <c r="T212" s="741"/>
      <c r="U212" s="741"/>
      <c r="V212" s="741"/>
      <c r="W212" s="741"/>
      <c r="X212" s="741"/>
      <c r="Y212" s="741"/>
      <c r="Z212" s="741"/>
      <c r="AA212" s="741"/>
      <c r="AB212" s="741"/>
      <c r="AC212" s="741"/>
      <c r="AD212" s="741"/>
      <c r="AE212" s="741"/>
      <c r="AF212" s="741"/>
      <c r="AG212" s="741"/>
      <c r="AH212" s="741"/>
      <c r="AI212" s="741"/>
      <c r="AJ212" s="741"/>
      <c r="AK212" s="741"/>
      <c r="AL212" s="741"/>
      <c r="AM212" s="741"/>
    </row>
    <row r="213" spans="1:39" ht="12.75" customHeight="1">
      <c r="A213" s="741"/>
      <c r="B213" s="741"/>
      <c r="C213" s="741"/>
      <c r="D213" s="741"/>
      <c r="E213" s="741"/>
      <c r="F213" s="741"/>
      <c r="G213" s="741"/>
      <c r="H213" s="741"/>
      <c r="I213" s="741"/>
      <c r="J213" s="741"/>
      <c r="K213" s="741"/>
      <c r="L213" s="741"/>
      <c r="M213" s="741"/>
      <c r="N213" s="741"/>
      <c r="O213" s="741"/>
      <c r="P213" s="741"/>
      <c r="Q213" s="741"/>
      <c r="R213" s="741"/>
      <c r="S213" s="741"/>
      <c r="T213" s="741"/>
      <c r="U213" s="741"/>
      <c r="V213" s="741"/>
      <c r="W213" s="741"/>
      <c r="X213" s="741"/>
      <c r="Y213" s="741"/>
      <c r="Z213" s="741"/>
      <c r="AA213" s="741"/>
      <c r="AB213" s="741"/>
      <c r="AC213" s="741"/>
      <c r="AD213" s="741"/>
      <c r="AE213" s="741"/>
      <c r="AF213" s="741"/>
      <c r="AG213" s="741"/>
      <c r="AH213" s="741"/>
      <c r="AI213" s="741"/>
      <c r="AJ213" s="741"/>
      <c r="AK213" s="741"/>
      <c r="AL213" s="741"/>
      <c r="AM213" s="741"/>
    </row>
    <row r="214" spans="1:39" ht="12.75" customHeight="1">
      <c r="A214" s="741"/>
      <c r="B214" s="741"/>
      <c r="C214" s="741"/>
      <c r="D214" s="741"/>
      <c r="E214" s="741"/>
      <c r="F214" s="741"/>
      <c r="G214" s="741"/>
      <c r="H214" s="741"/>
      <c r="I214" s="741"/>
      <c r="J214" s="741"/>
      <c r="K214" s="741"/>
      <c r="L214" s="741"/>
      <c r="M214" s="741"/>
      <c r="N214" s="741"/>
      <c r="O214" s="741"/>
      <c r="P214" s="741"/>
      <c r="Q214" s="741"/>
      <c r="R214" s="741"/>
      <c r="S214" s="741"/>
      <c r="T214" s="741"/>
      <c r="U214" s="741"/>
      <c r="V214" s="741"/>
      <c r="W214" s="741"/>
      <c r="X214" s="741"/>
      <c r="Y214" s="741"/>
      <c r="Z214" s="741"/>
      <c r="AA214" s="741"/>
      <c r="AB214" s="741"/>
      <c r="AC214" s="741"/>
      <c r="AD214" s="741"/>
      <c r="AE214" s="741"/>
      <c r="AF214" s="741"/>
      <c r="AG214" s="741"/>
      <c r="AH214" s="741"/>
      <c r="AI214" s="741"/>
      <c r="AJ214" s="741"/>
      <c r="AK214" s="741"/>
      <c r="AL214" s="741"/>
      <c r="AM214" s="741"/>
    </row>
    <row r="215" spans="1:39" ht="12.75" customHeight="1">
      <c r="A215" s="741"/>
      <c r="B215" s="741"/>
      <c r="C215" s="741"/>
      <c r="D215" s="741"/>
      <c r="E215" s="741"/>
      <c r="F215" s="741"/>
      <c r="G215" s="741"/>
      <c r="H215" s="741"/>
      <c r="I215" s="741"/>
      <c r="J215" s="741"/>
      <c r="K215" s="741"/>
      <c r="L215" s="741"/>
      <c r="M215" s="741"/>
      <c r="N215" s="741"/>
      <c r="O215" s="741"/>
      <c r="P215" s="741"/>
      <c r="Q215" s="741"/>
      <c r="R215" s="741"/>
      <c r="S215" s="741"/>
      <c r="T215" s="741"/>
      <c r="U215" s="741"/>
      <c r="V215" s="741"/>
      <c r="W215" s="741"/>
      <c r="X215" s="741"/>
      <c r="Y215" s="741"/>
      <c r="Z215" s="741"/>
      <c r="AA215" s="741"/>
      <c r="AB215" s="741"/>
      <c r="AC215" s="741"/>
      <c r="AD215" s="741"/>
      <c r="AE215" s="741"/>
      <c r="AF215" s="741"/>
      <c r="AG215" s="741"/>
      <c r="AH215" s="741"/>
      <c r="AI215" s="741"/>
      <c r="AJ215" s="741"/>
      <c r="AK215" s="741"/>
      <c r="AL215" s="741"/>
      <c r="AM215" s="741"/>
    </row>
    <row r="216" spans="1:39" ht="12.75" customHeight="1">
      <c r="A216" s="741"/>
      <c r="B216" s="741"/>
      <c r="C216" s="741"/>
      <c r="D216" s="741"/>
      <c r="E216" s="741"/>
      <c r="F216" s="741"/>
      <c r="G216" s="741"/>
      <c r="H216" s="741"/>
      <c r="I216" s="741"/>
      <c r="J216" s="741"/>
      <c r="K216" s="741"/>
      <c r="L216" s="741"/>
      <c r="M216" s="741"/>
      <c r="N216" s="741"/>
      <c r="O216" s="741"/>
      <c r="P216" s="741"/>
      <c r="Q216" s="741"/>
      <c r="R216" s="741"/>
      <c r="S216" s="741"/>
      <c r="T216" s="741"/>
      <c r="U216" s="741"/>
      <c r="V216" s="741"/>
      <c r="W216" s="741"/>
      <c r="X216" s="741"/>
      <c r="Y216" s="741"/>
      <c r="Z216" s="741"/>
      <c r="AA216" s="741"/>
      <c r="AB216" s="741"/>
      <c r="AC216" s="741"/>
      <c r="AD216" s="741"/>
      <c r="AE216" s="741"/>
      <c r="AF216" s="741"/>
      <c r="AG216" s="741"/>
      <c r="AH216" s="741"/>
      <c r="AI216" s="741"/>
      <c r="AJ216" s="741"/>
      <c r="AK216" s="741"/>
      <c r="AL216" s="741"/>
      <c r="AM216" s="741"/>
    </row>
    <row r="217" spans="1:39" ht="12.75" customHeight="1">
      <c r="A217" s="741"/>
      <c r="B217" s="741"/>
      <c r="C217" s="741"/>
      <c r="D217" s="741"/>
      <c r="E217" s="741"/>
      <c r="F217" s="741"/>
      <c r="G217" s="741"/>
      <c r="H217" s="741"/>
      <c r="I217" s="741"/>
      <c r="J217" s="741"/>
      <c r="K217" s="741"/>
      <c r="L217" s="741"/>
      <c r="M217" s="741"/>
      <c r="N217" s="741"/>
      <c r="O217" s="741"/>
      <c r="P217" s="741"/>
      <c r="Q217" s="741"/>
      <c r="R217" s="741"/>
      <c r="S217" s="741"/>
      <c r="T217" s="741"/>
      <c r="U217" s="741"/>
      <c r="V217" s="741"/>
      <c r="W217" s="741"/>
      <c r="X217" s="741"/>
      <c r="Y217" s="741"/>
      <c r="Z217" s="741"/>
      <c r="AA217" s="741"/>
      <c r="AB217" s="741"/>
      <c r="AC217" s="741"/>
      <c r="AD217" s="741"/>
      <c r="AE217" s="741"/>
      <c r="AF217" s="741"/>
      <c r="AG217" s="741"/>
      <c r="AH217" s="741"/>
      <c r="AI217" s="741"/>
      <c r="AJ217" s="741"/>
      <c r="AK217" s="741"/>
      <c r="AL217" s="741"/>
      <c r="AM217" s="741"/>
    </row>
    <row r="218" spans="1:39" ht="12.75" customHeight="1">
      <c r="A218" s="741"/>
      <c r="B218" s="741"/>
      <c r="C218" s="741"/>
      <c r="D218" s="741"/>
      <c r="E218" s="741"/>
      <c r="F218" s="741"/>
      <c r="G218" s="741"/>
      <c r="H218" s="741"/>
      <c r="I218" s="741"/>
      <c r="J218" s="741"/>
      <c r="K218" s="741"/>
      <c r="L218" s="741"/>
      <c r="M218" s="741"/>
      <c r="N218" s="741"/>
      <c r="O218" s="741"/>
      <c r="P218" s="741"/>
      <c r="Q218" s="741"/>
      <c r="R218" s="741"/>
      <c r="S218" s="741"/>
      <c r="T218" s="741"/>
      <c r="U218" s="741"/>
      <c r="V218" s="741"/>
      <c r="W218" s="741"/>
      <c r="X218" s="741"/>
      <c r="Y218" s="741"/>
      <c r="Z218" s="741"/>
      <c r="AA218" s="741"/>
      <c r="AB218" s="741"/>
      <c r="AC218" s="741"/>
      <c r="AD218" s="741"/>
      <c r="AE218" s="741"/>
      <c r="AF218" s="741"/>
      <c r="AG218" s="741"/>
      <c r="AH218" s="741"/>
      <c r="AI218" s="741"/>
      <c r="AJ218" s="741"/>
      <c r="AK218" s="741"/>
      <c r="AL218" s="741"/>
      <c r="AM218" s="741"/>
    </row>
    <row r="219" spans="1:39" ht="12.75" customHeight="1">
      <c r="A219" s="741"/>
      <c r="B219" s="741"/>
      <c r="C219" s="741"/>
      <c r="D219" s="741"/>
      <c r="E219" s="741"/>
      <c r="F219" s="741"/>
      <c r="G219" s="741"/>
      <c r="H219" s="741"/>
      <c r="I219" s="741"/>
      <c r="J219" s="741"/>
      <c r="K219" s="741"/>
      <c r="L219" s="741"/>
      <c r="M219" s="741"/>
      <c r="N219" s="741"/>
      <c r="O219" s="741"/>
      <c r="P219" s="741"/>
      <c r="Q219" s="741"/>
      <c r="R219" s="741"/>
      <c r="S219" s="741"/>
      <c r="T219" s="741"/>
      <c r="U219" s="741"/>
      <c r="V219" s="741"/>
      <c r="W219" s="741"/>
      <c r="X219" s="741"/>
      <c r="Y219" s="741"/>
      <c r="Z219" s="741"/>
      <c r="AA219" s="741"/>
      <c r="AB219" s="741"/>
      <c r="AC219" s="741"/>
      <c r="AD219" s="741"/>
      <c r="AE219" s="741"/>
      <c r="AF219" s="741"/>
      <c r="AG219" s="741"/>
      <c r="AH219" s="741"/>
      <c r="AI219" s="741"/>
      <c r="AJ219" s="741"/>
      <c r="AK219" s="741"/>
      <c r="AL219" s="741"/>
      <c r="AM219" s="741"/>
    </row>
    <row r="220" spans="1:39" ht="12.75" customHeight="1">
      <c r="A220" s="741"/>
      <c r="B220" s="741"/>
      <c r="C220" s="741"/>
      <c r="D220" s="741"/>
      <c r="E220" s="741"/>
      <c r="F220" s="741"/>
      <c r="G220" s="741"/>
      <c r="H220" s="741"/>
      <c r="I220" s="741"/>
      <c r="J220" s="741"/>
      <c r="K220" s="741"/>
      <c r="L220" s="741"/>
      <c r="M220" s="741"/>
      <c r="N220" s="741"/>
      <c r="O220" s="741"/>
      <c r="P220" s="741"/>
      <c r="Q220" s="741"/>
      <c r="R220" s="741"/>
      <c r="S220" s="741"/>
      <c r="T220" s="741"/>
      <c r="U220" s="741"/>
      <c r="V220" s="741"/>
      <c r="W220" s="741"/>
      <c r="X220" s="741"/>
      <c r="Y220" s="741"/>
      <c r="Z220" s="741"/>
      <c r="AA220" s="741"/>
      <c r="AB220" s="741"/>
      <c r="AC220" s="741"/>
      <c r="AD220" s="741"/>
      <c r="AE220" s="741"/>
      <c r="AF220" s="741"/>
      <c r="AG220" s="741"/>
      <c r="AH220" s="741"/>
      <c r="AI220" s="741"/>
      <c r="AJ220" s="741"/>
      <c r="AK220" s="741"/>
      <c r="AL220" s="741"/>
      <c r="AM220" s="741"/>
    </row>
    <row r="221" spans="1:39" ht="12.75" customHeight="1">
      <c r="A221" s="741"/>
      <c r="B221" s="741"/>
      <c r="C221" s="741"/>
      <c r="D221" s="741"/>
      <c r="E221" s="741"/>
      <c r="F221" s="741"/>
      <c r="G221" s="741"/>
      <c r="H221" s="741"/>
      <c r="I221" s="741"/>
      <c r="J221" s="741"/>
      <c r="K221" s="741"/>
      <c r="L221" s="741"/>
      <c r="M221" s="741"/>
      <c r="N221" s="741"/>
      <c r="O221" s="741"/>
      <c r="P221" s="741"/>
      <c r="Q221" s="741"/>
      <c r="R221" s="741"/>
      <c r="S221" s="741"/>
      <c r="T221" s="741"/>
      <c r="U221" s="741"/>
      <c r="V221" s="741"/>
      <c r="W221" s="741"/>
      <c r="X221" s="741"/>
      <c r="Y221" s="741"/>
      <c r="Z221" s="741"/>
      <c r="AA221" s="741"/>
      <c r="AB221" s="741"/>
      <c r="AC221" s="741"/>
      <c r="AD221" s="741"/>
      <c r="AE221" s="741"/>
      <c r="AF221" s="741"/>
      <c r="AG221" s="741"/>
      <c r="AH221" s="741"/>
      <c r="AI221" s="741"/>
      <c r="AJ221" s="741"/>
      <c r="AK221" s="741"/>
      <c r="AL221" s="741"/>
      <c r="AM221" s="741"/>
    </row>
    <row r="222" spans="1:39" ht="12.75" customHeight="1">
      <c r="A222" s="741"/>
      <c r="B222" s="741"/>
      <c r="C222" s="741"/>
      <c r="D222" s="741"/>
      <c r="E222" s="741"/>
      <c r="F222" s="741"/>
      <c r="G222" s="741"/>
      <c r="H222" s="741"/>
      <c r="I222" s="741"/>
      <c r="J222" s="741"/>
      <c r="K222" s="741"/>
      <c r="L222" s="741"/>
      <c r="M222" s="741"/>
      <c r="N222" s="741"/>
      <c r="O222" s="741"/>
      <c r="P222" s="741"/>
      <c r="Q222" s="741"/>
      <c r="R222" s="741"/>
      <c r="S222" s="741"/>
      <c r="T222" s="741"/>
      <c r="U222" s="741"/>
      <c r="V222" s="741"/>
      <c r="W222" s="741"/>
      <c r="X222" s="741"/>
      <c r="Y222" s="741"/>
      <c r="Z222" s="741"/>
      <c r="AA222" s="741"/>
      <c r="AB222" s="741"/>
      <c r="AC222" s="741"/>
      <c r="AD222" s="741"/>
      <c r="AE222" s="741"/>
      <c r="AF222" s="741"/>
      <c r="AG222" s="741"/>
      <c r="AH222" s="741"/>
      <c r="AI222" s="741"/>
      <c r="AJ222" s="741"/>
      <c r="AK222" s="741"/>
      <c r="AL222" s="741"/>
      <c r="AM222" s="741"/>
    </row>
    <row r="223" spans="1:39" ht="12.75" customHeight="1">
      <c r="A223" s="741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1"/>
      <c r="P223" s="741"/>
      <c r="Q223" s="741"/>
      <c r="R223" s="741"/>
      <c r="S223" s="741"/>
      <c r="T223" s="741"/>
      <c r="U223" s="741"/>
      <c r="V223" s="741"/>
      <c r="W223" s="741"/>
      <c r="X223" s="741"/>
      <c r="Y223" s="741"/>
      <c r="Z223" s="741"/>
      <c r="AA223" s="741"/>
      <c r="AB223" s="741"/>
      <c r="AC223" s="741"/>
      <c r="AD223" s="741"/>
      <c r="AE223" s="741"/>
      <c r="AF223" s="741"/>
      <c r="AG223" s="741"/>
      <c r="AH223" s="741"/>
      <c r="AI223" s="741"/>
      <c r="AJ223" s="741"/>
      <c r="AK223" s="741"/>
      <c r="AL223" s="741"/>
      <c r="AM223" s="741"/>
    </row>
    <row r="224" spans="1:39" ht="12.75" customHeight="1">
      <c r="A224" s="741"/>
      <c r="B224" s="741"/>
      <c r="C224" s="741"/>
      <c r="D224" s="741"/>
      <c r="E224" s="741"/>
      <c r="F224" s="741"/>
      <c r="G224" s="741"/>
      <c r="H224" s="741"/>
      <c r="I224" s="741"/>
      <c r="J224" s="741"/>
      <c r="K224" s="741"/>
      <c r="L224" s="741"/>
      <c r="M224" s="741"/>
      <c r="N224" s="741"/>
      <c r="O224" s="741"/>
      <c r="P224" s="741"/>
      <c r="Q224" s="741"/>
      <c r="R224" s="741"/>
      <c r="S224" s="741"/>
      <c r="T224" s="741"/>
      <c r="U224" s="741"/>
      <c r="V224" s="741"/>
      <c r="W224" s="741"/>
      <c r="X224" s="741"/>
      <c r="Y224" s="741"/>
      <c r="Z224" s="741"/>
      <c r="AA224" s="741"/>
      <c r="AB224" s="741"/>
      <c r="AC224" s="741"/>
      <c r="AD224" s="741"/>
      <c r="AE224" s="741"/>
      <c r="AF224" s="741"/>
      <c r="AG224" s="741"/>
      <c r="AH224" s="741"/>
      <c r="AI224" s="741"/>
      <c r="AJ224" s="741"/>
      <c r="AK224" s="741"/>
      <c r="AL224" s="741"/>
      <c r="AM224" s="741"/>
    </row>
    <row r="225" spans="1:39" ht="12.75" customHeight="1">
      <c r="A225" s="741"/>
      <c r="B225" s="741"/>
      <c r="C225" s="741"/>
      <c r="D225" s="741"/>
      <c r="E225" s="741"/>
      <c r="F225" s="741"/>
      <c r="G225" s="741"/>
      <c r="H225" s="741"/>
      <c r="I225" s="741"/>
      <c r="J225" s="741"/>
      <c r="K225" s="741"/>
      <c r="L225" s="741"/>
      <c r="M225" s="741"/>
      <c r="N225" s="741"/>
      <c r="O225" s="741"/>
      <c r="P225" s="741"/>
      <c r="Q225" s="741"/>
      <c r="R225" s="741"/>
      <c r="S225" s="741"/>
      <c r="T225" s="741"/>
      <c r="U225" s="741"/>
      <c r="V225" s="741"/>
      <c r="W225" s="741"/>
      <c r="X225" s="741"/>
      <c r="Y225" s="741"/>
      <c r="Z225" s="741"/>
      <c r="AA225" s="741"/>
      <c r="AB225" s="741"/>
      <c r="AC225" s="741"/>
      <c r="AD225" s="741"/>
      <c r="AE225" s="741"/>
      <c r="AF225" s="741"/>
      <c r="AG225" s="741"/>
      <c r="AH225" s="741"/>
      <c r="AI225" s="741"/>
      <c r="AJ225" s="741"/>
      <c r="AK225" s="741"/>
      <c r="AL225" s="741"/>
      <c r="AM225" s="741"/>
    </row>
    <row r="226" spans="1:39" ht="12.75" customHeight="1">
      <c r="A226" s="741"/>
      <c r="B226" s="741"/>
      <c r="C226" s="741"/>
      <c r="D226" s="741"/>
      <c r="E226" s="741"/>
      <c r="F226" s="741"/>
      <c r="G226" s="741"/>
      <c r="H226" s="741"/>
      <c r="I226" s="741"/>
      <c r="J226" s="741"/>
      <c r="K226" s="741"/>
      <c r="L226" s="741"/>
      <c r="M226" s="741"/>
      <c r="N226" s="741"/>
      <c r="O226" s="741"/>
      <c r="P226" s="741"/>
      <c r="Q226" s="741"/>
      <c r="R226" s="741"/>
      <c r="S226" s="741"/>
      <c r="T226" s="741"/>
      <c r="U226" s="741"/>
      <c r="V226" s="741"/>
      <c r="W226" s="741"/>
      <c r="X226" s="741"/>
      <c r="Y226" s="741"/>
      <c r="Z226" s="741"/>
      <c r="AA226" s="741"/>
      <c r="AB226" s="741"/>
      <c r="AC226" s="741"/>
      <c r="AD226" s="741"/>
      <c r="AE226" s="741"/>
      <c r="AF226" s="741"/>
      <c r="AG226" s="741"/>
      <c r="AH226" s="741"/>
      <c r="AI226" s="741"/>
      <c r="AJ226" s="741"/>
      <c r="AK226" s="741"/>
      <c r="AL226" s="741"/>
      <c r="AM226" s="741"/>
    </row>
    <row r="227" spans="1:39" ht="12.75" customHeight="1">
      <c r="A227" s="741"/>
      <c r="B227" s="741"/>
      <c r="C227" s="741"/>
      <c r="D227" s="741"/>
      <c r="E227" s="741"/>
      <c r="F227" s="741"/>
      <c r="G227" s="741"/>
      <c r="H227" s="741"/>
      <c r="I227" s="741"/>
      <c r="J227" s="741"/>
      <c r="K227" s="741"/>
      <c r="L227" s="741"/>
      <c r="M227" s="741"/>
      <c r="N227" s="741"/>
      <c r="O227" s="741"/>
      <c r="P227" s="741"/>
      <c r="Q227" s="741"/>
      <c r="R227" s="741"/>
      <c r="S227" s="741"/>
      <c r="T227" s="741"/>
      <c r="U227" s="741"/>
      <c r="V227" s="741"/>
      <c r="W227" s="741"/>
      <c r="X227" s="741"/>
      <c r="Y227" s="741"/>
      <c r="Z227" s="741"/>
      <c r="AA227" s="741"/>
      <c r="AB227" s="741"/>
      <c r="AC227" s="741"/>
      <c r="AD227" s="741"/>
      <c r="AE227" s="741"/>
      <c r="AF227" s="741"/>
      <c r="AG227" s="741"/>
      <c r="AH227" s="741"/>
      <c r="AI227" s="741"/>
      <c r="AJ227" s="741"/>
      <c r="AK227" s="741"/>
      <c r="AL227" s="741"/>
      <c r="AM227" s="741"/>
    </row>
    <row r="228" spans="1:39" ht="12.75" customHeight="1">
      <c r="A228" s="741"/>
      <c r="B228" s="741"/>
      <c r="C228" s="741"/>
      <c r="D228" s="741"/>
      <c r="E228" s="741"/>
      <c r="F228" s="741"/>
      <c r="G228" s="741"/>
      <c r="H228" s="741"/>
      <c r="I228" s="741"/>
      <c r="J228" s="741"/>
      <c r="K228" s="741"/>
      <c r="L228" s="741"/>
      <c r="M228" s="741"/>
      <c r="N228" s="741"/>
      <c r="O228" s="741"/>
      <c r="P228" s="741"/>
      <c r="Q228" s="741"/>
      <c r="R228" s="741"/>
      <c r="S228" s="741"/>
      <c r="T228" s="741"/>
      <c r="U228" s="741"/>
      <c r="V228" s="741"/>
      <c r="W228" s="741"/>
      <c r="X228" s="741"/>
      <c r="Y228" s="741"/>
      <c r="Z228" s="741"/>
      <c r="AA228" s="741"/>
      <c r="AB228" s="741"/>
      <c r="AC228" s="741"/>
      <c r="AD228" s="741"/>
      <c r="AE228" s="741"/>
      <c r="AF228" s="741"/>
      <c r="AG228" s="741"/>
      <c r="AH228" s="741"/>
      <c r="AI228" s="741"/>
      <c r="AJ228" s="741"/>
      <c r="AK228" s="741"/>
      <c r="AL228" s="741"/>
      <c r="AM228" s="741"/>
    </row>
    <row r="229" spans="1:39" ht="12.75" customHeight="1">
      <c r="A229" s="741"/>
      <c r="B229" s="741"/>
      <c r="C229" s="741"/>
      <c r="D229" s="741"/>
      <c r="E229" s="741"/>
      <c r="F229" s="741"/>
      <c r="G229" s="741"/>
      <c r="H229" s="741"/>
      <c r="I229" s="741"/>
      <c r="J229" s="741"/>
      <c r="K229" s="741"/>
      <c r="L229" s="741"/>
      <c r="M229" s="741"/>
      <c r="N229" s="741"/>
      <c r="O229" s="741"/>
      <c r="P229" s="741"/>
      <c r="Q229" s="741"/>
      <c r="R229" s="741"/>
      <c r="S229" s="741"/>
      <c r="T229" s="741"/>
      <c r="U229" s="741"/>
      <c r="V229" s="741"/>
      <c r="W229" s="741"/>
      <c r="X229" s="741"/>
      <c r="Y229" s="741"/>
      <c r="Z229" s="741"/>
      <c r="AA229" s="741"/>
      <c r="AB229" s="741"/>
      <c r="AC229" s="741"/>
      <c r="AD229" s="741"/>
      <c r="AE229" s="741"/>
      <c r="AF229" s="741"/>
      <c r="AG229" s="741"/>
      <c r="AH229" s="741"/>
      <c r="AI229" s="741"/>
      <c r="AJ229" s="741"/>
      <c r="AK229" s="741"/>
      <c r="AL229" s="741"/>
      <c r="AM229" s="741"/>
    </row>
    <row r="230" spans="1:39" ht="12.75" customHeight="1">
      <c r="A230" s="741"/>
      <c r="B230" s="741"/>
      <c r="C230" s="741"/>
      <c r="D230" s="741"/>
      <c r="E230" s="741"/>
      <c r="F230" s="741"/>
      <c r="G230" s="741"/>
      <c r="H230" s="741"/>
      <c r="I230" s="741"/>
      <c r="J230" s="741"/>
      <c r="K230" s="741"/>
      <c r="L230" s="741"/>
      <c r="M230" s="741"/>
      <c r="N230" s="741"/>
      <c r="O230" s="741"/>
      <c r="P230" s="741"/>
      <c r="Q230" s="741"/>
      <c r="R230" s="741"/>
      <c r="S230" s="741"/>
      <c r="T230" s="741"/>
      <c r="U230" s="741"/>
      <c r="V230" s="741"/>
      <c r="W230" s="741"/>
      <c r="X230" s="741"/>
      <c r="Y230" s="741"/>
      <c r="Z230" s="741"/>
      <c r="AA230" s="741"/>
      <c r="AB230" s="741"/>
      <c r="AC230" s="741"/>
      <c r="AD230" s="741"/>
      <c r="AE230" s="741"/>
      <c r="AF230" s="741"/>
      <c r="AG230" s="741"/>
      <c r="AH230" s="741"/>
      <c r="AI230" s="741"/>
      <c r="AJ230" s="741"/>
      <c r="AK230" s="741"/>
      <c r="AL230" s="741"/>
      <c r="AM230" s="741"/>
    </row>
    <row r="231" spans="1:39" ht="12.75" customHeight="1">
      <c r="A231" s="741"/>
      <c r="B231" s="741"/>
      <c r="C231" s="741"/>
      <c r="D231" s="741"/>
      <c r="E231" s="741"/>
      <c r="F231" s="741"/>
      <c r="G231" s="741"/>
      <c r="H231" s="741"/>
      <c r="I231" s="741"/>
      <c r="J231" s="741"/>
      <c r="K231" s="741"/>
      <c r="L231" s="741"/>
      <c r="M231" s="741"/>
      <c r="N231" s="741"/>
      <c r="O231" s="741"/>
      <c r="P231" s="741"/>
      <c r="Q231" s="741"/>
      <c r="R231" s="741"/>
      <c r="S231" s="741"/>
      <c r="T231" s="741"/>
      <c r="U231" s="741"/>
      <c r="V231" s="741"/>
      <c r="W231" s="741"/>
      <c r="X231" s="741"/>
      <c r="Y231" s="741"/>
      <c r="Z231" s="741"/>
      <c r="AA231" s="741"/>
      <c r="AB231" s="741"/>
      <c r="AC231" s="741"/>
      <c r="AD231" s="741"/>
      <c r="AE231" s="741"/>
      <c r="AF231" s="741"/>
      <c r="AG231" s="741"/>
      <c r="AH231" s="741"/>
      <c r="AI231" s="741"/>
      <c r="AJ231" s="741"/>
      <c r="AK231" s="741"/>
      <c r="AL231" s="741"/>
      <c r="AM231" s="741"/>
    </row>
    <row r="232" spans="1:39" ht="12.75" customHeight="1">
      <c r="A232" s="741"/>
      <c r="B232" s="741"/>
      <c r="C232" s="741"/>
      <c r="D232" s="741"/>
      <c r="E232" s="741"/>
      <c r="F232" s="741"/>
      <c r="G232" s="741"/>
      <c r="H232" s="741"/>
      <c r="I232" s="741"/>
      <c r="J232" s="741"/>
      <c r="K232" s="741"/>
      <c r="L232" s="741"/>
      <c r="M232" s="741"/>
      <c r="N232" s="741"/>
      <c r="O232" s="741"/>
      <c r="P232" s="741"/>
      <c r="Q232" s="741"/>
      <c r="R232" s="741"/>
      <c r="S232" s="741"/>
      <c r="T232" s="741"/>
      <c r="U232" s="741"/>
      <c r="V232" s="741"/>
      <c r="W232" s="741"/>
      <c r="X232" s="741"/>
      <c r="Y232" s="741"/>
      <c r="Z232" s="741"/>
      <c r="AA232" s="741"/>
      <c r="AB232" s="741"/>
      <c r="AC232" s="741"/>
      <c r="AD232" s="741"/>
      <c r="AE232" s="741"/>
      <c r="AF232" s="741"/>
      <c r="AG232" s="741"/>
      <c r="AH232" s="741"/>
      <c r="AI232" s="741"/>
      <c r="AJ232" s="741"/>
      <c r="AK232" s="741"/>
      <c r="AL232" s="741"/>
      <c r="AM232" s="741"/>
    </row>
    <row r="233" spans="1:39" ht="12.75" customHeight="1">
      <c r="A233" s="741"/>
      <c r="B233" s="741"/>
      <c r="C233" s="741"/>
      <c r="D233" s="741"/>
      <c r="E233" s="741"/>
      <c r="F233" s="741"/>
      <c r="G233" s="741"/>
      <c r="H233" s="741"/>
      <c r="I233" s="741"/>
      <c r="J233" s="741"/>
      <c r="K233" s="741"/>
      <c r="L233" s="741"/>
      <c r="M233" s="741"/>
      <c r="N233" s="741"/>
      <c r="O233" s="741"/>
      <c r="P233" s="741"/>
      <c r="Q233" s="741"/>
      <c r="R233" s="741"/>
      <c r="S233" s="741"/>
      <c r="T233" s="741"/>
      <c r="U233" s="741"/>
      <c r="V233" s="741"/>
      <c r="W233" s="741"/>
      <c r="X233" s="741"/>
      <c r="Y233" s="741"/>
      <c r="Z233" s="741"/>
      <c r="AA233" s="741"/>
      <c r="AB233" s="741"/>
      <c r="AC233" s="741"/>
      <c r="AD233" s="741"/>
      <c r="AE233" s="741"/>
      <c r="AF233" s="741"/>
      <c r="AG233" s="741"/>
      <c r="AH233" s="741"/>
      <c r="AI233" s="741"/>
      <c r="AJ233" s="741"/>
      <c r="AK233" s="741"/>
      <c r="AL233" s="741"/>
      <c r="AM233" s="741"/>
    </row>
    <row r="234" spans="1:39" ht="12.75" customHeight="1">
      <c r="A234" s="741"/>
      <c r="B234" s="741"/>
      <c r="C234" s="741"/>
      <c r="D234" s="741"/>
      <c r="E234" s="741"/>
      <c r="F234" s="741"/>
      <c r="G234" s="741"/>
      <c r="H234" s="741"/>
      <c r="I234" s="741"/>
      <c r="J234" s="741"/>
      <c r="K234" s="741"/>
      <c r="L234" s="741"/>
      <c r="M234" s="741"/>
      <c r="N234" s="741"/>
      <c r="O234" s="741"/>
      <c r="P234" s="741"/>
      <c r="Q234" s="741"/>
      <c r="R234" s="741"/>
      <c r="S234" s="741"/>
      <c r="T234" s="741"/>
      <c r="U234" s="741"/>
      <c r="V234" s="741"/>
      <c r="W234" s="741"/>
      <c r="X234" s="741"/>
      <c r="Y234" s="741"/>
      <c r="Z234" s="741"/>
      <c r="AA234" s="741"/>
      <c r="AB234" s="741"/>
      <c r="AC234" s="741"/>
      <c r="AD234" s="741"/>
      <c r="AE234" s="741"/>
      <c r="AF234" s="741"/>
      <c r="AG234" s="741"/>
      <c r="AH234" s="741"/>
      <c r="AI234" s="741"/>
      <c r="AJ234" s="741"/>
      <c r="AK234" s="741"/>
      <c r="AL234" s="741"/>
      <c r="AM234" s="741"/>
    </row>
    <row r="235" spans="1:39" ht="12.75" customHeight="1">
      <c r="A235" s="741"/>
      <c r="B235" s="741"/>
      <c r="C235" s="741"/>
      <c r="D235" s="741"/>
      <c r="E235" s="741"/>
      <c r="F235" s="741"/>
      <c r="G235" s="741"/>
      <c r="H235" s="741"/>
      <c r="I235" s="741"/>
      <c r="J235" s="741"/>
      <c r="K235" s="741"/>
      <c r="L235" s="741"/>
      <c r="M235" s="741"/>
      <c r="N235" s="741"/>
      <c r="O235" s="741"/>
      <c r="P235" s="741"/>
      <c r="Q235" s="741"/>
      <c r="R235" s="741"/>
      <c r="S235" s="741"/>
      <c r="T235" s="741"/>
      <c r="U235" s="741"/>
      <c r="V235" s="741"/>
      <c r="W235" s="741"/>
      <c r="X235" s="741"/>
      <c r="Y235" s="741"/>
      <c r="Z235" s="741"/>
      <c r="AA235" s="741"/>
      <c r="AB235" s="741"/>
      <c r="AC235" s="741"/>
      <c r="AD235" s="741"/>
      <c r="AE235" s="741"/>
      <c r="AF235" s="741"/>
      <c r="AG235" s="741"/>
      <c r="AH235" s="741"/>
      <c r="AI235" s="741"/>
      <c r="AJ235" s="741"/>
      <c r="AK235" s="741"/>
      <c r="AL235" s="741"/>
      <c r="AM235" s="741"/>
    </row>
    <row r="236" spans="1:39" ht="12.75" customHeight="1">
      <c r="A236" s="741"/>
      <c r="B236" s="741"/>
      <c r="C236" s="741"/>
      <c r="D236" s="741"/>
      <c r="E236" s="741"/>
      <c r="F236" s="741"/>
      <c r="G236" s="741"/>
      <c r="H236" s="741"/>
      <c r="I236" s="741"/>
      <c r="J236" s="741"/>
      <c r="K236" s="741"/>
      <c r="L236" s="741"/>
      <c r="M236" s="741"/>
      <c r="N236" s="741"/>
      <c r="O236" s="741"/>
      <c r="P236" s="741"/>
      <c r="Q236" s="741"/>
      <c r="R236" s="741"/>
      <c r="S236" s="741"/>
      <c r="T236" s="741"/>
      <c r="U236" s="741"/>
      <c r="V236" s="741"/>
      <c r="W236" s="741"/>
      <c r="X236" s="741"/>
      <c r="Y236" s="741"/>
      <c r="Z236" s="741"/>
      <c r="AA236" s="741"/>
      <c r="AB236" s="741"/>
      <c r="AC236" s="741"/>
      <c r="AD236" s="741"/>
      <c r="AE236" s="741"/>
      <c r="AF236" s="741"/>
      <c r="AG236" s="741"/>
      <c r="AH236" s="741"/>
      <c r="AI236" s="741"/>
      <c r="AJ236" s="741"/>
      <c r="AK236" s="741"/>
      <c r="AL236" s="741"/>
      <c r="AM236" s="741"/>
    </row>
    <row r="237" spans="1:39" ht="12.75" customHeight="1">
      <c r="A237" s="741"/>
      <c r="B237" s="741"/>
      <c r="C237" s="741"/>
      <c r="D237" s="741"/>
      <c r="E237" s="741"/>
      <c r="F237" s="741"/>
      <c r="G237" s="741"/>
      <c r="H237" s="741"/>
      <c r="I237" s="741"/>
      <c r="J237" s="741"/>
      <c r="K237" s="741"/>
      <c r="L237" s="741"/>
      <c r="M237" s="741"/>
      <c r="N237" s="741"/>
      <c r="O237" s="741"/>
      <c r="P237" s="741"/>
      <c r="Q237" s="741"/>
      <c r="R237" s="741"/>
      <c r="S237" s="741"/>
      <c r="T237" s="741"/>
      <c r="U237" s="741"/>
      <c r="V237" s="741"/>
      <c r="W237" s="741"/>
      <c r="X237" s="741"/>
      <c r="Y237" s="741"/>
      <c r="Z237" s="741"/>
      <c r="AA237" s="741"/>
      <c r="AB237" s="741"/>
      <c r="AC237" s="741"/>
      <c r="AD237" s="741"/>
      <c r="AE237" s="741"/>
      <c r="AF237" s="741"/>
      <c r="AG237" s="741"/>
      <c r="AH237" s="741"/>
      <c r="AI237" s="741"/>
      <c r="AJ237" s="741"/>
      <c r="AK237" s="741"/>
      <c r="AL237" s="741"/>
      <c r="AM237" s="741"/>
    </row>
    <row r="238" spans="1:39" ht="12.75" customHeight="1">
      <c r="A238" s="741"/>
      <c r="B238" s="741"/>
      <c r="C238" s="741"/>
      <c r="D238" s="741"/>
      <c r="E238" s="741"/>
      <c r="F238" s="741"/>
      <c r="G238" s="741"/>
      <c r="H238" s="741"/>
      <c r="I238" s="741"/>
      <c r="J238" s="741"/>
      <c r="K238" s="741"/>
      <c r="L238" s="741"/>
      <c r="M238" s="741"/>
      <c r="N238" s="741"/>
      <c r="O238" s="741"/>
      <c r="P238" s="741"/>
      <c r="Q238" s="741"/>
      <c r="R238" s="741"/>
      <c r="S238" s="741"/>
      <c r="T238" s="741"/>
      <c r="U238" s="741"/>
      <c r="V238" s="741"/>
      <c r="W238" s="741"/>
      <c r="X238" s="741"/>
      <c r="Y238" s="741"/>
      <c r="Z238" s="741"/>
      <c r="AA238" s="741"/>
      <c r="AB238" s="741"/>
      <c r="AC238" s="741"/>
      <c r="AD238" s="741"/>
      <c r="AE238" s="741"/>
      <c r="AF238" s="741"/>
      <c r="AG238" s="741"/>
      <c r="AH238" s="741"/>
      <c r="AI238" s="741"/>
      <c r="AJ238" s="741"/>
      <c r="AK238" s="741"/>
      <c r="AL238" s="741"/>
      <c r="AM238" s="741"/>
    </row>
    <row r="239" spans="1:39" ht="12.75" customHeight="1">
      <c r="A239" s="741"/>
      <c r="B239" s="741"/>
      <c r="C239" s="741"/>
      <c r="D239" s="741"/>
      <c r="E239" s="741"/>
      <c r="F239" s="741"/>
      <c r="G239" s="741"/>
      <c r="H239" s="741"/>
      <c r="I239" s="741"/>
      <c r="J239" s="741"/>
      <c r="K239" s="741"/>
      <c r="L239" s="741"/>
      <c r="M239" s="741"/>
      <c r="N239" s="741"/>
      <c r="O239" s="741"/>
      <c r="P239" s="741"/>
      <c r="Q239" s="741"/>
      <c r="R239" s="741"/>
      <c r="S239" s="741"/>
      <c r="T239" s="741"/>
      <c r="U239" s="741"/>
      <c r="V239" s="741"/>
      <c r="W239" s="741"/>
      <c r="X239" s="741"/>
      <c r="Y239" s="741"/>
      <c r="Z239" s="741"/>
      <c r="AA239" s="741"/>
      <c r="AB239" s="741"/>
      <c r="AC239" s="741"/>
      <c r="AD239" s="741"/>
      <c r="AE239" s="741"/>
      <c r="AF239" s="741"/>
      <c r="AG239" s="741"/>
      <c r="AH239" s="741"/>
      <c r="AI239" s="741"/>
      <c r="AJ239" s="741"/>
      <c r="AK239" s="741"/>
      <c r="AL239" s="741"/>
      <c r="AM239" s="741"/>
    </row>
    <row r="240" spans="1:39" ht="12.75" customHeight="1">
      <c r="A240" s="741"/>
      <c r="B240" s="741"/>
      <c r="C240" s="741"/>
      <c r="D240" s="741"/>
      <c r="E240" s="741"/>
      <c r="F240" s="741"/>
      <c r="G240" s="741"/>
      <c r="H240" s="741"/>
      <c r="I240" s="741"/>
      <c r="J240" s="741"/>
      <c r="K240" s="741"/>
      <c r="L240" s="741"/>
      <c r="M240" s="741"/>
      <c r="N240" s="741"/>
      <c r="O240" s="741"/>
      <c r="P240" s="741"/>
      <c r="Q240" s="741"/>
      <c r="R240" s="741"/>
      <c r="S240" s="741"/>
      <c r="T240" s="741"/>
      <c r="U240" s="741"/>
      <c r="V240" s="741"/>
      <c r="W240" s="741"/>
      <c r="X240" s="741"/>
      <c r="Y240" s="741"/>
      <c r="Z240" s="741"/>
      <c r="AA240" s="741"/>
      <c r="AB240" s="741"/>
      <c r="AC240" s="741"/>
      <c r="AD240" s="741"/>
      <c r="AE240" s="741"/>
      <c r="AF240" s="741"/>
      <c r="AG240" s="741"/>
      <c r="AH240" s="741"/>
      <c r="AI240" s="741"/>
      <c r="AJ240" s="741"/>
      <c r="AK240" s="741"/>
      <c r="AL240" s="741"/>
      <c r="AM240" s="741"/>
    </row>
    <row r="241" spans="1:39" ht="12.75" customHeight="1">
      <c r="A241" s="741"/>
      <c r="B241" s="741"/>
      <c r="C241" s="741"/>
      <c r="D241" s="741"/>
      <c r="E241" s="741"/>
      <c r="F241" s="741"/>
      <c r="G241" s="741"/>
      <c r="H241" s="741"/>
      <c r="I241" s="741"/>
      <c r="J241" s="741"/>
      <c r="K241" s="741"/>
      <c r="L241" s="741"/>
      <c r="M241" s="741"/>
      <c r="N241" s="741"/>
      <c r="O241" s="741"/>
      <c r="P241" s="741"/>
      <c r="Q241" s="741"/>
      <c r="R241" s="741"/>
      <c r="S241" s="741"/>
      <c r="T241" s="741"/>
      <c r="U241" s="741"/>
      <c r="V241" s="741"/>
      <c r="W241" s="741"/>
      <c r="X241" s="741"/>
      <c r="Y241" s="741"/>
      <c r="Z241" s="741"/>
      <c r="AA241" s="741"/>
      <c r="AB241" s="741"/>
      <c r="AC241" s="741"/>
      <c r="AD241" s="741"/>
      <c r="AE241" s="741"/>
      <c r="AF241" s="741"/>
      <c r="AG241" s="741"/>
      <c r="AH241" s="741"/>
      <c r="AI241" s="741"/>
      <c r="AJ241" s="741"/>
      <c r="AK241" s="741"/>
      <c r="AL241" s="741"/>
      <c r="AM241" s="741"/>
    </row>
    <row r="242" spans="1:39" ht="12.75" customHeight="1">
      <c r="A242" s="741"/>
      <c r="B242" s="741"/>
      <c r="C242" s="741"/>
      <c r="D242" s="741"/>
      <c r="E242" s="741"/>
      <c r="F242" s="741"/>
      <c r="G242" s="741"/>
      <c r="H242" s="741"/>
      <c r="I242" s="741"/>
      <c r="J242" s="741"/>
      <c r="K242" s="741"/>
      <c r="L242" s="741"/>
      <c r="M242" s="741"/>
      <c r="N242" s="741"/>
      <c r="O242" s="741"/>
      <c r="P242" s="741"/>
      <c r="Q242" s="741"/>
      <c r="R242" s="741"/>
      <c r="S242" s="741"/>
      <c r="T242" s="741"/>
      <c r="U242" s="741"/>
      <c r="V242" s="741"/>
      <c r="W242" s="741"/>
      <c r="X242" s="741"/>
      <c r="Y242" s="741"/>
      <c r="Z242" s="741"/>
      <c r="AA242" s="741"/>
      <c r="AB242" s="741"/>
      <c r="AC242" s="741"/>
      <c r="AD242" s="741"/>
      <c r="AE242" s="741"/>
      <c r="AF242" s="741"/>
      <c r="AG242" s="741"/>
      <c r="AH242" s="741"/>
      <c r="AI242" s="741"/>
      <c r="AJ242" s="741"/>
      <c r="AK242" s="741"/>
      <c r="AL242" s="741"/>
      <c r="AM242" s="741"/>
    </row>
    <row r="243" spans="1:39" ht="12.75" customHeight="1">
      <c r="A243" s="741"/>
      <c r="B243" s="741"/>
      <c r="C243" s="741"/>
      <c r="D243" s="741"/>
      <c r="E243" s="741"/>
      <c r="F243" s="741"/>
      <c r="G243" s="741"/>
      <c r="H243" s="741"/>
      <c r="I243" s="741"/>
      <c r="J243" s="741"/>
      <c r="K243" s="741"/>
      <c r="L243" s="741"/>
      <c r="M243" s="741"/>
      <c r="N243" s="741"/>
      <c r="O243" s="741"/>
      <c r="P243" s="741"/>
      <c r="Q243" s="741"/>
      <c r="R243" s="741"/>
      <c r="S243" s="741"/>
      <c r="T243" s="741"/>
      <c r="U243" s="741"/>
      <c r="V243" s="741"/>
      <c r="W243" s="741"/>
      <c r="X243" s="741"/>
      <c r="Y243" s="741"/>
      <c r="Z243" s="741"/>
      <c r="AA243" s="741"/>
      <c r="AB243" s="741"/>
      <c r="AC243" s="741"/>
      <c r="AD243" s="741"/>
      <c r="AE243" s="741"/>
      <c r="AF243" s="741"/>
      <c r="AG243" s="741"/>
      <c r="AH243" s="741"/>
      <c r="AI243" s="741"/>
      <c r="AJ243" s="741"/>
      <c r="AK243" s="741"/>
      <c r="AL243" s="741"/>
      <c r="AM243" s="741"/>
    </row>
    <row r="244" spans="1:39" ht="12.75" customHeight="1">
      <c r="A244" s="741"/>
      <c r="B244" s="741"/>
      <c r="C244" s="741"/>
      <c r="D244" s="741"/>
      <c r="E244" s="741"/>
      <c r="F244" s="741"/>
      <c r="G244" s="741"/>
      <c r="H244" s="741"/>
      <c r="I244" s="741"/>
      <c r="J244" s="741"/>
      <c r="K244" s="741"/>
      <c r="L244" s="741"/>
      <c r="M244" s="741"/>
      <c r="N244" s="741"/>
      <c r="O244" s="741"/>
      <c r="P244" s="741"/>
      <c r="Q244" s="741"/>
      <c r="R244" s="741"/>
      <c r="S244" s="741"/>
      <c r="T244" s="741"/>
      <c r="U244" s="741"/>
      <c r="V244" s="741"/>
      <c r="W244" s="741"/>
      <c r="X244" s="741"/>
      <c r="Y244" s="741"/>
      <c r="Z244" s="741"/>
      <c r="AA244" s="741"/>
      <c r="AB244" s="741"/>
      <c r="AC244" s="741"/>
      <c r="AD244" s="741"/>
      <c r="AE244" s="741"/>
      <c r="AF244" s="741"/>
      <c r="AG244" s="741"/>
      <c r="AH244" s="741"/>
      <c r="AI244" s="741"/>
      <c r="AJ244" s="741"/>
      <c r="AK244" s="741"/>
      <c r="AL244" s="741"/>
      <c r="AM244" s="741"/>
    </row>
    <row r="245" spans="1:39" ht="12.75" customHeight="1">
      <c r="A245" s="741"/>
      <c r="B245" s="741"/>
      <c r="C245" s="741"/>
      <c r="D245" s="741"/>
      <c r="E245" s="741"/>
      <c r="F245" s="741"/>
      <c r="G245" s="741"/>
      <c r="H245" s="741"/>
      <c r="I245" s="741"/>
      <c r="J245" s="741"/>
      <c r="K245" s="741"/>
      <c r="L245" s="741"/>
      <c r="M245" s="741"/>
      <c r="N245" s="741"/>
      <c r="O245" s="741"/>
      <c r="P245" s="741"/>
      <c r="Q245" s="741"/>
      <c r="R245" s="741"/>
      <c r="S245" s="741"/>
      <c r="T245" s="741"/>
      <c r="U245" s="741"/>
      <c r="V245" s="741"/>
      <c r="W245" s="741"/>
      <c r="X245" s="741"/>
      <c r="Y245" s="741"/>
      <c r="Z245" s="741"/>
      <c r="AA245" s="741"/>
      <c r="AB245" s="741"/>
      <c r="AC245" s="741"/>
      <c r="AD245" s="741"/>
      <c r="AE245" s="741"/>
      <c r="AF245" s="741"/>
      <c r="AG245" s="741"/>
      <c r="AH245" s="741"/>
      <c r="AI245" s="741"/>
      <c r="AJ245" s="741"/>
      <c r="AK245" s="741"/>
      <c r="AL245" s="741"/>
      <c r="AM245" s="741"/>
    </row>
    <row r="246" spans="1:39" ht="12.75" customHeight="1">
      <c r="A246" s="741"/>
      <c r="B246" s="741"/>
      <c r="C246" s="741"/>
      <c r="D246" s="741"/>
      <c r="E246" s="741"/>
      <c r="F246" s="741"/>
      <c r="G246" s="741"/>
      <c r="H246" s="741"/>
      <c r="I246" s="741"/>
      <c r="J246" s="741"/>
      <c r="K246" s="741"/>
      <c r="L246" s="741"/>
      <c r="M246" s="741"/>
      <c r="N246" s="741"/>
      <c r="O246" s="741"/>
      <c r="P246" s="741"/>
      <c r="Q246" s="741"/>
      <c r="R246" s="741"/>
      <c r="S246" s="741"/>
      <c r="T246" s="741"/>
      <c r="U246" s="741"/>
      <c r="V246" s="741"/>
      <c r="W246" s="741"/>
      <c r="X246" s="741"/>
      <c r="Y246" s="741"/>
      <c r="Z246" s="741"/>
      <c r="AA246" s="741"/>
      <c r="AB246" s="741"/>
      <c r="AC246" s="741"/>
      <c r="AD246" s="741"/>
      <c r="AE246" s="741"/>
      <c r="AF246" s="741"/>
      <c r="AG246" s="741"/>
      <c r="AH246" s="741"/>
      <c r="AI246" s="741"/>
      <c r="AJ246" s="741"/>
      <c r="AK246" s="741"/>
      <c r="AL246" s="741"/>
      <c r="AM246" s="741"/>
    </row>
    <row r="247" spans="1:39" ht="12.75" customHeight="1">
      <c r="A247" s="741"/>
      <c r="B247" s="741"/>
      <c r="C247" s="741"/>
      <c r="D247" s="741"/>
      <c r="E247" s="741"/>
      <c r="F247" s="741"/>
      <c r="G247" s="741"/>
      <c r="H247" s="741"/>
      <c r="I247" s="741"/>
      <c r="J247" s="741"/>
      <c r="K247" s="741"/>
      <c r="L247" s="741"/>
      <c r="M247" s="741"/>
      <c r="N247" s="741"/>
      <c r="O247" s="741"/>
      <c r="P247" s="741"/>
      <c r="Q247" s="741"/>
      <c r="R247" s="741"/>
      <c r="S247" s="741"/>
      <c r="T247" s="741"/>
      <c r="U247" s="741"/>
      <c r="V247" s="741"/>
      <c r="W247" s="741"/>
      <c r="X247" s="741"/>
      <c r="Y247" s="741"/>
      <c r="Z247" s="741"/>
      <c r="AA247" s="741"/>
      <c r="AB247" s="741"/>
      <c r="AC247" s="741"/>
      <c r="AD247" s="741"/>
      <c r="AE247" s="741"/>
      <c r="AF247" s="741"/>
      <c r="AG247" s="741"/>
      <c r="AH247" s="741"/>
      <c r="AI247" s="741"/>
      <c r="AJ247" s="741"/>
      <c r="AK247" s="741"/>
      <c r="AL247" s="741"/>
      <c r="AM247" s="741"/>
    </row>
    <row r="248" spans="1:39" ht="12.75" customHeight="1">
      <c r="A248" s="741"/>
      <c r="B248" s="741"/>
      <c r="C248" s="741"/>
      <c r="D248" s="741"/>
      <c r="E248" s="741"/>
      <c r="F248" s="741"/>
      <c r="G248" s="741"/>
      <c r="H248" s="741"/>
      <c r="I248" s="741"/>
      <c r="J248" s="741"/>
      <c r="K248" s="741"/>
      <c r="L248" s="741"/>
      <c r="M248" s="741"/>
      <c r="N248" s="741"/>
      <c r="O248" s="741"/>
      <c r="P248" s="741"/>
      <c r="Q248" s="741"/>
      <c r="R248" s="741"/>
      <c r="S248" s="741"/>
      <c r="T248" s="741"/>
      <c r="U248" s="741"/>
      <c r="V248" s="741"/>
      <c r="W248" s="741"/>
      <c r="X248" s="741"/>
      <c r="Y248" s="741"/>
      <c r="Z248" s="741"/>
      <c r="AA248" s="741"/>
      <c r="AB248" s="741"/>
      <c r="AC248" s="741"/>
      <c r="AD248" s="741"/>
      <c r="AE248" s="741"/>
      <c r="AF248" s="741"/>
      <c r="AG248" s="741"/>
      <c r="AH248" s="741"/>
      <c r="AI248" s="741"/>
      <c r="AJ248" s="741"/>
      <c r="AK248" s="741"/>
      <c r="AL248" s="741"/>
      <c r="AM248" s="741"/>
    </row>
    <row r="249" spans="1:39" ht="12.75" customHeight="1">
      <c r="A249" s="741"/>
      <c r="B249" s="741"/>
      <c r="C249" s="741"/>
      <c r="D249" s="741"/>
      <c r="E249" s="741"/>
      <c r="F249" s="741"/>
      <c r="G249" s="741"/>
      <c r="H249" s="741"/>
      <c r="I249" s="741"/>
      <c r="J249" s="741"/>
      <c r="K249" s="741"/>
      <c r="L249" s="741"/>
      <c r="M249" s="741"/>
      <c r="N249" s="741"/>
      <c r="O249" s="741"/>
      <c r="P249" s="741"/>
      <c r="Q249" s="741"/>
      <c r="R249" s="741"/>
      <c r="S249" s="741"/>
      <c r="T249" s="741"/>
      <c r="U249" s="741"/>
      <c r="V249" s="741"/>
      <c r="W249" s="741"/>
      <c r="X249" s="741"/>
      <c r="Y249" s="741"/>
      <c r="Z249" s="741"/>
      <c r="AA249" s="741"/>
      <c r="AB249" s="741"/>
      <c r="AC249" s="741"/>
      <c r="AD249" s="741"/>
      <c r="AE249" s="741"/>
      <c r="AF249" s="741"/>
      <c r="AG249" s="741"/>
      <c r="AH249" s="741"/>
      <c r="AI249" s="741"/>
      <c r="AJ249" s="741"/>
      <c r="AK249" s="741"/>
      <c r="AL249" s="741"/>
      <c r="AM249" s="741"/>
    </row>
    <row r="250" spans="1:39" ht="12.75" customHeight="1">
      <c r="A250" s="741"/>
      <c r="B250" s="741"/>
      <c r="C250" s="741"/>
      <c r="D250" s="741"/>
      <c r="E250" s="741"/>
      <c r="F250" s="741"/>
      <c r="G250" s="741"/>
      <c r="H250" s="741"/>
      <c r="I250" s="741"/>
      <c r="J250" s="741"/>
      <c r="K250" s="741"/>
      <c r="L250" s="741"/>
      <c r="M250" s="741"/>
      <c r="N250" s="741"/>
      <c r="O250" s="741"/>
      <c r="P250" s="741"/>
      <c r="Q250" s="741"/>
      <c r="R250" s="741"/>
      <c r="S250" s="741"/>
      <c r="T250" s="741"/>
      <c r="U250" s="741"/>
      <c r="V250" s="741"/>
      <c r="W250" s="741"/>
      <c r="X250" s="741"/>
      <c r="Y250" s="741"/>
      <c r="Z250" s="741"/>
      <c r="AA250" s="741"/>
      <c r="AB250" s="741"/>
      <c r="AC250" s="741"/>
      <c r="AD250" s="741"/>
      <c r="AE250" s="741"/>
      <c r="AF250" s="741"/>
      <c r="AG250" s="741"/>
      <c r="AH250" s="741"/>
      <c r="AI250" s="741"/>
      <c r="AJ250" s="741"/>
      <c r="AK250" s="741"/>
      <c r="AL250" s="741"/>
      <c r="AM250" s="741"/>
    </row>
    <row r="251" spans="1:39" ht="12.75" customHeight="1">
      <c r="A251" s="741"/>
      <c r="B251" s="741"/>
      <c r="C251" s="741"/>
      <c r="D251" s="741"/>
      <c r="E251" s="741"/>
      <c r="F251" s="741"/>
      <c r="G251" s="741"/>
      <c r="H251" s="741"/>
      <c r="I251" s="741"/>
      <c r="J251" s="741"/>
      <c r="K251" s="741"/>
      <c r="L251" s="741"/>
      <c r="M251" s="741"/>
      <c r="N251" s="741"/>
      <c r="O251" s="741"/>
      <c r="P251" s="741"/>
      <c r="Q251" s="741"/>
      <c r="R251" s="741"/>
      <c r="S251" s="741"/>
      <c r="T251" s="741"/>
      <c r="U251" s="741"/>
      <c r="V251" s="741"/>
      <c r="W251" s="741"/>
      <c r="X251" s="741"/>
      <c r="Y251" s="741"/>
      <c r="Z251" s="741"/>
      <c r="AA251" s="741"/>
      <c r="AB251" s="741"/>
      <c r="AC251" s="741"/>
      <c r="AD251" s="741"/>
      <c r="AE251" s="741"/>
      <c r="AF251" s="741"/>
      <c r="AG251" s="741"/>
      <c r="AH251" s="741"/>
      <c r="AI251" s="741"/>
      <c r="AJ251" s="741"/>
      <c r="AK251" s="741"/>
      <c r="AL251" s="741"/>
      <c r="AM251" s="741"/>
    </row>
    <row r="252" spans="1:39" ht="12.75" customHeight="1">
      <c r="A252" s="741"/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1"/>
      <c r="P252" s="741"/>
      <c r="Q252" s="741"/>
      <c r="R252" s="741"/>
      <c r="S252" s="741"/>
      <c r="T252" s="741"/>
      <c r="U252" s="741"/>
      <c r="V252" s="741"/>
      <c r="W252" s="741"/>
      <c r="X252" s="741"/>
      <c r="Y252" s="741"/>
      <c r="Z252" s="741"/>
      <c r="AA252" s="741"/>
      <c r="AB252" s="741"/>
      <c r="AC252" s="741"/>
      <c r="AD252" s="741"/>
      <c r="AE252" s="741"/>
      <c r="AF252" s="741"/>
      <c r="AG252" s="741"/>
      <c r="AH252" s="741"/>
      <c r="AI252" s="741"/>
      <c r="AJ252" s="741"/>
      <c r="AK252" s="741"/>
      <c r="AL252" s="741"/>
      <c r="AM252" s="741"/>
    </row>
    <row r="253" spans="1:39" ht="12.75" customHeight="1">
      <c r="A253" s="741"/>
      <c r="B253" s="741"/>
      <c r="C253" s="741"/>
      <c r="D253" s="741"/>
      <c r="E253" s="741"/>
      <c r="F253" s="741"/>
      <c r="G253" s="741"/>
      <c r="H253" s="741"/>
      <c r="I253" s="741"/>
      <c r="J253" s="741"/>
      <c r="K253" s="741"/>
      <c r="L253" s="741"/>
      <c r="M253" s="741"/>
      <c r="N253" s="741"/>
      <c r="O253" s="741"/>
      <c r="P253" s="741"/>
      <c r="Q253" s="741"/>
      <c r="R253" s="741"/>
      <c r="S253" s="741"/>
      <c r="T253" s="741"/>
      <c r="U253" s="741"/>
      <c r="V253" s="741"/>
      <c r="W253" s="741"/>
      <c r="X253" s="741"/>
      <c r="Y253" s="741"/>
      <c r="Z253" s="741"/>
      <c r="AA253" s="741"/>
      <c r="AB253" s="741"/>
      <c r="AC253" s="741"/>
      <c r="AD253" s="741"/>
      <c r="AE253" s="741"/>
      <c r="AF253" s="741"/>
      <c r="AG253" s="741"/>
      <c r="AH253" s="741"/>
      <c r="AI253" s="741"/>
      <c r="AJ253" s="741"/>
      <c r="AK253" s="741"/>
      <c r="AL253" s="741"/>
      <c r="AM253" s="741"/>
    </row>
    <row r="254" spans="1:39" ht="12.75" customHeight="1">
      <c r="A254" s="741"/>
      <c r="B254" s="741"/>
      <c r="C254" s="741"/>
      <c r="D254" s="741"/>
      <c r="E254" s="741"/>
      <c r="F254" s="741"/>
      <c r="G254" s="741"/>
      <c r="H254" s="741"/>
      <c r="I254" s="741"/>
      <c r="J254" s="741"/>
      <c r="K254" s="741"/>
      <c r="L254" s="741"/>
      <c r="M254" s="741"/>
      <c r="N254" s="741"/>
      <c r="O254" s="741"/>
      <c r="P254" s="741"/>
      <c r="Q254" s="741"/>
      <c r="R254" s="741"/>
      <c r="S254" s="741"/>
      <c r="T254" s="741"/>
      <c r="U254" s="741"/>
      <c r="V254" s="741"/>
      <c r="W254" s="741"/>
      <c r="X254" s="741"/>
      <c r="Y254" s="741"/>
      <c r="Z254" s="741"/>
      <c r="AA254" s="741"/>
      <c r="AB254" s="741"/>
      <c r="AC254" s="741"/>
      <c r="AD254" s="741"/>
      <c r="AE254" s="741"/>
      <c r="AF254" s="741"/>
      <c r="AG254" s="741"/>
      <c r="AH254" s="741"/>
      <c r="AI254" s="741"/>
      <c r="AJ254" s="741"/>
      <c r="AK254" s="741"/>
      <c r="AL254" s="741"/>
      <c r="AM254" s="741"/>
    </row>
    <row r="255" spans="1:39" ht="12.75" customHeight="1">
      <c r="A255" s="741"/>
      <c r="B255" s="741"/>
      <c r="C255" s="741"/>
      <c r="D255" s="741"/>
      <c r="E255" s="741"/>
      <c r="F255" s="741"/>
      <c r="G255" s="741"/>
      <c r="H255" s="741"/>
      <c r="I255" s="741"/>
      <c r="J255" s="741"/>
      <c r="K255" s="741"/>
      <c r="L255" s="741"/>
      <c r="M255" s="741"/>
      <c r="N255" s="741"/>
      <c r="O255" s="741"/>
      <c r="P255" s="741"/>
      <c r="Q255" s="741"/>
      <c r="R255" s="741"/>
      <c r="S255" s="741"/>
      <c r="T255" s="741"/>
      <c r="U255" s="741"/>
      <c r="V255" s="741"/>
      <c r="W255" s="741"/>
      <c r="X255" s="741"/>
      <c r="Y255" s="741"/>
      <c r="Z255" s="741"/>
      <c r="AA255" s="741"/>
      <c r="AB255" s="741"/>
      <c r="AC255" s="741"/>
      <c r="AD255" s="741"/>
      <c r="AE255" s="741"/>
      <c r="AF255" s="741"/>
      <c r="AG255" s="741"/>
      <c r="AH255" s="741"/>
      <c r="AI255" s="741"/>
      <c r="AJ255" s="741"/>
      <c r="AK255" s="741"/>
      <c r="AL255" s="741"/>
      <c r="AM255" s="741"/>
    </row>
    <row r="256" spans="1:39" ht="12.75" customHeight="1">
      <c r="A256" s="741"/>
      <c r="B256" s="741"/>
      <c r="C256" s="741"/>
      <c r="D256" s="741"/>
      <c r="E256" s="741"/>
      <c r="F256" s="741"/>
      <c r="G256" s="741"/>
      <c r="H256" s="741"/>
      <c r="I256" s="741"/>
      <c r="J256" s="741"/>
      <c r="K256" s="741"/>
      <c r="L256" s="741"/>
      <c r="M256" s="741"/>
      <c r="N256" s="741"/>
      <c r="O256" s="741"/>
      <c r="P256" s="741"/>
      <c r="Q256" s="741"/>
      <c r="R256" s="741"/>
      <c r="S256" s="741"/>
      <c r="T256" s="741"/>
      <c r="U256" s="741"/>
      <c r="V256" s="741"/>
      <c r="W256" s="741"/>
      <c r="X256" s="741"/>
      <c r="Y256" s="741"/>
      <c r="Z256" s="741"/>
      <c r="AA256" s="741"/>
      <c r="AB256" s="741"/>
      <c r="AC256" s="741"/>
      <c r="AD256" s="741"/>
      <c r="AE256" s="741"/>
      <c r="AF256" s="741"/>
      <c r="AG256" s="741"/>
      <c r="AH256" s="741"/>
      <c r="AI256" s="741"/>
      <c r="AJ256" s="741"/>
      <c r="AK256" s="741"/>
      <c r="AL256" s="741"/>
      <c r="AM256" s="741"/>
    </row>
    <row r="257" spans="1:39" ht="12.75" customHeight="1">
      <c r="A257" s="741"/>
      <c r="B257" s="741"/>
      <c r="C257" s="741"/>
      <c r="D257" s="741"/>
      <c r="E257" s="741"/>
      <c r="F257" s="741"/>
      <c r="G257" s="741"/>
      <c r="H257" s="741"/>
      <c r="I257" s="741"/>
      <c r="J257" s="741"/>
      <c r="K257" s="741"/>
      <c r="L257" s="741"/>
      <c r="M257" s="741"/>
      <c r="N257" s="741"/>
      <c r="O257" s="741"/>
      <c r="P257" s="741"/>
      <c r="Q257" s="741"/>
      <c r="R257" s="741"/>
      <c r="S257" s="741"/>
      <c r="T257" s="741"/>
      <c r="U257" s="741"/>
      <c r="V257" s="741"/>
      <c r="W257" s="741"/>
      <c r="X257" s="741"/>
      <c r="Y257" s="741"/>
      <c r="Z257" s="741"/>
      <c r="AA257" s="741"/>
      <c r="AB257" s="741"/>
      <c r="AC257" s="741"/>
      <c r="AD257" s="741"/>
      <c r="AE257" s="741"/>
      <c r="AF257" s="741"/>
      <c r="AG257" s="741"/>
      <c r="AH257" s="741"/>
      <c r="AI257" s="741"/>
      <c r="AJ257" s="741"/>
      <c r="AK257" s="741"/>
      <c r="AL257" s="741"/>
      <c r="AM257" s="741"/>
    </row>
    <row r="258" spans="1:39" ht="12.75" customHeight="1">
      <c r="A258" s="741"/>
      <c r="B258" s="741"/>
      <c r="C258" s="741"/>
      <c r="D258" s="741"/>
      <c r="E258" s="741"/>
      <c r="F258" s="741"/>
      <c r="G258" s="741"/>
      <c r="H258" s="741"/>
      <c r="I258" s="741"/>
      <c r="J258" s="741"/>
      <c r="K258" s="741"/>
      <c r="L258" s="741"/>
      <c r="M258" s="741"/>
      <c r="N258" s="741"/>
      <c r="O258" s="741"/>
      <c r="P258" s="741"/>
      <c r="Q258" s="741"/>
      <c r="R258" s="741"/>
      <c r="S258" s="741"/>
      <c r="T258" s="741"/>
      <c r="U258" s="741"/>
      <c r="V258" s="741"/>
      <c r="W258" s="741"/>
      <c r="X258" s="741"/>
      <c r="Y258" s="741"/>
      <c r="Z258" s="741"/>
      <c r="AA258" s="741"/>
      <c r="AB258" s="741"/>
      <c r="AC258" s="741"/>
      <c r="AD258" s="741"/>
      <c r="AE258" s="741"/>
      <c r="AF258" s="741"/>
      <c r="AG258" s="741"/>
      <c r="AH258" s="741"/>
      <c r="AI258" s="741"/>
      <c r="AJ258" s="741"/>
      <c r="AK258" s="741"/>
      <c r="AL258" s="741"/>
      <c r="AM258" s="741"/>
    </row>
    <row r="259" spans="1:39" ht="12.75" customHeight="1">
      <c r="A259" s="741"/>
      <c r="B259" s="741"/>
      <c r="C259" s="741"/>
      <c r="D259" s="741"/>
      <c r="E259" s="741"/>
      <c r="F259" s="741"/>
      <c r="G259" s="741"/>
      <c r="H259" s="741"/>
      <c r="I259" s="741"/>
      <c r="J259" s="741"/>
      <c r="K259" s="741"/>
      <c r="L259" s="741"/>
      <c r="M259" s="741"/>
      <c r="N259" s="741"/>
      <c r="O259" s="741"/>
      <c r="P259" s="741"/>
      <c r="Q259" s="741"/>
      <c r="R259" s="741"/>
      <c r="S259" s="741"/>
      <c r="T259" s="741"/>
      <c r="U259" s="741"/>
      <c r="V259" s="741"/>
      <c r="W259" s="741"/>
      <c r="X259" s="741"/>
      <c r="Y259" s="741"/>
      <c r="Z259" s="741"/>
      <c r="AA259" s="741"/>
      <c r="AB259" s="741"/>
      <c r="AC259" s="741"/>
      <c r="AD259" s="741"/>
      <c r="AE259" s="741"/>
      <c r="AF259" s="741"/>
      <c r="AG259" s="741"/>
      <c r="AH259" s="741"/>
      <c r="AI259" s="741"/>
      <c r="AJ259" s="741"/>
      <c r="AK259" s="741"/>
      <c r="AL259" s="741"/>
      <c r="AM259" s="741"/>
    </row>
    <row r="260" spans="1:39" ht="12.75" customHeight="1">
      <c r="A260" s="741"/>
      <c r="B260" s="741"/>
      <c r="C260" s="741"/>
      <c r="D260" s="741"/>
      <c r="E260" s="741"/>
      <c r="F260" s="741"/>
      <c r="G260" s="741"/>
      <c r="H260" s="741"/>
      <c r="I260" s="741"/>
      <c r="J260" s="741"/>
      <c r="K260" s="741"/>
      <c r="L260" s="741"/>
      <c r="M260" s="741"/>
      <c r="N260" s="741"/>
      <c r="O260" s="741"/>
      <c r="P260" s="741"/>
      <c r="Q260" s="741"/>
      <c r="R260" s="741"/>
      <c r="S260" s="741"/>
      <c r="T260" s="741"/>
      <c r="U260" s="741"/>
      <c r="V260" s="741"/>
      <c r="W260" s="741"/>
      <c r="X260" s="741"/>
      <c r="Y260" s="741"/>
      <c r="Z260" s="741"/>
      <c r="AA260" s="741"/>
      <c r="AB260" s="741"/>
      <c r="AC260" s="741"/>
      <c r="AD260" s="741"/>
      <c r="AE260" s="741"/>
      <c r="AF260" s="741"/>
      <c r="AG260" s="741"/>
      <c r="AH260" s="741"/>
      <c r="AI260" s="741"/>
      <c r="AJ260" s="741"/>
      <c r="AK260" s="741"/>
      <c r="AL260" s="741"/>
      <c r="AM260" s="741"/>
    </row>
    <row r="261" spans="1:39" ht="12.75" customHeight="1">
      <c r="A261" s="741"/>
      <c r="B261" s="741"/>
      <c r="C261" s="741"/>
      <c r="D261" s="741"/>
      <c r="E261" s="741"/>
      <c r="F261" s="741"/>
      <c r="G261" s="741"/>
      <c r="H261" s="741"/>
      <c r="I261" s="741"/>
      <c r="J261" s="741"/>
      <c r="K261" s="741"/>
      <c r="L261" s="741"/>
      <c r="M261" s="741"/>
      <c r="N261" s="741"/>
      <c r="O261" s="741"/>
      <c r="P261" s="741"/>
      <c r="Q261" s="741"/>
      <c r="R261" s="741"/>
      <c r="S261" s="741"/>
      <c r="T261" s="741"/>
      <c r="U261" s="741"/>
      <c r="V261" s="741"/>
      <c r="W261" s="741"/>
      <c r="X261" s="741"/>
      <c r="Y261" s="741"/>
      <c r="Z261" s="741"/>
      <c r="AA261" s="741"/>
      <c r="AB261" s="741"/>
      <c r="AC261" s="741"/>
      <c r="AD261" s="741"/>
      <c r="AE261" s="741"/>
      <c r="AF261" s="741"/>
      <c r="AG261" s="741"/>
      <c r="AH261" s="741"/>
      <c r="AI261" s="741"/>
      <c r="AJ261" s="741"/>
      <c r="AK261" s="741"/>
      <c r="AL261" s="741"/>
      <c r="AM261" s="741"/>
    </row>
    <row r="262" spans="1:39" ht="12.75" customHeight="1">
      <c r="A262" s="741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1"/>
      <c r="P262" s="741"/>
      <c r="Q262" s="741"/>
      <c r="R262" s="741"/>
      <c r="S262" s="741"/>
      <c r="T262" s="741"/>
      <c r="U262" s="741"/>
      <c r="V262" s="741"/>
      <c r="W262" s="741"/>
      <c r="X262" s="741"/>
      <c r="Y262" s="741"/>
      <c r="Z262" s="741"/>
      <c r="AA262" s="741"/>
      <c r="AB262" s="741"/>
      <c r="AC262" s="741"/>
      <c r="AD262" s="741"/>
      <c r="AE262" s="741"/>
      <c r="AF262" s="741"/>
      <c r="AG262" s="741"/>
      <c r="AH262" s="741"/>
      <c r="AI262" s="741"/>
      <c r="AJ262" s="741"/>
      <c r="AK262" s="741"/>
      <c r="AL262" s="741"/>
      <c r="AM262" s="741"/>
    </row>
    <row r="263" spans="1:39" ht="12.75" customHeight="1">
      <c r="A263" s="741"/>
      <c r="B263" s="741"/>
      <c r="C263" s="741"/>
      <c r="D263" s="741"/>
      <c r="E263" s="741"/>
      <c r="F263" s="741"/>
      <c r="G263" s="741"/>
      <c r="H263" s="741"/>
      <c r="I263" s="741"/>
      <c r="J263" s="741"/>
      <c r="K263" s="741"/>
      <c r="L263" s="741"/>
      <c r="M263" s="741"/>
      <c r="N263" s="741"/>
      <c r="O263" s="741"/>
      <c r="P263" s="741"/>
      <c r="Q263" s="741"/>
      <c r="R263" s="741"/>
      <c r="S263" s="741"/>
      <c r="T263" s="741"/>
      <c r="U263" s="741"/>
      <c r="V263" s="741"/>
      <c r="W263" s="741"/>
      <c r="X263" s="741"/>
      <c r="Y263" s="741"/>
      <c r="Z263" s="741"/>
      <c r="AA263" s="741"/>
      <c r="AB263" s="741"/>
      <c r="AC263" s="741"/>
      <c r="AD263" s="741"/>
      <c r="AE263" s="741"/>
      <c r="AF263" s="741"/>
      <c r="AG263" s="741"/>
      <c r="AH263" s="741"/>
      <c r="AI263" s="741"/>
      <c r="AJ263" s="741"/>
      <c r="AK263" s="741"/>
      <c r="AL263" s="741"/>
      <c r="AM263" s="741"/>
    </row>
    <row r="264" spans="1:39" ht="12.75" customHeight="1">
      <c r="A264" s="741"/>
      <c r="B264" s="741"/>
      <c r="C264" s="741"/>
      <c r="D264" s="741"/>
      <c r="E264" s="741"/>
      <c r="F264" s="741"/>
      <c r="G264" s="741"/>
      <c r="H264" s="741"/>
      <c r="I264" s="741"/>
      <c r="J264" s="741"/>
      <c r="K264" s="741"/>
      <c r="L264" s="741"/>
      <c r="M264" s="741"/>
      <c r="N264" s="741"/>
      <c r="O264" s="741"/>
      <c r="P264" s="741"/>
      <c r="Q264" s="741"/>
      <c r="R264" s="741"/>
      <c r="S264" s="741"/>
      <c r="T264" s="741"/>
      <c r="U264" s="741"/>
      <c r="V264" s="741"/>
      <c r="W264" s="741"/>
      <c r="X264" s="741"/>
      <c r="Y264" s="741"/>
      <c r="Z264" s="741"/>
      <c r="AA264" s="741"/>
      <c r="AB264" s="741"/>
      <c r="AC264" s="741"/>
      <c r="AD264" s="741"/>
      <c r="AE264" s="741"/>
      <c r="AF264" s="741"/>
      <c r="AG264" s="741"/>
      <c r="AH264" s="741"/>
      <c r="AI264" s="741"/>
      <c r="AJ264" s="741"/>
      <c r="AK264" s="741"/>
      <c r="AL264" s="741"/>
      <c r="AM264" s="741"/>
    </row>
    <row r="265" spans="1:39" ht="12.75" customHeight="1">
      <c r="A265" s="741"/>
      <c r="B265" s="741"/>
      <c r="C265" s="741"/>
      <c r="D265" s="741"/>
      <c r="E265" s="741"/>
      <c r="F265" s="741"/>
      <c r="G265" s="741"/>
      <c r="H265" s="741"/>
      <c r="I265" s="741"/>
      <c r="J265" s="741"/>
      <c r="K265" s="741"/>
      <c r="L265" s="741"/>
      <c r="M265" s="741"/>
      <c r="N265" s="741"/>
      <c r="O265" s="741"/>
      <c r="P265" s="741"/>
      <c r="Q265" s="741"/>
      <c r="R265" s="741"/>
      <c r="S265" s="741"/>
      <c r="T265" s="741"/>
      <c r="U265" s="741"/>
      <c r="V265" s="741"/>
      <c r="W265" s="741"/>
      <c r="X265" s="741"/>
      <c r="Y265" s="741"/>
      <c r="Z265" s="741"/>
      <c r="AA265" s="741"/>
      <c r="AB265" s="741"/>
      <c r="AC265" s="741"/>
      <c r="AD265" s="741"/>
      <c r="AE265" s="741"/>
      <c r="AF265" s="741"/>
      <c r="AG265" s="741"/>
      <c r="AH265" s="741"/>
      <c r="AI265" s="741"/>
      <c r="AJ265" s="741"/>
      <c r="AK265" s="741"/>
      <c r="AL265" s="741"/>
      <c r="AM265" s="741"/>
    </row>
    <row r="266" spans="1:39" ht="12.75" customHeight="1">
      <c r="A266" s="741"/>
      <c r="B266" s="741"/>
      <c r="C266" s="741"/>
      <c r="D266" s="741"/>
      <c r="E266" s="741"/>
      <c r="F266" s="741"/>
      <c r="G266" s="741"/>
      <c r="H266" s="741"/>
      <c r="I266" s="741"/>
      <c r="J266" s="741"/>
      <c r="K266" s="741"/>
      <c r="L266" s="741"/>
      <c r="M266" s="741"/>
      <c r="N266" s="741"/>
      <c r="O266" s="741"/>
      <c r="P266" s="741"/>
      <c r="Q266" s="741"/>
      <c r="R266" s="741"/>
      <c r="S266" s="741"/>
      <c r="T266" s="741"/>
      <c r="U266" s="741"/>
      <c r="V266" s="741"/>
      <c r="W266" s="741"/>
      <c r="X266" s="741"/>
      <c r="Y266" s="741"/>
      <c r="Z266" s="741"/>
      <c r="AA266" s="741"/>
      <c r="AB266" s="741"/>
      <c r="AC266" s="741"/>
      <c r="AD266" s="741"/>
      <c r="AE266" s="741"/>
      <c r="AF266" s="741"/>
      <c r="AG266" s="741"/>
      <c r="AH266" s="741"/>
      <c r="AI266" s="741"/>
      <c r="AJ266" s="741"/>
      <c r="AK266" s="741"/>
      <c r="AL266" s="741"/>
      <c r="AM266" s="741"/>
    </row>
    <row r="267" spans="1:39" ht="12.75" customHeight="1">
      <c r="A267" s="741"/>
      <c r="B267" s="741"/>
      <c r="C267" s="741"/>
      <c r="D267" s="741"/>
      <c r="E267" s="741"/>
      <c r="F267" s="741"/>
      <c r="G267" s="741"/>
      <c r="H267" s="741"/>
      <c r="I267" s="741"/>
      <c r="J267" s="741"/>
      <c r="K267" s="741"/>
      <c r="L267" s="741"/>
      <c r="M267" s="741"/>
      <c r="N267" s="741"/>
      <c r="O267" s="741"/>
      <c r="P267" s="741"/>
      <c r="Q267" s="741"/>
      <c r="R267" s="741"/>
      <c r="S267" s="741"/>
      <c r="T267" s="741"/>
      <c r="U267" s="741"/>
      <c r="V267" s="741"/>
      <c r="W267" s="741"/>
      <c r="X267" s="741"/>
      <c r="Y267" s="741"/>
      <c r="Z267" s="741"/>
      <c r="AA267" s="741"/>
      <c r="AB267" s="741"/>
      <c r="AC267" s="741"/>
      <c r="AD267" s="741"/>
      <c r="AE267" s="741"/>
      <c r="AF267" s="741"/>
      <c r="AG267" s="741"/>
      <c r="AH267" s="741"/>
      <c r="AI267" s="741"/>
      <c r="AJ267" s="741"/>
      <c r="AK267" s="741"/>
      <c r="AL267" s="741"/>
      <c r="AM267" s="741"/>
    </row>
    <row r="268" spans="1:39" ht="12.75" customHeight="1">
      <c r="A268" s="741"/>
      <c r="B268" s="741"/>
      <c r="C268" s="741"/>
      <c r="D268" s="741"/>
      <c r="E268" s="741"/>
      <c r="F268" s="741"/>
      <c r="G268" s="741"/>
      <c r="H268" s="741"/>
      <c r="I268" s="741"/>
      <c r="J268" s="741"/>
      <c r="K268" s="741"/>
      <c r="L268" s="741"/>
      <c r="M268" s="741"/>
      <c r="N268" s="741"/>
      <c r="O268" s="741"/>
      <c r="P268" s="741"/>
      <c r="Q268" s="741"/>
      <c r="R268" s="741"/>
      <c r="S268" s="741"/>
      <c r="T268" s="741"/>
      <c r="U268" s="741"/>
      <c r="V268" s="741"/>
      <c r="W268" s="741"/>
      <c r="X268" s="741"/>
      <c r="Y268" s="741"/>
      <c r="Z268" s="741"/>
      <c r="AA268" s="741"/>
      <c r="AB268" s="741"/>
      <c r="AC268" s="741"/>
      <c r="AD268" s="741"/>
      <c r="AE268" s="741"/>
      <c r="AF268" s="741"/>
      <c r="AG268" s="741"/>
      <c r="AH268" s="741"/>
      <c r="AI268" s="741"/>
      <c r="AJ268" s="741"/>
      <c r="AK268" s="741"/>
      <c r="AL268" s="741"/>
      <c r="AM268" s="741"/>
    </row>
    <row r="269" spans="1:39" ht="12.75" customHeight="1">
      <c r="A269" s="741"/>
      <c r="B269" s="741"/>
      <c r="C269" s="741"/>
      <c r="D269" s="741"/>
      <c r="E269" s="741"/>
      <c r="F269" s="741"/>
      <c r="G269" s="741"/>
      <c r="H269" s="741"/>
      <c r="I269" s="741"/>
      <c r="J269" s="741"/>
      <c r="K269" s="741"/>
      <c r="L269" s="741"/>
      <c r="M269" s="741"/>
      <c r="N269" s="741"/>
      <c r="O269" s="741"/>
      <c r="P269" s="741"/>
      <c r="Q269" s="741"/>
      <c r="R269" s="741"/>
      <c r="S269" s="741"/>
      <c r="T269" s="741"/>
      <c r="U269" s="741"/>
      <c r="V269" s="741"/>
      <c r="W269" s="741"/>
      <c r="X269" s="741"/>
      <c r="Y269" s="741"/>
      <c r="Z269" s="741"/>
      <c r="AA269" s="741"/>
      <c r="AB269" s="741"/>
      <c r="AC269" s="741"/>
      <c r="AD269" s="741"/>
      <c r="AE269" s="741"/>
      <c r="AF269" s="741"/>
      <c r="AG269" s="741"/>
      <c r="AH269" s="741"/>
      <c r="AI269" s="741"/>
      <c r="AJ269" s="741"/>
      <c r="AK269" s="741"/>
      <c r="AL269" s="741"/>
      <c r="AM269" s="741"/>
    </row>
    <row r="270" spans="1:39" ht="12.75" customHeight="1">
      <c r="A270" s="741"/>
      <c r="B270" s="741"/>
      <c r="C270" s="741"/>
      <c r="D270" s="741"/>
      <c r="E270" s="741"/>
      <c r="F270" s="741"/>
      <c r="G270" s="741"/>
      <c r="H270" s="741"/>
      <c r="I270" s="741"/>
      <c r="J270" s="741"/>
      <c r="K270" s="741"/>
      <c r="L270" s="741"/>
      <c r="M270" s="741"/>
      <c r="N270" s="741"/>
      <c r="O270" s="741"/>
      <c r="P270" s="741"/>
      <c r="Q270" s="741"/>
      <c r="R270" s="741"/>
      <c r="S270" s="741"/>
      <c r="T270" s="741"/>
      <c r="U270" s="741"/>
      <c r="V270" s="741"/>
      <c r="W270" s="741"/>
      <c r="X270" s="741"/>
      <c r="Y270" s="741"/>
      <c r="Z270" s="741"/>
      <c r="AA270" s="741"/>
      <c r="AB270" s="741"/>
      <c r="AC270" s="741"/>
      <c r="AD270" s="741"/>
      <c r="AE270" s="741"/>
      <c r="AF270" s="741"/>
      <c r="AG270" s="741"/>
      <c r="AH270" s="741"/>
      <c r="AI270" s="741"/>
      <c r="AJ270" s="741"/>
      <c r="AK270" s="741"/>
      <c r="AL270" s="741"/>
      <c r="AM270" s="741"/>
    </row>
    <row r="271" spans="1:39" ht="12.75" customHeight="1">
      <c r="A271" s="741"/>
      <c r="B271" s="741"/>
      <c r="C271" s="741"/>
      <c r="D271" s="741"/>
      <c r="E271" s="741"/>
      <c r="F271" s="741"/>
      <c r="G271" s="741"/>
      <c r="H271" s="741"/>
      <c r="I271" s="741"/>
      <c r="J271" s="741"/>
      <c r="K271" s="741"/>
      <c r="L271" s="741"/>
      <c r="M271" s="741"/>
      <c r="N271" s="741"/>
      <c r="O271" s="741"/>
      <c r="P271" s="741"/>
      <c r="Q271" s="741"/>
      <c r="R271" s="741"/>
      <c r="S271" s="741"/>
      <c r="T271" s="741"/>
      <c r="U271" s="741"/>
      <c r="V271" s="741"/>
      <c r="W271" s="741"/>
      <c r="X271" s="741"/>
      <c r="Y271" s="741"/>
      <c r="Z271" s="741"/>
      <c r="AA271" s="741"/>
      <c r="AB271" s="741"/>
      <c r="AC271" s="741"/>
      <c r="AD271" s="741"/>
      <c r="AE271" s="741"/>
      <c r="AF271" s="741"/>
      <c r="AG271" s="741"/>
      <c r="AH271" s="741"/>
      <c r="AI271" s="741"/>
      <c r="AJ271" s="741"/>
      <c r="AK271" s="741"/>
      <c r="AL271" s="741"/>
      <c r="AM271" s="741"/>
    </row>
    <row r="272" spans="1:39" ht="12.75" customHeight="1">
      <c r="A272" s="741"/>
      <c r="B272" s="741"/>
      <c r="C272" s="741"/>
      <c r="D272" s="741"/>
      <c r="E272" s="741"/>
      <c r="F272" s="741"/>
      <c r="G272" s="741"/>
      <c r="H272" s="741"/>
      <c r="I272" s="741"/>
      <c r="J272" s="741"/>
      <c r="K272" s="741"/>
      <c r="L272" s="741"/>
      <c r="M272" s="741"/>
      <c r="N272" s="741"/>
      <c r="O272" s="741"/>
      <c r="P272" s="741"/>
      <c r="Q272" s="741"/>
      <c r="R272" s="741"/>
      <c r="S272" s="741"/>
      <c r="T272" s="741"/>
      <c r="U272" s="741"/>
      <c r="V272" s="741"/>
      <c r="W272" s="741"/>
      <c r="X272" s="741"/>
      <c r="Y272" s="741"/>
      <c r="Z272" s="741"/>
      <c r="AA272" s="741"/>
      <c r="AB272" s="741"/>
      <c r="AC272" s="741"/>
      <c r="AD272" s="741"/>
      <c r="AE272" s="741"/>
      <c r="AF272" s="741"/>
      <c r="AG272" s="741"/>
      <c r="AH272" s="741"/>
      <c r="AI272" s="741"/>
      <c r="AJ272" s="741"/>
      <c r="AK272" s="741"/>
      <c r="AL272" s="741"/>
      <c r="AM272" s="741"/>
    </row>
    <row r="273" spans="1:39" ht="12.75" customHeight="1">
      <c r="A273" s="741"/>
      <c r="B273" s="741"/>
      <c r="C273" s="741"/>
      <c r="D273" s="741"/>
      <c r="E273" s="741"/>
      <c r="F273" s="741"/>
      <c r="G273" s="741"/>
      <c r="H273" s="741"/>
      <c r="I273" s="741"/>
      <c r="J273" s="741"/>
      <c r="K273" s="741"/>
      <c r="L273" s="741"/>
      <c r="M273" s="741"/>
      <c r="N273" s="741"/>
      <c r="O273" s="741"/>
      <c r="P273" s="741"/>
      <c r="Q273" s="741"/>
      <c r="R273" s="741"/>
      <c r="S273" s="741"/>
      <c r="T273" s="741"/>
      <c r="U273" s="741"/>
      <c r="V273" s="741"/>
      <c r="W273" s="741"/>
      <c r="X273" s="741"/>
      <c r="Y273" s="741"/>
      <c r="Z273" s="741"/>
      <c r="AA273" s="741"/>
      <c r="AB273" s="741"/>
      <c r="AC273" s="741"/>
      <c r="AD273" s="741"/>
      <c r="AE273" s="741"/>
      <c r="AF273" s="741"/>
      <c r="AG273" s="741"/>
      <c r="AH273" s="741"/>
      <c r="AI273" s="741"/>
      <c r="AJ273" s="741"/>
      <c r="AK273" s="741"/>
      <c r="AL273" s="741"/>
      <c r="AM273" s="741"/>
    </row>
    <row r="274" spans="1:39" ht="12.75" customHeight="1">
      <c r="A274" s="741"/>
      <c r="B274" s="741"/>
      <c r="C274" s="741"/>
      <c r="D274" s="741"/>
      <c r="E274" s="741"/>
      <c r="F274" s="741"/>
      <c r="G274" s="741"/>
      <c r="H274" s="741"/>
      <c r="I274" s="741"/>
      <c r="J274" s="741"/>
      <c r="K274" s="741"/>
      <c r="L274" s="741"/>
      <c r="M274" s="741"/>
      <c r="N274" s="741"/>
      <c r="O274" s="741"/>
      <c r="P274" s="741"/>
      <c r="Q274" s="741"/>
      <c r="R274" s="741"/>
      <c r="S274" s="741"/>
      <c r="T274" s="741"/>
      <c r="U274" s="741"/>
      <c r="V274" s="741"/>
      <c r="W274" s="741"/>
      <c r="X274" s="741"/>
      <c r="Y274" s="741"/>
      <c r="Z274" s="741"/>
      <c r="AA274" s="741"/>
      <c r="AB274" s="741"/>
      <c r="AC274" s="741"/>
      <c r="AD274" s="741"/>
      <c r="AE274" s="741"/>
      <c r="AF274" s="741"/>
      <c r="AG274" s="741"/>
      <c r="AH274" s="741"/>
      <c r="AI274" s="741"/>
      <c r="AJ274" s="741"/>
      <c r="AK274" s="741"/>
      <c r="AL274" s="741"/>
      <c r="AM274" s="741"/>
    </row>
    <row r="275" spans="1:39" ht="12.75" customHeight="1">
      <c r="A275" s="741"/>
      <c r="B275" s="741"/>
      <c r="C275" s="741"/>
      <c r="D275" s="741"/>
      <c r="E275" s="741"/>
      <c r="F275" s="741"/>
      <c r="G275" s="741"/>
      <c r="H275" s="741"/>
      <c r="I275" s="741"/>
      <c r="J275" s="741"/>
      <c r="K275" s="741"/>
      <c r="L275" s="741"/>
      <c r="M275" s="741"/>
      <c r="N275" s="741"/>
      <c r="O275" s="741"/>
      <c r="P275" s="741"/>
      <c r="Q275" s="741"/>
      <c r="R275" s="741"/>
      <c r="S275" s="741"/>
      <c r="T275" s="741"/>
      <c r="U275" s="741"/>
      <c r="V275" s="741"/>
      <c r="W275" s="741"/>
      <c r="X275" s="741"/>
      <c r="Y275" s="741"/>
      <c r="Z275" s="741"/>
      <c r="AA275" s="741"/>
      <c r="AB275" s="741"/>
      <c r="AC275" s="741"/>
      <c r="AD275" s="741"/>
      <c r="AE275" s="741"/>
      <c r="AF275" s="741"/>
      <c r="AG275" s="741"/>
      <c r="AH275" s="741"/>
      <c r="AI275" s="741"/>
      <c r="AJ275" s="741"/>
      <c r="AK275" s="741"/>
      <c r="AL275" s="741"/>
      <c r="AM275" s="741"/>
    </row>
    <row r="276" spans="1:39" ht="12.75" customHeight="1">
      <c r="A276" s="741"/>
      <c r="B276" s="741"/>
      <c r="C276" s="741"/>
      <c r="D276" s="741"/>
      <c r="E276" s="741"/>
      <c r="F276" s="741"/>
      <c r="G276" s="741"/>
      <c r="H276" s="741"/>
      <c r="I276" s="741"/>
      <c r="J276" s="741"/>
      <c r="K276" s="741"/>
      <c r="L276" s="741"/>
      <c r="M276" s="741"/>
      <c r="N276" s="741"/>
      <c r="O276" s="741"/>
      <c r="P276" s="741"/>
      <c r="Q276" s="741"/>
      <c r="R276" s="741"/>
      <c r="S276" s="741"/>
      <c r="T276" s="741"/>
      <c r="U276" s="741"/>
      <c r="V276" s="741"/>
      <c r="W276" s="741"/>
      <c r="X276" s="741"/>
      <c r="Y276" s="741"/>
      <c r="Z276" s="741"/>
      <c r="AA276" s="741"/>
      <c r="AB276" s="741"/>
      <c r="AC276" s="741"/>
      <c r="AD276" s="741"/>
      <c r="AE276" s="741"/>
      <c r="AF276" s="741"/>
      <c r="AG276" s="741"/>
      <c r="AH276" s="741"/>
      <c r="AI276" s="741"/>
      <c r="AJ276" s="741"/>
      <c r="AK276" s="741"/>
      <c r="AL276" s="741"/>
      <c r="AM276" s="741"/>
    </row>
    <row r="277" spans="1:39" ht="12.75" customHeight="1">
      <c r="A277" s="741"/>
      <c r="B277" s="741"/>
      <c r="C277" s="741"/>
      <c r="D277" s="741"/>
      <c r="E277" s="741"/>
      <c r="F277" s="741"/>
      <c r="G277" s="741"/>
      <c r="H277" s="741"/>
      <c r="I277" s="741"/>
      <c r="J277" s="741"/>
      <c r="K277" s="741"/>
      <c r="L277" s="741"/>
      <c r="M277" s="741"/>
      <c r="N277" s="741"/>
      <c r="O277" s="741"/>
      <c r="P277" s="741"/>
      <c r="Q277" s="741"/>
      <c r="R277" s="741"/>
      <c r="S277" s="741"/>
      <c r="T277" s="741"/>
      <c r="U277" s="741"/>
      <c r="V277" s="741"/>
      <c r="W277" s="741"/>
      <c r="X277" s="741"/>
      <c r="Y277" s="741"/>
      <c r="Z277" s="741"/>
      <c r="AA277" s="741"/>
      <c r="AB277" s="741"/>
      <c r="AC277" s="741"/>
      <c r="AD277" s="741"/>
      <c r="AE277" s="741"/>
      <c r="AF277" s="741"/>
      <c r="AG277" s="741"/>
      <c r="AH277" s="741"/>
      <c r="AI277" s="741"/>
      <c r="AJ277" s="741"/>
      <c r="AK277" s="741"/>
      <c r="AL277" s="741"/>
      <c r="AM277" s="741"/>
    </row>
    <row r="278" spans="1:39" ht="12.75" customHeight="1">
      <c r="A278" s="741"/>
      <c r="B278" s="741"/>
      <c r="C278" s="741"/>
      <c r="D278" s="741"/>
      <c r="E278" s="741"/>
      <c r="F278" s="741"/>
      <c r="G278" s="741"/>
      <c r="H278" s="741"/>
      <c r="I278" s="741"/>
      <c r="J278" s="741"/>
      <c r="K278" s="741"/>
      <c r="L278" s="741"/>
      <c r="M278" s="741"/>
      <c r="N278" s="741"/>
      <c r="O278" s="741"/>
      <c r="P278" s="741"/>
      <c r="Q278" s="741"/>
      <c r="R278" s="741"/>
      <c r="S278" s="741"/>
      <c r="T278" s="741"/>
      <c r="U278" s="741"/>
      <c r="V278" s="741"/>
      <c r="W278" s="741"/>
      <c r="X278" s="741"/>
      <c r="Y278" s="741"/>
      <c r="Z278" s="741"/>
      <c r="AA278" s="741"/>
      <c r="AB278" s="741"/>
      <c r="AC278" s="741"/>
      <c r="AD278" s="741"/>
      <c r="AE278" s="741"/>
      <c r="AF278" s="741"/>
      <c r="AG278" s="741"/>
      <c r="AH278" s="741"/>
      <c r="AI278" s="741"/>
      <c r="AJ278" s="741"/>
      <c r="AK278" s="741"/>
      <c r="AL278" s="741"/>
      <c r="AM278" s="741"/>
    </row>
    <row r="279" spans="1:39" ht="12.75" customHeight="1">
      <c r="A279" s="741"/>
      <c r="B279" s="741"/>
      <c r="C279" s="741"/>
      <c r="D279" s="741"/>
      <c r="E279" s="741"/>
      <c r="F279" s="741"/>
      <c r="G279" s="741"/>
      <c r="H279" s="741"/>
      <c r="I279" s="741"/>
      <c r="J279" s="741"/>
      <c r="K279" s="741"/>
      <c r="L279" s="741"/>
      <c r="M279" s="741"/>
      <c r="N279" s="741"/>
      <c r="O279" s="741"/>
      <c r="P279" s="741"/>
      <c r="Q279" s="741"/>
      <c r="R279" s="741"/>
      <c r="S279" s="741"/>
      <c r="T279" s="741"/>
      <c r="U279" s="741"/>
      <c r="V279" s="741"/>
      <c r="W279" s="741"/>
      <c r="X279" s="741"/>
      <c r="Y279" s="741"/>
      <c r="Z279" s="741"/>
      <c r="AA279" s="741"/>
      <c r="AB279" s="741"/>
      <c r="AC279" s="741"/>
      <c r="AD279" s="741"/>
      <c r="AE279" s="741"/>
      <c r="AF279" s="741"/>
      <c r="AG279" s="741"/>
      <c r="AH279" s="741"/>
      <c r="AI279" s="741"/>
      <c r="AJ279" s="741"/>
      <c r="AK279" s="741"/>
      <c r="AL279" s="741"/>
      <c r="AM279" s="741"/>
    </row>
    <row r="280" spans="1:39" ht="12.75" customHeight="1">
      <c r="A280" s="741"/>
      <c r="B280" s="741"/>
      <c r="C280" s="741"/>
      <c r="D280" s="741"/>
      <c r="E280" s="741"/>
      <c r="F280" s="741"/>
      <c r="G280" s="741"/>
      <c r="H280" s="741"/>
      <c r="I280" s="741"/>
      <c r="J280" s="741"/>
      <c r="K280" s="741"/>
      <c r="L280" s="741"/>
      <c r="M280" s="741"/>
      <c r="N280" s="741"/>
      <c r="O280" s="741"/>
      <c r="P280" s="741"/>
      <c r="Q280" s="741"/>
      <c r="R280" s="741"/>
      <c r="S280" s="741"/>
      <c r="T280" s="741"/>
      <c r="U280" s="741"/>
      <c r="V280" s="741"/>
      <c r="W280" s="741"/>
      <c r="X280" s="741"/>
      <c r="Y280" s="741"/>
      <c r="Z280" s="741"/>
      <c r="AA280" s="741"/>
      <c r="AB280" s="741"/>
      <c r="AC280" s="741"/>
      <c r="AD280" s="741"/>
      <c r="AE280" s="741"/>
      <c r="AF280" s="741"/>
      <c r="AG280" s="741"/>
      <c r="AH280" s="741"/>
      <c r="AI280" s="741"/>
      <c r="AJ280" s="741"/>
      <c r="AK280" s="741"/>
      <c r="AL280" s="741"/>
      <c r="AM280" s="741"/>
    </row>
    <row r="281" spans="1:39" ht="12.75" customHeight="1">
      <c r="A281" s="741"/>
      <c r="B281" s="741"/>
      <c r="C281" s="741"/>
      <c r="D281" s="741"/>
      <c r="E281" s="741"/>
      <c r="F281" s="741"/>
      <c r="G281" s="741"/>
      <c r="H281" s="741"/>
      <c r="I281" s="741"/>
      <c r="J281" s="741"/>
      <c r="K281" s="741"/>
      <c r="L281" s="741"/>
      <c r="M281" s="741"/>
      <c r="N281" s="741"/>
      <c r="O281" s="741"/>
      <c r="P281" s="741"/>
      <c r="Q281" s="741"/>
      <c r="R281" s="741"/>
      <c r="S281" s="741"/>
      <c r="T281" s="741"/>
      <c r="U281" s="741"/>
      <c r="V281" s="741"/>
      <c r="W281" s="741"/>
      <c r="X281" s="741"/>
      <c r="Y281" s="741"/>
      <c r="Z281" s="741"/>
      <c r="AA281" s="741"/>
      <c r="AB281" s="741"/>
      <c r="AC281" s="741"/>
      <c r="AD281" s="741"/>
      <c r="AE281" s="741"/>
      <c r="AF281" s="741"/>
      <c r="AG281" s="741"/>
      <c r="AH281" s="741"/>
      <c r="AI281" s="741"/>
      <c r="AJ281" s="741"/>
      <c r="AK281" s="741"/>
      <c r="AL281" s="741"/>
      <c r="AM281" s="741"/>
    </row>
    <row r="282" spans="1:39" ht="12.75" customHeight="1">
      <c r="A282" s="741"/>
      <c r="B282" s="741"/>
      <c r="C282" s="741"/>
      <c r="D282" s="741"/>
      <c r="E282" s="741"/>
      <c r="F282" s="741"/>
      <c r="G282" s="741"/>
      <c r="H282" s="741"/>
      <c r="I282" s="741"/>
      <c r="J282" s="741"/>
      <c r="K282" s="741"/>
      <c r="L282" s="741"/>
      <c r="M282" s="741"/>
      <c r="N282" s="741"/>
      <c r="O282" s="741"/>
      <c r="P282" s="741"/>
      <c r="Q282" s="741"/>
      <c r="R282" s="741"/>
      <c r="S282" s="741"/>
      <c r="T282" s="741"/>
      <c r="U282" s="741"/>
      <c r="V282" s="741"/>
      <c r="W282" s="741"/>
      <c r="X282" s="741"/>
      <c r="Y282" s="741"/>
      <c r="Z282" s="741"/>
      <c r="AA282" s="741"/>
      <c r="AB282" s="741"/>
      <c r="AC282" s="741"/>
      <c r="AD282" s="741"/>
      <c r="AE282" s="741"/>
      <c r="AF282" s="741"/>
      <c r="AG282" s="741"/>
      <c r="AH282" s="741"/>
      <c r="AI282" s="741"/>
      <c r="AJ282" s="741"/>
      <c r="AK282" s="741"/>
      <c r="AL282" s="741"/>
      <c r="AM282" s="741"/>
    </row>
    <row r="283" spans="1:39" ht="12.75" customHeight="1">
      <c r="A283" s="741"/>
      <c r="B283" s="741"/>
      <c r="C283" s="741"/>
      <c r="D283" s="741"/>
      <c r="E283" s="741"/>
      <c r="F283" s="741"/>
      <c r="G283" s="741"/>
      <c r="H283" s="741"/>
      <c r="I283" s="741"/>
      <c r="J283" s="741"/>
      <c r="K283" s="741"/>
      <c r="L283" s="741"/>
      <c r="M283" s="741"/>
      <c r="N283" s="741"/>
      <c r="O283" s="741"/>
      <c r="P283" s="741"/>
      <c r="Q283" s="741"/>
      <c r="R283" s="741"/>
      <c r="S283" s="741"/>
      <c r="T283" s="741"/>
      <c r="U283" s="741"/>
      <c r="V283" s="741"/>
      <c r="W283" s="741"/>
      <c r="X283" s="741"/>
      <c r="Y283" s="741"/>
      <c r="Z283" s="741"/>
      <c r="AA283" s="741"/>
      <c r="AB283" s="741"/>
      <c r="AC283" s="741"/>
      <c r="AD283" s="741"/>
      <c r="AE283" s="741"/>
      <c r="AF283" s="741"/>
      <c r="AG283" s="741"/>
      <c r="AH283" s="741"/>
      <c r="AI283" s="741"/>
      <c r="AJ283" s="741"/>
      <c r="AK283" s="741"/>
      <c r="AL283" s="741"/>
      <c r="AM283" s="741"/>
    </row>
    <row r="284" spans="1:39" ht="12.75" customHeight="1">
      <c r="A284" s="741"/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1"/>
      <c r="P284" s="741"/>
      <c r="Q284" s="741"/>
      <c r="R284" s="741"/>
      <c r="S284" s="741"/>
      <c r="T284" s="741"/>
      <c r="U284" s="741"/>
      <c r="V284" s="741"/>
      <c r="W284" s="741"/>
      <c r="X284" s="741"/>
      <c r="Y284" s="741"/>
      <c r="Z284" s="741"/>
      <c r="AA284" s="741"/>
      <c r="AB284" s="741"/>
      <c r="AC284" s="741"/>
      <c r="AD284" s="741"/>
      <c r="AE284" s="741"/>
      <c r="AF284" s="741"/>
      <c r="AG284" s="741"/>
      <c r="AH284" s="741"/>
      <c r="AI284" s="741"/>
      <c r="AJ284" s="741"/>
      <c r="AK284" s="741"/>
      <c r="AL284" s="741"/>
      <c r="AM284" s="741"/>
    </row>
    <row r="285" spans="1:39" ht="12.75" customHeight="1">
      <c r="A285" s="741"/>
      <c r="B285" s="741"/>
      <c r="C285" s="741"/>
      <c r="D285" s="741"/>
      <c r="E285" s="741"/>
      <c r="F285" s="741"/>
      <c r="G285" s="741"/>
      <c r="H285" s="741"/>
      <c r="I285" s="741"/>
      <c r="J285" s="741"/>
      <c r="K285" s="741"/>
      <c r="L285" s="741"/>
      <c r="M285" s="741"/>
      <c r="N285" s="741"/>
      <c r="O285" s="741"/>
      <c r="P285" s="741"/>
      <c r="Q285" s="741"/>
      <c r="R285" s="741"/>
      <c r="S285" s="741"/>
      <c r="T285" s="741"/>
      <c r="U285" s="741"/>
      <c r="V285" s="741"/>
      <c r="W285" s="741"/>
      <c r="X285" s="741"/>
      <c r="Y285" s="741"/>
      <c r="Z285" s="741"/>
      <c r="AA285" s="741"/>
      <c r="AB285" s="741"/>
      <c r="AC285" s="741"/>
      <c r="AD285" s="741"/>
      <c r="AE285" s="741"/>
      <c r="AF285" s="741"/>
      <c r="AG285" s="741"/>
      <c r="AH285" s="741"/>
      <c r="AI285" s="741"/>
      <c r="AJ285" s="741"/>
      <c r="AK285" s="741"/>
      <c r="AL285" s="741"/>
      <c r="AM285" s="741"/>
    </row>
    <row r="286" spans="1:39" ht="12.75" customHeight="1">
      <c r="A286" s="741"/>
      <c r="B286" s="741"/>
      <c r="C286" s="741"/>
      <c r="D286" s="741"/>
      <c r="E286" s="741"/>
      <c r="F286" s="741"/>
      <c r="G286" s="741"/>
      <c r="H286" s="741"/>
      <c r="I286" s="741"/>
      <c r="J286" s="741"/>
      <c r="K286" s="741"/>
      <c r="L286" s="741"/>
      <c r="M286" s="741"/>
      <c r="N286" s="741"/>
      <c r="O286" s="741"/>
      <c r="P286" s="741"/>
      <c r="Q286" s="741"/>
      <c r="R286" s="741"/>
      <c r="S286" s="741"/>
      <c r="T286" s="741"/>
      <c r="U286" s="741"/>
      <c r="V286" s="741"/>
      <c r="W286" s="741"/>
      <c r="X286" s="741"/>
      <c r="Y286" s="741"/>
      <c r="Z286" s="741"/>
      <c r="AA286" s="741"/>
      <c r="AB286" s="741"/>
      <c r="AC286" s="741"/>
      <c r="AD286" s="741"/>
      <c r="AE286" s="741"/>
      <c r="AF286" s="741"/>
      <c r="AG286" s="741"/>
      <c r="AH286" s="741"/>
      <c r="AI286" s="741"/>
      <c r="AJ286" s="741"/>
      <c r="AK286" s="741"/>
      <c r="AL286" s="741"/>
      <c r="AM286" s="741"/>
    </row>
    <row r="287" spans="1:39" ht="12.75" customHeight="1">
      <c r="A287" s="741"/>
      <c r="B287" s="741"/>
      <c r="C287" s="741"/>
      <c r="D287" s="741"/>
      <c r="E287" s="741"/>
      <c r="F287" s="741"/>
      <c r="G287" s="741"/>
      <c r="H287" s="741"/>
      <c r="I287" s="741"/>
      <c r="J287" s="741"/>
      <c r="K287" s="741"/>
      <c r="L287" s="741"/>
      <c r="M287" s="741"/>
      <c r="N287" s="741"/>
      <c r="O287" s="741"/>
      <c r="P287" s="741"/>
      <c r="Q287" s="741"/>
      <c r="R287" s="741"/>
      <c r="S287" s="741"/>
      <c r="T287" s="741"/>
      <c r="U287" s="741"/>
      <c r="V287" s="741"/>
      <c r="W287" s="741"/>
      <c r="X287" s="741"/>
      <c r="Y287" s="741"/>
      <c r="Z287" s="741"/>
      <c r="AA287" s="741"/>
      <c r="AB287" s="741"/>
      <c r="AC287" s="741"/>
      <c r="AD287" s="741"/>
      <c r="AE287" s="741"/>
      <c r="AF287" s="741"/>
      <c r="AG287" s="741"/>
      <c r="AH287" s="741"/>
      <c r="AI287" s="741"/>
      <c r="AJ287" s="741"/>
      <c r="AK287" s="741"/>
      <c r="AL287" s="741"/>
      <c r="AM287" s="741"/>
    </row>
    <row r="288" spans="1:39" ht="12.75" customHeight="1">
      <c r="A288" s="741"/>
      <c r="B288" s="741"/>
      <c r="C288" s="741"/>
      <c r="D288" s="741"/>
      <c r="E288" s="741"/>
      <c r="F288" s="741"/>
      <c r="G288" s="741"/>
      <c r="H288" s="741"/>
      <c r="I288" s="741"/>
      <c r="J288" s="741"/>
      <c r="K288" s="741"/>
      <c r="L288" s="741"/>
      <c r="M288" s="741"/>
      <c r="N288" s="741"/>
      <c r="O288" s="741"/>
      <c r="P288" s="741"/>
      <c r="Q288" s="741"/>
      <c r="R288" s="741"/>
      <c r="S288" s="741"/>
      <c r="T288" s="741"/>
      <c r="U288" s="741"/>
      <c r="V288" s="741"/>
      <c r="W288" s="741"/>
      <c r="X288" s="741"/>
      <c r="Y288" s="741"/>
      <c r="Z288" s="741"/>
      <c r="AA288" s="741"/>
      <c r="AB288" s="741"/>
      <c r="AC288" s="741"/>
      <c r="AD288" s="741"/>
      <c r="AE288" s="741"/>
      <c r="AF288" s="741"/>
      <c r="AG288" s="741"/>
      <c r="AH288" s="741"/>
      <c r="AI288" s="741"/>
      <c r="AJ288" s="741"/>
      <c r="AK288" s="741"/>
      <c r="AL288" s="741"/>
      <c r="AM288" s="741"/>
    </row>
    <row r="289" spans="1:39" ht="12.75" customHeight="1">
      <c r="A289" s="741"/>
      <c r="B289" s="741"/>
      <c r="C289" s="741"/>
      <c r="D289" s="741"/>
      <c r="E289" s="741"/>
      <c r="F289" s="741"/>
      <c r="G289" s="741"/>
      <c r="H289" s="741"/>
      <c r="I289" s="741"/>
      <c r="J289" s="741"/>
      <c r="K289" s="741"/>
      <c r="L289" s="741"/>
      <c r="M289" s="741"/>
      <c r="N289" s="741"/>
      <c r="O289" s="741"/>
      <c r="P289" s="741"/>
      <c r="Q289" s="741"/>
      <c r="R289" s="741"/>
      <c r="S289" s="741"/>
      <c r="T289" s="741"/>
      <c r="U289" s="741"/>
      <c r="V289" s="741"/>
      <c r="W289" s="741"/>
      <c r="X289" s="741"/>
      <c r="Y289" s="741"/>
      <c r="Z289" s="741"/>
      <c r="AA289" s="741"/>
      <c r="AB289" s="741"/>
      <c r="AC289" s="741"/>
      <c r="AD289" s="741"/>
      <c r="AE289" s="741"/>
      <c r="AF289" s="741"/>
      <c r="AG289" s="741"/>
      <c r="AH289" s="741"/>
      <c r="AI289" s="741"/>
      <c r="AJ289" s="741"/>
      <c r="AK289" s="741"/>
      <c r="AL289" s="741"/>
      <c r="AM289" s="741"/>
    </row>
    <row r="290" spans="1:39" ht="12.75" customHeight="1">
      <c r="A290" s="741"/>
      <c r="B290" s="741"/>
      <c r="C290" s="741"/>
      <c r="D290" s="741"/>
      <c r="E290" s="741"/>
      <c r="F290" s="741"/>
      <c r="G290" s="741"/>
      <c r="H290" s="741"/>
      <c r="I290" s="741"/>
      <c r="J290" s="741"/>
      <c r="K290" s="741"/>
      <c r="L290" s="741"/>
      <c r="M290" s="741"/>
      <c r="N290" s="741"/>
      <c r="O290" s="741"/>
      <c r="P290" s="741"/>
      <c r="Q290" s="741"/>
      <c r="R290" s="741"/>
      <c r="S290" s="741"/>
      <c r="T290" s="741"/>
      <c r="U290" s="741"/>
      <c r="V290" s="741"/>
      <c r="W290" s="741"/>
      <c r="X290" s="741"/>
      <c r="Y290" s="741"/>
      <c r="Z290" s="741"/>
      <c r="AA290" s="741"/>
      <c r="AB290" s="741"/>
      <c r="AC290" s="741"/>
      <c r="AD290" s="741"/>
      <c r="AE290" s="741"/>
      <c r="AF290" s="741"/>
      <c r="AG290" s="741"/>
      <c r="AH290" s="741"/>
      <c r="AI290" s="741"/>
      <c r="AJ290" s="741"/>
      <c r="AK290" s="741"/>
      <c r="AL290" s="741"/>
      <c r="AM290" s="741"/>
    </row>
    <row r="291" spans="1:39" ht="12.75" customHeight="1">
      <c r="A291" s="741"/>
      <c r="B291" s="741"/>
      <c r="C291" s="741"/>
      <c r="D291" s="741"/>
      <c r="E291" s="741"/>
      <c r="F291" s="741"/>
      <c r="G291" s="741"/>
      <c r="H291" s="741"/>
      <c r="I291" s="741"/>
      <c r="J291" s="741"/>
      <c r="K291" s="741"/>
      <c r="L291" s="741"/>
      <c r="M291" s="741"/>
      <c r="N291" s="741"/>
      <c r="O291" s="741"/>
      <c r="P291" s="741"/>
      <c r="Q291" s="741"/>
      <c r="R291" s="741"/>
      <c r="S291" s="741"/>
      <c r="T291" s="741"/>
      <c r="U291" s="741"/>
      <c r="V291" s="741"/>
      <c r="W291" s="741"/>
      <c r="X291" s="741"/>
      <c r="Y291" s="741"/>
      <c r="Z291" s="741"/>
      <c r="AA291" s="741"/>
      <c r="AB291" s="741"/>
      <c r="AC291" s="741"/>
      <c r="AD291" s="741"/>
      <c r="AE291" s="741"/>
      <c r="AF291" s="741"/>
      <c r="AG291" s="741"/>
      <c r="AH291" s="741"/>
      <c r="AI291" s="741"/>
      <c r="AJ291" s="741"/>
      <c r="AK291" s="741"/>
      <c r="AL291" s="741"/>
      <c r="AM291" s="741"/>
    </row>
    <row r="292" spans="1:39" ht="12.75" customHeight="1">
      <c r="A292" s="741"/>
      <c r="B292" s="741"/>
      <c r="C292" s="741"/>
      <c r="D292" s="741"/>
      <c r="E292" s="741"/>
      <c r="F292" s="741"/>
      <c r="G292" s="741"/>
      <c r="H292" s="741"/>
      <c r="I292" s="741"/>
      <c r="J292" s="741"/>
      <c r="K292" s="741"/>
      <c r="L292" s="741"/>
      <c r="M292" s="741"/>
      <c r="N292" s="741"/>
      <c r="O292" s="741"/>
      <c r="P292" s="741"/>
      <c r="Q292" s="741"/>
      <c r="R292" s="741"/>
      <c r="S292" s="741"/>
      <c r="T292" s="741"/>
      <c r="U292" s="741"/>
      <c r="V292" s="741"/>
      <c r="W292" s="741"/>
      <c r="X292" s="741"/>
      <c r="Y292" s="741"/>
      <c r="Z292" s="741"/>
      <c r="AA292" s="741"/>
      <c r="AB292" s="741"/>
      <c r="AC292" s="741"/>
      <c r="AD292" s="741"/>
      <c r="AE292" s="741"/>
      <c r="AF292" s="741"/>
      <c r="AG292" s="741"/>
      <c r="AH292" s="741"/>
      <c r="AI292" s="741"/>
      <c r="AJ292" s="741"/>
      <c r="AK292" s="741"/>
      <c r="AL292" s="741"/>
      <c r="AM292" s="741"/>
    </row>
    <row r="293" spans="1:39" ht="12.75" customHeight="1">
      <c r="A293" s="741"/>
      <c r="B293" s="741"/>
      <c r="C293" s="741"/>
      <c r="D293" s="741"/>
      <c r="E293" s="741"/>
      <c r="F293" s="741"/>
      <c r="G293" s="741"/>
      <c r="H293" s="741"/>
      <c r="I293" s="741"/>
      <c r="J293" s="741"/>
      <c r="K293" s="741"/>
      <c r="L293" s="741"/>
      <c r="M293" s="741"/>
      <c r="N293" s="741"/>
      <c r="O293" s="741"/>
      <c r="P293" s="741"/>
      <c r="Q293" s="741"/>
      <c r="R293" s="741"/>
      <c r="S293" s="741"/>
      <c r="T293" s="741"/>
      <c r="U293" s="741"/>
      <c r="V293" s="741"/>
      <c r="W293" s="741"/>
      <c r="X293" s="741"/>
      <c r="Y293" s="741"/>
      <c r="Z293" s="741"/>
      <c r="AA293" s="741"/>
      <c r="AB293" s="741"/>
      <c r="AC293" s="741"/>
      <c r="AD293" s="741"/>
      <c r="AE293" s="741"/>
      <c r="AF293" s="741"/>
      <c r="AG293" s="741"/>
      <c r="AH293" s="741"/>
      <c r="AI293" s="741"/>
      <c r="AJ293" s="741"/>
      <c r="AK293" s="741"/>
      <c r="AL293" s="741"/>
      <c r="AM293" s="741"/>
    </row>
    <row r="294" spans="1:39" ht="12.75" customHeight="1">
      <c r="A294" s="741"/>
      <c r="B294" s="741"/>
      <c r="C294" s="741"/>
      <c r="D294" s="741"/>
      <c r="E294" s="741"/>
      <c r="F294" s="741"/>
      <c r="G294" s="741"/>
      <c r="H294" s="741"/>
      <c r="I294" s="741"/>
      <c r="J294" s="741"/>
      <c r="K294" s="741"/>
      <c r="L294" s="741"/>
      <c r="M294" s="741"/>
      <c r="N294" s="741"/>
      <c r="O294" s="741"/>
      <c r="P294" s="741"/>
      <c r="Q294" s="741"/>
      <c r="R294" s="741"/>
      <c r="S294" s="741"/>
      <c r="T294" s="741"/>
      <c r="U294" s="741"/>
      <c r="V294" s="741"/>
      <c r="W294" s="741"/>
      <c r="X294" s="741"/>
      <c r="Y294" s="741"/>
      <c r="Z294" s="741"/>
      <c r="AA294" s="741"/>
      <c r="AB294" s="741"/>
      <c r="AC294" s="741"/>
      <c r="AD294" s="741"/>
      <c r="AE294" s="741"/>
      <c r="AF294" s="741"/>
      <c r="AG294" s="741"/>
      <c r="AH294" s="741"/>
      <c r="AI294" s="741"/>
      <c r="AJ294" s="741"/>
      <c r="AK294" s="741"/>
      <c r="AL294" s="741"/>
      <c r="AM294" s="741"/>
    </row>
    <row r="295" spans="1:39" ht="12.75" customHeight="1">
      <c r="A295" s="741"/>
      <c r="B295" s="741"/>
      <c r="C295" s="741"/>
      <c r="D295" s="741"/>
      <c r="E295" s="741"/>
      <c r="F295" s="741"/>
      <c r="G295" s="741"/>
      <c r="H295" s="741"/>
      <c r="I295" s="741"/>
      <c r="J295" s="741"/>
      <c r="K295" s="741"/>
      <c r="L295" s="741"/>
      <c r="M295" s="741"/>
      <c r="N295" s="741"/>
      <c r="O295" s="741"/>
      <c r="P295" s="741"/>
      <c r="Q295" s="741"/>
      <c r="R295" s="741"/>
      <c r="S295" s="741"/>
      <c r="T295" s="741"/>
      <c r="U295" s="741"/>
      <c r="V295" s="741"/>
      <c r="W295" s="741"/>
      <c r="X295" s="741"/>
      <c r="Y295" s="741"/>
      <c r="Z295" s="741"/>
      <c r="AA295" s="741"/>
      <c r="AB295" s="741"/>
      <c r="AC295" s="741"/>
      <c r="AD295" s="741"/>
      <c r="AE295" s="741"/>
      <c r="AF295" s="741"/>
      <c r="AG295" s="741"/>
      <c r="AH295" s="741"/>
      <c r="AI295" s="741"/>
      <c r="AJ295" s="741"/>
      <c r="AK295" s="741"/>
      <c r="AL295" s="741"/>
      <c r="AM295" s="741"/>
    </row>
    <row r="296" spans="1:39" ht="12.75" customHeight="1">
      <c r="A296" s="741"/>
      <c r="B296" s="741"/>
      <c r="C296" s="741"/>
      <c r="D296" s="741"/>
      <c r="E296" s="741"/>
      <c r="F296" s="741"/>
      <c r="G296" s="741"/>
      <c r="H296" s="741"/>
      <c r="I296" s="741"/>
      <c r="J296" s="741"/>
      <c r="K296" s="741"/>
      <c r="L296" s="741"/>
      <c r="M296" s="741"/>
      <c r="N296" s="741"/>
      <c r="O296" s="741"/>
      <c r="P296" s="741"/>
      <c r="Q296" s="741"/>
      <c r="R296" s="741"/>
      <c r="S296" s="741"/>
      <c r="T296" s="741"/>
      <c r="U296" s="741"/>
      <c r="V296" s="741"/>
      <c r="W296" s="741"/>
      <c r="X296" s="741"/>
      <c r="Y296" s="741"/>
      <c r="Z296" s="741"/>
      <c r="AA296" s="741"/>
      <c r="AB296" s="741"/>
      <c r="AC296" s="741"/>
      <c r="AD296" s="741"/>
      <c r="AE296" s="741"/>
      <c r="AF296" s="741"/>
      <c r="AG296" s="741"/>
      <c r="AH296" s="741"/>
      <c r="AI296" s="741"/>
      <c r="AJ296" s="741"/>
      <c r="AK296" s="741"/>
      <c r="AL296" s="741"/>
      <c r="AM296" s="741"/>
    </row>
    <row r="297" spans="1:39" ht="12.75" customHeight="1">
      <c r="A297" s="741"/>
      <c r="B297" s="741"/>
      <c r="C297" s="741"/>
      <c r="D297" s="741"/>
      <c r="E297" s="741"/>
      <c r="F297" s="741"/>
      <c r="G297" s="741"/>
      <c r="H297" s="741"/>
      <c r="I297" s="741"/>
      <c r="J297" s="741"/>
      <c r="K297" s="741"/>
      <c r="L297" s="741"/>
      <c r="M297" s="741"/>
      <c r="N297" s="741"/>
      <c r="O297" s="741"/>
      <c r="P297" s="741"/>
      <c r="Q297" s="741"/>
      <c r="R297" s="741"/>
      <c r="S297" s="741"/>
      <c r="T297" s="741"/>
      <c r="U297" s="741"/>
      <c r="V297" s="741"/>
      <c r="W297" s="741"/>
      <c r="X297" s="741"/>
      <c r="Y297" s="741"/>
      <c r="Z297" s="741"/>
      <c r="AA297" s="741"/>
      <c r="AB297" s="741"/>
      <c r="AC297" s="741"/>
      <c r="AD297" s="741"/>
      <c r="AE297" s="741"/>
      <c r="AF297" s="741"/>
      <c r="AG297" s="741"/>
      <c r="AH297" s="741"/>
      <c r="AI297" s="741"/>
      <c r="AJ297" s="741"/>
      <c r="AK297" s="741"/>
      <c r="AL297" s="741"/>
      <c r="AM297" s="741"/>
    </row>
    <row r="298" spans="1:39" ht="12.75" customHeight="1">
      <c r="A298" s="741"/>
      <c r="B298" s="741"/>
      <c r="C298" s="741"/>
      <c r="D298" s="741"/>
      <c r="E298" s="741"/>
      <c r="F298" s="741"/>
      <c r="G298" s="741"/>
      <c r="H298" s="741"/>
      <c r="I298" s="741"/>
      <c r="J298" s="741"/>
      <c r="K298" s="741"/>
      <c r="L298" s="741"/>
      <c r="M298" s="741"/>
      <c r="N298" s="741"/>
      <c r="O298" s="741"/>
      <c r="P298" s="741"/>
      <c r="Q298" s="741"/>
      <c r="R298" s="741"/>
      <c r="S298" s="741"/>
      <c r="T298" s="741"/>
      <c r="U298" s="741"/>
      <c r="V298" s="741"/>
      <c r="W298" s="741"/>
      <c r="X298" s="741"/>
      <c r="Y298" s="741"/>
      <c r="Z298" s="741"/>
      <c r="AA298" s="741"/>
      <c r="AB298" s="741"/>
      <c r="AC298" s="741"/>
      <c r="AD298" s="741"/>
      <c r="AE298" s="741"/>
      <c r="AF298" s="741"/>
      <c r="AG298" s="741"/>
      <c r="AH298" s="741"/>
      <c r="AI298" s="741"/>
      <c r="AJ298" s="741"/>
      <c r="AK298" s="741"/>
      <c r="AL298" s="741"/>
      <c r="AM298" s="741"/>
    </row>
    <row r="299" spans="1:39" ht="12.75" customHeight="1">
      <c r="A299" s="741"/>
      <c r="B299" s="741"/>
      <c r="C299" s="741"/>
      <c r="D299" s="741"/>
      <c r="E299" s="741"/>
      <c r="F299" s="741"/>
      <c r="G299" s="741"/>
      <c r="H299" s="741"/>
      <c r="I299" s="741"/>
      <c r="J299" s="741"/>
      <c r="K299" s="741"/>
      <c r="L299" s="741"/>
      <c r="M299" s="741"/>
      <c r="N299" s="741"/>
      <c r="O299" s="741"/>
      <c r="P299" s="741"/>
      <c r="Q299" s="741"/>
      <c r="R299" s="741"/>
      <c r="S299" s="741"/>
      <c r="T299" s="741"/>
      <c r="U299" s="741"/>
      <c r="V299" s="741"/>
      <c r="W299" s="741"/>
      <c r="X299" s="741"/>
      <c r="Y299" s="741"/>
      <c r="Z299" s="741"/>
      <c r="AA299" s="741"/>
      <c r="AB299" s="741"/>
      <c r="AC299" s="741"/>
      <c r="AD299" s="741"/>
      <c r="AE299" s="741"/>
      <c r="AF299" s="741"/>
      <c r="AG299" s="741"/>
      <c r="AH299" s="741"/>
      <c r="AI299" s="741"/>
      <c r="AJ299" s="741"/>
      <c r="AK299" s="741"/>
      <c r="AL299" s="741"/>
      <c r="AM299" s="741"/>
    </row>
    <row r="300" spans="1:39" ht="12.75" customHeight="1">
      <c r="A300" s="741"/>
      <c r="B300" s="741"/>
      <c r="C300" s="741"/>
      <c r="D300" s="741"/>
      <c r="E300" s="741"/>
      <c r="F300" s="741"/>
      <c r="G300" s="741"/>
      <c r="H300" s="741"/>
      <c r="I300" s="741"/>
      <c r="J300" s="741"/>
      <c r="K300" s="741"/>
      <c r="L300" s="741"/>
      <c r="M300" s="741"/>
      <c r="N300" s="741"/>
      <c r="O300" s="741"/>
      <c r="P300" s="741"/>
      <c r="Q300" s="741"/>
      <c r="R300" s="741"/>
      <c r="S300" s="741"/>
      <c r="T300" s="741"/>
      <c r="U300" s="741"/>
      <c r="V300" s="741"/>
      <c r="W300" s="741"/>
      <c r="X300" s="741"/>
      <c r="Y300" s="741"/>
      <c r="Z300" s="741"/>
      <c r="AA300" s="741"/>
      <c r="AB300" s="741"/>
      <c r="AC300" s="741"/>
      <c r="AD300" s="741"/>
      <c r="AE300" s="741"/>
      <c r="AF300" s="741"/>
      <c r="AG300" s="741"/>
      <c r="AH300" s="741"/>
      <c r="AI300" s="741"/>
      <c r="AJ300" s="741"/>
      <c r="AK300" s="741"/>
      <c r="AL300" s="741"/>
      <c r="AM300" s="741"/>
    </row>
    <row r="301" spans="1:39" ht="12.75" customHeight="1">
      <c r="A301" s="741"/>
      <c r="B301" s="741"/>
      <c r="C301" s="741"/>
      <c r="D301" s="741"/>
      <c r="E301" s="741"/>
      <c r="F301" s="741"/>
      <c r="G301" s="741"/>
      <c r="H301" s="741"/>
      <c r="I301" s="741"/>
      <c r="J301" s="741"/>
      <c r="K301" s="741"/>
      <c r="L301" s="741"/>
      <c r="M301" s="741"/>
      <c r="N301" s="741"/>
      <c r="O301" s="741"/>
      <c r="P301" s="741"/>
      <c r="Q301" s="741"/>
      <c r="R301" s="741"/>
      <c r="S301" s="741"/>
      <c r="T301" s="741"/>
      <c r="U301" s="741"/>
      <c r="V301" s="741"/>
      <c r="W301" s="741"/>
      <c r="X301" s="741"/>
      <c r="Y301" s="741"/>
      <c r="Z301" s="741"/>
      <c r="AA301" s="741"/>
      <c r="AB301" s="741"/>
      <c r="AC301" s="741"/>
      <c r="AD301" s="741"/>
      <c r="AE301" s="741"/>
      <c r="AF301" s="741"/>
      <c r="AG301" s="741"/>
      <c r="AH301" s="741"/>
      <c r="AI301" s="741"/>
      <c r="AJ301" s="741"/>
      <c r="AK301" s="741"/>
      <c r="AL301" s="741"/>
      <c r="AM301" s="741"/>
    </row>
    <row r="302" spans="1:39" ht="12.75" customHeight="1">
      <c r="A302" s="741"/>
      <c r="B302" s="741"/>
      <c r="C302" s="741"/>
      <c r="D302" s="741"/>
      <c r="E302" s="741"/>
      <c r="F302" s="741"/>
      <c r="G302" s="741"/>
      <c r="H302" s="741"/>
      <c r="I302" s="741"/>
      <c r="J302" s="741"/>
      <c r="K302" s="741"/>
      <c r="L302" s="741"/>
      <c r="M302" s="741"/>
      <c r="N302" s="741"/>
      <c r="O302" s="741"/>
      <c r="P302" s="741"/>
      <c r="Q302" s="741"/>
      <c r="R302" s="741"/>
      <c r="S302" s="741"/>
      <c r="T302" s="741"/>
      <c r="U302" s="741"/>
      <c r="V302" s="741"/>
      <c r="W302" s="741"/>
      <c r="X302" s="741"/>
      <c r="Y302" s="741"/>
      <c r="Z302" s="741"/>
      <c r="AA302" s="741"/>
      <c r="AB302" s="741"/>
      <c r="AC302" s="741"/>
      <c r="AD302" s="741"/>
      <c r="AE302" s="741"/>
      <c r="AF302" s="741"/>
      <c r="AG302" s="741"/>
      <c r="AH302" s="741"/>
      <c r="AI302" s="741"/>
      <c r="AJ302" s="741"/>
      <c r="AK302" s="741"/>
      <c r="AL302" s="741"/>
      <c r="AM302" s="741"/>
    </row>
    <row r="303" spans="1:39" ht="12.75" customHeight="1">
      <c r="A303" s="741"/>
      <c r="B303" s="741"/>
      <c r="C303" s="741"/>
      <c r="D303" s="741"/>
      <c r="E303" s="741"/>
      <c r="F303" s="741"/>
      <c r="G303" s="741"/>
      <c r="H303" s="741"/>
      <c r="I303" s="741"/>
      <c r="J303" s="741"/>
      <c r="K303" s="741"/>
      <c r="L303" s="741"/>
      <c r="M303" s="741"/>
      <c r="N303" s="741"/>
      <c r="O303" s="741"/>
      <c r="P303" s="741"/>
      <c r="Q303" s="741"/>
      <c r="R303" s="741"/>
      <c r="S303" s="741"/>
      <c r="T303" s="741"/>
      <c r="U303" s="741"/>
      <c r="V303" s="741"/>
      <c r="W303" s="741"/>
      <c r="X303" s="741"/>
      <c r="Y303" s="741"/>
      <c r="Z303" s="741"/>
      <c r="AA303" s="741"/>
      <c r="AB303" s="741"/>
      <c r="AC303" s="741"/>
      <c r="AD303" s="741"/>
      <c r="AE303" s="741"/>
      <c r="AF303" s="741"/>
      <c r="AG303" s="741"/>
      <c r="AH303" s="741"/>
      <c r="AI303" s="741"/>
      <c r="AJ303" s="741"/>
      <c r="AK303" s="741"/>
      <c r="AL303" s="741"/>
      <c r="AM303" s="741"/>
    </row>
    <row r="304" spans="1:39" ht="12.75" customHeight="1">
      <c r="A304" s="741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1"/>
      <c r="P304" s="741"/>
      <c r="Q304" s="741"/>
      <c r="R304" s="741"/>
      <c r="S304" s="741"/>
      <c r="T304" s="741"/>
      <c r="U304" s="741"/>
      <c r="V304" s="741"/>
      <c r="W304" s="741"/>
      <c r="X304" s="741"/>
      <c r="Y304" s="741"/>
      <c r="Z304" s="741"/>
      <c r="AA304" s="741"/>
      <c r="AB304" s="741"/>
      <c r="AC304" s="741"/>
      <c r="AD304" s="741"/>
      <c r="AE304" s="741"/>
      <c r="AF304" s="741"/>
      <c r="AG304" s="741"/>
      <c r="AH304" s="741"/>
      <c r="AI304" s="741"/>
      <c r="AJ304" s="741"/>
      <c r="AK304" s="741"/>
      <c r="AL304" s="741"/>
      <c r="AM304" s="741"/>
    </row>
    <row r="305" spans="1:39" ht="12.75" customHeight="1">
      <c r="A305" s="741"/>
      <c r="B305" s="741"/>
      <c r="C305" s="741"/>
      <c r="D305" s="741"/>
      <c r="E305" s="741"/>
      <c r="F305" s="741"/>
      <c r="G305" s="741"/>
      <c r="H305" s="741"/>
      <c r="I305" s="741"/>
      <c r="J305" s="741"/>
      <c r="K305" s="741"/>
      <c r="L305" s="741"/>
      <c r="M305" s="741"/>
      <c r="N305" s="741"/>
      <c r="O305" s="741"/>
      <c r="P305" s="741"/>
      <c r="Q305" s="741"/>
      <c r="R305" s="741"/>
      <c r="S305" s="741"/>
      <c r="T305" s="741"/>
      <c r="U305" s="741"/>
      <c r="V305" s="741"/>
      <c r="W305" s="741"/>
      <c r="X305" s="741"/>
      <c r="Y305" s="741"/>
      <c r="Z305" s="741"/>
      <c r="AA305" s="741"/>
      <c r="AB305" s="741"/>
      <c r="AC305" s="741"/>
      <c r="AD305" s="741"/>
      <c r="AE305" s="741"/>
      <c r="AF305" s="741"/>
      <c r="AG305" s="741"/>
      <c r="AH305" s="741"/>
      <c r="AI305" s="741"/>
      <c r="AJ305" s="741"/>
      <c r="AK305" s="741"/>
      <c r="AL305" s="741"/>
      <c r="AM305" s="741"/>
    </row>
    <row r="306" spans="1:39" ht="12.75" customHeight="1">
      <c r="A306" s="741"/>
      <c r="B306" s="741"/>
      <c r="C306" s="741"/>
      <c r="D306" s="741"/>
      <c r="E306" s="741"/>
      <c r="F306" s="741"/>
      <c r="G306" s="741"/>
      <c r="H306" s="741"/>
      <c r="I306" s="741"/>
      <c r="J306" s="741"/>
      <c r="K306" s="741"/>
      <c r="L306" s="741"/>
      <c r="M306" s="741"/>
      <c r="N306" s="741"/>
      <c r="O306" s="741"/>
      <c r="P306" s="741"/>
      <c r="Q306" s="741"/>
      <c r="R306" s="741"/>
      <c r="S306" s="741"/>
      <c r="T306" s="741"/>
      <c r="U306" s="741"/>
      <c r="V306" s="741"/>
      <c r="W306" s="741"/>
      <c r="X306" s="741"/>
      <c r="Y306" s="741"/>
      <c r="Z306" s="741"/>
      <c r="AA306" s="741"/>
      <c r="AB306" s="741"/>
      <c r="AC306" s="741"/>
      <c r="AD306" s="741"/>
      <c r="AE306" s="741"/>
      <c r="AF306" s="741"/>
      <c r="AG306" s="741"/>
      <c r="AH306" s="741"/>
      <c r="AI306" s="741"/>
      <c r="AJ306" s="741"/>
      <c r="AK306" s="741"/>
      <c r="AL306" s="741"/>
      <c r="AM306" s="741"/>
    </row>
    <row r="307" spans="1:39" ht="12.75" customHeight="1">
      <c r="A307" s="741"/>
      <c r="B307" s="741"/>
      <c r="C307" s="741"/>
      <c r="D307" s="741"/>
      <c r="E307" s="741"/>
      <c r="F307" s="741"/>
      <c r="G307" s="741"/>
      <c r="H307" s="741"/>
      <c r="I307" s="741"/>
      <c r="J307" s="741"/>
      <c r="K307" s="741"/>
      <c r="L307" s="741"/>
      <c r="M307" s="741"/>
      <c r="N307" s="741"/>
      <c r="O307" s="741"/>
      <c r="P307" s="741"/>
      <c r="Q307" s="741"/>
      <c r="R307" s="741"/>
      <c r="S307" s="741"/>
      <c r="T307" s="741"/>
      <c r="U307" s="741"/>
      <c r="V307" s="741"/>
      <c r="W307" s="741"/>
      <c r="X307" s="741"/>
      <c r="Y307" s="741"/>
      <c r="Z307" s="741"/>
      <c r="AA307" s="741"/>
      <c r="AB307" s="741"/>
      <c r="AC307" s="741"/>
      <c r="AD307" s="741"/>
      <c r="AE307" s="741"/>
      <c r="AF307" s="741"/>
      <c r="AG307" s="741"/>
      <c r="AH307" s="741"/>
      <c r="AI307" s="741"/>
      <c r="AJ307" s="741"/>
      <c r="AK307" s="741"/>
      <c r="AL307" s="741"/>
      <c r="AM307" s="741"/>
    </row>
    <row r="308" spans="1:39" ht="12.75" customHeight="1">
      <c r="A308" s="741"/>
      <c r="B308" s="741"/>
      <c r="C308" s="741"/>
      <c r="D308" s="741"/>
      <c r="E308" s="741"/>
      <c r="F308" s="741"/>
      <c r="G308" s="741"/>
      <c r="H308" s="741"/>
      <c r="I308" s="741"/>
      <c r="J308" s="741"/>
      <c r="K308" s="741"/>
      <c r="L308" s="741"/>
      <c r="M308" s="741"/>
      <c r="N308" s="741"/>
      <c r="O308" s="741"/>
      <c r="P308" s="741"/>
      <c r="Q308" s="741"/>
      <c r="R308" s="741"/>
      <c r="S308" s="741"/>
      <c r="T308" s="741"/>
      <c r="U308" s="741"/>
      <c r="V308" s="741"/>
      <c r="W308" s="741"/>
      <c r="X308" s="741"/>
      <c r="Y308" s="741"/>
      <c r="Z308" s="741"/>
      <c r="AA308" s="741"/>
      <c r="AB308" s="741"/>
      <c r="AC308" s="741"/>
      <c r="AD308" s="741"/>
      <c r="AE308" s="741"/>
      <c r="AF308" s="741"/>
      <c r="AG308" s="741"/>
      <c r="AH308" s="741"/>
      <c r="AI308" s="741"/>
      <c r="AJ308" s="741"/>
      <c r="AK308" s="741"/>
      <c r="AL308" s="741"/>
      <c r="AM308" s="741"/>
    </row>
    <row r="309" spans="1:39" ht="12.75" customHeight="1">
      <c r="A309" s="741"/>
      <c r="B309" s="741"/>
      <c r="C309" s="741"/>
      <c r="D309" s="741"/>
      <c r="E309" s="741"/>
      <c r="F309" s="741"/>
      <c r="G309" s="741"/>
      <c r="H309" s="741"/>
      <c r="I309" s="741"/>
      <c r="J309" s="741"/>
      <c r="K309" s="741"/>
      <c r="L309" s="741"/>
      <c r="M309" s="741"/>
      <c r="N309" s="741"/>
      <c r="O309" s="741"/>
      <c r="P309" s="741"/>
      <c r="Q309" s="741"/>
      <c r="R309" s="741"/>
      <c r="S309" s="741"/>
      <c r="T309" s="741"/>
      <c r="U309" s="741"/>
      <c r="V309" s="741"/>
      <c r="W309" s="741"/>
      <c r="X309" s="741"/>
      <c r="Y309" s="741"/>
      <c r="Z309" s="741"/>
      <c r="AA309" s="741"/>
      <c r="AB309" s="741"/>
      <c r="AC309" s="741"/>
      <c r="AD309" s="741"/>
      <c r="AE309" s="741"/>
      <c r="AF309" s="741"/>
      <c r="AG309" s="741"/>
      <c r="AH309" s="741"/>
      <c r="AI309" s="741"/>
      <c r="AJ309" s="741"/>
      <c r="AK309" s="741"/>
      <c r="AL309" s="741"/>
      <c r="AM309" s="741"/>
    </row>
    <row r="310" spans="1:39" ht="12.75" customHeight="1">
      <c r="A310" s="741"/>
      <c r="B310" s="741"/>
      <c r="C310" s="741"/>
      <c r="D310" s="741"/>
      <c r="E310" s="741"/>
      <c r="F310" s="741"/>
      <c r="G310" s="741"/>
      <c r="H310" s="741"/>
      <c r="I310" s="741"/>
      <c r="J310" s="741"/>
      <c r="K310" s="741"/>
      <c r="L310" s="741"/>
      <c r="M310" s="741"/>
      <c r="N310" s="741"/>
      <c r="O310" s="741"/>
      <c r="P310" s="741"/>
      <c r="Q310" s="741"/>
      <c r="R310" s="741"/>
      <c r="S310" s="741"/>
      <c r="T310" s="741"/>
      <c r="U310" s="741"/>
      <c r="V310" s="741"/>
      <c r="W310" s="741"/>
      <c r="X310" s="741"/>
      <c r="Y310" s="741"/>
      <c r="Z310" s="741"/>
      <c r="AA310" s="741"/>
      <c r="AB310" s="741"/>
      <c r="AC310" s="741"/>
      <c r="AD310" s="741"/>
      <c r="AE310" s="741"/>
      <c r="AF310" s="741"/>
      <c r="AG310" s="741"/>
      <c r="AH310" s="741"/>
      <c r="AI310" s="741"/>
      <c r="AJ310" s="741"/>
      <c r="AK310" s="741"/>
      <c r="AL310" s="741"/>
      <c r="AM310" s="741"/>
    </row>
    <row r="311" spans="1:39" ht="12.75" customHeight="1">
      <c r="A311" s="741"/>
      <c r="B311" s="741"/>
      <c r="C311" s="741"/>
      <c r="D311" s="741"/>
      <c r="E311" s="741"/>
      <c r="F311" s="741"/>
      <c r="G311" s="741"/>
      <c r="H311" s="741"/>
      <c r="I311" s="741"/>
      <c r="J311" s="741"/>
      <c r="K311" s="741"/>
      <c r="L311" s="741"/>
      <c r="M311" s="741"/>
      <c r="N311" s="741"/>
      <c r="O311" s="741"/>
      <c r="P311" s="741"/>
      <c r="Q311" s="741"/>
      <c r="R311" s="741"/>
      <c r="S311" s="741"/>
      <c r="T311" s="741"/>
      <c r="U311" s="741"/>
      <c r="V311" s="741"/>
      <c r="W311" s="741"/>
      <c r="X311" s="741"/>
      <c r="Y311" s="741"/>
      <c r="Z311" s="741"/>
      <c r="AA311" s="741"/>
      <c r="AB311" s="741"/>
      <c r="AC311" s="741"/>
      <c r="AD311" s="741"/>
      <c r="AE311" s="741"/>
      <c r="AF311" s="741"/>
      <c r="AG311" s="741"/>
      <c r="AH311" s="741"/>
      <c r="AI311" s="741"/>
      <c r="AJ311" s="741"/>
      <c r="AK311" s="741"/>
      <c r="AL311" s="741"/>
      <c r="AM311" s="741"/>
    </row>
    <row r="312" spans="1:39" ht="12.75" customHeight="1">
      <c r="A312" s="741"/>
      <c r="B312" s="741"/>
      <c r="C312" s="741"/>
      <c r="D312" s="741"/>
      <c r="E312" s="741"/>
      <c r="F312" s="741"/>
      <c r="G312" s="741"/>
      <c r="H312" s="741"/>
      <c r="I312" s="741"/>
      <c r="J312" s="741"/>
      <c r="K312" s="741"/>
      <c r="L312" s="741"/>
      <c r="M312" s="741"/>
      <c r="N312" s="741"/>
      <c r="O312" s="741"/>
      <c r="P312" s="741"/>
      <c r="Q312" s="741"/>
      <c r="R312" s="741"/>
      <c r="S312" s="741"/>
      <c r="T312" s="741"/>
      <c r="U312" s="741"/>
      <c r="V312" s="741"/>
      <c r="W312" s="741"/>
      <c r="X312" s="741"/>
      <c r="Y312" s="741"/>
      <c r="Z312" s="741"/>
      <c r="AA312" s="741"/>
      <c r="AB312" s="741"/>
      <c r="AC312" s="741"/>
      <c r="AD312" s="741"/>
      <c r="AE312" s="741"/>
      <c r="AF312" s="741"/>
      <c r="AG312" s="741"/>
      <c r="AH312" s="741"/>
      <c r="AI312" s="741"/>
      <c r="AJ312" s="741"/>
      <c r="AK312" s="741"/>
      <c r="AL312" s="741"/>
      <c r="AM312" s="741"/>
    </row>
    <row r="313" spans="1:39" ht="12.75" customHeight="1">
      <c r="A313" s="741"/>
      <c r="B313" s="741"/>
      <c r="C313" s="741"/>
      <c r="D313" s="741"/>
      <c r="E313" s="741"/>
      <c r="F313" s="741"/>
      <c r="G313" s="741"/>
      <c r="H313" s="741"/>
      <c r="I313" s="741"/>
      <c r="J313" s="741"/>
      <c r="K313" s="741"/>
      <c r="L313" s="741"/>
      <c r="M313" s="741"/>
      <c r="N313" s="741"/>
      <c r="O313" s="741"/>
      <c r="P313" s="741"/>
      <c r="Q313" s="741"/>
      <c r="R313" s="741"/>
      <c r="S313" s="741"/>
      <c r="T313" s="741"/>
      <c r="U313" s="741"/>
      <c r="V313" s="741"/>
      <c r="W313" s="741"/>
      <c r="X313" s="741"/>
      <c r="Y313" s="741"/>
      <c r="Z313" s="741"/>
      <c r="AA313" s="741"/>
      <c r="AB313" s="741"/>
      <c r="AC313" s="741"/>
      <c r="AD313" s="741"/>
      <c r="AE313" s="741"/>
      <c r="AF313" s="741"/>
      <c r="AG313" s="741"/>
      <c r="AH313" s="741"/>
      <c r="AI313" s="741"/>
      <c r="AJ313" s="741"/>
      <c r="AK313" s="741"/>
      <c r="AL313" s="741"/>
      <c r="AM313" s="741"/>
    </row>
    <row r="314" spans="1:39" ht="12.75" customHeight="1">
      <c r="A314" s="741"/>
      <c r="B314" s="741"/>
      <c r="C314" s="741"/>
      <c r="D314" s="741"/>
      <c r="E314" s="741"/>
      <c r="F314" s="741"/>
      <c r="G314" s="741"/>
      <c r="H314" s="741"/>
      <c r="I314" s="741"/>
      <c r="J314" s="741"/>
      <c r="K314" s="741"/>
      <c r="L314" s="741"/>
      <c r="M314" s="741"/>
      <c r="N314" s="741"/>
      <c r="O314" s="741"/>
      <c r="P314" s="741"/>
      <c r="Q314" s="741"/>
      <c r="R314" s="741"/>
      <c r="S314" s="741"/>
      <c r="T314" s="741"/>
      <c r="U314" s="741"/>
      <c r="V314" s="741"/>
      <c r="W314" s="741"/>
      <c r="X314" s="741"/>
      <c r="Y314" s="741"/>
      <c r="Z314" s="741"/>
      <c r="AA314" s="741"/>
      <c r="AB314" s="741"/>
      <c r="AC314" s="741"/>
      <c r="AD314" s="741"/>
      <c r="AE314" s="741"/>
      <c r="AF314" s="741"/>
      <c r="AG314" s="741"/>
      <c r="AH314" s="741"/>
      <c r="AI314" s="741"/>
      <c r="AJ314" s="741"/>
      <c r="AK314" s="741"/>
      <c r="AL314" s="741"/>
      <c r="AM314" s="741"/>
    </row>
    <row r="315" spans="1:39" ht="12.75" customHeight="1">
      <c r="A315" s="741"/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1"/>
      <c r="P315" s="741"/>
      <c r="Q315" s="741"/>
      <c r="R315" s="741"/>
      <c r="S315" s="741"/>
      <c r="T315" s="741"/>
      <c r="U315" s="741"/>
      <c r="V315" s="741"/>
      <c r="W315" s="741"/>
      <c r="X315" s="741"/>
      <c r="Y315" s="741"/>
      <c r="Z315" s="741"/>
      <c r="AA315" s="741"/>
      <c r="AB315" s="741"/>
      <c r="AC315" s="741"/>
      <c r="AD315" s="741"/>
      <c r="AE315" s="741"/>
      <c r="AF315" s="741"/>
      <c r="AG315" s="741"/>
      <c r="AH315" s="741"/>
      <c r="AI315" s="741"/>
      <c r="AJ315" s="741"/>
      <c r="AK315" s="741"/>
      <c r="AL315" s="741"/>
      <c r="AM315" s="741"/>
    </row>
    <row r="316" spans="1:39" ht="12.75" customHeight="1">
      <c r="A316" s="741"/>
      <c r="B316" s="741"/>
      <c r="C316" s="741"/>
      <c r="D316" s="741"/>
      <c r="E316" s="741"/>
      <c r="F316" s="741"/>
      <c r="G316" s="741"/>
      <c r="H316" s="741"/>
      <c r="I316" s="741"/>
      <c r="J316" s="741"/>
      <c r="K316" s="741"/>
      <c r="L316" s="741"/>
      <c r="M316" s="741"/>
      <c r="N316" s="741"/>
      <c r="O316" s="741"/>
      <c r="P316" s="741"/>
      <c r="Q316" s="741"/>
      <c r="R316" s="741"/>
      <c r="S316" s="741"/>
      <c r="T316" s="741"/>
      <c r="U316" s="741"/>
      <c r="V316" s="741"/>
      <c r="W316" s="741"/>
      <c r="X316" s="741"/>
      <c r="Y316" s="741"/>
      <c r="Z316" s="741"/>
      <c r="AA316" s="741"/>
      <c r="AB316" s="741"/>
      <c r="AC316" s="741"/>
      <c r="AD316" s="741"/>
      <c r="AE316" s="741"/>
      <c r="AF316" s="741"/>
      <c r="AG316" s="741"/>
      <c r="AH316" s="741"/>
      <c r="AI316" s="741"/>
      <c r="AJ316" s="741"/>
      <c r="AK316" s="741"/>
      <c r="AL316" s="741"/>
      <c r="AM316" s="741"/>
    </row>
    <row r="317" spans="1:39" ht="12.75" customHeight="1">
      <c r="A317" s="741"/>
      <c r="B317" s="741"/>
      <c r="C317" s="741"/>
      <c r="D317" s="741"/>
      <c r="E317" s="741"/>
      <c r="F317" s="741"/>
      <c r="G317" s="741"/>
      <c r="H317" s="741"/>
      <c r="I317" s="741"/>
      <c r="J317" s="741"/>
      <c r="K317" s="741"/>
      <c r="L317" s="741"/>
      <c r="M317" s="741"/>
      <c r="N317" s="741"/>
      <c r="O317" s="741"/>
      <c r="P317" s="741"/>
      <c r="Q317" s="741"/>
      <c r="R317" s="741"/>
      <c r="S317" s="741"/>
      <c r="T317" s="741"/>
      <c r="U317" s="741"/>
      <c r="V317" s="741"/>
      <c r="W317" s="741"/>
      <c r="X317" s="741"/>
      <c r="Y317" s="741"/>
      <c r="Z317" s="741"/>
      <c r="AA317" s="741"/>
      <c r="AB317" s="741"/>
      <c r="AC317" s="741"/>
      <c r="AD317" s="741"/>
      <c r="AE317" s="741"/>
      <c r="AF317" s="741"/>
      <c r="AG317" s="741"/>
      <c r="AH317" s="741"/>
      <c r="AI317" s="741"/>
      <c r="AJ317" s="741"/>
      <c r="AK317" s="741"/>
      <c r="AL317" s="741"/>
      <c r="AM317" s="741"/>
    </row>
    <row r="318" spans="1:39" ht="12.75" customHeight="1">
      <c r="A318" s="741"/>
      <c r="B318" s="741"/>
      <c r="C318" s="741"/>
      <c r="D318" s="741"/>
      <c r="E318" s="741"/>
      <c r="F318" s="741"/>
      <c r="G318" s="741"/>
      <c r="H318" s="741"/>
      <c r="I318" s="741"/>
      <c r="J318" s="741"/>
      <c r="K318" s="741"/>
      <c r="L318" s="741"/>
      <c r="M318" s="741"/>
      <c r="N318" s="741"/>
      <c r="O318" s="741"/>
      <c r="P318" s="741"/>
      <c r="Q318" s="741"/>
      <c r="R318" s="741"/>
      <c r="S318" s="741"/>
      <c r="T318" s="741"/>
      <c r="U318" s="741"/>
      <c r="V318" s="741"/>
      <c r="W318" s="741"/>
      <c r="X318" s="741"/>
      <c r="Y318" s="741"/>
      <c r="Z318" s="741"/>
      <c r="AA318" s="741"/>
      <c r="AB318" s="741"/>
      <c r="AC318" s="741"/>
      <c r="AD318" s="741"/>
      <c r="AE318" s="741"/>
      <c r="AF318" s="741"/>
      <c r="AG318" s="741"/>
      <c r="AH318" s="741"/>
      <c r="AI318" s="741"/>
      <c r="AJ318" s="741"/>
      <c r="AK318" s="741"/>
      <c r="AL318" s="741"/>
      <c r="AM318" s="741"/>
    </row>
    <row r="319" spans="1:39" ht="12.75" customHeight="1">
      <c r="A319" s="741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1"/>
      <c r="P319" s="741"/>
      <c r="Q319" s="741"/>
      <c r="R319" s="741"/>
      <c r="S319" s="741"/>
      <c r="T319" s="741"/>
      <c r="U319" s="741"/>
      <c r="V319" s="741"/>
      <c r="W319" s="741"/>
      <c r="X319" s="741"/>
      <c r="Y319" s="741"/>
      <c r="Z319" s="741"/>
      <c r="AA319" s="741"/>
      <c r="AB319" s="741"/>
      <c r="AC319" s="741"/>
      <c r="AD319" s="741"/>
      <c r="AE319" s="741"/>
      <c r="AF319" s="741"/>
      <c r="AG319" s="741"/>
      <c r="AH319" s="741"/>
      <c r="AI319" s="741"/>
      <c r="AJ319" s="741"/>
      <c r="AK319" s="741"/>
      <c r="AL319" s="741"/>
      <c r="AM319" s="741"/>
    </row>
    <row r="320" spans="1:39" ht="12.75" customHeight="1">
      <c r="A320" s="741"/>
      <c r="B320" s="741"/>
      <c r="C320" s="741"/>
      <c r="D320" s="741"/>
      <c r="E320" s="741"/>
      <c r="F320" s="741"/>
      <c r="G320" s="741"/>
      <c r="H320" s="741"/>
      <c r="I320" s="741"/>
      <c r="J320" s="741"/>
      <c r="K320" s="741"/>
      <c r="L320" s="741"/>
      <c r="M320" s="741"/>
      <c r="N320" s="741"/>
      <c r="O320" s="741"/>
      <c r="P320" s="741"/>
      <c r="Q320" s="741"/>
      <c r="R320" s="741"/>
      <c r="S320" s="741"/>
      <c r="T320" s="741"/>
      <c r="U320" s="741"/>
      <c r="V320" s="741"/>
      <c r="W320" s="741"/>
      <c r="X320" s="741"/>
      <c r="Y320" s="741"/>
      <c r="Z320" s="741"/>
      <c r="AA320" s="741"/>
      <c r="AB320" s="741"/>
      <c r="AC320" s="741"/>
      <c r="AD320" s="741"/>
      <c r="AE320" s="741"/>
      <c r="AF320" s="741"/>
      <c r="AG320" s="741"/>
      <c r="AH320" s="741"/>
      <c r="AI320" s="741"/>
      <c r="AJ320" s="741"/>
      <c r="AK320" s="741"/>
      <c r="AL320" s="741"/>
      <c r="AM320" s="741"/>
    </row>
    <row r="321" spans="1:39" ht="12.75" customHeight="1">
      <c r="A321" s="741"/>
      <c r="B321" s="741"/>
      <c r="C321" s="741"/>
      <c r="D321" s="741"/>
      <c r="E321" s="741"/>
      <c r="F321" s="741"/>
      <c r="G321" s="741"/>
      <c r="H321" s="741"/>
      <c r="I321" s="741"/>
      <c r="J321" s="741"/>
      <c r="K321" s="741"/>
      <c r="L321" s="741"/>
      <c r="M321" s="741"/>
      <c r="N321" s="741"/>
      <c r="O321" s="741"/>
      <c r="P321" s="741"/>
      <c r="Q321" s="741"/>
      <c r="R321" s="741"/>
      <c r="S321" s="741"/>
      <c r="T321" s="741"/>
      <c r="U321" s="741"/>
      <c r="V321" s="741"/>
      <c r="W321" s="741"/>
      <c r="X321" s="741"/>
      <c r="Y321" s="741"/>
      <c r="Z321" s="741"/>
      <c r="AA321" s="741"/>
      <c r="AB321" s="741"/>
      <c r="AC321" s="741"/>
      <c r="AD321" s="741"/>
      <c r="AE321" s="741"/>
      <c r="AF321" s="741"/>
      <c r="AG321" s="741"/>
      <c r="AH321" s="741"/>
      <c r="AI321" s="741"/>
      <c r="AJ321" s="741"/>
      <c r="AK321" s="741"/>
      <c r="AL321" s="741"/>
      <c r="AM321" s="741"/>
    </row>
    <row r="322" spans="1:39" ht="12.75" customHeight="1">
      <c r="A322" s="741"/>
      <c r="B322" s="741"/>
      <c r="C322" s="741"/>
      <c r="D322" s="741"/>
      <c r="E322" s="741"/>
      <c r="F322" s="741"/>
      <c r="G322" s="741"/>
      <c r="H322" s="741"/>
      <c r="I322" s="741"/>
      <c r="J322" s="741"/>
      <c r="K322" s="741"/>
      <c r="L322" s="741"/>
      <c r="M322" s="741"/>
      <c r="N322" s="741"/>
      <c r="O322" s="741"/>
      <c r="P322" s="741"/>
      <c r="Q322" s="741"/>
      <c r="R322" s="741"/>
      <c r="S322" s="741"/>
      <c r="T322" s="741"/>
      <c r="U322" s="741"/>
      <c r="V322" s="741"/>
      <c r="W322" s="741"/>
      <c r="X322" s="741"/>
      <c r="Y322" s="741"/>
      <c r="Z322" s="741"/>
      <c r="AA322" s="741"/>
      <c r="AB322" s="741"/>
      <c r="AC322" s="741"/>
      <c r="AD322" s="741"/>
      <c r="AE322" s="741"/>
      <c r="AF322" s="741"/>
      <c r="AG322" s="741"/>
      <c r="AH322" s="741"/>
      <c r="AI322" s="741"/>
      <c r="AJ322" s="741"/>
      <c r="AK322" s="741"/>
      <c r="AL322" s="741"/>
      <c r="AM322" s="741"/>
    </row>
    <row r="323" spans="1:39" ht="12.75" customHeight="1">
      <c r="A323" s="741"/>
      <c r="B323" s="741"/>
      <c r="C323" s="741"/>
      <c r="D323" s="741"/>
      <c r="E323" s="741"/>
      <c r="F323" s="741"/>
      <c r="G323" s="741"/>
      <c r="H323" s="741"/>
      <c r="I323" s="741"/>
      <c r="J323" s="741"/>
      <c r="K323" s="741"/>
      <c r="L323" s="741"/>
      <c r="M323" s="741"/>
      <c r="N323" s="741"/>
      <c r="O323" s="741"/>
      <c r="P323" s="741"/>
      <c r="Q323" s="741"/>
      <c r="R323" s="741"/>
      <c r="S323" s="741"/>
      <c r="T323" s="741"/>
      <c r="U323" s="741"/>
      <c r="V323" s="741"/>
      <c r="W323" s="741"/>
      <c r="X323" s="741"/>
      <c r="Y323" s="741"/>
      <c r="Z323" s="741"/>
      <c r="AA323" s="741"/>
      <c r="AB323" s="741"/>
      <c r="AC323" s="741"/>
      <c r="AD323" s="741"/>
      <c r="AE323" s="741"/>
      <c r="AF323" s="741"/>
      <c r="AG323" s="741"/>
      <c r="AH323" s="741"/>
      <c r="AI323" s="741"/>
      <c r="AJ323" s="741"/>
      <c r="AK323" s="741"/>
      <c r="AL323" s="741"/>
      <c r="AM323" s="741"/>
    </row>
    <row r="324" spans="1:39" ht="12.75" customHeight="1">
      <c r="A324" s="741"/>
      <c r="B324" s="741"/>
      <c r="C324" s="741"/>
      <c r="D324" s="741"/>
      <c r="E324" s="741"/>
      <c r="F324" s="741"/>
      <c r="G324" s="741"/>
      <c r="H324" s="741"/>
      <c r="I324" s="741"/>
      <c r="J324" s="741"/>
      <c r="K324" s="741"/>
      <c r="L324" s="741"/>
      <c r="M324" s="741"/>
      <c r="N324" s="741"/>
      <c r="O324" s="741"/>
      <c r="P324" s="741"/>
      <c r="Q324" s="741"/>
      <c r="R324" s="741"/>
      <c r="S324" s="741"/>
      <c r="T324" s="741"/>
      <c r="U324" s="741"/>
      <c r="V324" s="741"/>
      <c r="W324" s="741"/>
      <c r="X324" s="741"/>
      <c r="Y324" s="741"/>
      <c r="Z324" s="741"/>
      <c r="AA324" s="741"/>
      <c r="AB324" s="741"/>
      <c r="AC324" s="741"/>
      <c r="AD324" s="741"/>
      <c r="AE324" s="741"/>
      <c r="AF324" s="741"/>
      <c r="AG324" s="741"/>
      <c r="AH324" s="741"/>
      <c r="AI324" s="741"/>
      <c r="AJ324" s="741"/>
      <c r="AK324" s="741"/>
      <c r="AL324" s="741"/>
      <c r="AM324" s="741"/>
    </row>
    <row r="325" spans="1:39" ht="12.75" customHeight="1">
      <c r="A325" s="741"/>
      <c r="B325" s="741"/>
      <c r="C325" s="741"/>
      <c r="D325" s="741"/>
      <c r="E325" s="741"/>
      <c r="F325" s="741"/>
      <c r="G325" s="741"/>
      <c r="H325" s="741"/>
      <c r="I325" s="741"/>
      <c r="J325" s="741"/>
      <c r="K325" s="741"/>
      <c r="L325" s="741"/>
      <c r="M325" s="741"/>
      <c r="N325" s="741"/>
      <c r="O325" s="741"/>
      <c r="P325" s="741"/>
      <c r="Q325" s="741"/>
      <c r="R325" s="741"/>
      <c r="S325" s="741"/>
      <c r="T325" s="741"/>
      <c r="U325" s="741"/>
      <c r="V325" s="741"/>
      <c r="W325" s="741"/>
      <c r="X325" s="741"/>
      <c r="Y325" s="741"/>
      <c r="Z325" s="741"/>
      <c r="AA325" s="741"/>
      <c r="AB325" s="741"/>
      <c r="AC325" s="741"/>
      <c r="AD325" s="741"/>
      <c r="AE325" s="741"/>
      <c r="AF325" s="741"/>
      <c r="AG325" s="741"/>
      <c r="AH325" s="741"/>
      <c r="AI325" s="741"/>
      <c r="AJ325" s="741"/>
      <c r="AK325" s="741"/>
      <c r="AL325" s="741"/>
      <c r="AM325" s="741"/>
    </row>
    <row r="326" spans="1:39" ht="12.75" customHeight="1">
      <c r="A326" s="741"/>
      <c r="B326" s="741"/>
      <c r="C326" s="741"/>
      <c r="D326" s="741"/>
      <c r="E326" s="741"/>
      <c r="F326" s="741"/>
      <c r="G326" s="741"/>
      <c r="H326" s="741"/>
      <c r="I326" s="741"/>
      <c r="J326" s="741"/>
      <c r="K326" s="741"/>
      <c r="L326" s="741"/>
      <c r="M326" s="741"/>
      <c r="N326" s="741"/>
      <c r="O326" s="741"/>
      <c r="P326" s="741"/>
      <c r="Q326" s="741"/>
      <c r="R326" s="741"/>
      <c r="S326" s="741"/>
      <c r="T326" s="741"/>
      <c r="U326" s="741"/>
      <c r="V326" s="741"/>
      <c r="W326" s="741"/>
      <c r="X326" s="741"/>
      <c r="Y326" s="741"/>
      <c r="Z326" s="741"/>
      <c r="AA326" s="741"/>
      <c r="AB326" s="741"/>
      <c r="AC326" s="741"/>
      <c r="AD326" s="741"/>
      <c r="AE326" s="741"/>
      <c r="AF326" s="741"/>
      <c r="AG326" s="741"/>
      <c r="AH326" s="741"/>
      <c r="AI326" s="741"/>
      <c r="AJ326" s="741"/>
      <c r="AK326" s="741"/>
      <c r="AL326" s="741"/>
      <c r="AM326" s="741"/>
    </row>
    <row r="327" spans="1:39" ht="12.75" customHeight="1">
      <c r="A327" s="741"/>
      <c r="B327" s="741"/>
      <c r="C327" s="741"/>
      <c r="D327" s="741"/>
      <c r="E327" s="741"/>
      <c r="F327" s="741"/>
      <c r="G327" s="741"/>
      <c r="H327" s="741"/>
      <c r="I327" s="741"/>
      <c r="J327" s="741"/>
      <c r="K327" s="741"/>
      <c r="L327" s="741"/>
      <c r="M327" s="741"/>
      <c r="N327" s="741"/>
      <c r="O327" s="741"/>
      <c r="P327" s="741"/>
      <c r="Q327" s="741"/>
      <c r="R327" s="741"/>
      <c r="S327" s="741"/>
      <c r="T327" s="741"/>
      <c r="U327" s="741"/>
      <c r="V327" s="741"/>
      <c r="W327" s="741"/>
      <c r="X327" s="741"/>
      <c r="Y327" s="741"/>
      <c r="Z327" s="741"/>
      <c r="AA327" s="741"/>
      <c r="AB327" s="741"/>
      <c r="AC327" s="741"/>
      <c r="AD327" s="741"/>
      <c r="AE327" s="741"/>
      <c r="AF327" s="741"/>
      <c r="AG327" s="741"/>
      <c r="AH327" s="741"/>
      <c r="AI327" s="741"/>
      <c r="AJ327" s="741"/>
      <c r="AK327" s="741"/>
      <c r="AL327" s="741"/>
      <c r="AM327" s="741"/>
    </row>
    <row r="328" spans="1:39" ht="12.75" customHeight="1">
      <c r="A328" s="741"/>
      <c r="B328" s="741"/>
      <c r="C328" s="741"/>
      <c r="D328" s="741"/>
      <c r="E328" s="741"/>
      <c r="F328" s="741"/>
      <c r="G328" s="741"/>
      <c r="H328" s="741"/>
      <c r="I328" s="741"/>
      <c r="J328" s="741"/>
      <c r="K328" s="741"/>
      <c r="L328" s="741"/>
      <c r="M328" s="741"/>
      <c r="N328" s="741"/>
      <c r="O328" s="741"/>
      <c r="P328" s="741"/>
      <c r="Q328" s="741"/>
      <c r="R328" s="741"/>
      <c r="S328" s="741"/>
      <c r="T328" s="741"/>
      <c r="U328" s="741"/>
      <c r="V328" s="741"/>
      <c r="W328" s="741"/>
      <c r="X328" s="741"/>
      <c r="Y328" s="741"/>
      <c r="Z328" s="741"/>
      <c r="AA328" s="741"/>
      <c r="AB328" s="741"/>
      <c r="AC328" s="741"/>
      <c r="AD328" s="741"/>
      <c r="AE328" s="741"/>
      <c r="AF328" s="741"/>
      <c r="AG328" s="741"/>
      <c r="AH328" s="741"/>
      <c r="AI328" s="741"/>
      <c r="AJ328" s="741"/>
      <c r="AK328" s="741"/>
      <c r="AL328" s="741"/>
      <c r="AM328" s="741"/>
    </row>
    <row r="329" spans="1:39" ht="12.75" customHeight="1">
      <c r="A329" s="741"/>
      <c r="B329" s="741"/>
      <c r="C329" s="741"/>
      <c r="D329" s="741"/>
      <c r="E329" s="741"/>
      <c r="F329" s="741"/>
      <c r="G329" s="741"/>
      <c r="H329" s="741"/>
      <c r="I329" s="741"/>
      <c r="J329" s="741"/>
      <c r="K329" s="741"/>
      <c r="L329" s="741"/>
      <c r="M329" s="741"/>
      <c r="N329" s="741"/>
      <c r="O329" s="741"/>
      <c r="P329" s="741"/>
      <c r="Q329" s="741"/>
      <c r="R329" s="741"/>
      <c r="S329" s="741"/>
      <c r="T329" s="741"/>
      <c r="U329" s="741"/>
      <c r="V329" s="741"/>
      <c r="W329" s="741"/>
      <c r="X329" s="741"/>
      <c r="Y329" s="741"/>
      <c r="Z329" s="741"/>
      <c r="AA329" s="741"/>
      <c r="AB329" s="741"/>
      <c r="AC329" s="741"/>
      <c r="AD329" s="741"/>
      <c r="AE329" s="741"/>
      <c r="AF329" s="741"/>
      <c r="AG329" s="741"/>
      <c r="AH329" s="741"/>
      <c r="AI329" s="741"/>
      <c r="AJ329" s="741"/>
      <c r="AK329" s="741"/>
      <c r="AL329" s="741"/>
      <c r="AM329" s="741"/>
    </row>
    <row r="330" spans="1:39" ht="12.75" customHeight="1">
      <c r="A330" s="741"/>
      <c r="B330" s="741"/>
      <c r="C330" s="741"/>
      <c r="D330" s="741"/>
      <c r="E330" s="741"/>
      <c r="F330" s="741"/>
      <c r="G330" s="741"/>
      <c r="H330" s="741"/>
      <c r="I330" s="741"/>
      <c r="J330" s="741"/>
      <c r="K330" s="741"/>
      <c r="L330" s="741"/>
      <c r="M330" s="741"/>
      <c r="N330" s="741"/>
      <c r="O330" s="741"/>
      <c r="P330" s="741"/>
      <c r="Q330" s="741"/>
      <c r="R330" s="741"/>
      <c r="S330" s="741"/>
      <c r="T330" s="741"/>
      <c r="U330" s="741"/>
      <c r="V330" s="741"/>
      <c r="W330" s="741"/>
      <c r="X330" s="741"/>
      <c r="Y330" s="741"/>
      <c r="Z330" s="741"/>
      <c r="AA330" s="741"/>
      <c r="AB330" s="741"/>
      <c r="AC330" s="741"/>
      <c r="AD330" s="741"/>
      <c r="AE330" s="741"/>
      <c r="AF330" s="741"/>
      <c r="AG330" s="741"/>
      <c r="AH330" s="741"/>
      <c r="AI330" s="741"/>
      <c r="AJ330" s="741"/>
      <c r="AK330" s="741"/>
      <c r="AL330" s="741"/>
      <c r="AM330" s="741"/>
    </row>
    <row r="331" spans="1:39" ht="12.75" customHeight="1">
      <c r="A331" s="741"/>
      <c r="B331" s="741"/>
      <c r="C331" s="741"/>
      <c r="D331" s="741"/>
      <c r="E331" s="741"/>
      <c r="F331" s="741"/>
      <c r="G331" s="741"/>
      <c r="H331" s="741"/>
      <c r="I331" s="741"/>
      <c r="J331" s="741"/>
      <c r="K331" s="741"/>
      <c r="L331" s="741"/>
      <c r="M331" s="741"/>
      <c r="N331" s="741"/>
      <c r="O331" s="741"/>
      <c r="P331" s="741"/>
      <c r="Q331" s="741"/>
      <c r="R331" s="741"/>
      <c r="S331" s="741"/>
      <c r="T331" s="741"/>
      <c r="U331" s="741"/>
      <c r="V331" s="741"/>
      <c r="W331" s="741"/>
      <c r="X331" s="741"/>
      <c r="Y331" s="741"/>
      <c r="Z331" s="741"/>
      <c r="AA331" s="741"/>
      <c r="AB331" s="741"/>
      <c r="AC331" s="741"/>
      <c r="AD331" s="741"/>
      <c r="AE331" s="741"/>
      <c r="AF331" s="741"/>
      <c r="AG331" s="741"/>
      <c r="AH331" s="741"/>
      <c r="AI331" s="741"/>
      <c r="AJ331" s="741"/>
      <c r="AK331" s="741"/>
      <c r="AL331" s="741"/>
      <c r="AM331" s="741"/>
    </row>
    <row r="332" spans="1:39" ht="12.75" customHeight="1">
      <c r="A332" s="741"/>
      <c r="B332" s="741"/>
      <c r="C332" s="741"/>
      <c r="D332" s="741"/>
      <c r="E332" s="741"/>
      <c r="F332" s="741"/>
      <c r="G332" s="741"/>
      <c r="H332" s="741"/>
      <c r="I332" s="741"/>
      <c r="J332" s="741"/>
      <c r="K332" s="741"/>
      <c r="L332" s="741"/>
      <c r="M332" s="741"/>
      <c r="N332" s="741"/>
      <c r="O332" s="741"/>
      <c r="P332" s="741"/>
      <c r="Q332" s="741"/>
      <c r="R332" s="741"/>
      <c r="S332" s="741"/>
      <c r="T332" s="741"/>
      <c r="U332" s="741"/>
      <c r="V332" s="741"/>
      <c r="W332" s="741"/>
      <c r="X332" s="741"/>
      <c r="Y332" s="741"/>
      <c r="Z332" s="741"/>
      <c r="AA332" s="741"/>
      <c r="AB332" s="741"/>
      <c r="AC332" s="741"/>
      <c r="AD332" s="741"/>
      <c r="AE332" s="741"/>
      <c r="AF332" s="741"/>
      <c r="AG332" s="741"/>
      <c r="AH332" s="741"/>
      <c r="AI332" s="741"/>
      <c r="AJ332" s="741"/>
      <c r="AK332" s="741"/>
      <c r="AL332" s="741"/>
      <c r="AM332" s="741"/>
    </row>
    <row r="333" spans="1:39" ht="12.75" customHeight="1">
      <c r="A333" s="741"/>
      <c r="B333" s="741"/>
      <c r="C333" s="741"/>
      <c r="D333" s="741"/>
      <c r="E333" s="741"/>
      <c r="F333" s="741"/>
      <c r="G333" s="741"/>
      <c r="H333" s="741"/>
      <c r="I333" s="741"/>
      <c r="J333" s="741"/>
      <c r="K333" s="741"/>
      <c r="L333" s="741"/>
      <c r="M333" s="741"/>
      <c r="N333" s="741"/>
      <c r="O333" s="741"/>
      <c r="P333" s="741"/>
      <c r="Q333" s="741"/>
      <c r="R333" s="741"/>
      <c r="S333" s="741"/>
      <c r="T333" s="741"/>
      <c r="U333" s="741"/>
      <c r="V333" s="741"/>
      <c r="W333" s="741"/>
      <c r="X333" s="741"/>
      <c r="Y333" s="741"/>
      <c r="Z333" s="741"/>
      <c r="AA333" s="741"/>
      <c r="AB333" s="741"/>
      <c r="AC333" s="741"/>
      <c r="AD333" s="741"/>
      <c r="AE333" s="741"/>
      <c r="AF333" s="741"/>
      <c r="AG333" s="741"/>
      <c r="AH333" s="741"/>
      <c r="AI333" s="741"/>
      <c r="AJ333" s="741"/>
      <c r="AK333" s="741"/>
      <c r="AL333" s="741"/>
      <c r="AM333" s="741"/>
    </row>
    <row r="334" spans="1:39" ht="12.75" customHeight="1">
      <c r="A334" s="741"/>
      <c r="B334" s="741"/>
      <c r="C334" s="741"/>
      <c r="D334" s="741"/>
      <c r="E334" s="741"/>
      <c r="F334" s="741"/>
      <c r="G334" s="741"/>
      <c r="H334" s="741"/>
      <c r="I334" s="741"/>
      <c r="J334" s="741"/>
      <c r="K334" s="741"/>
      <c r="L334" s="741"/>
      <c r="M334" s="741"/>
      <c r="N334" s="741"/>
      <c r="O334" s="741"/>
      <c r="P334" s="741"/>
      <c r="Q334" s="741"/>
      <c r="R334" s="741"/>
      <c r="S334" s="741"/>
      <c r="T334" s="741"/>
      <c r="U334" s="741"/>
      <c r="V334" s="741"/>
      <c r="W334" s="741"/>
      <c r="X334" s="741"/>
      <c r="Y334" s="741"/>
      <c r="Z334" s="741"/>
      <c r="AA334" s="741"/>
      <c r="AB334" s="741"/>
      <c r="AC334" s="741"/>
      <c r="AD334" s="741"/>
      <c r="AE334" s="741"/>
      <c r="AF334" s="741"/>
      <c r="AG334" s="741"/>
      <c r="AH334" s="741"/>
      <c r="AI334" s="741"/>
      <c r="AJ334" s="741"/>
      <c r="AK334" s="741"/>
      <c r="AL334" s="741"/>
      <c r="AM334" s="741"/>
    </row>
    <row r="335" spans="1:39" ht="12.75" customHeight="1">
      <c r="A335" s="741"/>
      <c r="B335" s="741"/>
      <c r="C335" s="741"/>
      <c r="D335" s="741"/>
      <c r="E335" s="741"/>
      <c r="F335" s="741"/>
      <c r="G335" s="741"/>
      <c r="H335" s="741"/>
      <c r="I335" s="741"/>
      <c r="J335" s="741"/>
      <c r="K335" s="741"/>
      <c r="L335" s="741"/>
      <c r="M335" s="741"/>
      <c r="N335" s="741"/>
      <c r="O335" s="741"/>
      <c r="P335" s="741"/>
      <c r="Q335" s="741"/>
      <c r="R335" s="741"/>
      <c r="S335" s="741"/>
      <c r="T335" s="741"/>
      <c r="U335" s="741"/>
      <c r="V335" s="741"/>
      <c r="W335" s="741"/>
      <c r="X335" s="741"/>
      <c r="Y335" s="741"/>
      <c r="Z335" s="741"/>
      <c r="AA335" s="741"/>
      <c r="AB335" s="741"/>
      <c r="AC335" s="741"/>
      <c r="AD335" s="741"/>
      <c r="AE335" s="741"/>
      <c r="AF335" s="741"/>
      <c r="AG335" s="741"/>
      <c r="AH335" s="741"/>
      <c r="AI335" s="741"/>
      <c r="AJ335" s="741"/>
      <c r="AK335" s="741"/>
      <c r="AL335" s="741"/>
      <c r="AM335" s="741"/>
    </row>
    <row r="336" spans="1:39" ht="12.75" customHeight="1">
      <c r="A336" s="741"/>
      <c r="B336" s="741"/>
      <c r="C336" s="741"/>
      <c r="D336" s="741"/>
      <c r="E336" s="741"/>
      <c r="F336" s="741"/>
      <c r="G336" s="741"/>
      <c r="H336" s="741"/>
      <c r="I336" s="741"/>
      <c r="J336" s="741"/>
      <c r="K336" s="741"/>
      <c r="L336" s="741"/>
      <c r="M336" s="741"/>
      <c r="N336" s="741"/>
      <c r="O336" s="741"/>
      <c r="P336" s="741"/>
      <c r="Q336" s="741"/>
      <c r="R336" s="741"/>
      <c r="S336" s="741"/>
      <c r="T336" s="741"/>
      <c r="U336" s="741"/>
      <c r="V336" s="741"/>
      <c r="W336" s="741"/>
      <c r="X336" s="741"/>
      <c r="Y336" s="741"/>
      <c r="Z336" s="741"/>
      <c r="AA336" s="741"/>
      <c r="AB336" s="741"/>
      <c r="AC336" s="741"/>
      <c r="AD336" s="741"/>
      <c r="AE336" s="741"/>
      <c r="AF336" s="741"/>
      <c r="AG336" s="741"/>
      <c r="AH336" s="741"/>
      <c r="AI336" s="741"/>
      <c r="AJ336" s="741"/>
      <c r="AK336" s="741"/>
      <c r="AL336" s="741"/>
      <c r="AM336" s="741"/>
    </row>
    <row r="337" spans="1:39" ht="12.75" customHeight="1">
      <c r="A337" s="741"/>
      <c r="B337" s="741"/>
      <c r="C337" s="741"/>
      <c r="D337" s="741"/>
      <c r="E337" s="741"/>
      <c r="F337" s="741"/>
      <c r="G337" s="741"/>
      <c r="H337" s="741"/>
      <c r="I337" s="741"/>
      <c r="J337" s="741"/>
      <c r="K337" s="741"/>
      <c r="L337" s="741"/>
      <c r="M337" s="741"/>
      <c r="N337" s="741"/>
      <c r="O337" s="741"/>
      <c r="P337" s="741"/>
      <c r="Q337" s="741"/>
      <c r="R337" s="741"/>
      <c r="S337" s="741"/>
      <c r="T337" s="741"/>
      <c r="U337" s="741"/>
      <c r="V337" s="741"/>
      <c r="W337" s="741"/>
      <c r="X337" s="741"/>
      <c r="Y337" s="741"/>
      <c r="Z337" s="741"/>
      <c r="AA337" s="741"/>
      <c r="AB337" s="741"/>
      <c r="AC337" s="741"/>
      <c r="AD337" s="741"/>
      <c r="AE337" s="741"/>
      <c r="AF337" s="741"/>
      <c r="AG337" s="741"/>
      <c r="AH337" s="741"/>
      <c r="AI337" s="741"/>
      <c r="AJ337" s="741"/>
      <c r="AK337" s="741"/>
      <c r="AL337" s="741"/>
      <c r="AM337" s="741"/>
    </row>
    <row r="338" spans="1:39" ht="12.75" customHeight="1">
      <c r="A338" s="741"/>
      <c r="B338" s="741"/>
      <c r="C338" s="741"/>
      <c r="D338" s="741"/>
      <c r="E338" s="741"/>
      <c r="F338" s="741"/>
      <c r="G338" s="741"/>
      <c r="H338" s="741"/>
      <c r="I338" s="741"/>
      <c r="J338" s="741"/>
      <c r="K338" s="741"/>
      <c r="L338" s="741"/>
      <c r="M338" s="741"/>
      <c r="N338" s="741"/>
      <c r="O338" s="741"/>
      <c r="P338" s="741"/>
      <c r="Q338" s="741"/>
      <c r="R338" s="741"/>
      <c r="S338" s="741"/>
      <c r="T338" s="741"/>
      <c r="U338" s="741"/>
      <c r="V338" s="741"/>
      <c r="W338" s="741"/>
      <c r="X338" s="741"/>
      <c r="Y338" s="741"/>
      <c r="Z338" s="741"/>
      <c r="AA338" s="741"/>
      <c r="AB338" s="741"/>
      <c r="AC338" s="741"/>
      <c r="AD338" s="741"/>
      <c r="AE338" s="741"/>
      <c r="AF338" s="741"/>
      <c r="AG338" s="741"/>
      <c r="AH338" s="741"/>
      <c r="AI338" s="741"/>
      <c r="AJ338" s="741"/>
      <c r="AK338" s="741"/>
      <c r="AL338" s="741"/>
      <c r="AM338" s="741"/>
    </row>
    <row r="339" spans="1:39" ht="12.75" customHeight="1">
      <c r="A339" s="741"/>
      <c r="B339" s="741"/>
      <c r="C339" s="741"/>
      <c r="D339" s="741"/>
      <c r="E339" s="741"/>
      <c r="F339" s="741"/>
      <c r="G339" s="741"/>
      <c r="H339" s="741"/>
      <c r="I339" s="741"/>
      <c r="J339" s="741"/>
      <c r="K339" s="741"/>
      <c r="L339" s="741"/>
      <c r="M339" s="741"/>
      <c r="N339" s="741"/>
      <c r="O339" s="741"/>
      <c r="P339" s="741"/>
      <c r="Q339" s="741"/>
      <c r="R339" s="741"/>
      <c r="S339" s="741"/>
      <c r="T339" s="741"/>
      <c r="U339" s="741"/>
      <c r="V339" s="741"/>
      <c r="W339" s="741"/>
      <c r="X339" s="741"/>
      <c r="Y339" s="741"/>
      <c r="Z339" s="741"/>
      <c r="AA339" s="741"/>
      <c r="AB339" s="741"/>
      <c r="AC339" s="741"/>
      <c r="AD339" s="741"/>
      <c r="AE339" s="741"/>
      <c r="AF339" s="741"/>
      <c r="AG339" s="741"/>
      <c r="AH339" s="741"/>
      <c r="AI339" s="741"/>
      <c r="AJ339" s="741"/>
      <c r="AK339" s="741"/>
      <c r="AL339" s="741"/>
      <c r="AM339" s="741"/>
    </row>
    <row r="340" spans="1:39" ht="12.75" customHeight="1">
      <c r="A340" s="741"/>
      <c r="B340" s="741"/>
      <c r="C340" s="741"/>
      <c r="D340" s="741"/>
      <c r="E340" s="741"/>
      <c r="F340" s="741"/>
      <c r="G340" s="741"/>
      <c r="H340" s="741"/>
      <c r="I340" s="741"/>
      <c r="J340" s="741"/>
      <c r="K340" s="741"/>
      <c r="L340" s="741"/>
      <c r="M340" s="741"/>
      <c r="N340" s="741"/>
      <c r="O340" s="741"/>
      <c r="P340" s="741"/>
      <c r="Q340" s="741"/>
      <c r="R340" s="741"/>
      <c r="S340" s="741"/>
      <c r="T340" s="741"/>
      <c r="U340" s="741"/>
      <c r="V340" s="741"/>
      <c r="W340" s="741"/>
      <c r="X340" s="741"/>
      <c r="Y340" s="741"/>
      <c r="Z340" s="741"/>
      <c r="AA340" s="741"/>
      <c r="AB340" s="741"/>
      <c r="AC340" s="741"/>
      <c r="AD340" s="741"/>
      <c r="AE340" s="741"/>
      <c r="AF340" s="741"/>
      <c r="AG340" s="741"/>
      <c r="AH340" s="741"/>
      <c r="AI340" s="741"/>
      <c r="AJ340" s="741"/>
      <c r="AK340" s="741"/>
      <c r="AL340" s="741"/>
      <c r="AM340" s="741"/>
    </row>
    <row r="341" spans="1:39" ht="12.75" customHeight="1">
      <c r="A341" s="741"/>
      <c r="B341" s="741"/>
      <c r="C341" s="741"/>
      <c r="D341" s="741"/>
      <c r="E341" s="741"/>
      <c r="F341" s="741"/>
      <c r="G341" s="741"/>
      <c r="H341" s="741"/>
      <c r="I341" s="741"/>
      <c r="J341" s="741"/>
      <c r="K341" s="741"/>
      <c r="L341" s="741"/>
      <c r="M341" s="741"/>
      <c r="N341" s="741"/>
      <c r="O341" s="741"/>
      <c r="P341" s="741"/>
      <c r="Q341" s="741"/>
      <c r="R341" s="741"/>
      <c r="S341" s="741"/>
      <c r="T341" s="741"/>
      <c r="U341" s="741"/>
      <c r="V341" s="741"/>
      <c r="W341" s="741"/>
      <c r="X341" s="741"/>
      <c r="Y341" s="741"/>
      <c r="Z341" s="741"/>
      <c r="AA341" s="741"/>
      <c r="AB341" s="741"/>
      <c r="AC341" s="741"/>
      <c r="AD341" s="741"/>
      <c r="AE341" s="741"/>
      <c r="AF341" s="741"/>
      <c r="AG341" s="741"/>
      <c r="AH341" s="741"/>
      <c r="AI341" s="741"/>
      <c r="AJ341" s="741"/>
      <c r="AK341" s="741"/>
      <c r="AL341" s="741"/>
      <c r="AM341" s="741"/>
    </row>
    <row r="342" spans="1:39" ht="12.75" customHeight="1">
      <c r="A342" s="741"/>
      <c r="B342" s="741"/>
      <c r="C342" s="741"/>
      <c r="D342" s="741"/>
      <c r="E342" s="741"/>
      <c r="F342" s="741"/>
      <c r="G342" s="741"/>
      <c r="H342" s="741"/>
      <c r="I342" s="741"/>
      <c r="J342" s="741"/>
      <c r="K342" s="741"/>
      <c r="L342" s="741"/>
      <c r="M342" s="741"/>
      <c r="N342" s="741"/>
      <c r="O342" s="741"/>
      <c r="P342" s="741"/>
      <c r="Q342" s="741"/>
      <c r="R342" s="741"/>
      <c r="S342" s="741"/>
      <c r="T342" s="741"/>
      <c r="U342" s="741"/>
      <c r="V342" s="741"/>
      <c r="W342" s="741"/>
      <c r="X342" s="741"/>
      <c r="Y342" s="741"/>
      <c r="Z342" s="741"/>
      <c r="AA342" s="741"/>
      <c r="AB342" s="741"/>
      <c r="AC342" s="741"/>
      <c r="AD342" s="741"/>
      <c r="AE342" s="741"/>
      <c r="AF342" s="741"/>
      <c r="AG342" s="741"/>
      <c r="AH342" s="741"/>
      <c r="AI342" s="741"/>
      <c r="AJ342" s="741"/>
      <c r="AK342" s="741"/>
      <c r="AL342" s="741"/>
      <c r="AM342" s="741"/>
    </row>
    <row r="343" spans="1:39" ht="12.75" customHeight="1">
      <c r="A343" s="741"/>
      <c r="B343" s="741"/>
      <c r="C343" s="741"/>
      <c r="D343" s="741"/>
      <c r="E343" s="741"/>
      <c r="F343" s="741"/>
      <c r="G343" s="741"/>
      <c r="H343" s="741"/>
      <c r="I343" s="741"/>
      <c r="J343" s="741"/>
      <c r="K343" s="741"/>
      <c r="L343" s="741"/>
      <c r="M343" s="741"/>
      <c r="N343" s="741"/>
      <c r="O343" s="741"/>
      <c r="P343" s="741"/>
      <c r="Q343" s="741"/>
      <c r="R343" s="741"/>
      <c r="S343" s="741"/>
      <c r="T343" s="741"/>
      <c r="U343" s="741"/>
      <c r="V343" s="741"/>
      <c r="W343" s="741"/>
      <c r="X343" s="741"/>
      <c r="Y343" s="741"/>
      <c r="Z343" s="741"/>
      <c r="AA343" s="741"/>
      <c r="AB343" s="741"/>
      <c r="AC343" s="741"/>
      <c r="AD343" s="741"/>
      <c r="AE343" s="741"/>
      <c r="AF343" s="741"/>
      <c r="AG343" s="741"/>
      <c r="AH343" s="741"/>
      <c r="AI343" s="741"/>
      <c r="AJ343" s="741"/>
      <c r="AK343" s="741"/>
      <c r="AL343" s="741"/>
      <c r="AM343" s="741"/>
    </row>
    <row r="344" spans="1:39" ht="12.75" customHeight="1">
      <c r="A344" s="741"/>
      <c r="B344" s="741"/>
      <c r="C344" s="741"/>
      <c r="D344" s="741"/>
      <c r="E344" s="741"/>
      <c r="F344" s="741"/>
      <c r="G344" s="741"/>
      <c r="H344" s="741"/>
      <c r="I344" s="741"/>
      <c r="J344" s="741"/>
      <c r="K344" s="741"/>
      <c r="L344" s="741"/>
      <c r="M344" s="741"/>
      <c r="N344" s="741"/>
      <c r="O344" s="741"/>
      <c r="P344" s="741"/>
      <c r="Q344" s="741"/>
      <c r="R344" s="741"/>
      <c r="S344" s="741"/>
      <c r="T344" s="741"/>
      <c r="U344" s="741"/>
      <c r="V344" s="741"/>
      <c r="W344" s="741"/>
      <c r="X344" s="741"/>
      <c r="Y344" s="741"/>
      <c r="Z344" s="741"/>
      <c r="AA344" s="741"/>
      <c r="AB344" s="741"/>
      <c r="AC344" s="741"/>
      <c r="AD344" s="741"/>
      <c r="AE344" s="741"/>
      <c r="AF344" s="741"/>
      <c r="AG344" s="741"/>
      <c r="AH344" s="741"/>
      <c r="AI344" s="741"/>
      <c r="AJ344" s="741"/>
      <c r="AK344" s="741"/>
      <c r="AL344" s="741"/>
      <c r="AM344" s="741"/>
    </row>
    <row r="345" spans="1:39" ht="12.75" customHeight="1">
      <c r="A345" s="741"/>
      <c r="B345" s="741"/>
      <c r="C345" s="741"/>
      <c r="D345" s="741"/>
      <c r="E345" s="741"/>
      <c r="F345" s="741"/>
      <c r="G345" s="741"/>
      <c r="H345" s="741"/>
      <c r="I345" s="741"/>
      <c r="J345" s="741"/>
      <c r="K345" s="741"/>
      <c r="L345" s="741"/>
      <c r="M345" s="741"/>
      <c r="N345" s="741"/>
      <c r="O345" s="741"/>
      <c r="P345" s="741"/>
      <c r="Q345" s="741"/>
      <c r="R345" s="741"/>
      <c r="S345" s="741"/>
      <c r="T345" s="741"/>
      <c r="U345" s="741"/>
      <c r="V345" s="741"/>
      <c r="W345" s="741"/>
      <c r="X345" s="741"/>
      <c r="Y345" s="741"/>
      <c r="Z345" s="741"/>
      <c r="AA345" s="741"/>
      <c r="AB345" s="741"/>
      <c r="AC345" s="741"/>
      <c r="AD345" s="741"/>
      <c r="AE345" s="741"/>
      <c r="AF345" s="741"/>
      <c r="AG345" s="741"/>
      <c r="AH345" s="741"/>
      <c r="AI345" s="741"/>
      <c r="AJ345" s="741"/>
      <c r="AK345" s="741"/>
      <c r="AL345" s="741"/>
      <c r="AM345" s="741"/>
    </row>
    <row r="346" spans="1:39" ht="12.75" customHeight="1">
      <c r="A346" s="741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1"/>
      <c r="P346" s="741"/>
      <c r="Q346" s="741"/>
      <c r="R346" s="741"/>
      <c r="S346" s="741"/>
      <c r="T346" s="741"/>
      <c r="U346" s="741"/>
      <c r="V346" s="741"/>
      <c r="W346" s="741"/>
      <c r="X346" s="741"/>
      <c r="Y346" s="741"/>
      <c r="Z346" s="741"/>
      <c r="AA346" s="741"/>
      <c r="AB346" s="741"/>
      <c r="AC346" s="741"/>
      <c r="AD346" s="741"/>
      <c r="AE346" s="741"/>
      <c r="AF346" s="741"/>
      <c r="AG346" s="741"/>
      <c r="AH346" s="741"/>
      <c r="AI346" s="741"/>
      <c r="AJ346" s="741"/>
      <c r="AK346" s="741"/>
      <c r="AL346" s="741"/>
      <c r="AM346" s="741"/>
    </row>
    <row r="347" spans="1:39" ht="12.75" customHeight="1">
      <c r="A347" s="741"/>
      <c r="B347" s="741"/>
      <c r="C347" s="741"/>
      <c r="D347" s="741"/>
      <c r="E347" s="741"/>
      <c r="F347" s="741"/>
      <c r="G347" s="741"/>
      <c r="H347" s="741"/>
      <c r="I347" s="741"/>
      <c r="J347" s="741"/>
      <c r="K347" s="741"/>
      <c r="L347" s="741"/>
      <c r="M347" s="741"/>
      <c r="N347" s="741"/>
      <c r="O347" s="741"/>
      <c r="P347" s="741"/>
      <c r="Q347" s="741"/>
      <c r="R347" s="741"/>
      <c r="S347" s="741"/>
      <c r="T347" s="741"/>
      <c r="U347" s="741"/>
      <c r="V347" s="741"/>
      <c r="W347" s="741"/>
      <c r="X347" s="741"/>
      <c r="Y347" s="741"/>
      <c r="Z347" s="741"/>
      <c r="AA347" s="741"/>
      <c r="AB347" s="741"/>
      <c r="AC347" s="741"/>
      <c r="AD347" s="741"/>
      <c r="AE347" s="741"/>
      <c r="AF347" s="741"/>
      <c r="AG347" s="741"/>
      <c r="AH347" s="741"/>
      <c r="AI347" s="741"/>
      <c r="AJ347" s="741"/>
      <c r="AK347" s="741"/>
      <c r="AL347" s="741"/>
      <c r="AM347" s="741"/>
    </row>
    <row r="348" spans="1:39" ht="12.75" customHeight="1">
      <c r="A348" s="741"/>
      <c r="B348" s="741"/>
      <c r="C348" s="741"/>
      <c r="D348" s="741"/>
      <c r="E348" s="741"/>
      <c r="F348" s="741"/>
      <c r="G348" s="741"/>
      <c r="H348" s="741"/>
      <c r="I348" s="741"/>
      <c r="J348" s="741"/>
      <c r="K348" s="741"/>
      <c r="L348" s="741"/>
      <c r="M348" s="741"/>
      <c r="N348" s="741"/>
      <c r="O348" s="741"/>
      <c r="P348" s="741"/>
      <c r="Q348" s="741"/>
      <c r="R348" s="741"/>
      <c r="S348" s="741"/>
      <c r="T348" s="741"/>
      <c r="U348" s="741"/>
      <c r="V348" s="741"/>
      <c r="W348" s="741"/>
      <c r="X348" s="741"/>
      <c r="Y348" s="741"/>
      <c r="Z348" s="741"/>
      <c r="AA348" s="741"/>
      <c r="AB348" s="741"/>
      <c r="AC348" s="741"/>
      <c r="AD348" s="741"/>
      <c r="AE348" s="741"/>
      <c r="AF348" s="741"/>
      <c r="AG348" s="741"/>
      <c r="AH348" s="741"/>
      <c r="AI348" s="741"/>
      <c r="AJ348" s="741"/>
      <c r="AK348" s="741"/>
      <c r="AL348" s="741"/>
      <c r="AM348" s="741"/>
    </row>
    <row r="349" spans="1:39" ht="12.75" customHeight="1">
      <c r="A349" s="741"/>
      <c r="B349" s="741"/>
      <c r="C349" s="741"/>
      <c r="D349" s="741"/>
      <c r="E349" s="741"/>
      <c r="F349" s="741"/>
      <c r="G349" s="741"/>
      <c r="H349" s="741"/>
      <c r="I349" s="741"/>
      <c r="J349" s="741"/>
      <c r="K349" s="741"/>
      <c r="L349" s="741"/>
      <c r="M349" s="741"/>
      <c r="N349" s="741"/>
      <c r="O349" s="741"/>
      <c r="P349" s="741"/>
      <c r="Q349" s="741"/>
      <c r="R349" s="741"/>
      <c r="S349" s="741"/>
      <c r="T349" s="741"/>
      <c r="U349" s="741"/>
      <c r="V349" s="741"/>
      <c r="W349" s="741"/>
      <c r="X349" s="741"/>
      <c r="Y349" s="741"/>
      <c r="Z349" s="741"/>
      <c r="AA349" s="741"/>
      <c r="AB349" s="741"/>
      <c r="AC349" s="741"/>
      <c r="AD349" s="741"/>
      <c r="AE349" s="741"/>
      <c r="AF349" s="741"/>
      <c r="AG349" s="741"/>
      <c r="AH349" s="741"/>
      <c r="AI349" s="741"/>
      <c r="AJ349" s="741"/>
      <c r="AK349" s="741"/>
      <c r="AL349" s="741"/>
      <c r="AM349" s="741"/>
    </row>
    <row r="350" spans="1:39" ht="12.75" customHeight="1">
      <c r="A350" s="741"/>
      <c r="B350" s="741"/>
      <c r="C350" s="741"/>
      <c r="D350" s="741"/>
      <c r="E350" s="741"/>
      <c r="F350" s="741"/>
      <c r="G350" s="741"/>
      <c r="H350" s="741"/>
      <c r="I350" s="741"/>
      <c r="J350" s="741"/>
      <c r="K350" s="741"/>
      <c r="L350" s="741"/>
      <c r="M350" s="741"/>
      <c r="N350" s="741"/>
      <c r="O350" s="741"/>
      <c r="P350" s="741"/>
      <c r="Q350" s="741"/>
      <c r="R350" s="741"/>
      <c r="S350" s="741"/>
      <c r="T350" s="741"/>
      <c r="U350" s="741"/>
      <c r="V350" s="741"/>
      <c r="W350" s="741"/>
      <c r="X350" s="741"/>
      <c r="Y350" s="741"/>
      <c r="Z350" s="741"/>
      <c r="AA350" s="741"/>
      <c r="AB350" s="741"/>
      <c r="AC350" s="741"/>
      <c r="AD350" s="741"/>
      <c r="AE350" s="741"/>
      <c r="AF350" s="741"/>
      <c r="AG350" s="741"/>
      <c r="AH350" s="741"/>
      <c r="AI350" s="741"/>
      <c r="AJ350" s="741"/>
      <c r="AK350" s="741"/>
      <c r="AL350" s="741"/>
      <c r="AM350" s="741"/>
    </row>
    <row r="351" spans="1:39" ht="12.75" customHeight="1">
      <c r="A351" s="741"/>
      <c r="B351" s="741"/>
      <c r="C351" s="741"/>
      <c r="D351" s="741"/>
      <c r="E351" s="741"/>
      <c r="F351" s="741"/>
      <c r="G351" s="741"/>
      <c r="H351" s="741"/>
      <c r="I351" s="741"/>
      <c r="J351" s="741"/>
      <c r="K351" s="741"/>
      <c r="L351" s="741"/>
      <c r="M351" s="741"/>
      <c r="N351" s="741"/>
      <c r="O351" s="741"/>
      <c r="P351" s="741"/>
      <c r="Q351" s="741"/>
      <c r="R351" s="741"/>
      <c r="S351" s="741"/>
      <c r="T351" s="741"/>
      <c r="U351" s="741"/>
      <c r="V351" s="741"/>
      <c r="W351" s="741"/>
      <c r="X351" s="741"/>
      <c r="Y351" s="741"/>
      <c r="Z351" s="741"/>
      <c r="AA351" s="741"/>
      <c r="AB351" s="741"/>
      <c r="AC351" s="741"/>
      <c r="AD351" s="741"/>
      <c r="AE351" s="741"/>
      <c r="AF351" s="741"/>
      <c r="AG351" s="741"/>
      <c r="AH351" s="741"/>
      <c r="AI351" s="741"/>
      <c r="AJ351" s="741"/>
      <c r="AK351" s="741"/>
      <c r="AL351" s="741"/>
      <c r="AM351" s="741"/>
    </row>
    <row r="352" spans="1:39" ht="12.75" customHeight="1">
      <c r="A352" s="741"/>
      <c r="B352" s="741"/>
      <c r="C352" s="741"/>
      <c r="D352" s="741"/>
      <c r="E352" s="741"/>
      <c r="F352" s="741"/>
      <c r="G352" s="741"/>
      <c r="H352" s="741"/>
      <c r="I352" s="741"/>
      <c r="J352" s="741"/>
      <c r="K352" s="741"/>
      <c r="L352" s="741"/>
      <c r="M352" s="741"/>
      <c r="N352" s="741"/>
      <c r="O352" s="741"/>
      <c r="P352" s="741"/>
      <c r="Q352" s="741"/>
      <c r="R352" s="741"/>
      <c r="S352" s="741"/>
      <c r="T352" s="741"/>
      <c r="U352" s="741"/>
      <c r="V352" s="741"/>
      <c r="W352" s="741"/>
      <c r="X352" s="741"/>
      <c r="Y352" s="741"/>
      <c r="Z352" s="741"/>
      <c r="AA352" s="741"/>
      <c r="AB352" s="741"/>
      <c r="AC352" s="741"/>
      <c r="AD352" s="741"/>
      <c r="AE352" s="741"/>
      <c r="AF352" s="741"/>
      <c r="AG352" s="741"/>
      <c r="AH352" s="741"/>
      <c r="AI352" s="741"/>
      <c r="AJ352" s="741"/>
      <c r="AK352" s="741"/>
      <c r="AL352" s="741"/>
      <c r="AM352" s="741"/>
    </row>
    <row r="353" spans="1:39" ht="12.75" customHeight="1">
      <c r="A353" s="741"/>
      <c r="B353" s="741"/>
      <c r="C353" s="741"/>
      <c r="D353" s="741"/>
      <c r="E353" s="741"/>
      <c r="F353" s="741"/>
      <c r="G353" s="741"/>
      <c r="H353" s="741"/>
      <c r="I353" s="741"/>
      <c r="J353" s="741"/>
      <c r="K353" s="741"/>
      <c r="L353" s="741"/>
      <c r="M353" s="741"/>
      <c r="N353" s="741"/>
      <c r="O353" s="741"/>
      <c r="P353" s="741"/>
      <c r="Q353" s="741"/>
      <c r="R353" s="741"/>
      <c r="S353" s="741"/>
      <c r="T353" s="741"/>
      <c r="U353" s="741"/>
      <c r="V353" s="741"/>
      <c r="W353" s="741"/>
      <c r="X353" s="741"/>
      <c r="Y353" s="741"/>
      <c r="Z353" s="741"/>
      <c r="AA353" s="741"/>
      <c r="AB353" s="741"/>
      <c r="AC353" s="741"/>
      <c r="AD353" s="741"/>
      <c r="AE353" s="741"/>
      <c r="AF353" s="741"/>
      <c r="AG353" s="741"/>
      <c r="AH353" s="741"/>
      <c r="AI353" s="741"/>
      <c r="AJ353" s="741"/>
      <c r="AK353" s="741"/>
      <c r="AL353" s="741"/>
      <c r="AM353" s="741"/>
    </row>
    <row r="354" spans="1:39" ht="12.75" customHeight="1">
      <c r="A354" s="741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1"/>
      <c r="P354" s="741"/>
      <c r="Q354" s="741"/>
      <c r="R354" s="741"/>
      <c r="S354" s="741"/>
      <c r="T354" s="741"/>
      <c r="U354" s="741"/>
      <c r="V354" s="741"/>
      <c r="W354" s="741"/>
      <c r="X354" s="741"/>
      <c r="Y354" s="741"/>
      <c r="Z354" s="741"/>
      <c r="AA354" s="741"/>
      <c r="AB354" s="741"/>
      <c r="AC354" s="741"/>
      <c r="AD354" s="741"/>
      <c r="AE354" s="741"/>
      <c r="AF354" s="741"/>
      <c r="AG354" s="741"/>
      <c r="AH354" s="741"/>
      <c r="AI354" s="741"/>
      <c r="AJ354" s="741"/>
      <c r="AK354" s="741"/>
      <c r="AL354" s="741"/>
      <c r="AM354" s="741"/>
    </row>
    <row r="355" spans="1:39" ht="12.75" customHeight="1">
      <c r="A355" s="741"/>
      <c r="B355" s="741"/>
      <c r="C355" s="741"/>
      <c r="D355" s="741"/>
      <c r="E355" s="741"/>
      <c r="F355" s="741"/>
      <c r="G355" s="741"/>
      <c r="H355" s="741"/>
      <c r="I355" s="741"/>
      <c r="J355" s="741"/>
      <c r="K355" s="741"/>
      <c r="L355" s="741"/>
      <c r="M355" s="741"/>
      <c r="N355" s="741"/>
      <c r="O355" s="741"/>
      <c r="P355" s="741"/>
      <c r="Q355" s="741"/>
      <c r="R355" s="741"/>
      <c r="S355" s="741"/>
      <c r="T355" s="741"/>
      <c r="U355" s="741"/>
      <c r="V355" s="741"/>
      <c r="W355" s="741"/>
      <c r="X355" s="741"/>
      <c r="Y355" s="741"/>
      <c r="Z355" s="741"/>
      <c r="AA355" s="741"/>
      <c r="AB355" s="741"/>
      <c r="AC355" s="741"/>
      <c r="AD355" s="741"/>
      <c r="AE355" s="741"/>
      <c r="AF355" s="741"/>
      <c r="AG355" s="741"/>
      <c r="AH355" s="741"/>
      <c r="AI355" s="741"/>
      <c r="AJ355" s="741"/>
      <c r="AK355" s="741"/>
      <c r="AL355" s="741"/>
      <c r="AM355" s="741"/>
    </row>
    <row r="356" spans="1:39" ht="12.75" customHeight="1">
      <c r="A356" s="741"/>
      <c r="B356" s="741"/>
      <c r="C356" s="741"/>
      <c r="D356" s="741"/>
      <c r="E356" s="741"/>
      <c r="F356" s="741"/>
      <c r="G356" s="741"/>
      <c r="H356" s="741"/>
      <c r="I356" s="741"/>
      <c r="J356" s="741"/>
      <c r="K356" s="741"/>
      <c r="L356" s="741"/>
      <c r="M356" s="741"/>
      <c r="N356" s="741"/>
      <c r="O356" s="741"/>
      <c r="P356" s="741"/>
      <c r="Q356" s="741"/>
      <c r="R356" s="741"/>
      <c r="S356" s="741"/>
      <c r="T356" s="741"/>
      <c r="U356" s="741"/>
      <c r="V356" s="741"/>
      <c r="W356" s="741"/>
      <c r="X356" s="741"/>
      <c r="Y356" s="741"/>
      <c r="Z356" s="741"/>
      <c r="AA356" s="741"/>
      <c r="AB356" s="741"/>
      <c r="AC356" s="741"/>
      <c r="AD356" s="741"/>
      <c r="AE356" s="741"/>
      <c r="AF356" s="741"/>
      <c r="AG356" s="741"/>
      <c r="AH356" s="741"/>
      <c r="AI356" s="741"/>
      <c r="AJ356" s="741"/>
      <c r="AK356" s="741"/>
      <c r="AL356" s="741"/>
      <c r="AM356" s="741"/>
    </row>
    <row r="357" spans="1:39" ht="12.75" customHeight="1">
      <c r="A357" s="741"/>
      <c r="B357" s="741"/>
      <c r="C357" s="741"/>
      <c r="D357" s="741"/>
      <c r="E357" s="741"/>
      <c r="F357" s="741"/>
      <c r="G357" s="741"/>
      <c r="H357" s="741"/>
      <c r="I357" s="741"/>
      <c r="J357" s="741"/>
      <c r="K357" s="741"/>
      <c r="L357" s="741"/>
      <c r="M357" s="741"/>
      <c r="N357" s="741"/>
      <c r="O357" s="741"/>
      <c r="P357" s="741"/>
      <c r="Q357" s="741"/>
      <c r="R357" s="741"/>
      <c r="S357" s="741"/>
      <c r="T357" s="741"/>
      <c r="U357" s="741"/>
      <c r="V357" s="741"/>
      <c r="W357" s="741"/>
      <c r="X357" s="741"/>
      <c r="Y357" s="741"/>
      <c r="Z357" s="741"/>
      <c r="AA357" s="741"/>
      <c r="AB357" s="741"/>
      <c r="AC357" s="741"/>
      <c r="AD357" s="741"/>
      <c r="AE357" s="741"/>
      <c r="AF357" s="741"/>
      <c r="AG357" s="741"/>
      <c r="AH357" s="741"/>
      <c r="AI357" s="741"/>
      <c r="AJ357" s="741"/>
      <c r="AK357" s="741"/>
      <c r="AL357" s="741"/>
      <c r="AM357" s="741"/>
    </row>
    <row r="358" spans="1:39" ht="12.75" customHeight="1">
      <c r="A358" s="741"/>
      <c r="B358" s="741"/>
      <c r="C358" s="741"/>
      <c r="D358" s="741"/>
      <c r="E358" s="741"/>
      <c r="F358" s="741"/>
      <c r="G358" s="741"/>
      <c r="H358" s="741"/>
      <c r="I358" s="741"/>
      <c r="J358" s="741"/>
      <c r="K358" s="741"/>
      <c r="L358" s="741"/>
      <c r="M358" s="741"/>
      <c r="N358" s="741"/>
      <c r="O358" s="741"/>
      <c r="P358" s="741"/>
      <c r="Q358" s="741"/>
      <c r="R358" s="741"/>
      <c r="S358" s="741"/>
      <c r="T358" s="741"/>
      <c r="U358" s="741"/>
      <c r="V358" s="741"/>
      <c r="W358" s="741"/>
      <c r="X358" s="741"/>
      <c r="Y358" s="741"/>
      <c r="Z358" s="741"/>
      <c r="AA358" s="741"/>
      <c r="AB358" s="741"/>
      <c r="AC358" s="741"/>
      <c r="AD358" s="741"/>
      <c r="AE358" s="741"/>
      <c r="AF358" s="741"/>
      <c r="AG358" s="741"/>
      <c r="AH358" s="741"/>
      <c r="AI358" s="741"/>
      <c r="AJ358" s="741"/>
      <c r="AK358" s="741"/>
      <c r="AL358" s="741"/>
      <c r="AM358" s="741"/>
    </row>
    <row r="359" spans="1:39" ht="12.75" customHeight="1">
      <c r="A359" s="741"/>
      <c r="B359" s="741"/>
      <c r="C359" s="741"/>
      <c r="D359" s="741"/>
      <c r="E359" s="741"/>
      <c r="F359" s="741"/>
      <c r="G359" s="741"/>
      <c r="H359" s="741"/>
      <c r="I359" s="741"/>
      <c r="J359" s="741"/>
      <c r="K359" s="741"/>
      <c r="L359" s="741"/>
      <c r="M359" s="741"/>
      <c r="N359" s="741"/>
      <c r="O359" s="741"/>
      <c r="P359" s="741"/>
      <c r="Q359" s="741"/>
      <c r="R359" s="741"/>
      <c r="S359" s="741"/>
      <c r="T359" s="741"/>
      <c r="U359" s="741"/>
      <c r="V359" s="741"/>
      <c r="W359" s="741"/>
      <c r="X359" s="741"/>
      <c r="Y359" s="741"/>
      <c r="Z359" s="741"/>
      <c r="AA359" s="741"/>
      <c r="AB359" s="741"/>
      <c r="AC359" s="741"/>
      <c r="AD359" s="741"/>
      <c r="AE359" s="741"/>
      <c r="AF359" s="741"/>
      <c r="AG359" s="741"/>
      <c r="AH359" s="741"/>
      <c r="AI359" s="741"/>
      <c r="AJ359" s="741"/>
      <c r="AK359" s="741"/>
      <c r="AL359" s="741"/>
      <c r="AM359" s="741"/>
    </row>
    <row r="360" spans="1:39" ht="12.75" customHeight="1">
      <c r="A360" s="741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1"/>
      <c r="P360" s="741"/>
      <c r="Q360" s="741"/>
      <c r="R360" s="741"/>
      <c r="S360" s="741"/>
      <c r="T360" s="741"/>
      <c r="U360" s="741"/>
      <c r="V360" s="741"/>
      <c r="W360" s="741"/>
      <c r="X360" s="741"/>
      <c r="Y360" s="741"/>
      <c r="Z360" s="741"/>
      <c r="AA360" s="741"/>
      <c r="AB360" s="741"/>
      <c r="AC360" s="741"/>
      <c r="AD360" s="741"/>
      <c r="AE360" s="741"/>
      <c r="AF360" s="741"/>
      <c r="AG360" s="741"/>
      <c r="AH360" s="741"/>
      <c r="AI360" s="741"/>
      <c r="AJ360" s="741"/>
      <c r="AK360" s="741"/>
      <c r="AL360" s="741"/>
      <c r="AM360" s="741"/>
    </row>
    <row r="361" spans="1:39" ht="12.75" customHeight="1">
      <c r="A361" s="741"/>
      <c r="B361" s="741"/>
      <c r="C361" s="741"/>
      <c r="D361" s="741"/>
      <c r="E361" s="741"/>
      <c r="F361" s="741"/>
      <c r="G361" s="741"/>
      <c r="H361" s="741"/>
      <c r="I361" s="741"/>
      <c r="J361" s="741"/>
      <c r="K361" s="741"/>
      <c r="L361" s="741"/>
      <c r="M361" s="741"/>
      <c r="N361" s="741"/>
      <c r="O361" s="741"/>
      <c r="P361" s="741"/>
      <c r="Q361" s="741"/>
      <c r="R361" s="741"/>
      <c r="S361" s="741"/>
      <c r="T361" s="741"/>
      <c r="U361" s="741"/>
      <c r="V361" s="741"/>
      <c r="W361" s="741"/>
      <c r="X361" s="741"/>
      <c r="Y361" s="741"/>
      <c r="Z361" s="741"/>
      <c r="AA361" s="741"/>
      <c r="AB361" s="741"/>
      <c r="AC361" s="741"/>
      <c r="AD361" s="741"/>
      <c r="AE361" s="741"/>
      <c r="AF361" s="741"/>
      <c r="AG361" s="741"/>
      <c r="AH361" s="741"/>
      <c r="AI361" s="741"/>
      <c r="AJ361" s="741"/>
      <c r="AK361" s="741"/>
      <c r="AL361" s="741"/>
      <c r="AM361" s="741"/>
    </row>
    <row r="362" spans="1:39" ht="12.75" customHeight="1">
      <c r="A362" s="741"/>
      <c r="B362" s="741"/>
      <c r="C362" s="741"/>
      <c r="D362" s="741"/>
      <c r="E362" s="741"/>
      <c r="F362" s="741"/>
      <c r="G362" s="741"/>
      <c r="H362" s="741"/>
      <c r="I362" s="741"/>
      <c r="J362" s="741"/>
      <c r="K362" s="741"/>
      <c r="L362" s="741"/>
      <c r="M362" s="741"/>
      <c r="N362" s="741"/>
      <c r="O362" s="741"/>
      <c r="P362" s="741"/>
      <c r="Q362" s="741"/>
      <c r="R362" s="741"/>
      <c r="S362" s="741"/>
      <c r="T362" s="741"/>
      <c r="U362" s="741"/>
      <c r="V362" s="741"/>
      <c r="W362" s="741"/>
      <c r="X362" s="741"/>
      <c r="Y362" s="741"/>
      <c r="Z362" s="741"/>
      <c r="AA362" s="741"/>
      <c r="AB362" s="741"/>
      <c r="AC362" s="741"/>
      <c r="AD362" s="741"/>
      <c r="AE362" s="741"/>
      <c r="AF362" s="741"/>
      <c r="AG362" s="741"/>
      <c r="AH362" s="741"/>
      <c r="AI362" s="741"/>
      <c r="AJ362" s="741"/>
      <c r="AK362" s="741"/>
      <c r="AL362" s="741"/>
      <c r="AM362" s="741"/>
    </row>
    <row r="363" spans="1:39" ht="12.75" customHeight="1">
      <c r="A363" s="741"/>
      <c r="B363" s="741"/>
      <c r="C363" s="741"/>
      <c r="D363" s="741"/>
      <c r="E363" s="741"/>
      <c r="F363" s="741"/>
      <c r="G363" s="741"/>
      <c r="H363" s="741"/>
      <c r="I363" s="741"/>
      <c r="J363" s="741"/>
      <c r="K363" s="741"/>
      <c r="L363" s="741"/>
      <c r="M363" s="741"/>
      <c r="N363" s="741"/>
      <c r="O363" s="741"/>
      <c r="P363" s="741"/>
      <c r="Q363" s="741"/>
      <c r="R363" s="741"/>
      <c r="S363" s="741"/>
      <c r="T363" s="741"/>
      <c r="U363" s="741"/>
      <c r="V363" s="741"/>
      <c r="W363" s="741"/>
      <c r="X363" s="741"/>
      <c r="Y363" s="741"/>
      <c r="Z363" s="741"/>
      <c r="AA363" s="741"/>
      <c r="AB363" s="741"/>
      <c r="AC363" s="741"/>
      <c r="AD363" s="741"/>
      <c r="AE363" s="741"/>
      <c r="AF363" s="741"/>
      <c r="AG363" s="741"/>
      <c r="AH363" s="741"/>
      <c r="AI363" s="741"/>
      <c r="AJ363" s="741"/>
      <c r="AK363" s="741"/>
      <c r="AL363" s="741"/>
      <c r="AM363" s="741"/>
    </row>
    <row r="364" spans="1:39" ht="12.75" customHeight="1">
      <c r="A364" s="741"/>
      <c r="B364" s="741"/>
      <c r="C364" s="741"/>
      <c r="D364" s="741"/>
      <c r="E364" s="741"/>
      <c r="F364" s="741"/>
      <c r="G364" s="741"/>
      <c r="H364" s="741"/>
      <c r="I364" s="741"/>
      <c r="J364" s="741"/>
      <c r="K364" s="741"/>
      <c r="L364" s="741"/>
      <c r="M364" s="741"/>
      <c r="N364" s="741"/>
      <c r="O364" s="741"/>
      <c r="P364" s="741"/>
      <c r="Q364" s="741"/>
      <c r="R364" s="741"/>
      <c r="S364" s="741"/>
      <c r="T364" s="741"/>
      <c r="U364" s="741"/>
      <c r="V364" s="741"/>
      <c r="W364" s="741"/>
      <c r="X364" s="741"/>
      <c r="Y364" s="741"/>
      <c r="Z364" s="741"/>
      <c r="AA364" s="741"/>
      <c r="AB364" s="741"/>
      <c r="AC364" s="741"/>
      <c r="AD364" s="741"/>
      <c r="AE364" s="741"/>
      <c r="AF364" s="741"/>
      <c r="AG364" s="741"/>
      <c r="AH364" s="741"/>
      <c r="AI364" s="741"/>
      <c r="AJ364" s="741"/>
      <c r="AK364" s="741"/>
      <c r="AL364" s="741"/>
      <c r="AM364" s="741"/>
    </row>
    <row r="365" spans="1:39" ht="12.75" customHeight="1">
      <c r="A365" s="741"/>
      <c r="B365" s="741"/>
      <c r="C365" s="741"/>
      <c r="D365" s="741"/>
      <c r="E365" s="741"/>
      <c r="F365" s="741"/>
      <c r="G365" s="741"/>
      <c r="H365" s="741"/>
      <c r="I365" s="741"/>
      <c r="J365" s="741"/>
      <c r="K365" s="741"/>
      <c r="L365" s="741"/>
      <c r="M365" s="741"/>
      <c r="N365" s="741"/>
      <c r="O365" s="741"/>
      <c r="P365" s="741"/>
      <c r="Q365" s="741"/>
      <c r="R365" s="741"/>
      <c r="S365" s="741"/>
      <c r="T365" s="741"/>
      <c r="U365" s="741"/>
      <c r="V365" s="741"/>
      <c r="W365" s="741"/>
      <c r="X365" s="741"/>
      <c r="Y365" s="741"/>
      <c r="Z365" s="741"/>
      <c r="AA365" s="741"/>
      <c r="AB365" s="741"/>
      <c r="AC365" s="741"/>
      <c r="AD365" s="741"/>
      <c r="AE365" s="741"/>
      <c r="AF365" s="741"/>
      <c r="AG365" s="741"/>
      <c r="AH365" s="741"/>
      <c r="AI365" s="741"/>
      <c r="AJ365" s="741"/>
      <c r="AK365" s="741"/>
      <c r="AL365" s="741"/>
      <c r="AM365" s="741"/>
    </row>
    <row r="366" spans="1:39" ht="12.75" customHeight="1">
      <c r="A366" s="741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1"/>
      <c r="P366" s="741"/>
      <c r="Q366" s="741"/>
      <c r="R366" s="741"/>
      <c r="S366" s="741"/>
      <c r="T366" s="741"/>
      <c r="U366" s="741"/>
      <c r="V366" s="741"/>
      <c r="W366" s="741"/>
      <c r="X366" s="741"/>
      <c r="Y366" s="741"/>
      <c r="Z366" s="741"/>
      <c r="AA366" s="741"/>
      <c r="AB366" s="741"/>
      <c r="AC366" s="741"/>
      <c r="AD366" s="741"/>
      <c r="AE366" s="741"/>
      <c r="AF366" s="741"/>
      <c r="AG366" s="741"/>
      <c r="AH366" s="741"/>
      <c r="AI366" s="741"/>
      <c r="AJ366" s="741"/>
      <c r="AK366" s="741"/>
      <c r="AL366" s="741"/>
      <c r="AM366" s="741"/>
    </row>
    <row r="367" spans="1:39" ht="12.75" customHeight="1">
      <c r="A367" s="741"/>
      <c r="B367" s="741"/>
      <c r="C367" s="741"/>
      <c r="D367" s="741"/>
      <c r="E367" s="741"/>
      <c r="F367" s="741"/>
      <c r="G367" s="741"/>
      <c r="H367" s="741"/>
      <c r="I367" s="741"/>
      <c r="J367" s="741"/>
      <c r="K367" s="741"/>
      <c r="L367" s="741"/>
      <c r="M367" s="741"/>
      <c r="N367" s="741"/>
      <c r="O367" s="741"/>
      <c r="P367" s="741"/>
      <c r="Q367" s="741"/>
      <c r="R367" s="741"/>
      <c r="S367" s="741"/>
      <c r="T367" s="741"/>
      <c r="U367" s="741"/>
      <c r="V367" s="741"/>
      <c r="W367" s="741"/>
      <c r="X367" s="741"/>
      <c r="Y367" s="741"/>
      <c r="Z367" s="741"/>
      <c r="AA367" s="741"/>
      <c r="AB367" s="741"/>
      <c r="AC367" s="741"/>
      <c r="AD367" s="741"/>
      <c r="AE367" s="741"/>
      <c r="AF367" s="741"/>
      <c r="AG367" s="741"/>
      <c r="AH367" s="741"/>
      <c r="AI367" s="741"/>
      <c r="AJ367" s="741"/>
      <c r="AK367" s="741"/>
      <c r="AL367" s="741"/>
      <c r="AM367" s="741"/>
    </row>
    <row r="368" spans="1:39" ht="12.75" customHeight="1">
      <c r="A368" s="741"/>
      <c r="B368" s="741"/>
      <c r="C368" s="741"/>
      <c r="D368" s="741"/>
      <c r="E368" s="741"/>
      <c r="F368" s="741"/>
      <c r="G368" s="741"/>
      <c r="H368" s="741"/>
      <c r="I368" s="741"/>
      <c r="J368" s="741"/>
      <c r="K368" s="741"/>
      <c r="L368" s="741"/>
      <c r="M368" s="741"/>
      <c r="N368" s="741"/>
      <c r="O368" s="741"/>
      <c r="P368" s="741"/>
      <c r="Q368" s="741"/>
      <c r="R368" s="741"/>
      <c r="S368" s="741"/>
      <c r="T368" s="741"/>
      <c r="U368" s="741"/>
      <c r="V368" s="741"/>
      <c r="W368" s="741"/>
      <c r="X368" s="741"/>
      <c r="Y368" s="741"/>
      <c r="Z368" s="741"/>
      <c r="AA368" s="741"/>
      <c r="AB368" s="741"/>
      <c r="AC368" s="741"/>
      <c r="AD368" s="741"/>
      <c r="AE368" s="741"/>
      <c r="AF368" s="741"/>
      <c r="AG368" s="741"/>
      <c r="AH368" s="741"/>
      <c r="AI368" s="741"/>
      <c r="AJ368" s="741"/>
      <c r="AK368" s="741"/>
      <c r="AL368" s="741"/>
      <c r="AM368" s="741"/>
    </row>
    <row r="369" spans="1:39" ht="12.75" customHeight="1">
      <c r="A369" s="741"/>
      <c r="B369" s="741"/>
      <c r="C369" s="741"/>
      <c r="D369" s="741"/>
      <c r="E369" s="741"/>
      <c r="F369" s="741"/>
      <c r="G369" s="741"/>
      <c r="H369" s="741"/>
      <c r="I369" s="741"/>
      <c r="J369" s="741"/>
      <c r="K369" s="741"/>
      <c r="L369" s="741"/>
      <c r="M369" s="741"/>
      <c r="N369" s="741"/>
      <c r="O369" s="741"/>
      <c r="P369" s="741"/>
      <c r="Q369" s="741"/>
      <c r="R369" s="741"/>
      <c r="S369" s="741"/>
      <c r="T369" s="741"/>
      <c r="U369" s="741"/>
      <c r="V369" s="741"/>
      <c r="W369" s="741"/>
      <c r="X369" s="741"/>
      <c r="Y369" s="741"/>
      <c r="Z369" s="741"/>
      <c r="AA369" s="741"/>
      <c r="AB369" s="741"/>
      <c r="AC369" s="741"/>
      <c r="AD369" s="741"/>
      <c r="AE369" s="741"/>
      <c r="AF369" s="741"/>
      <c r="AG369" s="741"/>
      <c r="AH369" s="741"/>
      <c r="AI369" s="741"/>
      <c r="AJ369" s="741"/>
      <c r="AK369" s="741"/>
      <c r="AL369" s="741"/>
      <c r="AM369" s="741"/>
    </row>
    <row r="370" spans="1:39" ht="12.75" customHeight="1">
      <c r="A370" s="741"/>
      <c r="B370" s="741"/>
      <c r="C370" s="741"/>
      <c r="D370" s="741"/>
      <c r="E370" s="741"/>
      <c r="F370" s="741"/>
      <c r="G370" s="741"/>
      <c r="H370" s="741"/>
      <c r="I370" s="741"/>
      <c r="J370" s="741"/>
      <c r="K370" s="741"/>
      <c r="L370" s="741"/>
      <c r="M370" s="741"/>
      <c r="N370" s="741"/>
      <c r="O370" s="741"/>
      <c r="P370" s="741"/>
      <c r="Q370" s="741"/>
      <c r="R370" s="741"/>
      <c r="S370" s="741"/>
      <c r="T370" s="741"/>
      <c r="U370" s="741"/>
      <c r="V370" s="741"/>
      <c r="W370" s="741"/>
      <c r="X370" s="741"/>
      <c r="Y370" s="741"/>
      <c r="Z370" s="741"/>
      <c r="AA370" s="741"/>
      <c r="AB370" s="741"/>
      <c r="AC370" s="741"/>
      <c r="AD370" s="741"/>
      <c r="AE370" s="741"/>
      <c r="AF370" s="741"/>
      <c r="AG370" s="741"/>
      <c r="AH370" s="741"/>
      <c r="AI370" s="741"/>
      <c r="AJ370" s="741"/>
      <c r="AK370" s="741"/>
      <c r="AL370" s="741"/>
      <c r="AM370" s="741"/>
    </row>
    <row r="371" spans="1:39" ht="12.75" customHeight="1">
      <c r="A371" s="741"/>
      <c r="B371" s="741"/>
      <c r="C371" s="741"/>
      <c r="D371" s="741"/>
      <c r="E371" s="741"/>
      <c r="F371" s="741"/>
      <c r="G371" s="741"/>
      <c r="H371" s="741"/>
      <c r="I371" s="741"/>
      <c r="J371" s="741"/>
      <c r="K371" s="741"/>
      <c r="L371" s="741"/>
      <c r="M371" s="741"/>
      <c r="N371" s="741"/>
      <c r="O371" s="741"/>
      <c r="P371" s="741"/>
      <c r="Q371" s="741"/>
      <c r="R371" s="741"/>
      <c r="S371" s="741"/>
      <c r="T371" s="741"/>
      <c r="U371" s="741"/>
      <c r="V371" s="741"/>
      <c r="W371" s="741"/>
      <c r="X371" s="741"/>
      <c r="Y371" s="741"/>
      <c r="Z371" s="741"/>
      <c r="AA371" s="741"/>
      <c r="AB371" s="741"/>
      <c r="AC371" s="741"/>
      <c r="AD371" s="741"/>
      <c r="AE371" s="741"/>
      <c r="AF371" s="741"/>
      <c r="AG371" s="741"/>
      <c r="AH371" s="741"/>
      <c r="AI371" s="741"/>
      <c r="AJ371" s="741"/>
      <c r="AK371" s="741"/>
      <c r="AL371" s="741"/>
      <c r="AM371" s="741"/>
    </row>
    <row r="372" spans="1:39" ht="12.75" customHeight="1">
      <c r="A372" s="741"/>
      <c r="B372" s="741"/>
      <c r="C372" s="741"/>
      <c r="D372" s="741"/>
      <c r="E372" s="741"/>
      <c r="F372" s="741"/>
      <c r="G372" s="741"/>
      <c r="H372" s="741"/>
      <c r="I372" s="741"/>
      <c r="J372" s="741"/>
      <c r="K372" s="741"/>
      <c r="L372" s="741"/>
      <c r="M372" s="741"/>
      <c r="N372" s="741"/>
      <c r="O372" s="741"/>
      <c r="P372" s="741"/>
      <c r="Q372" s="741"/>
      <c r="R372" s="741"/>
      <c r="S372" s="741"/>
      <c r="T372" s="741"/>
      <c r="U372" s="741"/>
      <c r="V372" s="741"/>
      <c r="W372" s="741"/>
      <c r="X372" s="741"/>
      <c r="Y372" s="741"/>
      <c r="Z372" s="741"/>
      <c r="AA372" s="741"/>
      <c r="AB372" s="741"/>
      <c r="AC372" s="741"/>
      <c r="AD372" s="741"/>
      <c r="AE372" s="741"/>
      <c r="AF372" s="741"/>
      <c r="AG372" s="741"/>
      <c r="AH372" s="741"/>
      <c r="AI372" s="741"/>
      <c r="AJ372" s="741"/>
      <c r="AK372" s="741"/>
      <c r="AL372" s="741"/>
      <c r="AM372" s="741"/>
    </row>
    <row r="373" spans="1:39" ht="12.75" customHeight="1">
      <c r="A373" s="741"/>
      <c r="B373" s="741"/>
      <c r="C373" s="741"/>
      <c r="D373" s="741"/>
      <c r="E373" s="741"/>
      <c r="F373" s="741"/>
      <c r="G373" s="741"/>
      <c r="H373" s="741"/>
      <c r="I373" s="741"/>
      <c r="J373" s="741"/>
      <c r="K373" s="741"/>
      <c r="L373" s="741"/>
      <c r="M373" s="741"/>
      <c r="N373" s="741"/>
      <c r="O373" s="741"/>
      <c r="P373" s="741"/>
      <c r="Q373" s="741"/>
      <c r="R373" s="741"/>
      <c r="S373" s="741"/>
      <c r="T373" s="741"/>
      <c r="U373" s="741"/>
      <c r="V373" s="741"/>
      <c r="W373" s="741"/>
      <c r="X373" s="741"/>
      <c r="Y373" s="741"/>
      <c r="Z373" s="741"/>
      <c r="AA373" s="741"/>
      <c r="AB373" s="741"/>
      <c r="AC373" s="741"/>
      <c r="AD373" s="741"/>
      <c r="AE373" s="741"/>
      <c r="AF373" s="741"/>
      <c r="AG373" s="741"/>
      <c r="AH373" s="741"/>
      <c r="AI373" s="741"/>
      <c r="AJ373" s="741"/>
      <c r="AK373" s="741"/>
      <c r="AL373" s="741"/>
      <c r="AM373" s="741"/>
    </row>
    <row r="374" spans="1:39" ht="12.75" customHeight="1">
      <c r="A374" s="741"/>
      <c r="B374" s="741"/>
      <c r="C374" s="741"/>
      <c r="D374" s="741"/>
      <c r="E374" s="741"/>
      <c r="F374" s="741"/>
      <c r="G374" s="741"/>
      <c r="H374" s="741"/>
      <c r="I374" s="741"/>
      <c r="J374" s="741"/>
      <c r="K374" s="741"/>
      <c r="L374" s="741"/>
      <c r="M374" s="741"/>
      <c r="N374" s="741"/>
      <c r="O374" s="741"/>
      <c r="P374" s="741"/>
      <c r="Q374" s="741"/>
      <c r="R374" s="741"/>
      <c r="S374" s="741"/>
      <c r="T374" s="741"/>
      <c r="U374" s="741"/>
      <c r="V374" s="741"/>
      <c r="W374" s="741"/>
      <c r="X374" s="741"/>
      <c r="Y374" s="741"/>
      <c r="Z374" s="741"/>
      <c r="AA374" s="741"/>
      <c r="AB374" s="741"/>
      <c r="AC374" s="741"/>
      <c r="AD374" s="741"/>
      <c r="AE374" s="741"/>
      <c r="AF374" s="741"/>
      <c r="AG374" s="741"/>
      <c r="AH374" s="741"/>
      <c r="AI374" s="741"/>
      <c r="AJ374" s="741"/>
      <c r="AK374" s="741"/>
      <c r="AL374" s="741"/>
      <c r="AM374" s="741"/>
    </row>
    <row r="375" spans="1:39" ht="12.75" customHeight="1">
      <c r="A375" s="741"/>
      <c r="B375" s="741"/>
      <c r="C375" s="741"/>
      <c r="D375" s="741"/>
      <c r="E375" s="741"/>
      <c r="F375" s="741"/>
      <c r="G375" s="741"/>
      <c r="H375" s="741"/>
      <c r="I375" s="741"/>
      <c r="J375" s="741"/>
      <c r="K375" s="741"/>
      <c r="L375" s="741"/>
      <c r="M375" s="741"/>
      <c r="N375" s="741"/>
      <c r="O375" s="741"/>
      <c r="P375" s="741"/>
      <c r="Q375" s="741"/>
      <c r="R375" s="741"/>
      <c r="S375" s="741"/>
      <c r="T375" s="741"/>
      <c r="U375" s="741"/>
      <c r="V375" s="741"/>
      <c r="W375" s="741"/>
      <c r="X375" s="741"/>
      <c r="Y375" s="741"/>
      <c r="Z375" s="741"/>
      <c r="AA375" s="741"/>
      <c r="AB375" s="741"/>
      <c r="AC375" s="741"/>
      <c r="AD375" s="741"/>
      <c r="AE375" s="741"/>
      <c r="AF375" s="741"/>
      <c r="AG375" s="741"/>
      <c r="AH375" s="741"/>
      <c r="AI375" s="741"/>
      <c r="AJ375" s="741"/>
      <c r="AK375" s="741"/>
      <c r="AL375" s="741"/>
      <c r="AM375" s="741"/>
    </row>
    <row r="376" spans="1:39" ht="12.75" customHeight="1">
      <c r="A376" s="741"/>
      <c r="B376" s="741"/>
      <c r="C376" s="741"/>
      <c r="D376" s="741"/>
      <c r="E376" s="741"/>
      <c r="F376" s="741"/>
      <c r="G376" s="741"/>
      <c r="H376" s="741"/>
      <c r="I376" s="741"/>
      <c r="J376" s="741"/>
      <c r="K376" s="741"/>
      <c r="L376" s="741"/>
      <c r="M376" s="741"/>
      <c r="N376" s="741"/>
      <c r="O376" s="741"/>
      <c r="P376" s="741"/>
      <c r="Q376" s="741"/>
      <c r="R376" s="741"/>
      <c r="S376" s="741"/>
      <c r="T376" s="741"/>
      <c r="U376" s="741"/>
      <c r="V376" s="741"/>
      <c r="W376" s="741"/>
      <c r="X376" s="741"/>
      <c r="Y376" s="741"/>
      <c r="Z376" s="741"/>
      <c r="AA376" s="741"/>
      <c r="AB376" s="741"/>
      <c r="AC376" s="741"/>
      <c r="AD376" s="741"/>
      <c r="AE376" s="741"/>
      <c r="AF376" s="741"/>
      <c r="AG376" s="741"/>
      <c r="AH376" s="741"/>
      <c r="AI376" s="741"/>
      <c r="AJ376" s="741"/>
      <c r="AK376" s="741"/>
      <c r="AL376" s="741"/>
      <c r="AM376" s="741"/>
    </row>
    <row r="377" spans="1:39" ht="12.75" customHeight="1">
      <c r="A377" s="741"/>
      <c r="B377" s="741"/>
      <c r="C377" s="741"/>
      <c r="D377" s="741"/>
      <c r="E377" s="741"/>
      <c r="F377" s="741"/>
      <c r="G377" s="741"/>
      <c r="H377" s="741"/>
      <c r="I377" s="741"/>
      <c r="J377" s="741"/>
      <c r="K377" s="741"/>
      <c r="L377" s="741"/>
      <c r="M377" s="741"/>
      <c r="N377" s="741"/>
      <c r="O377" s="741"/>
      <c r="P377" s="741"/>
      <c r="Q377" s="741"/>
      <c r="R377" s="741"/>
      <c r="S377" s="741"/>
      <c r="T377" s="741"/>
      <c r="U377" s="741"/>
      <c r="V377" s="741"/>
      <c r="W377" s="741"/>
      <c r="X377" s="741"/>
      <c r="Y377" s="741"/>
      <c r="Z377" s="741"/>
      <c r="AA377" s="741"/>
      <c r="AB377" s="741"/>
      <c r="AC377" s="741"/>
      <c r="AD377" s="741"/>
      <c r="AE377" s="741"/>
      <c r="AF377" s="741"/>
      <c r="AG377" s="741"/>
      <c r="AH377" s="741"/>
      <c r="AI377" s="741"/>
      <c r="AJ377" s="741"/>
      <c r="AK377" s="741"/>
      <c r="AL377" s="741"/>
      <c r="AM377" s="741"/>
    </row>
    <row r="378" spans="1:39" ht="12.75" customHeight="1">
      <c r="A378" s="741"/>
      <c r="B378" s="741"/>
      <c r="C378" s="741"/>
      <c r="D378" s="741"/>
      <c r="E378" s="741"/>
      <c r="F378" s="741"/>
      <c r="G378" s="741"/>
      <c r="H378" s="741"/>
      <c r="I378" s="741"/>
      <c r="J378" s="741"/>
      <c r="K378" s="741"/>
      <c r="L378" s="741"/>
      <c r="M378" s="741"/>
      <c r="N378" s="741"/>
      <c r="O378" s="741"/>
      <c r="P378" s="741"/>
      <c r="Q378" s="741"/>
      <c r="R378" s="741"/>
      <c r="S378" s="741"/>
      <c r="T378" s="741"/>
      <c r="U378" s="741"/>
      <c r="V378" s="741"/>
      <c r="W378" s="741"/>
      <c r="X378" s="741"/>
      <c r="Y378" s="741"/>
      <c r="Z378" s="741"/>
      <c r="AA378" s="741"/>
      <c r="AB378" s="741"/>
      <c r="AC378" s="741"/>
      <c r="AD378" s="741"/>
      <c r="AE378" s="741"/>
      <c r="AF378" s="741"/>
      <c r="AG378" s="741"/>
      <c r="AH378" s="741"/>
      <c r="AI378" s="741"/>
      <c r="AJ378" s="741"/>
      <c r="AK378" s="741"/>
      <c r="AL378" s="741"/>
      <c r="AM378" s="741"/>
    </row>
    <row r="379" spans="1:39" ht="12.75" customHeight="1">
      <c r="A379" s="741"/>
      <c r="B379" s="741"/>
      <c r="C379" s="741"/>
      <c r="D379" s="741"/>
      <c r="E379" s="741"/>
      <c r="F379" s="741"/>
      <c r="G379" s="741"/>
      <c r="H379" s="741"/>
      <c r="I379" s="741"/>
      <c r="J379" s="741"/>
      <c r="K379" s="741"/>
      <c r="L379" s="741"/>
      <c r="M379" s="741"/>
      <c r="N379" s="741"/>
      <c r="O379" s="741"/>
      <c r="P379" s="741"/>
      <c r="Q379" s="741"/>
      <c r="R379" s="741"/>
      <c r="S379" s="741"/>
      <c r="T379" s="741"/>
      <c r="U379" s="741"/>
      <c r="V379" s="741"/>
      <c r="W379" s="741"/>
      <c r="X379" s="741"/>
      <c r="Y379" s="741"/>
      <c r="Z379" s="741"/>
      <c r="AA379" s="741"/>
      <c r="AB379" s="741"/>
      <c r="AC379" s="741"/>
      <c r="AD379" s="741"/>
      <c r="AE379" s="741"/>
      <c r="AF379" s="741"/>
      <c r="AG379" s="741"/>
      <c r="AH379" s="741"/>
      <c r="AI379" s="741"/>
      <c r="AJ379" s="741"/>
      <c r="AK379" s="741"/>
      <c r="AL379" s="741"/>
      <c r="AM379" s="741"/>
    </row>
    <row r="380" spans="1:39" ht="12.75" customHeight="1">
      <c r="A380" s="741"/>
      <c r="B380" s="741"/>
      <c r="C380" s="741"/>
      <c r="D380" s="741"/>
      <c r="E380" s="741"/>
      <c r="F380" s="741"/>
      <c r="G380" s="741"/>
      <c r="H380" s="741"/>
      <c r="I380" s="741"/>
      <c r="J380" s="741"/>
      <c r="K380" s="741"/>
      <c r="L380" s="741"/>
      <c r="M380" s="741"/>
      <c r="N380" s="741"/>
      <c r="O380" s="741"/>
      <c r="P380" s="741"/>
      <c r="Q380" s="741"/>
      <c r="R380" s="741"/>
      <c r="S380" s="741"/>
      <c r="T380" s="741"/>
      <c r="U380" s="741"/>
      <c r="V380" s="741"/>
      <c r="W380" s="741"/>
      <c r="X380" s="741"/>
      <c r="Y380" s="741"/>
      <c r="Z380" s="741"/>
      <c r="AA380" s="741"/>
      <c r="AB380" s="741"/>
      <c r="AC380" s="741"/>
      <c r="AD380" s="741"/>
      <c r="AE380" s="741"/>
      <c r="AF380" s="741"/>
      <c r="AG380" s="741"/>
      <c r="AH380" s="741"/>
      <c r="AI380" s="741"/>
      <c r="AJ380" s="741"/>
      <c r="AK380" s="741"/>
      <c r="AL380" s="741"/>
      <c r="AM380" s="741"/>
    </row>
    <row r="381" spans="1:39" ht="12.75" customHeight="1">
      <c r="A381" s="741"/>
      <c r="B381" s="741"/>
      <c r="C381" s="741"/>
      <c r="D381" s="741"/>
      <c r="E381" s="741"/>
      <c r="F381" s="741"/>
      <c r="G381" s="741"/>
      <c r="H381" s="741"/>
      <c r="I381" s="741"/>
      <c r="J381" s="741"/>
      <c r="K381" s="741"/>
      <c r="L381" s="741"/>
      <c r="M381" s="741"/>
      <c r="N381" s="741"/>
      <c r="O381" s="741"/>
      <c r="P381" s="741"/>
      <c r="Q381" s="741"/>
      <c r="R381" s="741"/>
      <c r="S381" s="741"/>
      <c r="T381" s="741"/>
      <c r="U381" s="741"/>
      <c r="V381" s="741"/>
      <c r="W381" s="741"/>
      <c r="X381" s="741"/>
      <c r="Y381" s="741"/>
      <c r="Z381" s="741"/>
      <c r="AA381" s="741"/>
      <c r="AB381" s="741"/>
      <c r="AC381" s="741"/>
      <c r="AD381" s="741"/>
      <c r="AE381" s="741"/>
      <c r="AF381" s="741"/>
      <c r="AG381" s="741"/>
      <c r="AH381" s="741"/>
      <c r="AI381" s="741"/>
      <c r="AJ381" s="741"/>
      <c r="AK381" s="741"/>
      <c r="AL381" s="741"/>
      <c r="AM381" s="741"/>
    </row>
    <row r="382" spans="1:39" ht="12.75" customHeight="1">
      <c r="A382" s="741"/>
      <c r="B382" s="741"/>
      <c r="C382" s="741"/>
      <c r="D382" s="741"/>
      <c r="E382" s="741"/>
      <c r="F382" s="741"/>
      <c r="G382" s="741"/>
      <c r="H382" s="741"/>
      <c r="I382" s="741"/>
      <c r="J382" s="741"/>
      <c r="K382" s="741"/>
      <c r="L382" s="741"/>
      <c r="M382" s="741"/>
      <c r="N382" s="741"/>
      <c r="O382" s="741"/>
      <c r="P382" s="741"/>
      <c r="Q382" s="741"/>
      <c r="R382" s="741"/>
      <c r="S382" s="741"/>
      <c r="T382" s="741"/>
      <c r="U382" s="741"/>
      <c r="V382" s="741"/>
      <c r="W382" s="741"/>
      <c r="X382" s="741"/>
      <c r="Y382" s="741"/>
      <c r="Z382" s="741"/>
      <c r="AA382" s="741"/>
      <c r="AB382" s="741"/>
      <c r="AC382" s="741"/>
      <c r="AD382" s="741"/>
      <c r="AE382" s="741"/>
      <c r="AF382" s="741"/>
      <c r="AG382" s="741"/>
      <c r="AH382" s="741"/>
      <c r="AI382" s="741"/>
      <c r="AJ382" s="741"/>
      <c r="AK382" s="741"/>
      <c r="AL382" s="741"/>
      <c r="AM382" s="741"/>
    </row>
    <row r="383" spans="1:39" ht="12.75" customHeight="1">
      <c r="A383" s="741"/>
      <c r="B383" s="741"/>
      <c r="C383" s="741"/>
      <c r="D383" s="741"/>
      <c r="E383" s="741"/>
      <c r="F383" s="741"/>
      <c r="G383" s="741"/>
      <c r="H383" s="741"/>
      <c r="I383" s="741"/>
      <c r="J383" s="741"/>
      <c r="K383" s="741"/>
      <c r="L383" s="741"/>
      <c r="M383" s="741"/>
      <c r="N383" s="741"/>
      <c r="O383" s="741"/>
      <c r="P383" s="741"/>
      <c r="Q383" s="741"/>
      <c r="R383" s="741"/>
      <c r="S383" s="741"/>
      <c r="T383" s="741"/>
      <c r="U383" s="741"/>
      <c r="V383" s="741"/>
      <c r="W383" s="741"/>
      <c r="X383" s="741"/>
      <c r="Y383" s="741"/>
      <c r="Z383" s="741"/>
      <c r="AA383" s="741"/>
      <c r="AB383" s="741"/>
      <c r="AC383" s="741"/>
      <c r="AD383" s="741"/>
      <c r="AE383" s="741"/>
      <c r="AF383" s="741"/>
      <c r="AG383" s="741"/>
      <c r="AH383" s="741"/>
      <c r="AI383" s="741"/>
      <c r="AJ383" s="741"/>
      <c r="AK383" s="741"/>
      <c r="AL383" s="741"/>
      <c r="AM383" s="741"/>
    </row>
    <row r="384" spans="1:39" ht="12.75" customHeight="1">
      <c r="A384" s="741"/>
      <c r="B384" s="741"/>
      <c r="C384" s="741"/>
      <c r="D384" s="741"/>
      <c r="E384" s="741"/>
      <c r="F384" s="741"/>
      <c r="G384" s="741"/>
      <c r="H384" s="741"/>
      <c r="I384" s="741"/>
      <c r="J384" s="741"/>
      <c r="K384" s="741"/>
      <c r="L384" s="741"/>
      <c r="M384" s="741"/>
      <c r="N384" s="741"/>
      <c r="O384" s="741"/>
      <c r="P384" s="741"/>
      <c r="Q384" s="741"/>
      <c r="R384" s="741"/>
      <c r="S384" s="741"/>
      <c r="T384" s="741"/>
      <c r="U384" s="741"/>
      <c r="V384" s="741"/>
      <c r="W384" s="741"/>
      <c r="X384" s="741"/>
      <c r="Y384" s="741"/>
      <c r="Z384" s="741"/>
      <c r="AA384" s="741"/>
      <c r="AB384" s="741"/>
      <c r="AC384" s="741"/>
      <c r="AD384" s="741"/>
      <c r="AE384" s="741"/>
      <c r="AF384" s="741"/>
      <c r="AG384" s="741"/>
      <c r="AH384" s="741"/>
      <c r="AI384" s="741"/>
      <c r="AJ384" s="741"/>
      <c r="AK384" s="741"/>
      <c r="AL384" s="741"/>
      <c r="AM384" s="741"/>
    </row>
    <row r="385" spans="1:39" ht="12.75" customHeight="1">
      <c r="A385" s="741"/>
      <c r="B385" s="741"/>
      <c r="C385" s="741"/>
      <c r="D385" s="741"/>
      <c r="E385" s="741"/>
      <c r="F385" s="741"/>
      <c r="G385" s="741"/>
      <c r="H385" s="741"/>
      <c r="I385" s="741"/>
      <c r="J385" s="741"/>
      <c r="K385" s="741"/>
      <c r="L385" s="741"/>
      <c r="M385" s="741"/>
      <c r="N385" s="741"/>
      <c r="O385" s="741"/>
      <c r="P385" s="741"/>
      <c r="Q385" s="741"/>
      <c r="R385" s="741"/>
      <c r="S385" s="741"/>
      <c r="T385" s="741"/>
      <c r="U385" s="741"/>
      <c r="V385" s="741"/>
      <c r="W385" s="741"/>
      <c r="X385" s="741"/>
      <c r="Y385" s="741"/>
      <c r="Z385" s="741"/>
      <c r="AA385" s="741"/>
      <c r="AB385" s="741"/>
      <c r="AC385" s="741"/>
      <c r="AD385" s="741"/>
      <c r="AE385" s="741"/>
      <c r="AF385" s="741"/>
      <c r="AG385" s="741"/>
      <c r="AH385" s="741"/>
      <c r="AI385" s="741"/>
      <c r="AJ385" s="741"/>
      <c r="AK385" s="741"/>
      <c r="AL385" s="741"/>
      <c r="AM385" s="741"/>
    </row>
    <row r="386" spans="1:39" ht="12.75" customHeight="1">
      <c r="A386" s="741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1"/>
      <c r="P386" s="741"/>
      <c r="Q386" s="741"/>
      <c r="R386" s="741"/>
      <c r="S386" s="741"/>
      <c r="T386" s="741"/>
      <c r="U386" s="741"/>
      <c r="V386" s="741"/>
      <c r="W386" s="741"/>
      <c r="X386" s="741"/>
      <c r="Y386" s="741"/>
      <c r="Z386" s="741"/>
      <c r="AA386" s="741"/>
      <c r="AB386" s="741"/>
      <c r="AC386" s="741"/>
      <c r="AD386" s="741"/>
      <c r="AE386" s="741"/>
      <c r="AF386" s="741"/>
      <c r="AG386" s="741"/>
      <c r="AH386" s="741"/>
      <c r="AI386" s="741"/>
      <c r="AJ386" s="741"/>
      <c r="AK386" s="741"/>
      <c r="AL386" s="741"/>
      <c r="AM386" s="741"/>
    </row>
    <row r="387" spans="1:39" ht="12.75" customHeight="1">
      <c r="A387" s="741"/>
      <c r="B387" s="741"/>
      <c r="C387" s="741"/>
      <c r="D387" s="741"/>
      <c r="E387" s="741"/>
      <c r="F387" s="741"/>
      <c r="G387" s="741"/>
      <c r="H387" s="741"/>
      <c r="I387" s="741"/>
      <c r="J387" s="741"/>
      <c r="K387" s="741"/>
      <c r="L387" s="741"/>
      <c r="M387" s="741"/>
      <c r="N387" s="741"/>
      <c r="O387" s="741"/>
      <c r="P387" s="741"/>
      <c r="Q387" s="741"/>
      <c r="R387" s="741"/>
      <c r="S387" s="741"/>
      <c r="T387" s="741"/>
      <c r="U387" s="741"/>
      <c r="V387" s="741"/>
      <c r="W387" s="741"/>
      <c r="X387" s="741"/>
      <c r="Y387" s="741"/>
      <c r="Z387" s="741"/>
      <c r="AA387" s="741"/>
      <c r="AB387" s="741"/>
      <c r="AC387" s="741"/>
      <c r="AD387" s="741"/>
      <c r="AE387" s="741"/>
      <c r="AF387" s="741"/>
      <c r="AG387" s="741"/>
      <c r="AH387" s="741"/>
      <c r="AI387" s="741"/>
      <c r="AJ387" s="741"/>
      <c r="AK387" s="741"/>
      <c r="AL387" s="741"/>
      <c r="AM387" s="741"/>
    </row>
    <row r="388" spans="1:39" ht="12.75" customHeight="1">
      <c r="A388" s="741"/>
      <c r="B388" s="741"/>
      <c r="C388" s="741"/>
      <c r="D388" s="741"/>
      <c r="E388" s="741"/>
      <c r="F388" s="741"/>
      <c r="G388" s="741"/>
      <c r="H388" s="741"/>
      <c r="I388" s="741"/>
      <c r="J388" s="741"/>
      <c r="K388" s="741"/>
      <c r="L388" s="741"/>
      <c r="M388" s="741"/>
      <c r="N388" s="741"/>
      <c r="O388" s="741"/>
      <c r="P388" s="741"/>
      <c r="Q388" s="741"/>
      <c r="R388" s="741"/>
      <c r="S388" s="741"/>
      <c r="T388" s="741"/>
      <c r="U388" s="741"/>
      <c r="V388" s="741"/>
      <c r="W388" s="741"/>
      <c r="X388" s="741"/>
      <c r="Y388" s="741"/>
      <c r="Z388" s="741"/>
      <c r="AA388" s="741"/>
      <c r="AB388" s="741"/>
      <c r="AC388" s="741"/>
      <c r="AD388" s="741"/>
      <c r="AE388" s="741"/>
      <c r="AF388" s="741"/>
      <c r="AG388" s="741"/>
      <c r="AH388" s="741"/>
      <c r="AI388" s="741"/>
      <c r="AJ388" s="741"/>
      <c r="AK388" s="741"/>
      <c r="AL388" s="741"/>
      <c r="AM388" s="741"/>
    </row>
    <row r="389" spans="1:39" ht="12.75" customHeight="1">
      <c r="A389" s="741"/>
      <c r="B389" s="741"/>
      <c r="C389" s="741"/>
      <c r="D389" s="741"/>
      <c r="E389" s="741"/>
      <c r="F389" s="741"/>
      <c r="G389" s="741"/>
      <c r="H389" s="741"/>
      <c r="I389" s="741"/>
      <c r="J389" s="741"/>
      <c r="K389" s="741"/>
      <c r="L389" s="741"/>
      <c r="M389" s="741"/>
      <c r="N389" s="741"/>
      <c r="O389" s="741"/>
      <c r="P389" s="741"/>
      <c r="Q389" s="741"/>
      <c r="R389" s="741"/>
      <c r="S389" s="741"/>
      <c r="T389" s="741"/>
      <c r="U389" s="741"/>
      <c r="V389" s="741"/>
      <c r="W389" s="741"/>
      <c r="X389" s="741"/>
      <c r="Y389" s="741"/>
      <c r="Z389" s="741"/>
      <c r="AA389" s="741"/>
      <c r="AB389" s="741"/>
      <c r="AC389" s="741"/>
      <c r="AD389" s="741"/>
      <c r="AE389" s="741"/>
      <c r="AF389" s="741"/>
      <c r="AG389" s="741"/>
      <c r="AH389" s="741"/>
      <c r="AI389" s="741"/>
      <c r="AJ389" s="741"/>
      <c r="AK389" s="741"/>
      <c r="AL389" s="741"/>
      <c r="AM389" s="741"/>
    </row>
    <row r="390" spans="1:39" ht="12.75" customHeight="1">
      <c r="A390" s="741"/>
      <c r="B390" s="741"/>
      <c r="C390" s="741"/>
      <c r="D390" s="741"/>
      <c r="E390" s="741"/>
      <c r="F390" s="741"/>
      <c r="G390" s="741"/>
      <c r="H390" s="741"/>
      <c r="I390" s="741"/>
      <c r="J390" s="741"/>
      <c r="K390" s="741"/>
      <c r="L390" s="741"/>
      <c r="M390" s="741"/>
      <c r="N390" s="741"/>
      <c r="O390" s="741"/>
      <c r="P390" s="741"/>
      <c r="Q390" s="741"/>
      <c r="R390" s="741"/>
      <c r="S390" s="741"/>
      <c r="T390" s="741"/>
      <c r="U390" s="741"/>
      <c r="V390" s="741"/>
      <c r="W390" s="741"/>
      <c r="X390" s="741"/>
      <c r="Y390" s="741"/>
      <c r="Z390" s="741"/>
      <c r="AA390" s="741"/>
      <c r="AB390" s="741"/>
      <c r="AC390" s="741"/>
      <c r="AD390" s="741"/>
      <c r="AE390" s="741"/>
      <c r="AF390" s="741"/>
      <c r="AG390" s="741"/>
      <c r="AH390" s="741"/>
      <c r="AI390" s="741"/>
      <c r="AJ390" s="741"/>
      <c r="AK390" s="741"/>
      <c r="AL390" s="741"/>
      <c r="AM390" s="741"/>
    </row>
    <row r="391" spans="1:39" ht="12.75" customHeight="1">
      <c r="A391" s="741"/>
      <c r="B391" s="741"/>
      <c r="C391" s="741"/>
      <c r="D391" s="741"/>
      <c r="E391" s="741"/>
      <c r="F391" s="741"/>
      <c r="G391" s="741"/>
      <c r="H391" s="741"/>
      <c r="I391" s="741"/>
      <c r="J391" s="741"/>
      <c r="K391" s="741"/>
      <c r="L391" s="741"/>
      <c r="M391" s="741"/>
      <c r="N391" s="741"/>
      <c r="O391" s="741"/>
      <c r="P391" s="741"/>
      <c r="Q391" s="741"/>
      <c r="R391" s="741"/>
      <c r="S391" s="741"/>
      <c r="T391" s="741"/>
      <c r="U391" s="741"/>
      <c r="V391" s="741"/>
      <c r="W391" s="741"/>
      <c r="X391" s="741"/>
      <c r="Y391" s="741"/>
      <c r="Z391" s="741"/>
      <c r="AA391" s="741"/>
      <c r="AB391" s="741"/>
      <c r="AC391" s="741"/>
      <c r="AD391" s="741"/>
      <c r="AE391" s="741"/>
      <c r="AF391" s="741"/>
      <c r="AG391" s="741"/>
      <c r="AH391" s="741"/>
      <c r="AI391" s="741"/>
      <c r="AJ391" s="741"/>
      <c r="AK391" s="741"/>
      <c r="AL391" s="741"/>
      <c r="AM391" s="741"/>
    </row>
    <row r="392" spans="1:39" ht="12.75" customHeight="1">
      <c r="A392" s="741"/>
      <c r="B392" s="741"/>
      <c r="C392" s="741"/>
      <c r="D392" s="741"/>
      <c r="E392" s="741"/>
      <c r="F392" s="741"/>
      <c r="G392" s="741"/>
      <c r="H392" s="741"/>
      <c r="I392" s="741"/>
      <c r="J392" s="741"/>
      <c r="K392" s="741"/>
      <c r="L392" s="741"/>
      <c r="M392" s="741"/>
      <c r="N392" s="741"/>
      <c r="O392" s="741"/>
      <c r="P392" s="741"/>
      <c r="Q392" s="741"/>
      <c r="R392" s="741"/>
      <c r="S392" s="741"/>
      <c r="T392" s="741"/>
      <c r="U392" s="741"/>
      <c r="V392" s="741"/>
      <c r="W392" s="741"/>
      <c r="X392" s="741"/>
      <c r="Y392" s="741"/>
      <c r="Z392" s="741"/>
      <c r="AA392" s="741"/>
      <c r="AB392" s="741"/>
      <c r="AC392" s="741"/>
      <c r="AD392" s="741"/>
      <c r="AE392" s="741"/>
      <c r="AF392" s="741"/>
      <c r="AG392" s="741"/>
      <c r="AH392" s="741"/>
      <c r="AI392" s="741"/>
      <c r="AJ392" s="741"/>
      <c r="AK392" s="741"/>
      <c r="AL392" s="741"/>
      <c r="AM392" s="741"/>
    </row>
    <row r="393" spans="1:39" ht="12.75" customHeight="1">
      <c r="A393" s="741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1"/>
      <c r="P393" s="741"/>
      <c r="Q393" s="741"/>
      <c r="R393" s="741"/>
      <c r="S393" s="741"/>
      <c r="T393" s="741"/>
      <c r="U393" s="741"/>
      <c r="V393" s="741"/>
      <c r="W393" s="741"/>
      <c r="X393" s="741"/>
      <c r="Y393" s="741"/>
      <c r="Z393" s="741"/>
      <c r="AA393" s="741"/>
      <c r="AB393" s="741"/>
      <c r="AC393" s="741"/>
      <c r="AD393" s="741"/>
      <c r="AE393" s="741"/>
      <c r="AF393" s="741"/>
      <c r="AG393" s="741"/>
      <c r="AH393" s="741"/>
      <c r="AI393" s="741"/>
      <c r="AJ393" s="741"/>
      <c r="AK393" s="741"/>
      <c r="AL393" s="741"/>
      <c r="AM393" s="741"/>
    </row>
    <row r="394" spans="1:39" ht="12.75" customHeight="1">
      <c r="A394" s="741"/>
      <c r="B394" s="741"/>
      <c r="C394" s="741"/>
      <c r="D394" s="741"/>
      <c r="E394" s="741"/>
      <c r="F394" s="741"/>
      <c r="G394" s="741"/>
      <c r="H394" s="741"/>
      <c r="I394" s="741"/>
      <c r="J394" s="741"/>
      <c r="K394" s="741"/>
      <c r="L394" s="741"/>
      <c r="M394" s="741"/>
      <c r="N394" s="741"/>
      <c r="O394" s="741"/>
      <c r="P394" s="741"/>
      <c r="Q394" s="741"/>
      <c r="R394" s="741"/>
      <c r="S394" s="741"/>
      <c r="T394" s="741"/>
      <c r="U394" s="741"/>
      <c r="V394" s="741"/>
      <c r="W394" s="741"/>
      <c r="X394" s="741"/>
      <c r="Y394" s="741"/>
      <c r="Z394" s="741"/>
      <c r="AA394" s="741"/>
      <c r="AB394" s="741"/>
      <c r="AC394" s="741"/>
      <c r="AD394" s="741"/>
      <c r="AE394" s="741"/>
      <c r="AF394" s="741"/>
      <c r="AG394" s="741"/>
      <c r="AH394" s="741"/>
      <c r="AI394" s="741"/>
      <c r="AJ394" s="741"/>
      <c r="AK394" s="741"/>
      <c r="AL394" s="741"/>
      <c r="AM394" s="741"/>
    </row>
    <row r="395" spans="1:39" ht="12.75" customHeight="1">
      <c r="A395" s="741"/>
      <c r="B395" s="741"/>
      <c r="C395" s="741"/>
      <c r="D395" s="741"/>
      <c r="E395" s="741"/>
      <c r="F395" s="741"/>
      <c r="G395" s="741"/>
      <c r="H395" s="741"/>
      <c r="I395" s="741"/>
      <c r="J395" s="741"/>
      <c r="K395" s="741"/>
      <c r="L395" s="741"/>
      <c r="M395" s="741"/>
      <c r="N395" s="741"/>
      <c r="O395" s="741"/>
      <c r="P395" s="741"/>
      <c r="Q395" s="741"/>
      <c r="R395" s="741"/>
      <c r="S395" s="741"/>
      <c r="T395" s="741"/>
      <c r="U395" s="741"/>
      <c r="V395" s="741"/>
      <c r="W395" s="741"/>
      <c r="X395" s="741"/>
      <c r="Y395" s="741"/>
      <c r="Z395" s="741"/>
      <c r="AA395" s="741"/>
      <c r="AB395" s="741"/>
      <c r="AC395" s="741"/>
      <c r="AD395" s="741"/>
      <c r="AE395" s="741"/>
      <c r="AF395" s="741"/>
      <c r="AG395" s="741"/>
      <c r="AH395" s="741"/>
      <c r="AI395" s="741"/>
      <c r="AJ395" s="741"/>
      <c r="AK395" s="741"/>
      <c r="AL395" s="741"/>
      <c r="AM395" s="741"/>
    </row>
    <row r="396" spans="1:39" ht="12.75" customHeight="1">
      <c r="A396" s="741"/>
      <c r="B396" s="741"/>
      <c r="C396" s="741"/>
      <c r="D396" s="741"/>
      <c r="E396" s="741"/>
      <c r="F396" s="741"/>
      <c r="G396" s="741"/>
      <c r="H396" s="741"/>
      <c r="I396" s="741"/>
      <c r="J396" s="741"/>
      <c r="K396" s="741"/>
      <c r="L396" s="741"/>
      <c r="M396" s="741"/>
      <c r="N396" s="741"/>
      <c r="O396" s="741"/>
      <c r="P396" s="741"/>
      <c r="Q396" s="741"/>
      <c r="R396" s="741"/>
      <c r="S396" s="741"/>
      <c r="T396" s="741"/>
      <c r="U396" s="741"/>
      <c r="V396" s="741"/>
      <c r="W396" s="741"/>
      <c r="X396" s="741"/>
      <c r="Y396" s="741"/>
      <c r="Z396" s="741"/>
      <c r="AA396" s="741"/>
      <c r="AB396" s="741"/>
      <c r="AC396" s="741"/>
      <c r="AD396" s="741"/>
      <c r="AE396" s="741"/>
      <c r="AF396" s="741"/>
      <c r="AG396" s="741"/>
      <c r="AH396" s="741"/>
      <c r="AI396" s="741"/>
      <c r="AJ396" s="741"/>
      <c r="AK396" s="741"/>
      <c r="AL396" s="741"/>
      <c r="AM396" s="741"/>
    </row>
    <row r="397" spans="1:39" ht="12.75" customHeight="1">
      <c r="A397" s="741"/>
      <c r="B397" s="741"/>
      <c r="C397" s="741"/>
      <c r="D397" s="741"/>
      <c r="E397" s="741"/>
      <c r="F397" s="741"/>
      <c r="G397" s="741"/>
      <c r="H397" s="741"/>
      <c r="I397" s="741"/>
      <c r="J397" s="741"/>
      <c r="K397" s="741"/>
      <c r="L397" s="741"/>
      <c r="M397" s="741"/>
      <c r="N397" s="741"/>
      <c r="O397" s="741"/>
      <c r="P397" s="741"/>
      <c r="Q397" s="741"/>
      <c r="R397" s="741"/>
      <c r="S397" s="741"/>
      <c r="T397" s="741"/>
      <c r="U397" s="741"/>
      <c r="V397" s="741"/>
      <c r="W397" s="741"/>
      <c r="X397" s="741"/>
      <c r="Y397" s="741"/>
      <c r="Z397" s="741"/>
      <c r="AA397" s="741"/>
      <c r="AB397" s="741"/>
      <c r="AC397" s="741"/>
      <c r="AD397" s="741"/>
      <c r="AE397" s="741"/>
      <c r="AF397" s="741"/>
      <c r="AG397" s="741"/>
      <c r="AH397" s="741"/>
      <c r="AI397" s="741"/>
      <c r="AJ397" s="741"/>
      <c r="AK397" s="741"/>
      <c r="AL397" s="741"/>
      <c r="AM397" s="741"/>
    </row>
    <row r="398" spans="1:39" ht="12.75" customHeight="1">
      <c r="A398" s="741"/>
      <c r="B398" s="741"/>
      <c r="C398" s="741"/>
      <c r="D398" s="741"/>
      <c r="E398" s="741"/>
      <c r="F398" s="741"/>
      <c r="G398" s="741"/>
      <c r="H398" s="741"/>
      <c r="I398" s="741"/>
      <c r="J398" s="741"/>
      <c r="K398" s="741"/>
      <c r="L398" s="741"/>
      <c r="M398" s="741"/>
      <c r="N398" s="741"/>
      <c r="O398" s="741"/>
      <c r="P398" s="741"/>
      <c r="Q398" s="741"/>
      <c r="R398" s="741"/>
      <c r="S398" s="741"/>
      <c r="T398" s="741"/>
      <c r="U398" s="741"/>
      <c r="V398" s="741"/>
      <c r="W398" s="741"/>
      <c r="X398" s="741"/>
      <c r="Y398" s="741"/>
      <c r="Z398" s="741"/>
      <c r="AA398" s="741"/>
      <c r="AB398" s="741"/>
      <c r="AC398" s="741"/>
      <c r="AD398" s="741"/>
      <c r="AE398" s="741"/>
      <c r="AF398" s="741"/>
      <c r="AG398" s="741"/>
      <c r="AH398" s="741"/>
      <c r="AI398" s="741"/>
      <c r="AJ398" s="741"/>
      <c r="AK398" s="741"/>
      <c r="AL398" s="741"/>
      <c r="AM398" s="741"/>
    </row>
    <row r="399" spans="1:39" ht="12.75" customHeight="1">
      <c r="A399" s="741"/>
      <c r="B399" s="741"/>
      <c r="C399" s="741"/>
      <c r="D399" s="741"/>
      <c r="E399" s="741"/>
      <c r="F399" s="741"/>
      <c r="G399" s="741"/>
      <c r="H399" s="741"/>
      <c r="I399" s="741"/>
      <c r="J399" s="741"/>
      <c r="K399" s="741"/>
      <c r="L399" s="741"/>
      <c r="M399" s="741"/>
      <c r="N399" s="741"/>
      <c r="O399" s="741"/>
      <c r="P399" s="741"/>
      <c r="Q399" s="741"/>
      <c r="R399" s="741"/>
      <c r="S399" s="741"/>
      <c r="T399" s="741"/>
      <c r="U399" s="741"/>
      <c r="V399" s="741"/>
      <c r="W399" s="741"/>
      <c r="X399" s="741"/>
      <c r="Y399" s="741"/>
      <c r="Z399" s="741"/>
      <c r="AA399" s="741"/>
      <c r="AB399" s="741"/>
      <c r="AC399" s="741"/>
      <c r="AD399" s="741"/>
      <c r="AE399" s="741"/>
      <c r="AF399" s="741"/>
      <c r="AG399" s="741"/>
      <c r="AH399" s="741"/>
      <c r="AI399" s="741"/>
      <c r="AJ399" s="741"/>
      <c r="AK399" s="741"/>
      <c r="AL399" s="741"/>
      <c r="AM399" s="741"/>
    </row>
    <row r="400" spans="1:39" ht="12.75" customHeight="1">
      <c r="A400" s="741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1"/>
      <c r="P400" s="741"/>
      <c r="Q400" s="741"/>
      <c r="R400" s="741"/>
      <c r="S400" s="741"/>
      <c r="T400" s="741"/>
      <c r="U400" s="741"/>
      <c r="V400" s="741"/>
      <c r="W400" s="741"/>
      <c r="X400" s="741"/>
      <c r="Y400" s="741"/>
      <c r="Z400" s="741"/>
      <c r="AA400" s="741"/>
      <c r="AB400" s="741"/>
      <c r="AC400" s="741"/>
      <c r="AD400" s="741"/>
      <c r="AE400" s="741"/>
      <c r="AF400" s="741"/>
      <c r="AG400" s="741"/>
      <c r="AH400" s="741"/>
      <c r="AI400" s="741"/>
      <c r="AJ400" s="741"/>
      <c r="AK400" s="741"/>
      <c r="AL400" s="741"/>
      <c r="AM400" s="741"/>
    </row>
    <row r="401" spans="1:39" ht="12.75" customHeight="1">
      <c r="A401" s="741"/>
      <c r="B401" s="741"/>
      <c r="C401" s="741"/>
      <c r="D401" s="741"/>
      <c r="E401" s="741"/>
      <c r="F401" s="741"/>
      <c r="G401" s="741"/>
      <c r="H401" s="741"/>
      <c r="I401" s="741"/>
      <c r="J401" s="741"/>
      <c r="K401" s="741"/>
      <c r="L401" s="741"/>
      <c r="M401" s="741"/>
      <c r="N401" s="741"/>
      <c r="O401" s="741"/>
      <c r="P401" s="741"/>
      <c r="Q401" s="741"/>
      <c r="R401" s="741"/>
      <c r="S401" s="741"/>
      <c r="T401" s="741"/>
      <c r="U401" s="741"/>
      <c r="V401" s="741"/>
      <c r="W401" s="741"/>
      <c r="X401" s="741"/>
      <c r="Y401" s="741"/>
      <c r="Z401" s="741"/>
      <c r="AA401" s="741"/>
      <c r="AB401" s="741"/>
      <c r="AC401" s="741"/>
      <c r="AD401" s="741"/>
      <c r="AE401" s="741"/>
      <c r="AF401" s="741"/>
      <c r="AG401" s="741"/>
      <c r="AH401" s="741"/>
      <c r="AI401" s="741"/>
      <c r="AJ401" s="741"/>
      <c r="AK401" s="741"/>
      <c r="AL401" s="741"/>
      <c r="AM401" s="741"/>
    </row>
    <row r="402" spans="1:39" ht="12.75" customHeight="1">
      <c r="A402" s="741"/>
      <c r="B402" s="741"/>
      <c r="C402" s="741"/>
      <c r="D402" s="741"/>
      <c r="E402" s="741"/>
      <c r="F402" s="741"/>
      <c r="G402" s="741"/>
      <c r="H402" s="741"/>
      <c r="I402" s="741"/>
      <c r="J402" s="741"/>
      <c r="K402" s="741"/>
      <c r="L402" s="741"/>
      <c r="M402" s="741"/>
      <c r="N402" s="741"/>
      <c r="O402" s="741"/>
      <c r="P402" s="741"/>
      <c r="Q402" s="741"/>
      <c r="R402" s="741"/>
      <c r="S402" s="741"/>
      <c r="T402" s="741"/>
      <c r="U402" s="741"/>
      <c r="V402" s="741"/>
      <c r="W402" s="741"/>
      <c r="X402" s="741"/>
      <c r="Y402" s="741"/>
      <c r="Z402" s="741"/>
      <c r="AA402" s="741"/>
      <c r="AB402" s="741"/>
      <c r="AC402" s="741"/>
      <c r="AD402" s="741"/>
      <c r="AE402" s="741"/>
      <c r="AF402" s="741"/>
      <c r="AG402" s="741"/>
      <c r="AH402" s="741"/>
      <c r="AI402" s="741"/>
      <c r="AJ402" s="741"/>
      <c r="AK402" s="741"/>
      <c r="AL402" s="741"/>
      <c r="AM402" s="741"/>
    </row>
    <row r="403" spans="1:39" ht="12.75" customHeight="1">
      <c r="A403" s="741"/>
      <c r="B403" s="741"/>
      <c r="C403" s="741"/>
      <c r="D403" s="741"/>
      <c r="E403" s="741"/>
      <c r="F403" s="741"/>
      <c r="G403" s="741"/>
      <c r="H403" s="741"/>
      <c r="I403" s="741"/>
      <c r="J403" s="741"/>
      <c r="K403" s="741"/>
      <c r="L403" s="741"/>
      <c r="M403" s="741"/>
      <c r="N403" s="741"/>
      <c r="O403" s="741"/>
      <c r="P403" s="741"/>
      <c r="Q403" s="741"/>
      <c r="R403" s="741"/>
      <c r="S403" s="741"/>
      <c r="T403" s="741"/>
      <c r="U403" s="741"/>
      <c r="V403" s="741"/>
      <c r="W403" s="741"/>
      <c r="X403" s="741"/>
      <c r="Y403" s="741"/>
      <c r="Z403" s="741"/>
      <c r="AA403" s="741"/>
      <c r="AB403" s="741"/>
      <c r="AC403" s="741"/>
      <c r="AD403" s="741"/>
      <c r="AE403" s="741"/>
      <c r="AF403" s="741"/>
      <c r="AG403" s="741"/>
      <c r="AH403" s="741"/>
      <c r="AI403" s="741"/>
      <c r="AJ403" s="741"/>
      <c r="AK403" s="741"/>
      <c r="AL403" s="741"/>
      <c r="AM403" s="741"/>
    </row>
    <row r="404" spans="1:39" ht="12.75" customHeight="1">
      <c r="A404" s="741"/>
      <c r="B404" s="741"/>
      <c r="C404" s="741"/>
      <c r="D404" s="741"/>
      <c r="E404" s="741"/>
      <c r="F404" s="741"/>
      <c r="G404" s="741"/>
      <c r="H404" s="741"/>
      <c r="I404" s="741"/>
      <c r="J404" s="741"/>
      <c r="K404" s="741"/>
      <c r="L404" s="741"/>
      <c r="M404" s="741"/>
      <c r="N404" s="741"/>
      <c r="O404" s="741"/>
      <c r="P404" s="741"/>
      <c r="Q404" s="741"/>
      <c r="R404" s="741"/>
      <c r="S404" s="741"/>
      <c r="T404" s="741"/>
      <c r="U404" s="741"/>
      <c r="V404" s="741"/>
      <c r="W404" s="741"/>
      <c r="X404" s="741"/>
      <c r="Y404" s="741"/>
      <c r="Z404" s="741"/>
      <c r="AA404" s="741"/>
      <c r="AB404" s="741"/>
      <c r="AC404" s="741"/>
      <c r="AD404" s="741"/>
      <c r="AE404" s="741"/>
      <c r="AF404" s="741"/>
      <c r="AG404" s="741"/>
      <c r="AH404" s="741"/>
      <c r="AI404" s="741"/>
      <c r="AJ404" s="741"/>
      <c r="AK404" s="741"/>
      <c r="AL404" s="741"/>
      <c r="AM404" s="741"/>
    </row>
    <row r="405" spans="1:39" ht="12.75" customHeight="1">
      <c r="A405" s="741"/>
      <c r="B405" s="741"/>
      <c r="C405" s="741"/>
      <c r="D405" s="741"/>
      <c r="E405" s="741"/>
      <c r="F405" s="741"/>
      <c r="G405" s="741"/>
      <c r="H405" s="741"/>
      <c r="I405" s="741"/>
      <c r="J405" s="741"/>
      <c r="K405" s="741"/>
      <c r="L405" s="741"/>
      <c r="M405" s="741"/>
      <c r="N405" s="741"/>
      <c r="O405" s="741"/>
      <c r="P405" s="741"/>
      <c r="Q405" s="741"/>
      <c r="R405" s="741"/>
      <c r="S405" s="741"/>
      <c r="T405" s="741"/>
      <c r="U405" s="741"/>
      <c r="V405" s="741"/>
      <c r="W405" s="741"/>
      <c r="X405" s="741"/>
      <c r="Y405" s="741"/>
      <c r="Z405" s="741"/>
      <c r="AA405" s="741"/>
      <c r="AB405" s="741"/>
      <c r="AC405" s="741"/>
      <c r="AD405" s="741"/>
      <c r="AE405" s="741"/>
      <c r="AF405" s="741"/>
      <c r="AG405" s="741"/>
      <c r="AH405" s="741"/>
      <c r="AI405" s="741"/>
      <c r="AJ405" s="741"/>
      <c r="AK405" s="741"/>
      <c r="AL405" s="741"/>
      <c r="AM405" s="741"/>
    </row>
    <row r="406" spans="1:39" ht="12.75" customHeight="1">
      <c r="A406" s="741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1"/>
      <c r="P406" s="741"/>
      <c r="Q406" s="741"/>
      <c r="R406" s="741"/>
      <c r="S406" s="741"/>
      <c r="T406" s="741"/>
      <c r="U406" s="741"/>
      <c r="V406" s="741"/>
      <c r="W406" s="741"/>
      <c r="X406" s="741"/>
      <c r="Y406" s="741"/>
      <c r="Z406" s="741"/>
      <c r="AA406" s="741"/>
      <c r="AB406" s="741"/>
      <c r="AC406" s="741"/>
      <c r="AD406" s="741"/>
      <c r="AE406" s="741"/>
      <c r="AF406" s="741"/>
      <c r="AG406" s="741"/>
      <c r="AH406" s="741"/>
      <c r="AI406" s="741"/>
      <c r="AJ406" s="741"/>
      <c r="AK406" s="741"/>
      <c r="AL406" s="741"/>
      <c r="AM406" s="741"/>
    </row>
    <row r="407" spans="1:39" ht="12.75" customHeight="1">
      <c r="A407" s="741"/>
      <c r="B407" s="741"/>
      <c r="C407" s="741"/>
      <c r="D407" s="741"/>
      <c r="E407" s="741"/>
      <c r="F407" s="741"/>
      <c r="G407" s="741"/>
      <c r="H407" s="741"/>
      <c r="I407" s="741"/>
      <c r="J407" s="741"/>
      <c r="K407" s="741"/>
      <c r="L407" s="741"/>
      <c r="M407" s="741"/>
      <c r="N407" s="741"/>
      <c r="O407" s="741"/>
      <c r="P407" s="741"/>
      <c r="Q407" s="741"/>
      <c r="R407" s="741"/>
      <c r="S407" s="741"/>
      <c r="T407" s="741"/>
      <c r="U407" s="741"/>
      <c r="V407" s="741"/>
      <c r="W407" s="741"/>
      <c r="X407" s="741"/>
      <c r="Y407" s="741"/>
      <c r="Z407" s="741"/>
      <c r="AA407" s="741"/>
      <c r="AB407" s="741"/>
      <c r="AC407" s="741"/>
      <c r="AD407" s="741"/>
      <c r="AE407" s="741"/>
      <c r="AF407" s="741"/>
      <c r="AG407" s="741"/>
      <c r="AH407" s="741"/>
      <c r="AI407" s="741"/>
      <c r="AJ407" s="741"/>
      <c r="AK407" s="741"/>
      <c r="AL407" s="741"/>
      <c r="AM407" s="741"/>
    </row>
    <row r="408" spans="1:39" ht="12.75" customHeight="1">
      <c r="A408" s="741"/>
      <c r="B408" s="741"/>
      <c r="C408" s="741"/>
      <c r="D408" s="741"/>
      <c r="E408" s="741"/>
      <c r="F408" s="741"/>
      <c r="G408" s="741"/>
      <c r="H408" s="741"/>
      <c r="I408" s="741"/>
      <c r="J408" s="741"/>
      <c r="K408" s="741"/>
      <c r="L408" s="741"/>
      <c r="M408" s="741"/>
      <c r="N408" s="741"/>
      <c r="O408" s="741"/>
      <c r="P408" s="741"/>
      <c r="Q408" s="741"/>
      <c r="R408" s="741"/>
      <c r="S408" s="741"/>
      <c r="T408" s="741"/>
      <c r="U408" s="741"/>
      <c r="V408" s="741"/>
      <c r="W408" s="741"/>
      <c r="X408" s="741"/>
      <c r="Y408" s="741"/>
      <c r="Z408" s="741"/>
      <c r="AA408" s="741"/>
      <c r="AB408" s="741"/>
      <c r="AC408" s="741"/>
      <c r="AD408" s="741"/>
      <c r="AE408" s="741"/>
      <c r="AF408" s="741"/>
      <c r="AG408" s="741"/>
      <c r="AH408" s="741"/>
      <c r="AI408" s="741"/>
      <c r="AJ408" s="741"/>
      <c r="AK408" s="741"/>
      <c r="AL408" s="741"/>
      <c r="AM408" s="741"/>
    </row>
    <row r="409" spans="1:39" ht="12.75" customHeight="1">
      <c r="A409" s="741"/>
      <c r="B409" s="741"/>
      <c r="C409" s="741"/>
      <c r="D409" s="741"/>
      <c r="E409" s="741"/>
      <c r="F409" s="741"/>
      <c r="G409" s="741"/>
      <c r="H409" s="741"/>
      <c r="I409" s="741"/>
      <c r="J409" s="741"/>
      <c r="K409" s="741"/>
      <c r="L409" s="741"/>
      <c r="M409" s="741"/>
      <c r="N409" s="741"/>
      <c r="O409" s="741"/>
      <c r="P409" s="741"/>
      <c r="Q409" s="741"/>
      <c r="R409" s="741"/>
      <c r="S409" s="741"/>
      <c r="T409" s="741"/>
      <c r="U409" s="741"/>
      <c r="V409" s="741"/>
      <c r="W409" s="741"/>
      <c r="X409" s="741"/>
      <c r="Y409" s="741"/>
      <c r="Z409" s="741"/>
      <c r="AA409" s="741"/>
      <c r="AB409" s="741"/>
      <c r="AC409" s="741"/>
      <c r="AD409" s="741"/>
      <c r="AE409" s="741"/>
      <c r="AF409" s="741"/>
      <c r="AG409" s="741"/>
      <c r="AH409" s="741"/>
      <c r="AI409" s="741"/>
      <c r="AJ409" s="741"/>
      <c r="AK409" s="741"/>
      <c r="AL409" s="741"/>
      <c r="AM409" s="741"/>
    </row>
    <row r="410" spans="1:39" ht="12.75" customHeight="1">
      <c r="A410" s="741"/>
      <c r="B410" s="741"/>
      <c r="C410" s="741"/>
      <c r="D410" s="741"/>
      <c r="E410" s="741"/>
      <c r="F410" s="741"/>
      <c r="G410" s="741"/>
      <c r="H410" s="741"/>
      <c r="I410" s="741"/>
      <c r="J410" s="741"/>
      <c r="K410" s="741"/>
      <c r="L410" s="741"/>
      <c r="M410" s="741"/>
      <c r="N410" s="741"/>
      <c r="O410" s="741"/>
      <c r="P410" s="741"/>
      <c r="Q410" s="741"/>
      <c r="R410" s="741"/>
      <c r="S410" s="741"/>
      <c r="T410" s="741"/>
      <c r="U410" s="741"/>
      <c r="V410" s="741"/>
      <c r="W410" s="741"/>
      <c r="X410" s="741"/>
      <c r="Y410" s="741"/>
      <c r="Z410" s="741"/>
      <c r="AA410" s="741"/>
      <c r="AB410" s="741"/>
      <c r="AC410" s="741"/>
      <c r="AD410" s="741"/>
      <c r="AE410" s="741"/>
      <c r="AF410" s="741"/>
      <c r="AG410" s="741"/>
      <c r="AH410" s="741"/>
      <c r="AI410" s="741"/>
      <c r="AJ410" s="741"/>
      <c r="AK410" s="741"/>
      <c r="AL410" s="741"/>
      <c r="AM410" s="741"/>
    </row>
    <row r="411" spans="1:39" ht="12.75" customHeight="1">
      <c r="A411" s="741"/>
      <c r="B411" s="741"/>
      <c r="C411" s="741"/>
      <c r="D411" s="741"/>
      <c r="E411" s="741"/>
      <c r="F411" s="741"/>
      <c r="G411" s="741"/>
      <c r="H411" s="741"/>
      <c r="I411" s="741"/>
      <c r="J411" s="741"/>
      <c r="K411" s="741"/>
      <c r="L411" s="741"/>
      <c r="M411" s="741"/>
      <c r="N411" s="741"/>
      <c r="O411" s="741"/>
      <c r="P411" s="741"/>
      <c r="Q411" s="741"/>
      <c r="R411" s="741"/>
      <c r="S411" s="741"/>
      <c r="T411" s="741"/>
      <c r="U411" s="741"/>
      <c r="V411" s="741"/>
      <c r="W411" s="741"/>
      <c r="X411" s="741"/>
      <c r="Y411" s="741"/>
      <c r="Z411" s="741"/>
      <c r="AA411" s="741"/>
      <c r="AB411" s="741"/>
      <c r="AC411" s="741"/>
      <c r="AD411" s="741"/>
      <c r="AE411" s="741"/>
      <c r="AF411" s="741"/>
      <c r="AG411" s="741"/>
      <c r="AH411" s="741"/>
      <c r="AI411" s="741"/>
      <c r="AJ411" s="741"/>
      <c r="AK411" s="741"/>
      <c r="AL411" s="741"/>
      <c r="AM411" s="741"/>
    </row>
    <row r="412" spans="1:39" ht="12.75" customHeight="1">
      <c r="A412" s="741"/>
      <c r="B412" s="741"/>
      <c r="C412" s="741"/>
      <c r="D412" s="741"/>
      <c r="E412" s="741"/>
      <c r="F412" s="741"/>
      <c r="G412" s="741"/>
      <c r="H412" s="741"/>
      <c r="I412" s="741"/>
      <c r="J412" s="741"/>
      <c r="K412" s="741"/>
      <c r="L412" s="741"/>
      <c r="M412" s="741"/>
      <c r="N412" s="741"/>
      <c r="O412" s="741"/>
      <c r="P412" s="741"/>
      <c r="Q412" s="741"/>
      <c r="R412" s="741"/>
      <c r="S412" s="741"/>
      <c r="T412" s="741"/>
      <c r="U412" s="741"/>
      <c r="V412" s="741"/>
      <c r="W412" s="741"/>
      <c r="X412" s="741"/>
      <c r="Y412" s="741"/>
      <c r="Z412" s="741"/>
      <c r="AA412" s="741"/>
      <c r="AB412" s="741"/>
      <c r="AC412" s="741"/>
      <c r="AD412" s="741"/>
      <c r="AE412" s="741"/>
      <c r="AF412" s="741"/>
      <c r="AG412" s="741"/>
      <c r="AH412" s="741"/>
      <c r="AI412" s="741"/>
      <c r="AJ412" s="741"/>
      <c r="AK412" s="741"/>
      <c r="AL412" s="741"/>
      <c r="AM412" s="741"/>
    </row>
    <row r="413" spans="1:39" ht="12.75" customHeight="1">
      <c r="A413" s="741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1"/>
      <c r="P413" s="741"/>
      <c r="Q413" s="741"/>
      <c r="R413" s="741"/>
      <c r="S413" s="741"/>
      <c r="T413" s="741"/>
      <c r="U413" s="741"/>
      <c r="V413" s="741"/>
      <c r="W413" s="741"/>
      <c r="X413" s="741"/>
      <c r="Y413" s="741"/>
      <c r="Z413" s="741"/>
      <c r="AA413" s="741"/>
      <c r="AB413" s="741"/>
      <c r="AC413" s="741"/>
      <c r="AD413" s="741"/>
      <c r="AE413" s="741"/>
      <c r="AF413" s="741"/>
      <c r="AG413" s="741"/>
      <c r="AH413" s="741"/>
      <c r="AI413" s="741"/>
      <c r="AJ413" s="741"/>
      <c r="AK413" s="741"/>
      <c r="AL413" s="741"/>
      <c r="AM413" s="741"/>
    </row>
    <row r="414" spans="1:39" ht="12.75" customHeight="1">
      <c r="A414" s="741"/>
      <c r="B414" s="741"/>
      <c r="C414" s="741"/>
      <c r="D414" s="741"/>
      <c r="E414" s="741"/>
      <c r="F414" s="741"/>
      <c r="G414" s="741"/>
      <c r="H414" s="741"/>
      <c r="I414" s="741"/>
      <c r="J414" s="741"/>
      <c r="K414" s="741"/>
      <c r="L414" s="741"/>
      <c r="M414" s="741"/>
      <c r="N414" s="741"/>
      <c r="O414" s="741"/>
      <c r="P414" s="741"/>
      <c r="Q414" s="741"/>
      <c r="R414" s="741"/>
      <c r="S414" s="741"/>
      <c r="T414" s="741"/>
      <c r="U414" s="741"/>
      <c r="V414" s="741"/>
      <c r="W414" s="741"/>
      <c r="X414" s="741"/>
      <c r="Y414" s="741"/>
      <c r="Z414" s="741"/>
      <c r="AA414" s="741"/>
      <c r="AB414" s="741"/>
      <c r="AC414" s="741"/>
      <c r="AD414" s="741"/>
      <c r="AE414" s="741"/>
      <c r="AF414" s="741"/>
      <c r="AG414" s="741"/>
      <c r="AH414" s="741"/>
      <c r="AI414" s="741"/>
      <c r="AJ414" s="741"/>
      <c r="AK414" s="741"/>
      <c r="AL414" s="741"/>
      <c r="AM414" s="741"/>
    </row>
    <row r="415" spans="1:39" ht="12.75" customHeight="1">
      <c r="A415" s="741"/>
      <c r="B415" s="741"/>
      <c r="C415" s="741"/>
      <c r="D415" s="741"/>
      <c r="E415" s="741"/>
      <c r="F415" s="741"/>
      <c r="G415" s="741"/>
      <c r="H415" s="741"/>
      <c r="I415" s="741"/>
      <c r="J415" s="741"/>
      <c r="K415" s="741"/>
      <c r="L415" s="741"/>
      <c r="M415" s="741"/>
      <c r="N415" s="741"/>
      <c r="O415" s="741"/>
      <c r="P415" s="741"/>
      <c r="Q415" s="741"/>
      <c r="R415" s="741"/>
      <c r="S415" s="741"/>
      <c r="T415" s="741"/>
      <c r="U415" s="741"/>
      <c r="V415" s="741"/>
      <c r="W415" s="741"/>
      <c r="X415" s="741"/>
      <c r="Y415" s="741"/>
      <c r="Z415" s="741"/>
      <c r="AA415" s="741"/>
      <c r="AB415" s="741"/>
      <c r="AC415" s="741"/>
      <c r="AD415" s="741"/>
      <c r="AE415" s="741"/>
      <c r="AF415" s="741"/>
      <c r="AG415" s="741"/>
      <c r="AH415" s="741"/>
      <c r="AI415" s="741"/>
      <c r="AJ415" s="741"/>
      <c r="AK415" s="741"/>
      <c r="AL415" s="741"/>
      <c r="AM415" s="741"/>
    </row>
    <row r="416" spans="1:39" ht="12.75" customHeight="1">
      <c r="A416" s="741"/>
      <c r="B416" s="741"/>
      <c r="C416" s="741"/>
      <c r="D416" s="741"/>
      <c r="E416" s="741"/>
      <c r="F416" s="741"/>
      <c r="G416" s="741"/>
      <c r="H416" s="741"/>
      <c r="I416" s="741"/>
      <c r="J416" s="741"/>
      <c r="K416" s="741"/>
      <c r="L416" s="741"/>
      <c r="M416" s="741"/>
      <c r="N416" s="741"/>
      <c r="O416" s="741"/>
      <c r="P416" s="741"/>
      <c r="Q416" s="741"/>
      <c r="R416" s="741"/>
      <c r="S416" s="741"/>
      <c r="T416" s="741"/>
      <c r="U416" s="741"/>
      <c r="V416" s="741"/>
      <c r="W416" s="741"/>
      <c r="X416" s="741"/>
      <c r="Y416" s="741"/>
      <c r="Z416" s="741"/>
      <c r="AA416" s="741"/>
      <c r="AB416" s="741"/>
      <c r="AC416" s="741"/>
      <c r="AD416" s="741"/>
      <c r="AE416" s="741"/>
      <c r="AF416" s="741"/>
      <c r="AG416" s="741"/>
      <c r="AH416" s="741"/>
      <c r="AI416" s="741"/>
      <c r="AJ416" s="741"/>
      <c r="AK416" s="741"/>
      <c r="AL416" s="741"/>
      <c r="AM416" s="741"/>
    </row>
    <row r="417" spans="1:39" ht="12.75" customHeight="1">
      <c r="A417" s="741"/>
      <c r="B417" s="741"/>
      <c r="C417" s="741"/>
      <c r="D417" s="741"/>
      <c r="E417" s="741"/>
      <c r="F417" s="741"/>
      <c r="G417" s="741"/>
      <c r="H417" s="741"/>
      <c r="I417" s="741"/>
      <c r="J417" s="741"/>
      <c r="K417" s="741"/>
      <c r="L417" s="741"/>
      <c r="M417" s="741"/>
      <c r="N417" s="741"/>
      <c r="O417" s="741"/>
      <c r="P417" s="741"/>
      <c r="Q417" s="741"/>
      <c r="R417" s="741"/>
      <c r="S417" s="741"/>
      <c r="T417" s="741"/>
      <c r="U417" s="741"/>
      <c r="V417" s="741"/>
      <c r="W417" s="741"/>
      <c r="X417" s="741"/>
      <c r="Y417" s="741"/>
      <c r="Z417" s="741"/>
      <c r="AA417" s="741"/>
      <c r="AB417" s="741"/>
      <c r="AC417" s="741"/>
      <c r="AD417" s="741"/>
      <c r="AE417" s="741"/>
      <c r="AF417" s="741"/>
      <c r="AG417" s="741"/>
      <c r="AH417" s="741"/>
      <c r="AI417" s="741"/>
      <c r="AJ417" s="741"/>
      <c r="AK417" s="741"/>
      <c r="AL417" s="741"/>
      <c r="AM417" s="741"/>
    </row>
    <row r="418" spans="1:39" ht="12.75" customHeight="1">
      <c r="A418" s="741"/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1"/>
      <c r="P418" s="741"/>
      <c r="Q418" s="741"/>
      <c r="R418" s="741"/>
      <c r="S418" s="741"/>
      <c r="T418" s="741"/>
      <c r="U418" s="741"/>
      <c r="V418" s="741"/>
      <c r="W418" s="741"/>
      <c r="X418" s="741"/>
      <c r="Y418" s="741"/>
      <c r="Z418" s="741"/>
      <c r="AA418" s="741"/>
      <c r="AB418" s="741"/>
      <c r="AC418" s="741"/>
      <c r="AD418" s="741"/>
      <c r="AE418" s="741"/>
      <c r="AF418" s="741"/>
      <c r="AG418" s="741"/>
      <c r="AH418" s="741"/>
      <c r="AI418" s="741"/>
      <c r="AJ418" s="741"/>
      <c r="AK418" s="741"/>
      <c r="AL418" s="741"/>
      <c r="AM418" s="741"/>
    </row>
    <row r="419" spans="1:39" ht="12.75" customHeight="1">
      <c r="A419" s="741"/>
      <c r="B419" s="741"/>
      <c r="C419" s="741"/>
      <c r="D419" s="741"/>
      <c r="E419" s="741"/>
      <c r="F419" s="741"/>
      <c r="G419" s="741"/>
      <c r="H419" s="741"/>
      <c r="I419" s="741"/>
      <c r="J419" s="741"/>
      <c r="K419" s="741"/>
      <c r="L419" s="741"/>
      <c r="M419" s="741"/>
      <c r="N419" s="741"/>
      <c r="O419" s="741"/>
      <c r="P419" s="741"/>
      <c r="Q419" s="741"/>
      <c r="R419" s="741"/>
      <c r="S419" s="741"/>
      <c r="T419" s="741"/>
      <c r="U419" s="741"/>
      <c r="V419" s="741"/>
      <c r="W419" s="741"/>
      <c r="X419" s="741"/>
      <c r="Y419" s="741"/>
      <c r="Z419" s="741"/>
      <c r="AA419" s="741"/>
      <c r="AB419" s="741"/>
      <c r="AC419" s="741"/>
      <c r="AD419" s="741"/>
      <c r="AE419" s="741"/>
      <c r="AF419" s="741"/>
      <c r="AG419" s="741"/>
      <c r="AH419" s="741"/>
      <c r="AI419" s="741"/>
      <c r="AJ419" s="741"/>
      <c r="AK419" s="741"/>
      <c r="AL419" s="741"/>
      <c r="AM419" s="741"/>
    </row>
    <row r="420" spans="1:39" ht="12.75" customHeight="1">
      <c r="A420" s="741"/>
      <c r="B420" s="741"/>
      <c r="C420" s="741"/>
      <c r="D420" s="741"/>
      <c r="E420" s="741"/>
      <c r="F420" s="741"/>
      <c r="G420" s="741"/>
      <c r="H420" s="741"/>
      <c r="I420" s="741"/>
      <c r="J420" s="741"/>
      <c r="K420" s="741"/>
      <c r="L420" s="741"/>
      <c r="M420" s="741"/>
      <c r="N420" s="741"/>
      <c r="O420" s="741"/>
      <c r="P420" s="741"/>
      <c r="Q420" s="741"/>
      <c r="R420" s="741"/>
      <c r="S420" s="741"/>
      <c r="T420" s="741"/>
      <c r="U420" s="741"/>
      <c r="V420" s="741"/>
      <c r="W420" s="741"/>
      <c r="X420" s="741"/>
      <c r="Y420" s="741"/>
      <c r="Z420" s="741"/>
      <c r="AA420" s="741"/>
      <c r="AB420" s="741"/>
      <c r="AC420" s="741"/>
      <c r="AD420" s="741"/>
      <c r="AE420" s="741"/>
      <c r="AF420" s="741"/>
      <c r="AG420" s="741"/>
      <c r="AH420" s="741"/>
      <c r="AI420" s="741"/>
      <c r="AJ420" s="741"/>
      <c r="AK420" s="741"/>
      <c r="AL420" s="741"/>
      <c r="AM420" s="741"/>
    </row>
    <row r="421" spans="1:39" ht="12.75" customHeight="1">
      <c r="A421" s="741"/>
      <c r="B421" s="741"/>
      <c r="C421" s="741"/>
      <c r="D421" s="741"/>
      <c r="E421" s="741"/>
      <c r="F421" s="741"/>
      <c r="G421" s="741"/>
      <c r="H421" s="741"/>
      <c r="I421" s="741"/>
      <c r="J421" s="741"/>
      <c r="K421" s="741"/>
      <c r="L421" s="741"/>
      <c r="M421" s="741"/>
      <c r="N421" s="741"/>
      <c r="O421" s="741"/>
      <c r="P421" s="741"/>
      <c r="Q421" s="741"/>
      <c r="R421" s="741"/>
      <c r="S421" s="741"/>
      <c r="T421" s="741"/>
      <c r="U421" s="741"/>
      <c r="V421" s="741"/>
      <c r="W421" s="741"/>
      <c r="X421" s="741"/>
      <c r="Y421" s="741"/>
      <c r="Z421" s="741"/>
      <c r="AA421" s="741"/>
      <c r="AB421" s="741"/>
      <c r="AC421" s="741"/>
      <c r="AD421" s="741"/>
      <c r="AE421" s="741"/>
      <c r="AF421" s="741"/>
      <c r="AG421" s="741"/>
      <c r="AH421" s="741"/>
      <c r="AI421" s="741"/>
      <c r="AJ421" s="741"/>
      <c r="AK421" s="741"/>
      <c r="AL421" s="741"/>
      <c r="AM421" s="741"/>
    </row>
    <row r="422" spans="1:39" ht="12.75" customHeight="1">
      <c r="A422" s="741"/>
      <c r="B422" s="741"/>
      <c r="C422" s="741"/>
      <c r="D422" s="741"/>
      <c r="E422" s="741"/>
      <c r="F422" s="741"/>
      <c r="G422" s="741"/>
      <c r="H422" s="741"/>
      <c r="I422" s="741"/>
      <c r="J422" s="741"/>
      <c r="K422" s="741"/>
      <c r="L422" s="741"/>
      <c r="M422" s="741"/>
      <c r="N422" s="741"/>
      <c r="O422" s="741"/>
      <c r="P422" s="741"/>
      <c r="Q422" s="741"/>
      <c r="R422" s="741"/>
      <c r="S422" s="741"/>
      <c r="T422" s="741"/>
      <c r="U422" s="741"/>
      <c r="V422" s="741"/>
      <c r="W422" s="741"/>
      <c r="X422" s="741"/>
      <c r="Y422" s="741"/>
      <c r="Z422" s="741"/>
      <c r="AA422" s="741"/>
      <c r="AB422" s="741"/>
      <c r="AC422" s="741"/>
      <c r="AD422" s="741"/>
      <c r="AE422" s="741"/>
      <c r="AF422" s="741"/>
      <c r="AG422" s="741"/>
      <c r="AH422" s="741"/>
      <c r="AI422" s="741"/>
      <c r="AJ422" s="741"/>
      <c r="AK422" s="741"/>
      <c r="AL422" s="741"/>
      <c r="AM422" s="741"/>
    </row>
    <row r="423" spans="1:39" ht="12.75" customHeight="1">
      <c r="A423" s="741"/>
      <c r="B423" s="741"/>
      <c r="C423" s="741"/>
      <c r="D423" s="741"/>
      <c r="E423" s="741"/>
      <c r="F423" s="741"/>
      <c r="G423" s="741"/>
      <c r="H423" s="741"/>
      <c r="I423" s="741"/>
      <c r="J423" s="741"/>
      <c r="K423" s="741"/>
      <c r="L423" s="741"/>
      <c r="M423" s="741"/>
      <c r="N423" s="741"/>
      <c r="O423" s="741"/>
      <c r="P423" s="741"/>
      <c r="Q423" s="741"/>
      <c r="R423" s="741"/>
      <c r="S423" s="741"/>
      <c r="T423" s="741"/>
      <c r="U423" s="741"/>
      <c r="V423" s="741"/>
      <c r="W423" s="741"/>
      <c r="X423" s="741"/>
      <c r="Y423" s="741"/>
      <c r="Z423" s="741"/>
      <c r="AA423" s="741"/>
      <c r="AB423" s="741"/>
      <c r="AC423" s="741"/>
      <c r="AD423" s="741"/>
      <c r="AE423" s="741"/>
      <c r="AF423" s="741"/>
      <c r="AG423" s="741"/>
      <c r="AH423" s="741"/>
      <c r="AI423" s="741"/>
      <c r="AJ423" s="741"/>
      <c r="AK423" s="741"/>
      <c r="AL423" s="741"/>
      <c r="AM423" s="741"/>
    </row>
    <row r="424" spans="1:39" ht="12.75" customHeight="1">
      <c r="A424" s="741"/>
      <c r="B424" s="741"/>
      <c r="C424" s="741"/>
      <c r="D424" s="741"/>
      <c r="E424" s="741"/>
      <c r="F424" s="741"/>
      <c r="G424" s="741"/>
      <c r="H424" s="741"/>
      <c r="I424" s="741"/>
      <c r="J424" s="741"/>
      <c r="K424" s="741"/>
      <c r="L424" s="741"/>
      <c r="M424" s="741"/>
      <c r="N424" s="741"/>
      <c r="O424" s="741"/>
      <c r="P424" s="741"/>
      <c r="Q424" s="741"/>
      <c r="R424" s="741"/>
      <c r="S424" s="741"/>
      <c r="T424" s="741"/>
      <c r="U424" s="741"/>
      <c r="V424" s="741"/>
      <c r="W424" s="741"/>
      <c r="X424" s="741"/>
      <c r="Y424" s="741"/>
      <c r="Z424" s="741"/>
      <c r="AA424" s="741"/>
      <c r="AB424" s="741"/>
      <c r="AC424" s="741"/>
      <c r="AD424" s="741"/>
      <c r="AE424" s="741"/>
      <c r="AF424" s="741"/>
      <c r="AG424" s="741"/>
      <c r="AH424" s="741"/>
      <c r="AI424" s="741"/>
      <c r="AJ424" s="741"/>
      <c r="AK424" s="741"/>
      <c r="AL424" s="741"/>
      <c r="AM424" s="741"/>
    </row>
    <row r="425" spans="1:39" ht="12.75" customHeight="1">
      <c r="A425" s="741"/>
      <c r="B425" s="741"/>
      <c r="C425" s="741"/>
      <c r="D425" s="741"/>
      <c r="E425" s="741"/>
      <c r="F425" s="741"/>
      <c r="G425" s="741"/>
      <c r="H425" s="741"/>
      <c r="I425" s="741"/>
      <c r="J425" s="741"/>
      <c r="K425" s="741"/>
      <c r="L425" s="741"/>
      <c r="M425" s="741"/>
      <c r="N425" s="741"/>
      <c r="O425" s="741"/>
      <c r="P425" s="741"/>
      <c r="Q425" s="741"/>
      <c r="R425" s="741"/>
      <c r="S425" s="741"/>
      <c r="T425" s="741"/>
      <c r="U425" s="741"/>
      <c r="V425" s="741"/>
      <c r="W425" s="741"/>
      <c r="X425" s="741"/>
      <c r="Y425" s="741"/>
      <c r="Z425" s="741"/>
      <c r="AA425" s="741"/>
      <c r="AB425" s="741"/>
      <c r="AC425" s="741"/>
      <c r="AD425" s="741"/>
      <c r="AE425" s="741"/>
      <c r="AF425" s="741"/>
      <c r="AG425" s="741"/>
      <c r="AH425" s="741"/>
      <c r="AI425" s="741"/>
      <c r="AJ425" s="741"/>
      <c r="AK425" s="741"/>
      <c r="AL425" s="741"/>
      <c r="AM425" s="741"/>
    </row>
    <row r="426" spans="1:39" ht="12.75" customHeight="1">
      <c r="A426" s="741"/>
      <c r="B426" s="741"/>
      <c r="C426" s="741"/>
      <c r="D426" s="741"/>
      <c r="E426" s="741"/>
      <c r="F426" s="741"/>
      <c r="G426" s="741"/>
      <c r="H426" s="741"/>
      <c r="I426" s="741"/>
      <c r="J426" s="741"/>
      <c r="K426" s="741"/>
      <c r="L426" s="741"/>
      <c r="M426" s="741"/>
      <c r="N426" s="741"/>
      <c r="O426" s="741"/>
      <c r="P426" s="741"/>
      <c r="Q426" s="741"/>
      <c r="R426" s="741"/>
      <c r="S426" s="741"/>
      <c r="T426" s="741"/>
      <c r="U426" s="741"/>
      <c r="V426" s="741"/>
      <c r="W426" s="741"/>
      <c r="X426" s="741"/>
      <c r="Y426" s="741"/>
      <c r="Z426" s="741"/>
      <c r="AA426" s="741"/>
      <c r="AB426" s="741"/>
      <c r="AC426" s="741"/>
      <c r="AD426" s="741"/>
      <c r="AE426" s="741"/>
      <c r="AF426" s="741"/>
      <c r="AG426" s="741"/>
      <c r="AH426" s="741"/>
      <c r="AI426" s="741"/>
      <c r="AJ426" s="741"/>
      <c r="AK426" s="741"/>
      <c r="AL426" s="741"/>
      <c r="AM426" s="741"/>
    </row>
    <row r="427" spans="1:39" ht="12.75" customHeight="1">
      <c r="A427" s="741"/>
      <c r="B427" s="741"/>
      <c r="C427" s="741"/>
      <c r="D427" s="741"/>
      <c r="E427" s="741"/>
      <c r="F427" s="741"/>
      <c r="G427" s="741"/>
      <c r="H427" s="741"/>
      <c r="I427" s="741"/>
      <c r="J427" s="741"/>
      <c r="K427" s="741"/>
      <c r="L427" s="741"/>
      <c r="M427" s="741"/>
      <c r="N427" s="741"/>
      <c r="O427" s="741"/>
      <c r="P427" s="741"/>
      <c r="Q427" s="741"/>
      <c r="R427" s="741"/>
      <c r="S427" s="741"/>
      <c r="T427" s="741"/>
      <c r="U427" s="741"/>
      <c r="V427" s="741"/>
      <c r="W427" s="741"/>
      <c r="X427" s="741"/>
      <c r="Y427" s="741"/>
      <c r="Z427" s="741"/>
      <c r="AA427" s="741"/>
      <c r="AB427" s="741"/>
      <c r="AC427" s="741"/>
      <c r="AD427" s="741"/>
      <c r="AE427" s="741"/>
      <c r="AF427" s="741"/>
      <c r="AG427" s="741"/>
      <c r="AH427" s="741"/>
      <c r="AI427" s="741"/>
      <c r="AJ427" s="741"/>
      <c r="AK427" s="741"/>
      <c r="AL427" s="741"/>
      <c r="AM427" s="741"/>
    </row>
    <row r="428" spans="1:39" ht="12.75" customHeight="1">
      <c r="A428" s="741"/>
      <c r="B428" s="741"/>
      <c r="C428" s="741"/>
      <c r="D428" s="741"/>
      <c r="E428" s="741"/>
      <c r="F428" s="741"/>
      <c r="G428" s="741"/>
      <c r="H428" s="741"/>
      <c r="I428" s="741"/>
      <c r="J428" s="741"/>
      <c r="K428" s="741"/>
      <c r="L428" s="741"/>
      <c r="M428" s="741"/>
      <c r="N428" s="741"/>
      <c r="O428" s="741"/>
      <c r="P428" s="741"/>
      <c r="Q428" s="741"/>
      <c r="R428" s="741"/>
      <c r="S428" s="741"/>
      <c r="T428" s="741"/>
      <c r="U428" s="741"/>
      <c r="V428" s="741"/>
      <c r="W428" s="741"/>
      <c r="X428" s="741"/>
      <c r="Y428" s="741"/>
      <c r="Z428" s="741"/>
      <c r="AA428" s="741"/>
      <c r="AB428" s="741"/>
      <c r="AC428" s="741"/>
      <c r="AD428" s="741"/>
      <c r="AE428" s="741"/>
      <c r="AF428" s="741"/>
      <c r="AG428" s="741"/>
      <c r="AH428" s="741"/>
      <c r="AI428" s="741"/>
      <c r="AJ428" s="741"/>
      <c r="AK428" s="741"/>
      <c r="AL428" s="741"/>
      <c r="AM428" s="741"/>
    </row>
    <row r="429" spans="1:39" ht="12.75" customHeight="1">
      <c r="A429" s="741"/>
      <c r="B429" s="741"/>
      <c r="C429" s="741"/>
      <c r="D429" s="741"/>
      <c r="E429" s="741"/>
      <c r="F429" s="741"/>
      <c r="G429" s="741"/>
      <c r="H429" s="741"/>
      <c r="I429" s="741"/>
      <c r="J429" s="741"/>
      <c r="K429" s="741"/>
      <c r="L429" s="741"/>
      <c r="M429" s="741"/>
      <c r="N429" s="741"/>
      <c r="O429" s="741"/>
      <c r="P429" s="741"/>
      <c r="Q429" s="741"/>
      <c r="R429" s="741"/>
      <c r="S429" s="741"/>
      <c r="T429" s="741"/>
      <c r="U429" s="741"/>
      <c r="V429" s="741"/>
      <c r="W429" s="741"/>
      <c r="X429" s="741"/>
      <c r="Y429" s="741"/>
      <c r="Z429" s="741"/>
      <c r="AA429" s="741"/>
      <c r="AB429" s="741"/>
      <c r="AC429" s="741"/>
      <c r="AD429" s="741"/>
      <c r="AE429" s="741"/>
      <c r="AF429" s="741"/>
      <c r="AG429" s="741"/>
      <c r="AH429" s="741"/>
      <c r="AI429" s="741"/>
      <c r="AJ429" s="741"/>
      <c r="AK429" s="741"/>
      <c r="AL429" s="741"/>
      <c r="AM429" s="741"/>
    </row>
    <row r="430" spans="1:39" ht="12.75" customHeight="1">
      <c r="A430" s="741"/>
      <c r="B430" s="741"/>
      <c r="C430" s="741"/>
      <c r="D430" s="741"/>
      <c r="E430" s="741"/>
      <c r="F430" s="741"/>
      <c r="G430" s="741"/>
      <c r="H430" s="741"/>
      <c r="I430" s="741"/>
      <c r="J430" s="741"/>
      <c r="K430" s="741"/>
      <c r="L430" s="741"/>
      <c r="M430" s="741"/>
      <c r="N430" s="741"/>
      <c r="O430" s="741"/>
      <c r="P430" s="741"/>
      <c r="Q430" s="741"/>
      <c r="R430" s="741"/>
      <c r="S430" s="741"/>
      <c r="T430" s="741"/>
      <c r="U430" s="741"/>
      <c r="V430" s="741"/>
      <c r="W430" s="741"/>
      <c r="X430" s="741"/>
      <c r="Y430" s="741"/>
      <c r="Z430" s="741"/>
      <c r="AA430" s="741"/>
      <c r="AB430" s="741"/>
      <c r="AC430" s="741"/>
      <c r="AD430" s="741"/>
      <c r="AE430" s="741"/>
      <c r="AF430" s="741"/>
      <c r="AG430" s="741"/>
      <c r="AH430" s="741"/>
      <c r="AI430" s="741"/>
      <c r="AJ430" s="741"/>
      <c r="AK430" s="741"/>
      <c r="AL430" s="741"/>
      <c r="AM430" s="741"/>
    </row>
    <row r="431" spans="1:39" ht="12.75" customHeight="1">
      <c r="A431" s="741"/>
      <c r="B431" s="741"/>
      <c r="C431" s="741"/>
      <c r="D431" s="741"/>
      <c r="E431" s="741"/>
      <c r="F431" s="741"/>
      <c r="G431" s="741"/>
      <c r="H431" s="741"/>
      <c r="I431" s="741"/>
      <c r="J431" s="741"/>
      <c r="K431" s="741"/>
      <c r="L431" s="741"/>
      <c r="M431" s="741"/>
      <c r="N431" s="741"/>
      <c r="O431" s="741"/>
      <c r="P431" s="741"/>
      <c r="Q431" s="741"/>
      <c r="R431" s="741"/>
      <c r="S431" s="741"/>
      <c r="T431" s="741"/>
      <c r="U431" s="741"/>
      <c r="V431" s="741"/>
      <c r="W431" s="741"/>
      <c r="X431" s="741"/>
      <c r="Y431" s="741"/>
      <c r="Z431" s="741"/>
      <c r="AA431" s="741"/>
      <c r="AB431" s="741"/>
      <c r="AC431" s="741"/>
      <c r="AD431" s="741"/>
      <c r="AE431" s="741"/>
      <c r="AF431" s="741"/>
      <c r="AG431" s="741"/>
      <c r="AH431" s="741"/>
      <c r="AI431" s="741"/>
      <c r="AJ431" s="741"/>
      <c r="AK431" s="741"/>
      <c r="AL431" s="741"/>
      <c r="AM431" s="741"/>
    </row>
    <row r="432" spans="1:39" ht="12.75" customHeight="1">
      <c r="A432" s="741"/>
      <c r="B432" s="741"/>
      <c r="C432" s="741"/>
      <c r="D432" s="741"/>
      <c r="E432" s="741"/>
      <c r="F432" s="741"/>
      <c r="G432" s="741"/>
      <c r="H432" s="741"/>
      <c r="I432" s="741"/>
      <c r="J432" s="741"/>
      <c r="K432" s="741"/>
      <c r="L432" s="741"/>
      <c r="M432" s="741"/>
      <c r="N432" s="741"/>
      <c r="O432" s="741"/>
      <c r="P432" s="741"/>
      <c r="Q432" s="741"/>
      <c r="R432" s="741"/>
      <c r="S432" s="741"/>
      <c r="T432" s="741"/>
      <c r="U432" s="741"/>
      <c r="V432" s="741"/>
      <c r="W432" s="741"/>
      <c r="X432" s="741"/>
      <c r="Y432" s="741"/>
      <c r="Z432" s="741"/>
      <c r="AA432" s="741"/>
      <c r="AB432" s="741"/>
      <c r="AC432" s="741"/>
      <c r="AD432" s="741"/>
      <c r="AE432" s="741"/>
      <c r="AF432" s="741"/>
      <c r="AG432" s="741"/>
      <c r="AH432" s="741"/>
      <c r="AI432" s="741"/>
      <c r="AJ432" s="741"/>
      <c r="AK432" s="741"/>
      <c r="AL432" s="741"/>
      <c r="AM432" s="741"/>
    </row>
    <row r="433" spans="1:39" ht="12.75" customHeight="1">
      <c r="A433" s="741"/>
      <c r="B433" s="741"/>
      <c r="C433" s="741"/>
      <c r="D433" s="741"/>
      <c r="E433" s="741"/>
      <c r="F433" s="741"/>
      <c r="G433" s="741"/>
      <c r="H433" s="741"/>
      <c r="I433" s="741"/>
      <c r="J433" s="741"/>
      <c r="K433" s="741"/>
      <c r="L433" s="741"/>
      <c r="M433" s="741"/>
      <c r="N433" s="741"/>
      <c r="O433" s="741"/>
      <c r="P433" s="741"/>
      <c r="Q433" s="741"/>
      <c r="R433" s="741"/>
      <c r="S433" s="741"/>
      <c r="T433" s="741"/>
      <c r="U433" s="741"/>
      <c r="V433" s="741"/>
      <c r="W433" s="741"/>
      <c r="X433" s="741"/>
      <c r="Y433" s="741"/>
      <c r="Z433" s="741"/>
      <c r="AA433" s="741"/>
      <c r="AB433" s="741"/>
      <c r="AC433" s="741"/>
      <c r="AD433" s="741"/>
      <c r="AE433" s="741"/>
      <c r="AF433" s="741"/>
      <c r="AG433" s="741"/>
      <c r="AH433" s="741"/>
      <c r="AI433" s="741"/>
      <c r="AJ433" s="741"/>
      <c r="AK433" s="741"/>
      <c r="AL433" s="741"/>
      <c r="AM433" s="741"/>
    </row>
    <row r="434" spans="1:39" ht="12.75" customHeight="1">
      <c r="A434" s="741"/>
      <c r="B434" s="741"/>
      <c r="C434" s="741"/>
      <c r="D434" s="741"/>
      <c r="E434" s="741"/>
      <c r="F434" s="741"/>
      <c r="G434" s="741"/>
      <c r="H434" s="741"/>
      <c r="I434" s="741"/>
      <c r="J434" s="741"/>
      <c r="K434" s="741"/>
      <c r="L434" s="741"/>
      <c r="M434" s="741"/>
      <c r="N434" s="741"/>
      <c r="O434" s="741"/>
      <c r="P434" s="741"/>
      <c r="Q434" s="741"/>
      <c r="R434" s="741"/>
      <c r="S434" s="741"/>
      <c r="T434" s="741"/>
      <c r="U434" s="741"/>
      <c r="V434" s="741"/>
      <c r="W434" s="741"/>
      <c r="X434" s="741"/>
      <c r="Y434" s="741"/>
      <c r="Z434" s="741"/>
      <c r="AA434" s="741"/>
      <c r="AB434" s="741"/>
      <c r="AC434" s="741"/>
      <c r="AD434" s="741"/>
      <c r="AE434" s="741"/>
      <c r="AF434" s="741"/>
      <c r="AG434" s="741"/>
      <c r="AH434" s="741"/>
      <c r="AI434" s="741"/>
      <c r="AJ434" s="741"/>
      <c r="AK434" s="741"/>
      <c r="AL434" s="741"/>
      <c r="AM434" s="741"/>
    </row>
    <row r="435" spans="1:39" ht="12.75" customHeight="1">
      <c r="A435" s="741"/>
      <c r="B435" s="741"/>
      <c r="C435" s="741"/>
      <c r="D435" s="741"/>
      <c r="E435" s="741"/>
      <c r="F435" s="741"/>
      <c r="G435" s="741"/>
      <c r="H435" s="741"/>
      <c r="I435" s="741"/>
      <c r="J435" s="741"/>
      <c r="K435" s="741"/>
      <c r="L435" s="741"/>
      <c r="M435" s="741"/>
      <c r="N435" s="741"/>
      <c r="O435" s="741"/>
      <c r="P435" s="741"/>
      <c r="Q435" s="741"/>
      <c r="R435" s="741"/>
      <c r="S435" s="741"/>
      <c r="T435" s="741"/>
      <c r="U435" s="741"/>
      <c r="V435" s="741"/>
      <c r="W435" s="741"/>
      <c r="X435" s="741"/>
      <c r="Y435" s="741"/>
      <c r="Z435" s="741"/>
      <c r="AA435" s="741"/>
      <c r="AB435" s="741"/>
      <c r="AC435" s="741"/>
      <c r="AD435" s="741"/>
      <c r="AE435" s="741"/>
      <c r="AF435" s="741"/>
      <c r="AG435" s="741"/>
      <c r="AH435" s="741"/>
      <c r="AI435" s="741"/>
      <c r="AJ435" s="741"/>
      <c r="AK435" s="741"/>
      <c r="AL435" s="741"/>
      <c r="AM435" s="741"/>
    </row>
    <row r="436" spans="1:39" ht="12.75" customHeight="1">
      <c r="A436" s="741"/>
      <c r="B436" s="741"/>
      <c r="C436" s="741"/>
      <c r="D436" s="741"/>
      <c r="E436" s="741"/>
      <c r="F436" s="741"/>
      <c r="G436" s="741"/>
      <c r="H436" s="741"/>
      <c r="I436" s="741"/>
      <c r="J436" s="741"/>
      <c r="K436" s="741"/>
      <c r="L436" s="741"/>
      <c r="M436" s="741"/>
      <c r="N436" s="741"/>
      <c r="O436" s="741"/>
      <c r="P436" s="741"/>
      <c r="Q436" s="741"/>
      <c r="R436" s="741"/>
      <c r="S436" s="741"/>
      <c r="T436" s="741"/>
      <c r="U436" s="741"/>
      <c r="V436" s="741"/>
      <c r="W436" s="741"/>
      <c r="X436" s="741"/>
      <c r="Y436" s="741"/>
      <c r="Z436" s="741"/>
      <c r="AA436" s="741"/>
      <c r="AB436" s="741"/>
      <c r="AC436" s="741"/>
      <c r="AD436" s="741"/>
      <c r="AE436" s="741"/>
      <c r="AF436" s="741"/>
      <c r="AG436" s="741"/>
      <c r="AH436" s="741"/>
      <c r="AI436" s="741"/>
      <c r="AJ436" s="741"/>
      <c r="AK436" s="741"/>
      <c r="AL436" s="741"/>
      <c r="AM436" s="741"/>
    </row>
    <row r="437" spans="1:39" ht="12.75" customHeight="1">
      <c r="A437" s="741"/>
      <c r="B437" s="741"/>
      <c r="C437" s="741"/>
      <c r="D437" s="741"/>
      <c r="E437" s="741"/>
      <c r="F437" s="741"/>
      <c r="G437" s="741"/>
      <c r="H437" s="741"/>
      <c r="I437" s="741"/>
      <c r="J437" s="741"/>
      <c r="K437" s="741"/>
      <c r="L437" s="741"/>
      <c r="M437" s="741"/>
      <c r="N437" s="741"/>
      <c r="O437" s="741"/>
      <c r="P437" s="741"/>
      <c r="Q437" s="741"/>
      <c r="R437" s="741"/>
      <c r="S437" s="741"/>
      <c r="T437" s="741"/>
      <c r="U437" s="741"/>
      <c r="V437" s="741"/>
      <c r="W437" s="741"/>
      <c r="X437" s="741"/>
      <c r="Y437" s="741"/>
      <c r="Z437" s="741"/>
      <c r="AA437" s="741"/>
      <c r="AB437" s="741"/>
      <c r="AC437" s="741"/>
      <c r="AD437" s="741"/>
      <c r="AE437" s="741"/>
      <c r="AF437" s="741"/>
      <c r="AG437" s="741"/>
      <c r="AH437" s="741"/>
      <c r="AI437" s="741"/>
      <c r="AJ437" s="741"/>
      <c r="AK437" s="741"/>
      <c r="AL437" s="741"/>
      <c r="AM437" s="741"/>
    </row>
    <row r="438" spans="1:39" ht="12.75" customHeight="1">
      <c r="A438" s="741"/>
      <c r="B438" s="741"/>
      <c r="C438" s="741"/>
      <c r="D438" s="741"/>
      <c r="E438" s="741"/>
      <c r="F438" s="741"/>
      <c r="G438" s="741"/>
      <c r="H438" s="741"/>
      <c r="I438" s="741"/>
      <c r="J438" s="741"/>
      <c r="K438" s="741"/>
      <c r="L438" s="741"/>
      <c r="M438" s="741"/>
      <c r="N438" s="741"/>
      <c r="O438" s="741"/>
      <c r="P438" s="741"/>
      <c r="Q438" s="741"/>
      <c r="R438" s="741"/>
      <c r="S438" s="741"/>
      <c r="T438" s="741"/>
      <c r="U438" s="741"/>
      <c r="V438" s="741"/>
      <c r="W438" s="741"/>
      <c r="X438" s="741"/>
      <c r="Y438" s="741"/>
      <c r="Z438" s="741"/>
      <c r="AA438" s="741"/>
      <c r="AB438" s="741"/>
      <c r="AC438" s="741"/>
      <c r="AD438" s="741"/>
      <c r="AE438" s="741"/>
      <c r="AF438" s="741"/>
      <c r="AG438" s="741"/>
      <c r="AH438" s="741"/>
      <c r="AI438" s="741"/>
      <c r="AJ438" s="741"/>
      <c r="AK438" s="741"/>
      <c r="AL438" s="741"/>
      <c r="AM438" s="741"/>
    </row>
    <row r="439" spans="1:39" ht="12.75" customHeight="1">
      <c r="A439" s="741"/>
      <c r="B439" s="741"/>
      <c r="C439" s="741"/>
      <c r="D439" s="741"/>
      <c r="E439" s="741"/>
      <c r="F439" s="741"/>
      <c r="G439" s="741"/>
      <c r="H439" s="741"/>
      <c r="I439" s="741"/>
      <c r="J439" s="741"/>
      <c r="K439" s="741"/>
      <c r="L439" s="741"/>
      <c r="M439" s="741"/>
      <c r="N439" s="741"/>
      <c r="O439" s="741"/>
      <c r="P439" s="741"/>
      <c r="Q439" s="741"/>
      <c r="R439" s="741"/>
      <c r="S439" s="741"/>
      <c r="T439" s="741"/>
      <c r="U439" s="741"/>
      <c r="V439" s="741"/>
      <c r="W439" s="741"/>
      <c r="X439" s="741"/>
      <c r="Y439" s="741"/>
      <c r="Z439" s="741"/>
      <c r="AA439" s="741"/>
      <c r="AB439" s="741"/>
      <c r="AC439" s="741"/>
      <c r="AD439" s="741"/>
      <c r="AE439" s="741"/>
      <c r="AF439" s="741"/>
      <c r="AG439" s="741"/>
      <c r="AH439" s="741"/>
      <c r="AI439" s="741"/>
      <c r="AJ439" s="741"/>
      <c r="AK439" s="741"/>
      <c r="AL439" s="741"/>
      <c r="AM439" s="741"/>
    </row>
    <row r="440" spans="1:39" ht="12.75" customHeight="1">
      <c r="A440" s="741"/>
      <c r="B440" s="741"/>
      <c r="C440" s="741"/>
      <c r="D440" s="741"/>
      <c r="E440" s="741"/>
      <c r="F440" s="741"/>
      <c r="G440" s="741"/>
      <c r="H440" s="741"/>
      <c r="I440" s="741"/>
      <c r="J440" s="741"/>
      <c r="K440" s="741"/>
      <c r="L440" s="741"/>
      <c r="M440" s="741"/>
      <c r="N440" s="741"/>
      <c r="O440" s="741"/>
      <c r="P440" s="741"/>
      <c r="Q440" s="741"/>
      <c r="R440" s="741"/>
      <c r="S440" s="741"/>
      <c r="T440" s="741"/>
      <c r="U440" s="741"/>
      <c r="V440" s="741"/>
      <c r="W440" s="741"/>
      <c r="X440" s="741"/>
      <c r="Y440" s="741"/>
      <c r="Z440" s="741"/>
      <c r="AA440" s="741"/>
      <c r="AB440" s="741"/>
      <c r="AC440" s="741"/>
      <c r="AD440" s="741"/>
      <c r="AE440" s="741"/>
      <c r="AF440" s="741"/>
      <c r="AG440" s="741"/>
      <c r="AH440" s="741"/>
      <c r="AI440" s="741"/>
      <c r="AJ440" s="741"/>
      <c r="AK440" s="741"/>
      <c r="AL440" s="741"/>
      <c r="AM440" s="741"/>
    </row>
    <row r="441" spans="1:39" ht="12.75" customHeight="1">
      <c r="A441" s="741"/>
      <c r="B441" s="741"/>
      <c r="C441" s="741"/>
      <c r="D441" s="741"/>
      <c r="E441" s="741"/>
      <c r="F441" s="741"/>
      <c r="G441" s="741"/>
      <c r="H441" s="741"/>
      <c r="I441" s="741"/>
      <c r="J441" s="741"/>
      <c r="K441" s="741"/>
      <c r="L441" s="741"/>
      <c r="M441" s="741"/>
      <c r="N441" s="741"/>
      <c r="O441" s="741"/>
      <c r="P441" s="741"/>
      <c r="Q441" s="741"/>
      <c r="R441" s="741"/>
      <c r="S441" s="741"/>
      <c r="T441" s="741"/>
      <c r="U441" s="741"/>
      <c r="V441" s="741"/>
      <c r="W441" s="741"/>
      <c r="X441" s="741"/>
      <c r="Y441" s="741"/>
      <c r="Z441" s="741"/>
      <c r="AA441" s="741"/>
      <c r="AB441" s="741"/>
      <c r="AC441" s="741"/>
      <c r="AD441" s="741"/>
      <c r="AE441" s="741"/>
      <c r="AF441" s="741"/>
      <c r="AG441" s="741"/>
      <c r="AH441" s="741"/>
      <c r="AI441" s="741"/>
      <c r="AJ441" s="741"/>
      <c r="AK441" s="741"/>
      <c r="AL441" s="741"/>
      <c r="AM441" s="741"/>
    </row>
    <row r="442" spans="1:39" ht="12.75" customHeight="1">
      <c r="A442" s="741"/>
      <c r="B442" s="741"/>
      <c r="C442" s="741"/>
      <c r="D442" s="741"/>
      <c r="E442" s="741"/>
      <c r="F442" s="741"/>
      <c r="G442" s="741"/>
      <c r="H442" s="741"/>
      <c r="I442" s="741"/>
      <c r="J442" s="741"/>
      <c r="K442" s="741"/>
      <c r="L442" s="741"/>
      <c r="M442" s="741"/>
      <c r="N442" s="741"/>
      <c r="O442" s="741"/>
      <c r="P442" s="741"/>
      <c r="Q442" s="741"/>
      <c r="R442" s="741"/>
      <c r="S442" s="741"/>
      <c r="T442" s="741"/>
      <c r="U442" s="741"/>
      <c r="V442" s="741"/>
      <c r="W442" s="741"/>
      <c r="X442" s="741"/>
      <c r="Y442" s="741"/>
      <c r="Z442" s="741"/>
      <c r="AA442" s="741"/>
      <c r="AB442" s="741"/>
      <c r="AC442" s="741"/>
      <c r="AD442" s="741"/>
      <c r="AE442" s="741"/>
      <c r="AF442" s="741"/>
      <c r="AG442" s="741"/>
      <c r="AH442" s="741"/>
      <c r="AI442" s="741"/>
      <c r="AJ442" s="741"/>
      <c r="AK442" s="741"/>
      <c r="AL442" s="741"/>
      <c r="AM442" s="741"/>
    </row>
    <row r="443" spans="1:39" ht="12.75" customHeight="1">
      <c r="A443" s="741"/>
      <c r="B443" s="741"/>
      <c r="C443" s="741"/>
      <c r="D443" s="741"/>
      <c r="E443" s="741"/>
      <c r="F443" s="741"/>
      <c r="G443" s="741"/>
      <c r="H443" s="741"/>
      <c r="I443" s="741"/>
      <c r="J443" s="741"/>
      <c r="K443" s="741"/>
      <c r="L443" s="741"/>
      <c r="M443" s="741"/>
      <c r="N443" s="741"/>
      <c r="O443" s="741"/>
      <c r="P443" s="741"/>
      <c r="Q443" s="741"/>
      <c r="R443" s="741"/>
      <c r="S443" s="741"/>
      <c r="T443" s="741"/>
      <c r="U443" s="741"/>
      <c r="V443" s="741"/>
      <c r="W443" s="741"/>
      <c r="X443" s="741"/>
      <c r="Y443" s="741"/>
      <c r="Z443" s="741"/>
      <c r="AA443" s="741"/>
      <c r="AB443" s="741"/>
      <c r="AC443" s="741"/>
      <c r="AD443" s="741"/>
      <c r="AE443" s="741"/>
      <c r="AF443" s="741"/>
      <c r="AG443" s="741"/>
      <c r="AH443" s="741"/>
      <c r="AI443" s="741"/>
      <c r="AJ443" s="741"/>
      <c r="AK443" s="741"/>
      <c r="AL443" s="741"/>
      <c r="AM443" s="741"/>
    </row>
    <row r="444" spans="1:39" ht="12.75" customHeight="1">
      <c r="A444" s="741"/>
      <c r="B444" s="741"/>
      <c r="C444" s="741"/>
      <c r="D444" s="741"/>
      <c r="E444" s="741"/>
      <c r="F444" s="741"/>
      <c r="G444" s="741"/>
      <c r="H444" s="741"/>
      <c r="I444" s="741"/>
      <c r="J444" s="741"/>
      <c r="K444" s="741"/>
      <c r="L444" s="741"/>
      <c r="M444" s="741"/>
      <c r="N444" s="741"/>
      <c r="O444" s="741"/>
      <c r="P444" s="741"/>
      <c r="Q444" s="741"/>
      <c r="R444" s="741"/>
      <c r="S444" s="741"/>
      <c r="T444" s="741"/>
      <c r="U444" s="741"/>
      <c r="V444" s="741"/>
      <c r="W444" s="741"/>
      <c r="X444" s="741"/>
      <c r="Y444" s="741"/>
      <c r="Z444" s="741"/>
      <c r="AA444" s="741"/>
      <c r="AB444" s="741"/>
      <c r="AC444" s="741"/>
      <c r="AD444" s="741"/>
      <c r="AE444" s="741"/>
      <c r="AF444" s="741"/>
      <c r="AG444" s="741"/>
      <c r="AH444" s="741"/>
      <c r="AI444" s="741"/>
      <c r="AJ444" s="741"/>
      <c r="AK444" s="741"/>
      <c r="AL444" s="741"/>
      <c r="AM444" s="741"/>
    </row>
    <row r="445" spans="1:39" ht="12.75" customHeight="1">
      <c r="A445" s="741"/>
      <c r="B445" s="741"/>
      <c r="C445" s="741"/>
      <c r="D445" s="741"/>
      <c r="E445" s="741"/>
      <c r="F445" s="741"/>
      <c r="G445" s="741"/>
      <c r="H445" s="741"/>
      <c r="I445" s="741"/>
      <c r="J445" s="741"/>
      <c r="K445" s="741"/>
      <c r="L445" s="741"/>
      <c r="M445" s="741"/>
      <c r="N445" s="741"/>
      <c r="O445" s="741"/>
      <c r="P445" s="741"/>
      <c r="Q445" s="741"/>
      <c r="R445" s="741"/>
      <c r="S445" s="741"/>
      <c r="T445" s="741"/>
      <c r="U445" s="741"/>
      <c r="V445" s="741"/>
      <c r="W445" s="741"/>
      <c r="X445" s="741"/>
      <c r="Y445" s="741"/>
      <c r="Z445" s="741"/>
      <c r="AA445" s="741"/>
      <c r="AB445" s="741"/>
      <c r="AC445" s="741"/>
      <c r="AD445" s="741"/>
      <c r="AE445" s="741"/>
      <c r="AF445" s="741"/>
      <c r="AG445" s="741"/>
      <c r="AH445" s="741"/>
      <c r="AI445" s="741"/>
      <c r="AJ445" s="741"/>
      <c r="AK445" s="741"/>
      <c r="AL445" s="741"/>
      <c r="AM445" s="741"/>
    </row>
    <row r="446" spans="1:39" ht="12.75" customHeight="1">
      <c r="A446" s="741"/>
      <c r="B446" s="741"/>
      <c r="C446" s="741"/>
      <c r="D446" s="741"/>
      <c r="E446" s="741"/>
      <c r="F446" s="741"/>
      <c r="G446" s="741"/>
      <c r="H446" s="741"/>
      <c r="I446" s="741"/>
      <c r="J446" s="741"/>
      <c r="K446" s="741"/>
      <c r="L446" s="741"/>
      <c r="M446" s="741"/>
      <c r="N446" s="741"/>
      <c r="O446" s="741"/>
      <c r="P446" s="741"/>
      <c r="Q446" s="741"/>
      <c r="R446" s="741"/>
      <c r="S446" s="741"/>
      <c r="T446" s="741"/>
      <c r="U446" s="741"/>
      <c r="V446" s="741"/>
      <c r="W446" s="741"/>
      <c r="X446" s="741"/>
      <c r="Y446" s="741"/>
      <c r="Z446" s="741"/>
      <c r="AA446" s="741"/>
      <c r="AB446" s="741"/>
      <c r="AC446" s="741"/>
      <c r="AD446" s="741"/>
      <c r="AE446" s="741"/>
      <c r="AF446" s="741"/>
      <c r="AG446" s="741"/>
      <c r="AH446" s="741"/>
      <c r="AI446" s="741"/>
      <c r="AJ446" s="741"/>
      <c r="AK446" s="741"/>
      <c r="AL446" s="741"/>
      <c r="AM446" s="741"/>
    </row>
    <row r="447" spans="1:39" ht="12.75" customHeight="1">
      <c r="A447" s="741"/>
      <c r="B447" s="741"/>
      <c r="C447" s="741"/>
      <c r="D447" s="741"/>
      <c r="E447" s="741"/>
      <c r="F447" s="741"/>
      <c r="G447" s="741"/>
      <c r="H447" s="741"/>
      <c r="I447" s="741"/>
      <c r="J447" s="741"/>
      <c r="K447" s="741"/>
      <c r="L447" s="741"/>
      <c r="M447" s="741"/>
      <c r="N447" s="741"/>
      <c r="O447" s="741"/>
      <c r="P447" s="741"/>
      <c r="Q447" s="741"/>
      <c r="R447" s="741"/>
      <c r="S447" s="741"/>
      <c r="T447" s="741"/>
      <c r="U447" s="741"/>
      <c r="V447" s="741"/>
      <c r="W447" s="741"/>
      <c r="X447" s="741"/>
      <c r="Y447" s="741"/>
      <c r="Z447" s="741"/>
      <c r="AA447" s="741"/>
      <c r="AB447" s="741"/>
      <c r="AC447" s="741"/>
      <c r="AD447" s="741"/>
      <c r="AE447" s="741"/>
      <c r="AF447" s="741"/>
      <c r="AG447" s="741"/>
      <c r="AH447" s="741"/>
      <c r="AI447" s="741"/>
      <c r="AJ447" s="741"/>
      <c r="AK447" s="741"/>
      <c r="AL447" s="741"/>
      <c r="AM447" s="741"/>
    </row>
    <row r="448" spans="1:39" ht="12.75" customHeight="1">
      <c r="A448" s="741"/>
      <c r="B448" s="741"/>
      <c r="C448" s="741"/>
      <c r="D448" s="741"/>
      <c r="E448" s="741"/>
      <c r="F448" s="741"/>
      <c r="G448" s="741"/>
      <c r="H448" s="741"/>
      <c r="I448" s="741"/>
      <c r="J448" s="741"/>
      <c r="K448" s="741"/>
      <c r="L448" s="741"/>
      <c r="M448" s="741"/>
      <c r="N448" s="741"/>
      <c r="O448" s="741"/>
      <c r="P448" s="741"/>
      <c r="Q448" s="741"/>
      <c r="R448" s="741"/>
      <c r="S448" s="741"/>
      <c r="T448" s="741"/>
      <c r="U448" s="741"/>
      <c r="V448" s="741"/>
      <c r="W448" s="741"/>
      <c r="X448" s="741"/>
      <c r="Y448" s="741"/>
      <c r="Z448" s="741"/>
      <c r="AA448" s="741"/>
      <c r="AB448" s="741"/>
      <c r="AC448" s="741"/>
      <c r="AD448" s="741"/>
      <c r="AE448" s="741"/>
      <c r="AF448" s="741"/>
      <c r="AG448" s="741"/>
      <c r="AH448" s="741"/>
      <c r="AI448" s="741"/>
      <c r="AJ448" s="741"/>
      <c r="AK448" s="741"/>
      <c r="AL448" s="741"/>
      <c r="AM448" s="741"/>
    </row>
    <row r="449" spans="1:39" ht="12.75" customHeight="1">
      <c r="A449" s="741"/>
      <c r="B449" s="741"/>
      <c r="C449" s="741"/>
      <c r="D449" s="741"/>
      <c r="E449" s="741"/>
      <c r="F449" s="741"/>
      <c r="G449" s="741"/>
      <c r="H449" s="741"/>
      <c r="I449" s="741"/>
      <c r="J449" s="741"/>
      <c r="K449" s="741"/>
      <c r="L449" s="741"/>
      <c r="M449" s="741"/>
      <c r="N449" s="741"/>
      <c r="O449" s="741"/>
      <c r="P449" s="741"/>
      <c r="Q449" s="741"/>
      <c r="R449" s="741"/>
      <c r="S449" s="741"/>
      <c r="T449" s="741"/>
      <c r="U449" s="741"/>
      <c r="V449" s="741"/>
      <c r="W449" s="741"/>
      <c r="X449" s="741"/>
      <c r="Y449" s="741"/>
      <c r="Z449" s="741"/>
      <c r="AA449" s="741"/>
      <c r="AB449" s="741"/>
      <c r="AC449" s="741"/>
      <c r="AD449" s="741"/>
      <c r="AE449" s="741"/>
      <c r="AF449" s="741"/>
      <c r="AG449" s="741"/>
      <c r="AH449" s="741"/>
      <c r="AI449" s="741"/>
      <c r="AJ449" s="741"/>
      <c r="AK449" s="741"/>
      <c r="AL449" s="741"/>
      <c r="AM449" s="741"/>
    </row>
    <row r="450" spans="1:39" ht="12.75" customHeight="1">
      <c r="A450" s="741"/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1"/>
      <c r="P450" s="741"/>
      <c r="Q450" s="741"/>
      <c r="R450" s="741"/>
      <c r="S450" s="741"/>
      <c r="T450" s="741"/>
      <c r="U450" s="741"/>
      <c r="V450" s="741"/>
      <c r="W450" s="741"/>
      <c r="X450" s="741"/>
      <c r="Y450" s="741"/>
      <c r="Z450" s="741"/>
      <c r="AA450" s="741"/>
      <c r="AB450" s="741"/>
      <c r="AC450" s="741"/>
      <c r="AD450" s="741"/>
      <c r="AE450" s="741"/>
      <c r="AF450" s="741"/>
      <c r="AG450" s="741"/>
      <c r="AH450" s="741"/>
      <c r="AI450" s="741"/>
      <c r="AJ450" s="741"/>
      <c r="AK450" s="741"/>
      <c r="AL450" s="741"/>
      <c r="AM450" s="741"/>
    </row>
    <row r="451" spans="1:39" ht="12.75" customHeight="1">
      <c r="A451" s="741"/>
      <c r="B451" s="741"/>
      <c r="C451" s="741"/>
      <c r="D451" s="741"/>
      <c r="E451" s="741"/>
      <c r="F451" s="741"/>
      <c r="G451" s="741"/>
      <c r="H451" s="741"/>
      <c r="I451" s="741"/>
      <c r="J451" s="741"/>
      <c r="K451" s="741"/>
      <c r="L451" s="741"/>
      <c r="M451" s="741"/>
      <c r="N451" s="741"/>
      <c r="O451" s="741"/>
      <c r="P451" s="741"/>
      <c r="Q451" s="741"/>
      <c r="R451" s="741"/>
      <c r="S451" s="741"/>
      <c r="T451" s="741"/>
      <c r="U451" s="741"/>
      <c r="V451" s="741"/>
      <c r="W451" s="741"/>
      <c r="X451" s="741"/>
      <c r="Y451" s="741"/>
      <c r="Z451" s="741"/>
      <c r="AA451" s="741"/>
      <c r="AB451" s="741"/>
      <c r="AC451" s="741"/>
      <c r="AD451" s="741"/>
      <c r="AE451" s="741"/>
      <c r="AF451" s="741"/>
      <c r="AG451" s="741"/>
      <c r="AH451" s="741"/>
      <c r="AI451" s="741"/>
      <c r="AJ451" s="741"/>
      <c r="AK451" s="741"/>
      <c r="AL451" s="741"/>
      <c r="AM451" s="741"/>
    </row>
    <row r="452" spans="1:39" ht="12.75" customHeight="1">
      <c r="A452" s="741"/>
      <c r="B452" s="741"/>
      <c r="C452" s="741"/>
      <c r="D452" s="741"/>
      <c r="E452" s="741"/>
      <c r="F452" s="741"/>
      <c r="G452" s="741"/>
      <c r="H452" s="741"/>
      <c r="I452" s="741"/>
      <c r="J452" s="741"/>
      <c r="K452" s="741"/>
      <c r="L452" s="741"/>
      <c r="M452" s="741"/>
      <c r="N452" s="741"/>
      <c r="O452" s="741"/>
      <c r="P452" s="741"/>
      <c r="Q452" s="741"/>
      <c r="R452" s="741"/>
      <c r="S452" s="741"/>
      <c r="T452" s="741"/>
      <c r="U452" s="741"/>
      <c r="V452" s="741"/>
      <c r="W452" s="741"/>
      <c r="X452" s="741"/>
      <c r="Y452" s="741"/>
      <c r="Z452" s="741"/>
      <c r="AA452" s="741"/>
      <c r="AB452" s="741"/>
      <c r="AC452" s="741"/>
      <c r="AD452" s="741"/>
      <c r="AE452" s="741"/>
      <c r="AF452" s="741"/>
      <c r="AG452" s="741"/>
      <c r="AH452" s="741"/>
      <c r="AI452" s="741"/>
      <c r="AJ452" s="741"/>
      <c r="AK452" s="741"/>
      <c r="AL452" s="741"/>
      <c r="AM452" s="741"/>
    </row>
    <row r="453" spans="1:39" ht="12.75" customHeight="1">
      <c r="A453" s="741"/>
      <c r="B453" s="741"/>
      <c r="C453" s="741"/>
      <c r="D453" s="741"/>
      <c r="E453" s="741"/>
      <c r="F453" s="741"/>
      <c r="G453" s="741"/>
      <c r="H453" s="741"/>
      <c r="I453" s="741"/>
      <c r="J453" s="741"/>
      <c r="K453" s="741"/>
      <c r="L453" s="741"/>
      <c r="M453" s="741"/>
      <c r="N453" s="741"/>
      <c r="O453" s="741"/>
      <c r="P453" s="741"/>
      <c r="Q453" s="741"/>
      <c r="R453" s="741"/>
      <c r="S453" s="741"/>
      <c r="T453" s="741"/>
      <c r="U453" s="741"/>
      <c r="V453" s="741"/>
      <c r="W453" s="741"/>
      <c r="X453" s="741"/>
      <c r="Y453" s="741"/>
      <c r="Z453" s="741"/>
      <c r="AA453" s="741"/>
      <c r="AB453" s="741"/>
      <c r="AC453" s="741"/>
      <c r="AD453" s="741"/>
      <c r="AE453" s="741"/>
      <c r="AF453" s="741"/>
      <c r="AG453" s="741"/>
      <c r="AH453" s="741"/>
      <c r="AI453" s="741"/>
      <c r="AJ453" s="741"/>
      <c r="AK453" s="741"/>
      <c r="AL453" s="741"/>
      <c r="AM453" s="741"/>
    </row>
    <row r="454" spans="1:39" ht="12.75" customHeight="1">
      <c r="A454" s="741"/>
      <c r="B454" s="741"/>
      <c r="C454" s="741"/>
      <c r="D454" s="741"/>
      <c r="E454" s="741"/>
      <c r="F454" s="741"/>
      <c r="G454" s="741"/>
      <c r="H454" s="741"/>
      <c r="I454" s="741"/>
      <c r="J454" s="741"/>
      <c r="K454" s="741"/>
      <c r="L454" s="741"/>
      <c r="M454" s="741"/>
      <c r="N454" s="741"/>
      <c r="O454" s="741"/>
      <c r="P454" s="741"/>
      <c r="Q454" s="741"/>
      <c r="R454" s="741"/>
      <c r="S454" s="741"/>
      <c r="T454" s="741"/>
      <c r="U454" s="741"/>
      <c r="V454" s="741"/>
      <c r="W454" s="741"/>
      <c r="X454" s="741"/>
      <c r="Y454" s="741"/>
      <c r="Z454" s="741"/>
      <c r="AA454" s="741"/>
      <c r="AB454" s="741"/>
      <c r="AC454" s="741"/>
      <c r="AD454" s="741"/>
      <c r="AE454" s="741"/>
      <c r="AF454" s="741"/>
      <c r="AG454" s="741"/>
      <c r="AH454" s="741"/>
      <c r="AI454" s="741"/>
      <c r="AJ454" s="741"/>
      <c r="AK454" s="741"/>
      <c r="AL454" s="741"/>
      <c r="AM454" s="741"/>
    </row>
    <row r="455" spans="1:39" ht="12.75" customHeight="1">
      <c r="A455" s="741"/>
      <c r="B455" s="741"/>
      <c r="C455" s="741"/>
      <c r="D455" s="741"/>
      <c r="E455" s="741"/>
      <c r="F455" s="741"/>
      <c r="G455" s="741"/>
      <c r="H455" s="741"/>
      <c r="I455" s="741"/>
      <c r="J455" s="741"/>
      <c r="K455" s="741"/>
      <c r="L455" s="741"/>
      <c r="M455" s="741"/>
      <c r="N455" s="741"/>
      <c r="O455" s="741"/>
      <c r="P455" s="741"/>
      <c r="Q455" s="741"/>
      <c r="R455" s="741"/>
      <c r="S455" s="741"/>
      <c r="T455" s="741"/>
      <c r="U455" s="741"/>
      <c r="V455" s="741"/>
      <c r="W455" s="741"/>
      <c r="X455" s="741"/>
      <c r="Y455" s="741"/>
      <c r="Z455" s="741"/>
      <c r="AA455" s="741"/>
      <c r="AB455" s="741"/>
      <c r="AC455" s="741"/>
      <c r="AD455" s="741"/>
      <c r="AE455" s="741"/>
      <c r="AF455" s="741"/>
      <c r="AG455" s="741"/>
      <c r="AH455" s="741"/>
      <c r="AI455" s="741"/>
      <c r="AJ455" s="741"/>
      <c r="AK455" s="741"/>
      <c r="AL455" s="741"/>
      <c r="AM455" s="741"/>
    </row>
    <row r="456" spans="1:39" ht="12.75" customHeight="1">
      <c r="A456" s="741"/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1"/>
      <c r="P456" s="741"/>
      <c r="Q456" s="741"/>
      <c r="R456" s="741"/>
      <c r="S456" s="741"/>
      <c r="T456" s="741"/>
      <c r="U456" s="741"/>
      <c r="V456" s="741"/>
      <c r="W456" s="741"/>
      <c r="X456" s="741"/>
      <c r="Y456" s="741"/>
      <c r="Z456" s="741"/>
      <c r="AA456" s="741"/>
      <c r="AB456" s="741"/>
      <c r="AC456" s="741"/>
      <c r="AD456" s="741"/>
      <c r="AE456" s="741"/>
      <c r="AF456" s="741"/>
      <c r="AG456" s="741"/>
      <c r="AH456" s="741"/>
      <c r="AI456" s="741"/>
      <c r="AJ456" s="741"/>
      <c r="AK456" s="741"/>
      <c r="AL456" s="741"/>
      <c r="AM456" s="741"/>
    </row>
    <row r="457" spans="1:39" ht="12.75" customHeight="1">
      <c r="A457" s="741"/>
      <c r="B457" s="741"/>
      <c r="C457" s="741"/>
      <c r="D457" s="741"/>
      <c r="E457" s="741"/>
      <c r="F457" s="741"/>
      <c r="G457" s="741"/>
      <c r="H457" s="741"/>
      <c r="I457" s="741"/>
      <c r="J457" s="741"/>
      <c r="K457" s="741"/>
      <c r="L457" s="741"/>
      <c r="M457" s="741"/>
      <c r="N457" s="741"/>
      <c r="O457" s="741"/>
      <c r="P457" s="741"/>
      <c r="Q457" s="741"/>
      <c r="R457" s="741"/>
      <c r="S457" s="741"/>
      <c r="T457" s="741"/>
      <c r="U457" s="741"/>
      <c r="V457" s="741"/>
      <c r="W457" s="741"/>
      <c r="X457" s="741"/>
      <c r="Y457" s="741"/>
      <c r="Z457" s="741"/>
      <c r="AA457" s="741"/>
      <c r="AB457" s="741"/>
      <c r="AC457" s="741"/>
      <c r="AD457" s="741"/>
      <c r="AE457" s="741"/>
      <c r="AF457" s="741"/>
      <c r="AG457" s="741"/>
      <c r="AH457" s="741"/>
      <c r="AI457" s="741"/>
      <c r="AJ457" s="741"/>
      <c r="AK457" s="741"/>
      <c r="AL457" s="741"/>
      <c r="AM457" s="741"/>
    </row>
    <row r="458" spans="1:39" ht="12.75" customHeight="1">
      <c r="A458" s="741"/>
      <c r="B458" s="741"/>
      <c r="C458" s="741"/>
      <c r="D458" s="741"/>
      <c r="E458" s="741"/>
      <c r="F458" s="741"/>
      <c r="G458" s="741"/>
      <c r="H458" s="741"/>
      <c r="I458" s="741"/>
      <c r="J458" s="741"/>
      <c r="K458" s="741"/>
      <c r="L458" s="741"/>
      <c r="M458" s="741"/>
      <c r="N458" s="741"/>
      <c r="O458" s="741"/>
      <c r="P458" s="741"/>
      <c r="Q458" s="741"/>
      <c r="R458" s="741"/>
      <c r="S458" s="741"/>
      <c r="T458" s="741"/>
      <c r="U458" s="741"/>
      <c r="V458" s="741"/>
      <c r="W458" s="741"/>
      <c r="X458" s="741"/>
      <c r="Y458" s="741"/>
      <c r="Z458" s="741"/>
      <c r="AA458" s="741"/>
      <c r="AB458" s="741"/>
      <c r="AC458" s="741"/>
      <c r="AD458" s="741"/>
      <c r="AE458" s="741"/>
      <c r="AF458" s="741"/>
      <c r="AG458" s="741"/>
      <c r="AH458" s="741"/>
      <c r="AI458" s="741"/>
      <c r="AJ458" s="741"/>
      <c r="AK458" s="741"/>
      <c r="AL458" s="741"/>
      <c r="AM458" s="741"/>
    </row>
    <row r="459" spans="1:39" ht="12.75" customHeight="1">
      <c r="A459" s="741"/>
      <c r="B459" s="741"/>
      <c r="C459" s="741"/>
      <c r="D459" s="741"/>
      <c r="E459" s="741"/>
      <c r="F459" s="741"/>
      <c r="G459" s="741"/>
      <c r="H459" s="741"/>
      <c r="I459" s="741"/>
      <c r="J459" s="741"/>
      <c r="K459" s="741"/>
      <c r="L459" s="741"/>
      <c r="M459" s="741"/>
      <c r="N459" s="741"/>
      <c r="O459" s="741"/>
      <c r="P459" s="741"/>
      <c r="Q459" s="741"/>
      <c r="R459" s="741"/>
      <c r="S459" s="741"/>
      <c r="T459" s="741"/>
      <c r="U459" s="741"/>
      <c r="V459" s="741"/>
      <c r="W459" s="741"/>
      <c r="X459" s="741"/>
      <c r="Y459" s="741"/>
      <c r="Z459" s="741"/>
      <c r="AA459" s="741"/>
      <c r="AB459" s="741"/>
      <c r="AC459" s="741"/>
      <c r="AD459" s="741"/>
      <c r="AE459" s="741"/>
      <c r="AF459" s="741"/>
      <c r="AG459" s="741"/>
      <c r="AH459" s="741"/>
      <c r="AI459" s="741"/>
      <c r="AJ459" s="741"/>
      <c r="AK459" s="741"/>
      <c r="AL459" s="741"/>
      <c r="AM459" s="741"/>
    </row>
    <row r="460" spans="1:39" ht="12.75" customHeight="1">
      <c r="A460" s="741"/>
      <c r="B460" s="741"/>
      <c r="C460" s="741"/>
      <c r="D460" s="741"/>
      <c r="E460" s="741"/>
      <c r="F460" s="741"/>
      <c r="G460" s="741"/>
      <c r="H460" s="741"/>
      <c r="I460" s="741"/>
      <c r="J460" s="741"/>
      <c r="K460" s="741"/>
      <c r="L460" s="741"/>
      <c r="M460" s="741"/>
      <c r="N460" s="741"/>
      <c r="O460" s="741"/>
      <c r="P460" s="741"/>
      <c r="Q460" s="741"/>
      <c r="R460" s="741"/>
      <c r="S460" s="741"/>
      <c r="T460" s="741"/>
      <c r="U460" s="741"/>
      <c r="V460" s="741"/>
      <c r="W460" s="741"/>
      <c r="X460" s="741"/>
      <c r="Y460" s="741"/>
      <c r="Z460" s="741"/>
      <c r="AA460" s="741"/>
      <c r="AB460" s="741"/>
      <c r="AC460" s="741"/>
      <c r="AD460" s="741"/>
      <c r="AE460" s="741"/>
      <c r="AF460" s="741"/>
      <c r="AG460" s="741"/>
      <c r="AH460" s="741"/>
      <c r="AI460" s="741"/>
      <c r="AJ460" s="741"/>
      <c r="AK460" s="741"/>
      <c r="AL460" s="741"/>
      <c r="AM460" s="741"/>
    </row>
    <row r="461" spans="1:39" ht="12.75" customHeight="1">
      <c r="A461" s="741"/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1"/>
      <c r="P461" s="741"/>
      <c r="Q461" s="741"/>
      <c r="R461" s="741"/>
      <c r="S461" s="741"/>
      <c r="T461" s="741"/>
      <c r="U461" s="741"/>
      <c r="V461" s="741"/>
      <c r="W461" s="741"/>
      <c r="X461" s="741"/>
      <c r="Y461" s="741"/>
      <c r="Z461" s="741"/>
      <c r="AA461" s="741"/>
      <c r="AB461" s="741"/>
      <c r="AC461" s="741"/>
      <c r="AD461" s="741"/>
      <c r="AE461" s="741"/>
      <c r="AF461" s="741"/>
      <c r="AG461" s="741"/>
      <c r="AH461" s="741"/>
      <c r="AI461" s="741"/>
      <c r="AJ461" s="741"/>
      <c r="AK461" s="741"/>
      <c r="AL461" s="741"/>
      <c r="AM461" s="741"/>
    </row>
    <row r="462" spans="1:39" ht="12.75" customHeight="1">
      <c r="A462" s="741"/>
      <c r="B462" s="741"/>
      <c r="C462" s="741"/>
      <c r="D462" s="741"/>
      <c r="E462" s="741"/>
      <c r="F462" s="741"/>
      <c r="G462" s="741"/>
      <c r="H462" s="741"/>
      <c r="I462" s="741"/>
      <c r="J462" s="741"/>
      <c r="K462" s="741"/>
      <c r="L462" s="741"/>
      <c r="M462" s="741"/>
      <c r="N462" s="741"/>
      <c r="O462" s="741"/>
      <c r="P462" s="741"/>
      <c r="Q462" s="741"/>
      <c r="R462" s="741"/>
      <c r="S462" s="741"/>
      <c r="T462" s="741"/>
      <c r="U462" s="741"/>
      <c r="V462" s="741"/>
      <c r="W462" s="741"/>
      <c r="X462" s="741"/>
      <c r="Y462" s="741"/>
      <c r="Z462" s="741"/>
      <c r="AA462" s="741"/>
      <c r="AB462" s="741"/>
      <c r="AC462" s="741"/>
      <c r="AD462" s="741"/>
      <c r="AE462" s="741"/>
      <c r="AF462" s="741"/>
      <c r="AG462" s="741"/>
      <c r="AH462" s="741"/>
      <c r="AI462" s="741"/>
      <c r="AJ462" s="741"/>
      <c r="AK462" s="741"/>
      <c r="AL462" s="741"/>
      <c r="AM462" s="741"/>
    </row>
    <row r="463" spans="1:39" ht="12.75" customHeight="1">
      <c r="A463" s="741"/>
      <c r="B463" s="741"/>
      <c r="C463" s="741"/>
      <c r="D463" s="741"/>
      <c r="E463" s="741"/>
      <c r="F463" s="741"/>
      <c r="G463" s="741"/>
      <c r="H463" s="741"/>
      <c r="I463" s="741"/>
      <c r="J463" s="741"/>
      <c r="K463" s="741"/>
      <c r="L463" s="741"/>
      <c r="M463" s="741"/>
      <c r="N463" s="741"/>
      <c r="O463" s="741"/>
      <c r="P463" s="741"/>
      <c r="Q463" s="741"/>
      <c r="R463" s="741"/>
      <c r="S463" s="741"/>
      <c r="T463" s="741"/>
      <c r="U463" s="741"/>
      <c r="V463" s="741"/>
      <c r="W463" s="741"/>
      <c r="X463" s="741"/>
      <c r="Y463" s="741"/>
      <c r="Z463" s="741"/>
      <c r="AA463" s="741"/>
      <c r="AB463" s="741"/>
      <c r="AC463" s="741"/>
      <c r="AD463" s="741"/>
      <c r="AE463" s="741"/>
      <c r="AF463" s="741"/>
      <c r="AG463" s="741"/>
      <c r="AH463" s="741"/>
      <c r="AI463" s="741"/>
      <c r="AJ463" s="741"/>
      <c r="AK463" s="741"/>
      <c r="AL463" s="741"/>
      <c r="AM463" s="741"/>
    </row>
    <row r="464" spans="1:39" ht="12.75" customHeight="1">
      <c r="A464" s="741"/>
      <c r="B464" s="741"/>
      <c r="C464" s="741"/>
      <c r="D464" s="741"/>
      <c r="E464" s="741"/>
      <c r="F464" s="741"/>
      <c r="G464" s="741"/>
      <c r="H464" s="741"/>
      <c r="I464" s="741"/>
      <c r="J464" s="741"/>
      <c r="K464" s="741"/>
      <c r="L464" s="741"/>
      <c r="M464" s="741"/>
      <c r="N464" s="741"/>
      <c r="O464" s="741"/>
      <c r="P464" s="741"/>
      <c r="Q464" s="741"/>
      <c r="R464" s="741"/>
      <c r="S464" s="741"/>
      <c r="T464" s="741"/>
      <c r="U464" s="741"/>
      <c r="V464" s="741"/>
      <c r="W464" s="741"/>
      <c r="X464" s="741"/>
      <c r="Y464" s="741"/>
      <c r="Z464" s="741"/>
      <c r="AA464" s="741"/>
      <c r="AB464" s="741"/>
      <c r="AC464" s="741"/>
      <c r="AD464" s="741"/>
      <c r="AE464" s="741"/>
      <c r="AF464" s="741"/>
      <c r="AG464" s="741"/>
      <c r="AH464" s="741"/>
      <c r="AI464" s="741"/>
      <c r="AJ464" s="741"/>
      <c r="AK464" s="741"/>
      <c r="AL464" s="741"/>
      <c r="AM464" s="741"/>
    </row>
    <row r="465" spans="1:39" ht="12.75" customHeight="1">
      <c r="A465" s="741"/>
      <c r="B465" s="741"/>
      <c r="C465" s="741"/>
      <c r="D465" s="741"/>
      <c r="E465" s="741"/>
      <c r="F465" s="741"/>
      <c r="G465" s="741"/>
      <c r="H465" s="741"/>
      <c r="I465" s="741"/>
      <c r="J465" s="741"/>
      <c r="K465" s="741"/>
      <c r="L465" s="741"/>
      <c r="M465" s="741"/>
      <c r="N465" s="741"/>
      <c r="O465" s="741"/>
      <c r="P465" s="741"/>
      <c r="Q465" s="741"/>
      <c r="R465" s="741"/>
      <c r="S465" s="741"/>
      <c r="T465" s="741"/>
      <c r="U465" s="741"/>
      <c r="V465" s="741"/>
      <c r="W465" s="741"/>
      <c r="X465" s="741"/>
      <c r="Y465" s="741"/>
      <c r="Z465" s="741"/>
      <c r="AA465" s="741"/>
      <c r="AB465" s="741"/>
      <c r="AC465" s="741"/>
      <c r="AD465" s="741"/>
      <c r="AE465" s="741"/>
      <c r="AF465" s="741"/>
      <c r="AG465" s="741"/>
      <c r="AH465" s="741"/>
      <c r="AI465" s="741"/>
      <c r="AJ465" s="741"/>
      <c r="AK465" s="741"/>
      <c r="AL465" s="741"/>
      <c r="AM465" s="741"/>
    </row>
    <row r="466" spans="1:39" ht="12.75" customHeight="1">
      <c r="A466" s="741"/>
      <c r="B466" s="741"/>
      <c r="C466" s="741"/>
      <c r="D466" s="741"/>
      <c r="E466" s="741"/>
      <c r="F466" s="741"/>
      <c r="G466" s="741"/>
      <c r="H466" s="741"/>
      <c r="I466" s="741"/>
      <c r="J466" s="741"/>
      <c r="K466" s="741"/>
      <c r="L466" s="741"/>
      <c r="M466" s="741"/>
      <c r="N466" s="741"/>
      <c r="O466" s="741"/>
      <c r="P466" s="741"/>
      <c r="Q466" s="741"/>
      <c r="R466" s="741"/>
      <c r="S466" s="741"/>
      <c r="T466" s="741"/>
      <c r="U466" s="741"/>
      <c r="V466" s="741"/>
      <c r="W466" s="741"/>
      <c r="X466" s="741"/>
      <c r="Y466" s="741"/>
      <c r="Z466" s="741"/>
      <c r="AA466" s="741"/>
      <c r="AB466" s="741"/>
      <c r="AC466" s="741"/>
      <c r="AD466" s="741"/>
      <c r="AE466" s="741"/>
      <c r="AF466" s="741"/>
      <c r="AG466" s="741"/>
      <c r="AH466" s="741"/>
      <c r="AI466" s="741"/>
      <c r="AJ466" s="741"/>
      <c r="AK466" s="741"/>
      <c r="AL466" s="741"/>
      <c r="AM466" s="741"/>
    </row>
    <row r="467" spans="1:39" ht="12.75" customHeight="1">
      <c r="A467" s="741"/>
      <c r="B467" s="741"/>
      <c r="C467" s="741"/>
      <c r="D467" s="741"/>
      <c r="E467" s="741"/>
      <c r="F467" s="741"/>
      <c r="G467" s="741"/>
      <c r="H467" s="741"/>
      <c r="I467" s="741"/>
      <c r="J467" s="741"/>
      <c r="K467" s="741"/>
      <c r="L467" s="741"/>
      <c r="M467" s="741"/>
      <c r="N467" s="741"/>
      <c r="O467" s="741"/>
      <c r="P467" s="741"/>
      <c r="Q467" s="741"/>
      <c r="R467" s="741"/>
      <c r="S467" s="741"/>
      <c r="T467" s="741"/>
      <c r="U467" s="741"/>
      <c r="V467" s="741"/>
      <c r="W467" s="741"/>
      <c r="X467" s="741"/>
      <c r="Y467" s="741"/>
      <c r="Z467" s="741"/>
      <c r="AA467" s="741"/>
      <c r="AB467" s="741"/>
      <c r="AC467" s="741"/>
      <c r="AD467" s="741"/>
      <c r="AE467" s="741"/>
      <c r="AF467" s="741"/>
      <c r="AG467" s="741"/>
      <c r="AH467" s="741"/>
      <c r="AI467" s="741"/>
      <c r="AJ467" s="741"/>
      <c r="AK467" s="741"/>
      <c r="AL467" s="741"/>
      <c r="AM467" s="741"/>
    </row>
    <row r="468" spans="1:39" ht="12.75" customHeight="1">
      <c r="A468" s="741"/>
      <c r="B468" s="741"/>
      <c r="C468" s="741"/>
      <c r="D468" s="741"/>
      <c r="E468" s="741"/>
      <c r="F468" s="741"/>
      <c r="G468" s="741"/>
      <c r="H468" s="741"/>
      <c r="I468" s="741"/>
      <c r="J468" s="741"/>
      <c r="K468" s="741"/>
      <c r="L468" s="741"/>
      <c r="M468" s="741"/>
      <c r="N468" s="741"/>
      <c r="O468" s="741"/>
      <c r="P468" s="741"/>
      <c r="Q468" s="741"/>
      <c r="R468" s="741"/>
      <c r="S468" s="741"/>
      <c r="T468" s="741"/>
      <c r="U468" s="741"/>
      <c r="V468" s="741"/>
      <c r="W468" s="741"/>
      <c r="X468" s="741"/>
      <c r="Y468" s="741"/>
      <c r="Z468" s="741"/>
      <c r="AA468" s="741"/>
      <c r="AB468" s="741"/>
      <c r="AC468" s="741"/>
      <c r="AD468" s="741"/>
      <c r="AE468" s="741"/>
      <c r="AF468" s="741"/>
      <c r="AG468" s="741"/>
      <c r="AH468" s="741"/>
      <c r="AI468" s="741"/>
      <c r="AJ468" s="741"/>
      <c r="AK468" s="741"/>
      <c r="AL468" s="741"/>
      <c r="AM468" s="741"/>
    </row>
    <row r="469" spans="1:39" ht="12.75" customHeight="1">
      <c r="A469" s="741"/>
      <c r="B469" s="741"/>
      <c r="C469" s="741"/>
      <c r="D469" s="741"/>
      <c r="E469" s="741"/>
      <c r="F469" s="741"/>
      <c r="G469" s="741"/>
      <c r="H469" s="741"/>
      <c r="I469" s="741"/>
      <c r="J469" s="741"/>
      <c r="K469" s="741"/>
      <c r="L469" s="741"/>
      <c r="M469" s="741"/>
      <c r="N469" s="741"/>
      <c r="O469" s="741"/>
      <c r="P469" s="741"/>
      <c r="Q469" s="741"/>
      <c r="R469" s="741"/>
      <c r="S469" s="741"/>
      <c r="T469" s="741"/>
      <c r="U469" s="741"/>
      <c r="V469" s="741"/>
      <c r="W469" s="741"/>
      <c r="X469" s="741"/>
      <c r="Y469" s="741"/>
      <c r="Z469" s="741"/>
      <c r="AA469" s="741"/>
      <c r="AB469" s="741"/>
      <c r="AC469" s="741"/>
      <c r="AD469" s="741"/>
      <c r="AE469" s="741"/>
      <c r="AF469" s="741"/>
      <c r="AG469" s="741"/>
      <c r="AH469" s="741"/>
      <c r="AI469" s="741"/>
      <c r="AJ469" s="741"/>
      <c r="AK469" s="741"/>
      <c r="AL469" s="741"/>
      <c r="AM469" s="741"/>
    </row>
    <row r="470" spans="1:39" ht="12.75" customHeight="1">
      <c r="A470" s="741"/>
      <c r="B470" s="741"/>
      <c r="C470" s="741"/>
      <c r="D470" s="741"/>
      <c r="E470" s="741"/>
      <c r="F470" s="741"/>
      <c r="G470" s="741"/>
      <c r="H470" s="741"/>
      <c r="I470" s="741"/>
      <c r="J470" s="741"/>
      <c r="K470" s="741"/>
      <c r="L470" s="741"/>
      <c r="M470" s="741"/>
      <c r="N470" s="741"/>
      <c r="O470" s="741"/>
      <c r="P470" s="741"/>
      <c r="Q470" s="741"/>
      <c r="R470" s="741"/>
      <c r="S470" s="741"/>
      <c r="T470" s="741"/>
      <c r="U470" s="741"/>
      <c r="V470" s="741"/>
      <c r="W470" s="741"/>
      <c r="X470" s="741"/>
      <c r="Y470" s="741"/>
      <c r="Z470" s="741"/>
      <c r="AA470" s="741"/>
      <c r="AB470" s="741"/>
      <c r="AC470" s="741"/>
      <c r="AD470" s="741"/>
      <c r="AE470" s="741"/>
      <c r="AF470" s="741"/>
      <c r="AG470" s="741"/>
      <c r="AH470" s="741"/>
      <c r="AI470" s="741"/>
      <c r="AJ470" s="741"/>
      <c r="AK470" s="741"/>
      <c r="AL470" s="741"/>
      <c r="AM470" s="741"/>
    </row>
    <row r="471" spans="1:39" ht="12.75" customHeight="1">
      <c r="A471" s="741"/>
      <c r="B471" s="741"/>
      <c r="C471" s="741"/>
      <c r="D471" s="741"/>
      <c r="E471" s="741"/>
      <c r="F471" s="741"/>
      <c r="G471" s="741"/>
      <c r="H471" s="741"/>
      <c r="I471" s="741"/>
      <c r="J471" s="741"/>
      <c r="K471" s="741"/>
      <c r="L471" s="741"/>
      <c r="M471" s="741"/>
      <c r="N471" s="741"/>
      <c r="O471" s="741"/>
      <c r="P471" s="741"/>
      <c r="Q471" s="741"/>
      <c r="R471" s="741"/>
      <c r="S471" s="741"/>
      <c r="T471" s="741"/>
      <c r="U471" s="741"/>
      <c r="V471" s="741"/>
      <c r="W471" s="741"/>
      <c r="X471" s="741"/>
      <c r="Y471" s="741"/>
      <c r="Z471" s="741"/>
      <c r="AA471" s="741"/>
      <c r="AB471" s="741"/>
      <c r="AC471" s="741"/>
      <c r="AD471" s="741"/>
      <c r="AE471" s="741"/>
      <c r="AF471" s="741"/>
      <c r="AG471" s="741"/>
      <c r="AH471" s="741"/>
      <c r="AI471" s="741"/>
      <c r="AJ471" s="741"/>
      <c r="AK471" s="741"/>
      <c r="AL471" s="741"/>
      <c r="AM471" s="741"/>
    </row>
    <row r="472" spans="1:39" ht="12.75" customHeight="1">
      <c r="A472" s="741"/>
      <c r="B472" s="741"/>
      <c r="C472" s="741"/>
      <c r="D472" s="741"/>
      <c r="E472" s="741"/>
      <c r="F472" s="741"/>
      <c r="G472" s="741"/>
      <c r="H472" s="741"/>
      <c r="I472" s="741"/>
      <c r="J472" s="741"/>
      <c r="K472" s="741"/>
      <c r="L472" s="741"/>
      <c r="M472" s="741"/>
      <c r="N472" s="741"/>
      <c r="O472" s="741"/>
      <c r="P472" s="741"/>
      <c r="Q472" s="741"/>
      <c r="R472" s="741"/>
      <c r="S472" s="741"/>
      <c r="T472" s="741"/>
      <c r="U472" s="741"/>
      <c r="V472" s="741"/>
      <c r="W472" s="741"/>
      <c r="X472" s="741"/>
      <c r="Y472" s="741"/>
      <c r="Z472" s="741"/>
      <c r="AA472" s="741"/>
      <c r="AB472" s="741"/>
      <c r="AC472" s="741"/>
      <c r="AD472" s="741"/>
      <c r="AE472" s="741"/>
      <c r="AF472" s="741"/>
      <c r="AG472" s="741"/>
      <c r="AH472" s="741"/>
      <c r="AI472" s="741"/>
      <c r="AJ472" s="741"/>
      <c r="AK472" s="741"/>
      <c r="AL472" s="741"/>
      <c r="AM472" s="741"/>
    </row>
    <row r="473" spans="1:39" ht="12.75" customHeight="1">
      <c r="A473" s="741"/>
      <c r="B473" s="741"/>
      <c r="C473" s="741"/>
      <c r="D473" s="741"/>
      <c r="E473" s="741"/>
      <c r="F473" s="741"/>
      <c r="G473" s="741"/>
      <c r="H473" s="741"/>
      <c r="I473" s="741"/>
      <c r="J473" s="741"/>
      <c r="K473" s="741"/>
      <c r="L473" s="741"/>
      <c r="M473" s="741"/>
      <c r="N473" s="741"/>
      <c r="O473" s="741"/>
      <c r="P473" s="741"/>
      <c r="Q473" s="741"/>
      <c r="R473" s="741"/>
      <c r="S473" s="741"/>
      <c r="T473" s="741"/>
      <c r="U473" s="741"/>
      <c r="V473" s="741"/>
      <c r="W473" s="741"/>
      <c r="X473" s="741"/>
      <c r="Y473" s="741"/>
      <c r="Z473" s="741"/>
      <c r="AA473" s="741"/>
      <c r="AB473" s="741"/>
      <c r="AC473" s="741"/>
      <c r="AD473" s="741"/>
      <c r="AE473" s="741"/>
      <c r="AF473" s="741"/>
      <c r="AG473" s="741"/>
      <c r="AH473" s="741"/>
      <c r="AI473" s="741"/>
      <c r="AJ473" s="741"/>
      <c r="AK473" s="741"/>
      <c r="AL473" s="741"/>
      <c r="AM473" s="741"/>
    </row>
    <row r="474" spans="1:39" ht="12.75" customHeight="1">
      <c r="A474" s="741"/>
      <c r="B474" s="741"/>
      <c r="C474" s="741"/>
      <c r="D474" s="741"/>
      <c r="E474" s="741"/>
      <c r="F474" s="741"/>
      <c r="G474" s="741"/>
      <c r="H474" s="741"/>
      <c r="I474" s="741"/>
      <c r="J474" s="741"/>
      <c r="K474" s="741"/>
      <c r="L474" s="741"/>
      <c r="M474" s="741"/>
      <c r="N474" s="741"/>
      <c r="O474" s="741"/>
      <c r="P474" s="741"/>
      <c r="Q474" s="741"/>
      <c r="R474" s="741"/>
      <c r="S474" s="741"/>
      <c r="T474" s="741"/>
      <c r="U474" s="741"/>
      <c r="V474" s="741"/>
      <c r="W474" s="741"/>
      <c r="X474" s="741"/>
      <c r="Y474" s="741"/>
      <c r="Z474" s="741"/>
      <c r="AA474" s="741"/>
      <c r="AB474" s="741"/>
      <c r="AC474" s="741"/>
      <c r="AD474" s="741"/>
      <c r="AE474" s="741"/>
      <c r="AF474" s="741"/>
      <c r="AG474" s="741"/>
      <c r="AH474" s="741"/>
      <c r="AI474" s="741"/>
      <c r="AJ474" s="741"/>
      <c r="AK474" s="741"/>
      <c r="AL474" s="741"/>
      <c r="AM474" s="741"/>
    </row>
    <row r="475" spans="1:39" ht="12.75" customHeight="1">
      <c r="A475" s="741"/>
      <c r="B475" s="741"/>
      <c r="C475" s="741"/>
      <c r="D475" s="741"/>
      <c r="E475" s="741"/>
      <c r="F475" s="741"/>
      <c r="G475" s="741"/>
      <c r="H475" s="741"/>
      <c r="I475" s="741"/>
      <c r="J475" s="741"/>
      <c r="K475" s="741"/>
      <c r="L475" s="741"/>
      <c r="M475" s="741"/>
      <c r="N475" s="741"/>
      <c r="O475" s="741"/>
      <c r="P475" s="741"/>
      <c r="Q475" s="741"/>
      <c r="R475" s="741"/>
      <c r="S475" s="741"/>
      <c r="T475" s="741"/>
      <c r="U475" s="741"/>
      <c r="V475" s="741"/>
      <c r="W475" s="741"/>
      <c r="X475" s="741"/>
      <c r="Y475" s="741"/>
      <c r="Z475" s="741"/>
      <c r="AA475" s="741"/>
      <c r="AB475" s="741"/>
      <c r="AC475" s="741"/>
      <c r="AD475" s="741"/>
      <c r="AE475" s="741"/>
      <c r="AF475" s="741"/>
      <c r="AG475" s="741"/>
      <c r="AH475" s="741"/>
      <c r="AI475" s="741"/>
      <c r="AJ475" s="741"/>
      <c r="AK475" s="741"/>
      <c r="AL475" s="741"/>
      <c r="AM475" s="741"/>
    </row>
    <row r="476" spans="1:39" ht="12.75" customHeight="1">
      <c r="A476" s="741"/>
      <c r="B476" s="741"/>
      <c r="C476" s="741"/>
      <c r="D476" s="741"/>
      <c r="E476" s="741"/>
      <c r="F476" s="741"/>
      <c r="G476" s="741"/>
      <c r="H476" s="741"/>
      <c r="I476" s="741"/>
      <c r="J476" s="741"/>
      <c r="K476" s="741"/>
      <c r="L476" s="741"/>
      <c r="M476" s="741"/>
      <c r="N476" s="741"/>
      <c r="O476" s="741"/>
      <c r="P476" s="741"/>
      <c r="Q476" s="741"/>
      <c r="R476" s="741"/>
      <c r="S476" s="741"/>
      <c r="T476" s="741"/>
      <c r="U476" s="741"/>
      <c r="V476" s="741"/>
      <c r="W476" s="741"/>
      <c r="X476" s="741"/>
      <c r="Y476" s="741"/>
      <c r="Z476" s="741"/>
      <c r="AA476" s="741"/>
      <c r="AB476" s="741"/>
      <c r="AC476" s="741"/>
      <c r="AD476" s="741"/>
      <c r="AE476" s="741"/>
      <c r="AF476" s="741"/>
      <c r="AG476" s="741"/>
      <c r="AH476" s="741"/>
      <c r="AI476" s="741"/>
      <c r="AJ476" s="741"/>
      <c r="AK476" s="741"/>
      <c r="AL476" s="741"/>
      <c r="AM476" s="741"/>
    </row>
    <row r="477" spans="1:39" ht="12.75" customHeight="1">
      <c r="A477" s="741"/>
      <c r="B477" s="741"/>
      <c r="C477" s="741"/>
      <c r="D477" s="741"/>
      <c r="E477" s="741"/>
      <c r="F477" s="741"/>
      <c r="G477" s="741"/>
      <c r="H477" s="741"/>
      <c r="I477" s="741"/>
      <c r="J477" s="741"/>
      <c r="K477" s="741"/>
      <c r="L477" s="741"/>
      <c r="M477" s="741"/>
      <c r="N477" s="741"/>
      <c r="O477" s="741"/>
      <c r="P477" s="741"/>
      <c r="Q477" s="741"/>
      <c r="R477" s="741"/>
      <c r="S477" s="741"/>
      <c r="T477" s="741"/>
      <c r="U477" s="741"/>
      <c r="V477" s="741"/>
      <c r="W477" s="741"/>
      <c r="X477" s="741"/>
      <c r="Y477" s="741"/>
      <c r="Z477" s="741"/>
      <c r="AA477" s="741"/>
      <c r="AB477" s="741"/>
      <c r="AC477" s="741"/>
      <c r="AD477" s="741"/>
      <c r="AE477" s="741"/>
      <c r="AF477" s="741"/>
      <c r="AG477" s="741"/>
      <c r="AH477" s="741"/>
      <c r="AI477" s="741"/>
      <c r="AJ477" s="741"/>
      <c r="AK477" s="741"/>
      <c r="AL477" s="741"/>
      <c r="AM477" s="741"/>
    </row>
    <row r="478" spans="1:39" ht="12.75" customHeight="1">
      <c r="A478" s="741"/>
      <c r="B478" s="741"/>
      <c r="C478" s="741"/>
      <c r="D478" s="741"/>
      <c r="E478" s="741"/>
      <c r="F478" s="741"/>
      <c r="G478" s="741"/>
      <c r="H478" s="741"/>
      <c r="I478" s="741"/>
      <c r="J478" s="741"/>
      <c r="K478" s="741"/>
      <c r="L478" s="741"/>
      <c r="M478" s="741"/>
      <c r="N478" s="741"/>
      <c r="O478" s="741"/>
      <c r="P478" s="741"/>
      <c r="Q478" s="741"/>
      <c r="R478" s="741"/>
      <c r="S478" s="741"/>
      <c r="T478" s="741"/>
      <c r="U478" s="741"/>
      <c r="V478" s="741"/>
      <c r="W478" s="741"/>
      <c r="X478" s="741"/>
      <c r="Y478" s="741"/>
      <c r="Z478" s="741"/>
      <c r="AA478" s="741"/>
      <c r="AB478" s="741"/>
      <c r="AC478" s="741"/>
      <c r="AD478" s="741"/>
      <c r="AE478" s="741"/>
      <c r="AF478" s="741"/>
      <c r="AG478" s="741"/>
      <c r="AH478" s="741"/>
      <c r="AI478" s="741"/>
      <c r="AJ478" s="741"/>
      <c r="AK478" s="741"/>
      <c r="AL478" s="741"/>
      <c r="AM478" s="741"/>
    </row>
    <row r="479" spans="1:39" ht="12.75" customHeight="1">
      <c r="A479" s="741"/>
      <c r="B479" s="741"/>
      <c r="C479" s="741"/>
      <c r="D479" s="741"/>
      <c r="E479" s="741"/>
      <c r="F479" s="741"/>
      <c r="G479" s="741"/>
      <c r="H479" s="741"/>
      <c r="I479" s="741"/>
      <c r="J479" s="741"/>
      <c r="K479" s="741"/>
      <c r="L479" s="741"/>
      <c r="M479" s="741"/>
      <c r="N479" s="741"/>
      <c r="O479" s="741"/>
      <c r="P479" s="741"/>
      <c r="Q479" s="741"/>
      <c r="R479" s="741"/>
      <c r="S479" s="741"/>
      <c r="T479" s="741"/>
      <c r="U479" s="741"/>
      <c r="V479" s="741"/>
      <c r="W479" s="741"/>
      <c r="X479" s="741"/>
      <c r="Y479" s="741"/>
      <c r="Z479" s="741"/>
      <c r="AA479" s="741"/>
      <c r="AB479" s="741"/>
      <c r="AC479" s="741"/>
      <c r="AD479" s="741"/>
      <c r="AE479" s="741"/>
      <c r="AF479" s="741"/>
      <c r="AG479" s="741"/>
      <c r="AH479" s="741"/>
      <c r="AI479" s="741"/>
      <c r="AJ479" s="741"/>
      <c r="AK479" s="741"/>
      <c r="AL479" s="741"/>
      <c r="AM479" s="741"/>
    </row>
    <row r="480" spans="1:39" ht="12.75" customHeight="1">
      <c r="A480" s="741"/>
      <c r="B480" s="741"/>
      <c r="C480" s="741"/>
      <c r="D480" s="741"/>
      <c r="E480" s="741"/>
      <c r="F480" s="741"/>
      <c r="G480" s="741"/>
      <c r="H480" s="741"/>
      <c r="I480" s="741"/>
      <c r="J480" s="741"/>
      <c r="K480" s="741"/>
      <c r="L480" s="741"/>
      <c r="M480" s="741"/>
      <c r="N480" s="741"/>
      <c r="O480" s="741"/>
      <c r="P480" s="741"/>
      <c r="Q480" s="741"/>
      <c r="R480" s="741"/>
      <c r="S480" s="741"/>
      <c r="T480" s="741"/>
      <c r="U480" s="741"/>
      <c r="V480" s="741"/>
      <c r="W480" s="741"/>
      <c r="X480" s="741"/>
      <c r="Y480" s="741"/>
      <c r="Z480" s="741"/>
      <c r="AA480" s="741"/>
      <c r="AB480" s="741"/>
      <c r="AC480" s="741"/>
      <c r="AD480" s="741"/>
      <c r="AE480" s="741"/>
      <c r="AF480" s="741"/>
      <c r="AG480" s="741"/>
      <c r="AH480" s="741"/>
      <c r="AI480" s="741"/>
      <c r="AJ480" s="741"/>
      <c r="AK480" s="741"/>
      <c r="AL480" s="741"/>
      <c r="AM480" s="741"/>
    </row>
    <row r="481" spans="1:39" ht="12.75" customHeight="1">
      <c r="A481" s="741"/>
      <c r="B481" s="741"/>
      <c r="C481" s="741"/>
      <c r="D481" s="741"/>
      <c r="E481" s="741"/>
      <c r="F481" s="741"/>
      <c r="G481" s="741"/>
      <c r="H481" s="741"/>
      <c r="I481" s="741"/>
      <c r="J481" s="741"/>
      <c r="K481" s="741"/>
      <c r="L481" s="741"/>
      <c r="M481" s="741"/>
      <c r="N481" s="741"/>
      <c r="O481" s="741"/>
      <c r="P481" s="741"/>
      <c r="Q481" s="741"/>
      <c r="R481" s="741"/>
      <c r="S481" s="741"/>
      <c r="T481" s="741"/>
      <c r="U481" s="741"/>
      <c r="V481" s="741"/>
      <c r="W481" s="741"/>
      <c r="X481" s="741"/>
      <c r="Y481" s="741"/>
      <c r="Z481" s="741"/>
      <c r="AA481" s="741"/>
      <c r="AB481" s="741"/>
      <c r="AC481" s="741"/>
      <c r="AD481" s="741"/>
      <c r="AE481" s="741"/>
      <c r="AF481" s="741"/>
      <c r="AG481" s="741"/>
      <c r="AH481" s="741"/>
      <c r="AI481" s="741"/>
      <c r="AJ481" s="741"/>
      <c r="AK481" s="741"/>
      <c r="AL481" s="741"/>
      <c r="AM481" s="741"/>
    </row>
    <row r="482" spans="1:39" ht="12.75" customHeight="1">
      <c r="A482" s="741"/>
      <c r="B482" s="741"/>
      <c r="C482" s="741"/>
      <c r="D482" s="741"/>
      <c r="E482" s="741"/>
      <c r="F482" s="741"/>
      <c r="G482" s="741"/>
      <c r="H482" s="741"/>
      <c r="I482" s="741"/>
      <c r="J482" s="741"/>
      <c r="K482" s="741"/>
      <c r="L482" s="741"/>
      <c r="M482" s="741"/>
      <c r="N482" s="741"/>
      <c r="O482" s="741"/>
      <c r="P482" s="741"/>
      <c r="Q482" s="741"/>
      <c r="R482" s="741"/>
      <c r="S482" s="741"/>
      <c r="T482" s="741"/>
      <c r="U482" s="741"/>
      <c r="V482" s="741"/>
      <c r="W482" s="741"/>
      <c r="X482" s="741"/>
      <c r="Y482" s="741"/>
      <c r="Z482" s="741"/>
      <c r="AA482" s="741"/>
      <c r="AB482" s="741"/>
      <c r="AC482" s="741"/>
      <c r="AD482" s="741"/>
      <c r="AE482" s="741"/>
      <c r="AF482" s="741"/>
      <c r="AG482" s="741"/>
      <c r="AH482" s="741"/>
      <c r="AI482" s="741"/>
      <c r="AJ482" s="741"/>
      <c r="AK482" s="741"/>
      <c r="AL482" s="741"/>
      <c r="AM482" s="741"/>
    </row>
    <row r="483" spans="1:39" ht="12.75" customHeight="1">
      <c r="A483" s="741"/>
      <c r="B483" s="741"/>
      <c r="C483" s="741"/>
      <c r="D483" s="741"/>
      <c r="E483" s="741"/>
      <c r="F483" s="741"/>
      <c r="G483" s="741"/>
      <c r="H483" s="741"/>
      <c r="I483" s="741"/>
      <c r="J483" s="741"/>
      <c r="K483" s="741"/>
      <c r="L483" s="741"/>
      <c r="M483" s="741"/>
      <c r="N483" s="741"/>
      <c r="O483" s="741"/>
      <c r="P483" s="741"/>
      <c r="Q483" s="741"/>
      <c r="R483" s="741"/>
      <c r="S483" s="741"/>
      <c r="T483" s="741"/>
      <c r="U483" s="741"/>
      <c r="V483" s="741"/>
      <c r="W483" s="741"/>
      <c r="X483" s="741"/>
      <c r="Y483" s="741"/>
      <c r="Z483" s="741"/>
      <c r="AA483" s="741"/>
      <c r="AB483" s="741"/>
      <c r="AC483" s="741"/>
      <c r="AD483" s="741"/>
      <c r="AE483" s="741"/>
      <c r="AF483" s="741"/>
      <c r="AG483" s="741"/>
      <c r="AH483" s="741"/>
      <c r="AI483" s="741"/>
      <c r="AJ483" s="741"/>
      <c r="AK483" s="741"/>
      <c r="AL483" s="741"/>
      <c r="AM483" s="741"/>
    </row>
    <row r="484" spans="1:39" ht="12.75" customHeight="1">
      <c r="A484" s="741"/>
      <c r="B484" s="741"/>
      <c r="C484" s="741"/>
      <c r="D484" s="741"/>
      <c r="E484" s="741"/>
      <c r="F484" s="741"/>
      <c r="G484" s="741"/>
      <c r="H484" s="741"/>
      <c r="I484" s="741"/>
      <c r="J484" s="741"/>
      <c r="K484" s="741"/>
      <c r="L484" s="741"/>
      <c r="M484" s="741"/>
      <c r="N484" s="741"/>
      <c r="O484" s="741"/>
      <c r="P484" s="741"/>
      <c r="Q484" s="741"/>
      <c r="R484" s="741"/>
      <c r="S484" s="741"/>
      <c r="T484" s="741"/>
      <c r="U484" s="741"/>
      <c r="V484" s="741"/>
      <c r="W484" s="741"/>
      <c r="X484" s="741"/>
      <c r="Y484" s="741"/>
      <c r="Z484" s="741"/>
      <c r="AA484" s="741"/>
      <c r="AB484" s="741"/>
      <c r="AC484" s="741"/>
      <c r="AD484" s="741"/>
      <c r="AE484" s="741"/>
      <c r="AF484" s="741"/>
      <c r="AG484" s="741"/>
      <c r="AH484" s="741"/>
      <c r="AI484" s="741"/>
      <c r="AJ484" s="741"/>
      <c r="AK484" s="741"/>
      <c r="AL484" s="741"/>
      <c r="AM484" s="741"/>
    </row>
    <row r="485" spans="1:39" ht="12.75" customHeight="1">
      <c r="A485" s="741"/>
      <c r="B485" s="741"/>
      <c r="C485" s="741"/>
      <c r="D485" s="741"/>
      <c r="E485" s="741"/>
      <c r="F485" s="741"/>
      <c r="G485" s="741"/>
      <c r="H485" s="741"/>
      <c r="I485" s="741"/>
      <c r="J485" s="741"/>
      <c r="K485" s="741"/>
      <c r="L485" s="741"/>
      <c r="M485" s="741"/>
      <c r="N485" s="741"/>
      <c r="O485" s="741"/>
      <c r="P485" s="741"/>
      <c r="Q485" s="741"/>
      <c r="R485" s="741"/>
      <c r="S485" s="741"/>
      <c r="T485" s="741"/>
      <c r="U485" s="741"/>
      <c r="V485" s="741"/>
      <c r="W485" s="741"/>
      <c r="X485" s="741"/>
      <c r="Y485" s="741"/>
      <c r="Z485" s="741"/>
      <c r="AA485" s="741"/>
      <c r="AB485" s="741"/>
      <c r="AC485" s="741"/>
      <c r="AD485" s="741"/>
      <c r="AE485" s="741"/>
      <c r="AF485" s="741"/>
      <c r="AG485" s="741"/>
      <c r="AH485" s="741"/>
      <c r="AI485" s="741"/>
      <c r="AJ485" s="741"/>
      <c r="AK485" s="741"/>
      <c r="AL485" s="741"/>
      <c r="AM485" s="741"/>
    </row>
    <row r="486" spans="1:39" ht="12.75" customHeight="1">
      <c r="A486" s="741"/>
      <c r="B486" s="741"/>
      <c r="C486" s="741"/>
      <c r="D486" s="741"/>
      <c r="E486" s="741"/>
      <c r="F486" s="741"/>
      <c r="G486" s="741"/>
      <c r="H486" s="741"/>
      <c r="I486" s="741"/>
      <c r="J486" s="741"/>
      <c r="K486" s="741"/>
      <c r="L486" s="741"/>
      <c r="M486" s="741"/>
      <c r="N486" s="741"/>
      <c r="O486" s="741"/>
      <c r="P486" s="741"/>
      <c r="Q486" s="741"/>
      <c r="R486" s="741"/>
      <c r="S486" s="741"/>
      <c r="T486" s="741"/>
      <c r="U486" s="741"/>
      <c r="V486" s="741"/>
      <c r="W486" s="741"/>
      <c r="X486" s="741"/>
      <c r="Y486" s="741"/>
      <c r="Z486" s="741"/>
      <c r="AA486" s="741"/>
      <c r="AB486" s="741"/>
      <c r="AC486" s="741"/>
      <c r="AD486" s="741"/>
      <c r="AE486" s="741"/>
      <c r="AF486" s="741"/>
      <c r="AG486" s="741"/>
      <c r="AH486" s="741"/>
      <c r="AI486" s="741"/>
      <c r="AJ486" s="741"/>
      <c r="AK486" s="741"/>
      <c r="AL486" s="741"/>
      <c r="AM486" s="741"/>
    </row>
    <row r="487" spans="1:39" ht="12.75" customHeight="1">
      <c r="A487" s="741"/>
      <c r="B487" s="741"/>
      <c r="C487" s="741"/>
      <c r="D487" s="741"/>
      <c r="E487" s="741"/>
      <c r="F487" s="741"/>
      <c r="G487" s="741"/>
      <c r="H487" s="741"/>
      <c r="I487" s="741"/>
      <c r="J487" s="741"/>
      <c r="K487" s="741"/>
      <c r="L487" s="741"/>
      <c r="M487" s="741"/>
      <c r="N487" s="741"/>
      <c r="O487" s="741"/>
      <c r="P487" s="741"/>
      <c r="Q487" s="741"/>
      <c r="R487" s="741"/>
      <c r="S487" s="741"/>
      <c r="T487" s="741"/>
      <c r="U487" s="741"/>
      <c r="V487" s="741"/>
      <c r="W487" s="741"/>
      <c r="X487" s="741"/>
      <c r="Y487" s="741"/>
      <c r="Z487" s="741"/>
      <c r="AA487" s="741"/>
      <c r="AB487" s="741"/>
      <c r="AC487" s="741"/>
      <c r="AD487" s="741"/>
      <c r="AE487" s="741"/>
      <c r="AF487" s="741"/>
      <c r="AG487" s="741"/>
      <c r="AH487" s="741"/>
      <c r="AI487" s="741"/>
      <c r="AJ487" s="741"/>
      <c r="AK487" s="741"/>
      <c r="AL487" s="741"/>
      <c r="AM487" s="741"/>
    </row>
    <row r="488" spans="1:39" ht="12.75" customHeight="1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1"/>
      <c r="P488" s="741"/>
      <c r="Q488" s="741"/>
      <c r="R488" s="741"/>
      <c r="S488" s="741"/>
      <c r="T488" s="741"/>
      <c r="U488" s="741"/>
      <c r="V488" s="741"/>
      <c r="W488" s="741"/>
      <c r="X488" s="741"/>
      <c r="Y488" s="741"/>
      <c r="Z488" s="741"/>
      <c r="AA488" s="741"/>
      <c r="AB488" s="741"/>
      <c r="AC488" s="741"/>
      <c r="AD488" s="741"/>
      <c r="AE488" s="741"/>
      <c r="AF488" s="741"/>
      <c r="AG488" s="741"/>
      <c r="AH488" s="741"/>
      <c r="AI488" s="741"/>
      <c r="AJ488" s="741"/>
      <c r="AK488" s="741"/>
      <c r="AL488" s="741"/>
      <c r="AM488" s="741"/>
    </row>
    <row r="489" spans="1:39" ht="12.75" customHeight="1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1"/>
      <c r="P489" s="741"/>
      <c r="Q489" s="741"/>
      <c r="R489" s="741"/>
      <c r="S489" s="741"/>
      <c r="T489" s="741"/>
      <c r="U489" s="741"/>
      <c r="V489" s="741"/>
      <c r="W489" s="741"/>
      <c r="X489" s="741"/>
      <c r="Y489" s="741"/>
      <c r="Z489" s="741"/>
      <c r="AA489" s="741"/>
      <c r="AB489" s="741"/>
      <c r="AC489" s="741"/>
      <c r="AD489" s="741"/>
      <c r="AE489" s="741"/>
      <c r="AF489" s="741"/>
      <c r="AG489" s="741"/>
      <c r="AH489" s="741"/>
      <c r="AI489" s="741"/>
      <c r="AJ489" s="741"/>
      <c r="AK489" s="741"/>
      <c r="AL489" s="741"/>
      <c r="AM489" s="741"/>
    </row>
    <row r="490" spans="1:39" ht="12.75" customHeight="1">
      <c r="A490" s="741"/>
      <c r="B490" s="741"/>
      <c r="C490" s="741"/>
      <c r="D490" s="741"/>
      <c r="E490" s="741"/>
      <c r="F490" s="741"/>
      <c r="G490" s="741"/>
      <c r="H490" s="741"/>
      <c r="I490" s="741"/>
      <c r="J490" s="741"/>
      <c r="K490" s="741"/>
      <c r="L490" s="741"/>
      <c r="M490" s="741"/>
      <c r="N490" s="741"/>
      <c r="O490" s="741"/>
      <c r="P490" s="741"/>
      <c r="Q490" s="741"/>
      <c r="R490" s="741"/>
      <c r="S490" s="741"/>
      <c r="T490" s="741"/>
      <c r="U490" s="741"/>
      <c r="V490" s="741"/>
      <c r="W490" s="741"/>
      <c r="X490" s="741"/>
      <c r="Y490" s="741"/>
      <c r="Z490" s="741"/>
      <c r="AA490" s="741"/>
      <c r="AB490" s="741"/>
      <c r="AC490" s="741"/>
      <c r="AD490" s="741"/>
      <c r="AE490" s="741"/>
      <c r="AF490" s="741"/>
      <c r="AG490" s="741"/>
      <c r="AH490" s="741"/>
      <c r="AI490" s="741"/>
      <c r="AJ490" s="741"/>
      <c r="AK490" s="741"/>
      <c r="AL490" s="741"/>
      <c r="AM490" s="741"/>
    </row>
    <row r="491" spans="1:39" ht="12.75" customHeight="1">
      <c r="A491" s="741"/>
      <c r="B491" s="741"/>
      <c r="C491" s="741"/>
      <c r="D491" s="741"/>
      <c r="E491" s="741"/>
      <c r="F491" s="741"/>
      <c r="G491" s="741"/>
      <c r="H491" s="741"/>
      <c r="I491" s="741"/>
      <c r="J491" s="741"/>
      <c r="K491" s="741"/>
      <c r="L491" s="741"/>
      <c r="M491" s="741"/>
      <c r="N491" s="741"/>
      <c r="O491" s="741"/>
      <c r="P491" s="741"/>
      <c r="Q491" s="741"/>
      <c r="R491" s="741"/>
      <c r="S491" s="741"/>
      <c r="T491" s="741"/>
      <c r="U491" s="741"/>
      <c r="V491" s="741"/>
      <c r="W491" s="741"/>
      <c r="X491" s="741"/>
      <c r="Y491" s="741"/>
      <c r="Z491" s="741"/>
      <c r="AA491" s="741"/>
      <c r="AB491" s="741"/>
      <c r="AC491" s="741"/>
      <c r="AD491" s="741"/>
      <c r="AE491" s="741"/>
      <c r="AF491" s="741"/>
      <c r="AG491" s="741"/>
      <c r="AH491" s="741"/>
      <c r="AI491" s="741"/>
      <c r="AJ491" s="741"/>
      <c r="AK491" s="741"/>
      <c r="AL491" s="741"/>
      <c r="AM491" s="741"/>
    </row>
    <row r="492" spans="1:39" ht="12.75" customHeight="1">
      <c r="A492" s="741"/>
      <c r="B492" s="741"/>
      <c r="C492" s="741"/>
      <c r="D492" s="741"/>
      <c r="E492" s="741"/>
      <c r="F492" s="741"/>
      <c r="G492" s="741"/>
      <c r="H492" s="741"/>
      <c r="I492" s="741"/>
      <c r="J492" s="741"/>
      <c r="K492" s="741"/>
      <c r="L492" s="741"/>
      <c r="M492" s="741"/>
      <c r="N492" s="741"/>
      <c r="O492" s="741"/>
      <c r="P492" s="741"/>
      <c r="Q492" s="741"/>
      <c r="R492" s="741"/>
      <c r="S492" s="741"/>
      <c r="T492" s="741"/>
      <c r="U492" s="741"/>
      <c r="V492" s="741"/>
      <c r="W492" s="741"/>
      <c r="X492" s="741"/>
      <c r="Y492" s="741"/>
      <c r="Z492" s="741"/>
      <c r="AA492" s="741"/>
      <c r="AB492" s="741"/>
      <c r="AC492" s="741"/>
      <c r="AD492" s="741"/>
      <c r="AE492" s="741"/>
      <c r="AF492" s="741"/>
      <c r="AG492" s="741"/>
      <c r="AH492" s="741"/>
      <c r="AI492" s="741"/>
      <c r="AJ492" s="741"/>
      <c r="AK492" s="741"/>
      <c r="AL492" s="741"/>
      <c r="AM492" s="741"/>
    </row>
    <row r="493" spans="1:39" ht="12.75" customHeight="1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1"/>
      <c r="P493" s="741"/>
      <c r="Q493" s="741"/>
      <c r="R493" s="741"/>
      <c r="S493" s="741"/>
      <c r="T493" s="741"/>
      <c r="U493" s="741"/>
      <c r="V493" s="741"/>
      <c r="W493" s="741"/>
      <c r="X493" s="741"/>
      <c r="Y493" s="741"/>
      <c r="Z493" s="741"/>
      <c r="AA493" s="741"/>
      <c r="AB493" s="741"/>
      <c r="AC493" s="741"/>
      <c r="AD493" s="741"/>
      <c r="AE493" s="741"/>
      <c r="AF493" s="741"/>
      <c r="AG493" s="741"/>
      <c r="AH493" s="741"/>
      <c r="AI493" s="741"/>
      <c r="AJ493" s="741"/>
      <c r="AK493" s="741"/>
      <c r="AL493" s="741"/>
      <c r="AM493" s="741"/>
    </row>
    <row r="494" spans="1:39" ht="12.75" customHeight="1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1"/>
      <c r="P494" s="741"/>
      <c r="Q494" s="741"/>
      <c r="R494" s="741"/>
      <c r="S494" s="741"/>
      <c r="T494" s="741"/>
      <c r="U494" s="741"/>
      <c r="V494" s="741"/>
      <c r="W494" s="741"/>
      <c r="X494" s="741"/>
      <c r="Y494" s="741"/>
      <c r="Z494" s="741"/>
      <c r="AA494" s="741"/>
      <c r="AB494" s="741"/>
      <c r="AC494" s="741"/>
      <c r="AD494" s="741"/>
      <c r="AE494" s="741"/>
      <c r="AF494" s="741"/>
      <c r="AG494" s="741"/>
      <c r="AH494" s="741"/>
      <c r="AI494" s="741"/>
      <c r="AJ494" s="741"/>
      <c r="AK494" s="741"/>
      <c r="AL494" s="741"/>
      <c r="AM494" s="741"/>
    </row>
    <row r="495" spans="1:39" ht="12.75" customHeight="1">
      <c r="A495" s="741"/>
      <c r="B495" s="741"/>
      <c r="C495" s="741"/>
      <c r="D495" s="741"/>
      <c r="E495" s="741"/>
      <c r="F495" s="741"/>
      <c r="G495" s="741"/>
      <c r="H495" s="741"/>
      <c r="I495" s="741"/>
      <c r="J495" s="741"/>
      <c r="K495" s="741"/>
      <c r="L495" s="741"/>
      <c r="M495" s="741"/>
      <c r="N495" s="741"/>
      <c r="O495" s="741"/>
      <c r="P495" s="741"/>
      <c r="Q495" s="741"/>
      <c r="R495" s="741"/>
      <c r="S495" s="741"/>
      <c r="T495" s="741"/>
      <c r="U495" s="741"/>
      <c r="V495" s="741"/>
      <c r="W495" s="741"/>
      <c r="X495" s="741"/>
      <c r="Y495" s="741"/>
      <c r="Z495" s="741"/>
      <c r="AA495" s="741"/>
      <c r="AB495" s="741"/>
      <c r="AC495" s="741"/>
      <c r="AD495" s="741"/>
      <c r="AE495" s="741"/>
      <c r="AF495" s="741"/>
      <c r="AG495" s="741"/>
      <c r="AH495" s="741"/>
      <c r="AI495" s="741"/>
      <c r="AJ495" s="741"/>
      <c r="AK495" s="741"/>
      <c r="AL495" s="741"/>
      <c r="AM495" s="741"/>
    </row>
    <row r="496" spans="1:39" ht="12.75" customHeight="1">
      <c r="A496" s="741"/>
      <c r="B496" s="741"/>
      <c r="C496" s="741"/>
      <c r="D496" s="741"/>
      <c r="E496" s="741"/>
      <c r="F496" s="741"/>
      <c r="G496" s="741"/>
      <c r="H496" s="741"/>
      <c r="I496" s="741"/>
      <c r="J496" s="741"/>
      <c r="K496" s="741"/>
      <c r="L496" s="741"/>
      <c r="M496" s="741"/>
      <c r="N496" s="741"/>
      <c r="O496" s="741"/>
      <c r="P496" s="741"/>
      <c r="Q496" s="741"/>
      <c r="R496" s="741"/>
      <c r="S496" s="741"/>
      <c r="T496" s="741"/>
      <c r="U496" s="741"/>
      <c r="V496" s="741"/>
      <c r="W496" s="741"/>
      <c r="X496" s="741"/>
      <c r="Y496" s="741"/>
      <c r="Z496" s="741"/>
      <c r="AA496" s="741"/>
      <c r="AB496" s="741"/>
      <c r="AC496" s="741"/>
      <c r="AD496" s="741"/>
      <c r="AE496" s="741"/>
      <c r="AF496" s="741"/>
      <c r="AG496" s="741"/>
      <c r="AH496" s="741"/>
      <c r="AI496" s="741"/>
      <c r="AJ496" s="741"/>
      <c r="AK496" s="741"/>
      <c r="AL496" s="741"/>
      <c r="AM496" s="741"/>
    </row>
    <row r="497" spans="1:39" ht="12.75" customHeight="1">
      <c r="A497" s="741"/>
      <c r="B497" s="741"/>
      <c r="C497" s="741"/>
      <c r="D497" s="741"/>
      <c r="E497" s="741"/>
      <c r="F497" s="741"/>
      <c r="G497" s="741"/>
      <c r="H497" s="741"/>
      <c r="I497" s="741"/>
      <c r="J497" s="741"/>
      <c r="K497" s="741"/>
      <c r="L497" s="741"/>
      <c r="M497" s="741"/>
      <c r="N497" s="741"/>
      <c r="O497" s="741"/>
      <c r="P497" s="741"/>
      <c r="Q497" s="741"/>
      <c r="R497" s="741"/>
      <c r="S497" s="741"/>
      <c r="T497" s="741"/>
      <c r="U497" s="741"/>
      <c r="V497" s="741"/>
      <c r="W497" s="741"/>
      <c r="X497" s="741"/>
      <c r="Y497" s="741"/>
      <c r="Z497" s="741"/>
      <c r="AA497" s="741"/>
      <c r="AB497" s="741"/>
      <c r="AC497" s="741"/>
      <c r="AD497" s="741"/>
      <c r="AE497" s="741"/>
      <c r="AF497" s="741"/>
      <c r="AG497" s="741"/>
      <c r="AH497" s="741"/>
      <c r="AI497" s="741"/>
      <c r="AJ497" s="741"/>
      <c r="AK497" s="741"/>
      <c r="AL497" s="741"/>
      <c r="AM497" s="741"/>
    </row>
    <row r="498" spans="1:39" ht="12.75" customHeight="1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1"/>
      <c r="P498" s="741"/>
      <c r="Q498" s="741"/>
      <c r="R498" s="741"/>
      <c r="S498" s="741"/>
      <c r="T498" s="741"/>
      <c r="U498" s="741"/>
      <c r="V498" s="741"/>
      <c r="W498" s="741"/>
      <c r="X498" s="741"/>
      <c r="Y498" s="741"/>
      <c r="Z498" s="741"/>
      <c r="AA498" s="741"/>
      <c r="AB498" s="741"/>
      <c r="AC498" s="741"/>
      <c r="AD498" s="741"/>
      <c r="AE498" s="741"/>
      <c r="AF498" s="741"/>
      <c r="AG498" s="741"/>
      <c r="AH498" s="741"/>
      <c r="AI498" s="741"/>
      <c r="AJ498" s="741"/>
      <c r="AK498" s="741"/>
      <c r="AL498" s="741"/>
      <c r="AM498" s="741"/>
    </row>
    <row r="499" spans="1:39" ht="12.75" customHeight="1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1"/>
      <c r="P499" s="741"/>
      <c r="Q499" s="741"/>
      <c r="R499" s="741"/>
      <c r="S499" s="741"/>
      <c r="T499" s="741"/>
      <c r="U499" s="741"/>
      <c r="V499" s="741"/>
      <c r="W499" s="741"/>
      <c r="X499" s="741"/>
      <c r="Y499" s="741"/>
      <c r="Z499" s="741"/>
      <c r="AA499" s="741"/>
      <c r="AB499" s="741"/>
      <c r="AC499" s="741"/>
      <c r="AD499" s="741"/>
      <c r="AE499" s="741"/>
      <c r="AF499" s="741"/>
      <c r="AG499" s="741"/>
      <c r="AH499" s="741"/>
      <c r="AI499" s="741"/>
      <c r="AJ499" s="741"/>
      <c r="AK499" s="741"/>
      <c r="AL499" s="741"/>
      <c r="AM499" s="741"/>
    </row>
    <row r="500" spans="1:39" ht="12.75" customHeight="1">
      <c r="A500" s="741"/>
      <c r="B500" s="741"/>
      <c r="C500" s="741"/>
      <c r="D500" s="741"/>
      <c r="E500" s="741"/>
      <c r="F500" s="741"/>
      <c r="G500" s="741"/>
      <c r="H500" s="741"/>
      <c r="I500" s="741"/>
      <c r="J500" s="741"/>
      <c r="K500" s="741"/>
      <c r="L500" s="741"/>
      <c r="M500" s="741"/>
      <c r="N500" s="741"/>
      <c r="O500" s="741"/>
      <c r="P500" s="741"/>
      <c r="Q500" s="741"/>
      <c r="R500" s="741"/>
      <c r="S500" s="741"/>
      <c r="T500" s="741"/>
      <c r="U500" s="741"/>
      <c r="V500" s="741"/>
      <c r="W500" s="741"/>
      <c r="X500" s="741"/>
      <c r="Y500" s="741"/>
      <c r="Z500" s="741"/>
      <c r="AA500" s="741"/>
      <c r="AB500" s="741"/>
      <c r="AC500" s="741"/>
      <c r="AD500" s="741"/>
      <c r="AE500" s="741"/>
      <c r="AF500" s="741"/>
      <c r="AG500" s="741"/>
      <c r="AH500" s="741"/>
      <c r="AI500" s="741"/>
      <c r="AJ500" s="741"/>
      <c r="AK500" s="741"/>
      <c r="AL500" s="741"/>
      <c r="AM500" s="741"/>
    </row>
    <row r="501" spans="1:39" ht="12.75" customHeight="1">
      <c r="A501" s="741"/>
      <c r="B501" s="741"/>
      <c r="C501" s="741"/>
      <c r="D501" s="741"/>
      <c r="E501" s="741"/>
      <c r="F501" s="741"/>
      <c r="G501" s="741"/>
      <c r="H501" s="741"/>
      <c r="I501" s="741"/>
      <c r="J501" s="741"/>
      <c r="K501" s="741"/>
      <c r="L501" s="741"/>
      <c r="M501" s="741"/>
      <c r="N501" s="741"/>
      <c r="O501" s="741"/>
      <c r="P501" s="741"/>
      <c r="Q501" s="741"/>
      <c r="R501" s="741"/>
      <c r="S501" s="741"/>
      <c r="T501" s="741"/>
      <c r="U501" s="741"/>
      <c r="V501" s="741"/>
      <c r="W501" s="741"/>
      <c r="X501" s="741"/>
      <c r="Y501" s="741"/>
      <c r="Z501" s="741"/>
      <c r="AA501" s="741"/>
      <c r="AB501" s="741"/>
      <c r="AC501" s="741"/>
      <c r="AD501" s="741"/>
      <c r="AE501" s="741"/>
      <c r="AF501" s="741"/>
      <c r="AG501" s="741"/>
      <c r="AH501" s="741"/>
      <c r="AI501" s="741"/>
      <c r="AJ501" s="741"/>
      <c r="AK501" s="741"/>
      <c r="AL501" s="741"/>
      <c r="AM501" s="741"/>
    </row>
    <row r="502" spans="1:39" ht="12.75" customHeight="1">
      <c r="A502" s="741"/>
      <c r="B502" s="741"/>
      <c r="C502" s="741"/>
      <c r="D502" s="741"/>
      <c r="E502" s="741"/>
      <c r="F502" s="741"/>
      <c r="G502" s="741"/>
      <c r="H502" s="741"/>
      <c r="I502" s="741"/>
      <c r="J502" s="741"/>
      <c r="K502" s="741"/>
      <c r="L502" s="741"/>
      <c r="M502" s="741"/>
      <c r="N502" s="741"/>
      <c r="O502" s="741"/>
      <c r="P502" s="741"/>
      <c r="Q502" s="741"/>
      <c r="R502" s="741"/>
      <c r="S502" s="741"/>
      <c r="T502" s="741"/>
      <c r="U502" s="741"/>
      <c r="V502" s="741"/>
      <c r="W502" s="741"/>
      <c r="X502" s="741"/>
      <c r="Y502" s="741"/>
      <c r="Z502" s="741"/>
      <c r="AA502" s="741"/>
      <c r="AB502" s="741"/>
      <c r="AC502" s="741"/>
      <c r="AD502" s="741"/>
      <c r="AE502" s="741"/>
      <c r="AF502" s="741"/>
      <c r="AG502" s="741"/>
      <c r="AH502" s="741"/>
      <c r="AI502" s="741"/>
      <c r="AJ502" s="741"/>
      <c r="AK502" s="741"/>
      <c r="AL502" s="741"/>
      <c r="AM502" s="741"/>
    </row>
    <row r="503" spans="1:39" ht="12.75" customHeight="1">
      <c r="A503" s="741"/>
      <c r="B503" s="741"/>
      <c r="C503" s="741"/>
      <c r="D503" s="741"/>
      <c r="E503" s="741"/>
      <c r="F503" s="741"/>
      <c r="G503" s="741"/>
      <c r="H503" s="741"/>
      <c r="I503" s="741"/>
      <c r="J503" s="741"/>
      <c r="K503" s="741"/>
      <c r="L503" s="741"/>
      <c r="M503" s="741"/>
      <c r="N503" s="741"/>
      <c r="O503" s="741"/>
      <c r="P503" s="741"/>
      <c r="Q503" s="741"/>
      <c r="R503" s="741"/>
      <c r="S503" s="741"/>
      <c r="T503" s="741"/>
      <c r="U503" s="741"/>
      <c r="V503" s="741"/>
      <c r="W503" s="741"/>
      <c r="X503" s="741"/>
      <c r="Y503" s="741"/>
      <c r="Z503" s="741"/>
      <c r="AA503" s="741"/>
      <c r="AB503" s="741"/>
      <c r="AC503" s="741"/>
      <c r="AD503" s="741"/>
      <c r="AE503" s="741"/>
      <c r="AF503" s="741"/>
      <c r="AG503" s="741"/>
      <c r="AH503" s="741"/>
      <c r="AI503" s="741"/>
      <c r="AJ503" s="741"/>
      <c r="AK503" s="741"/>
      <c r="AL503" s="741"/>
      <c r="AM503" s="741"/>
    </row>
    <row r="504" spans="1:39" ht="12.75" customHeight="1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1"/>
      <c r="P504" s="741"/>
      <c r="Q504" s="741"/>
      <c r="R504" s="741"/>
      <c r="S504" s="741"/>
      <c r="T504" s="741"/>
      <c r="U504" s="741"/>
      <c r="V504" s="741"/>
      <c r="W504" s="741"/>
      <c r="X504" s="741"/>
      <c r="Y504" s="741"/>
      <c r="Z504" s="741"/>
      <c r="AA504" s="741"/>
      <c r="AB504" s="741"/>
      <c r="AC504" s="741"/>
      <c r="AD504" s="741"/>
      <c r="AE504" s="741"/>
      <c r="AF504" s="741"/>
      <c r="AG504" s="741"/>
      <c r="AH504" s="741"/>
      <c r="AI504" s="741"/>
      <c r="AJ504" s="741"/>
      <c r="AK504" s="741"/>
      <c r="AL504" s="741"/>
      <c r="AM504" s="741"/>
    </row>
    <row r="505" spans="1:39" ht="12.75" customHeight="1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1"/>
      <c r="P505" s="741"/>
      <c r="Q505" s="741"/>
      <c r="R505" s="741"/>
      <c r="S505" s="741"/>
      <c r="T505" s="741"/>
      <c r="U505" s="741"/>
      <c r="V505" s="741"/>
      <c r="W505" s="741"/>
      <c r="X505" s="741"/>
      <c r="Y505" s="741"/>
      <c r="Z505" s="741"/>
      <c r="AA505" s="741"/>
      <c r="AB505" s="741"/>
      <c r="AC505" s="741"/>
      <c r="AD505" s="741"/>
      <c r="AE505" s="741"/>
      <c r="AF505" s="741"/>
      <c r="AG505" s="741"/>
      <c r="AH505" s="741"/>
      <c r="AI505" s="741"/>
      <c r="AJ505" s="741"/>
      <c r="AK505" s="741"/>
      <c r="AL505" s="741"/>
      <c r="AM505" s="741"/>
    </row>
    <row r="506" spans="1:39" ht="12.75" customHeight="1">
      <c r="A506" s="741"/>
      <c r="B506" s="741"/>
      <c r="C506" s="741"/>
      <c r="D506" s="741"/>
      <c r="E506" s="741"/>
      <c r="F506" s="741"/>
      <c r="G506" s="741"/>
      <c r="H506" s="741"/>
      <c r="I506" s="741"/>
      <c r="J506" s="741"/>
      <c r="K506" s="741"/>
      <c r="L506" s="741"/>
      <c r="M506" s="741"/>
      <c r="N506" s="741"/>
      <c r="O506" s="741"/>
      <c r="P506" s="741"/>
      <c r="Q506" s="741"/>
      <c r="R506" s="741"/>
      <c r="S506" s="741"/>
      <c r="T506" s="741"/>
      <c r="U506" s="741"/>
      <c r="V506" s="741"/>
      <c r="W506" s="741"/>
      <c r="X506" s="741"/>
      <c r="Y506" s="741"/>
      <c r="Z506" s="741"/>
      <c r="AA506" s="741"/>
      <c r="AB506" s="741"/>
      <c r="AC506" s="741"/>
      <c r="AD506" s="741"/>
      <c r="AE506" s="741"/>
      <c r="AF506" s="741"/>
      <c r="AG506" s="741"/>
      <c r="AH506" s="741"/>
      <c r="AI506" s="741"/>
      <c r="AJ506" s="741"/>
      <c r="AK506" s="741"/>
      <c r="AL506" s="741"/>
      <c r="AM506" s="741"/>
    </row>
    <row r="507" spans="1:39" ht="12.75" customHeight="1">
      <c r="A507" s="741"/>
      <c r="B507" s="741"/>
      <c r="C507" s="741"/>
      <c r="D507" s="741"/>
      <c r="E507" s="741"/>
      <c r="F507" s="741"/>
      <c r="G507" s="741"/>
      <c r="H507" s="741"/>
      <c r="I507" s="741"/>
      <c r="J507" s="741"/>
      <c r="K507" s="741"/>
      <c r="L507" s="741"/>
      <c r="M507" s="741"/>
      <c r="N507" s="741"/>
      <c r="O507" s="741"/>
      <c r="P507" s="741"/>
      <c r="Q507" s="741"/>
      <c r="R507" s="741"/>
      <c r="S507" s="741"/>
      <c r="T507" s="741"/>
      <c r="U507" s="741"/>
      <c r="V507" s="741"/>
      <c r="W507" s="741"/>
      <c r="X507" s="741"/>
      <c r="Y507" s="741"/>
      <c r="Z507" s="741"/>
      <c r="AA507" s="741"/>
      <c r="AB507" s="741"/>
      <c r="AC507" s="741"/>
      <c r="AD507" s="741"/>
      <c r="AE507" s="741"/>
      <c r="AF507" s="741"/>
      <c r="AG507" s="741"/>
      <c r="AH507" s="741"/>
      <c r="AI507" s="741"/>
      <c r="AJ507" s="741"/>
      <c r="AK507" s="741"/>
      <c r="AL507" s="741"/>
      <c r="AM507" s="741"/>
    </row>
    <row r="508" spans="1:39" ht="12.75" customHeight="1">
      <c r="A508" s="741"/>
      <c r="B508" s="741"/>
      <c r="C508" s="741"/>
      <c r="D508" s="741"/>
      <c r="E508" s="741"/>
      <c r="F508" s="741"/>
      <c r="G508" s="741"/>
      <c r="H508" s="741"/>
      <c r="I508" s="741"/>
      <c r="J508" s="741"/>
      <c r="K508" s="741"/>
      <c r="L508" s="741"/>
      <c r="M508" s="741"/>
      <c r="N508" s="741"/>
      <c r="O508" s="741"/>
      <c r="P508" s="741"/>
      <c r="Q508" s="741"/>
      <c r="R508" s="741"/>
      <c r="S508" s="741"/>
      <c r="T508" s="741"/>
      <c r="U508" s="741"/>
      <c r="V508" s="741"/>
      <c r="W508" s="741"/>
      <c r="X508" s="741"/>
      <c r="Y508" s="741"/>
      <c r="Z508" s="741"/>
      <c r="AA508" s="741"/>
      <c r="AB508" s="741"/>
      <c r="AC508" s="741"/>
      <c r="AD508" s="741"/>
      <c r="AE508" s="741"/>
      <c r="AF508" s="741"/>
      <c r="AG508" s="741"/>
      <c r="AH508" s="741"/>
      <c r="AI508" s="741"/>
      <c r="AJ508" s="741"/>
      <c r="AK508" s="741"/>
      <c r="AL508" s="741"/>
      <c r="AM508" s="741"/>
    </row>
    <row r="509" spans="1:39" ht="12.75" customHeight="1">
      <c r="A509" s="741"/>
      <c r="B509" s="741"/>
      <c r="C509" s="741"/>
      <c r="D509" s="741"/>
      <c r="E509" s="741"/>
      <c r="F509" s="741"/>
      <c r="G509" s="741"/>
      <c r="H509" s="741"/>
      <c r="I509" s="741"/>
      <c r="J509" s="741"/>
      <c r="K509" s="741"/>
      <c r="L509" s="741"/>
      <c r="M509" s="741"/>
      <c r="N509" s="741"/>
      <c r="O509" s="741"/>
      <c r="P509" s="741"/>
      <c r="Q509" s="741"/>
      <c r="R509" s="741"/>
      <c r="S509" s="741"/>
      <c r="T509" s="741"/>
      <c r="U509" s="741"/>
      <c r="V509" s="741"/>
      <c r="W509" s="741"/>
      <c r="X509" s="741"/>
      <c r="Y509" s="741"/>
      <c r="Z509" s="741"/>
      <c r="AA509" s="741"/>
      <c r="AB509" s="741"/>
      <c r="AC509" s="741"/>
      <c r="AD509" s="741"/>
      <c r="AE509" s="741"/>
      <c r="AF509" s="741"/>
      <c r="AG509" s="741"/>
      <c r="AH509" s="741"/>
      <c r="AI509" s="741"/>
      <c r="AJ509" s="741"/>
      <c r="AK509" s="741"/>
      <c r="AL509" s="741"/>
      <c r="AM509" s="741"/>
    </row>
    <row r="510" spans="1:39" ht="12.75" customHeight="1">
      <c r="A510" s="741"/>
      <c r="B510" s="741"/>
      <c r="C510" s="741"/>
      <c r="D510" s="741"/>
      <c r="E510" s="741"/>
      <c r="F510" s="741"/>
      <c r="G510" s="741"/>
      <c r="H510" s="741"/>
      <c r="I510" s="741"/>
      <c r="J510" s="741"/>
      <c r="K510" s="741"/>
      <c r="L510" s="741"/>
      <c r="M510" s="741"/>
      <c r="N510" s="741"/>
      <c r="O510" s="741"/>
      <c r="P510" s="741"/>
      <c r="Q510" s="741"/>
      <c r="R510" s="741"/>
      <c r="S510" s="741"/>
      <c r="T510" s="741"/>
      <c r="U510" s="741"/>
      <c r="V510" s="741"/>
      <c r="W510" s="741"/>
      <c r="X510" s="741"/>
      <c r="Y510" s="741"/>
      <c r="Z510" s="741"/>
      <c r="AA510" s="741"/>
      <c r="AB510" s="741"/>
      <c r="AC510" s="741"/>
      <c r="AD510" s="741"/>
      <c r="AE510" s="741"/>
      <c r="AF510" s="741"/>
      <c r="AG510" s="741"/>
      <c r="AH510" s="741"/>
      <c r="AI510" s="741"/>
      <c r="AJ510" s="741"/>
      <c r="AK510" s="741"/>
      <c r="AL510" s="741"/>
      <c r="AM510" s="741"/>
    </row>
    <row r="511" spans="1:39" ht="12.75" customHeight="1">
      <c r="A511" s="741"/>
      <c r="B511" s="741"/>
      <c r="C511" s="741"/>
      <c r="D511" s="741"/>
      <c r="E511" s="741"/>
      <c r="F511" s="741"/>
      <c r="G511" s="741"/>
      <c r="H511" s="741"/>
      <c r="I511" s="741"/>
      <c r="J511" s="741"/>
      <c r="K511" s="741"/>
      <c r="L511" s="741"/>
      <c r="M511" s="741"/>
      <c r="N511" s="741"/>
      <c r="O511" s="741"/>
      <c r="P511" s="741"/>
      <c r="Q511" s="741"/>
      <c r="R511" s="741"/>
      <c r="S511" s="741"/>
      <c r="T511" s="741"/>
      <c r="U511" s="741"/>
      <c r="V511" s="741"/>
      <c r="W511" s="741"/>
      <c r="X511" s="741"/>
      <c r="Y511" s="741"/>
      <c r="Z511" s="741"/>
      <c r="AA511" s="741"/>
      <c r="AB511" s="741"/>
      <c r="AC511" s="741"/>
      <c r="AD511" s="741"/>
      <c r="AE511" s="741"/>
      <c r="AF511" s="741"/>
      <c r="AG511" s="741"/>
      <c r="AH511" s="741"/>
      <c r="AI511" s="741"/>
      <c r="AJ511" s="741"/>
      <c r="AK511" s="741"/>
      <c r="AL511" s="741"/>
      <c r="AM511" s="741"/>
    </row>
    <row r="512" spans="1:39" ht="12.75" customHeight="1">
      <c r="A512" s="741"/>
      <c r="B512" s="741"/>
      <c r="C512" s="741"/>
      <c r="D512" s="741"/>
      <c r="E512" s="741"/>
      <c r="F512" s="741"/>
      <c r="G512" s="741"/>
      <c r="H512" s="741"/>
      <c r="I512" s="741"/>
      <c r="J512" s="741"/>
      <c r="K512" s="741"/>
      <c r="L512" s="741"/>
      <c r="M512" s="741"/>
      <c r="N512" s="741"/>
      <c r="O512" s="741"/>
      <c r="P512" s="741"/>
      <c r="Q512" s="741"/>
      <c r="R512" s="741"/>
      <c r="S512" s="741"/>
      <c r="T512" s="741"/>
      <c r="U512" s="741"/>
      <c r="V512" s="741"/>
      <c r="W512" s="741"/>
      <c r="X512" s="741"/>
      <c r="Y512" s="741"/>
      <c r="Z512" s="741"/>
      <c r="AA512" s="741"/>
      <c r="AB512" s="741"/>
      <c r="AC512" s="741"/>
      <c r="AD512" s="741"/>
      <c r="AE512" s="741"/>
      <c r="AF512" s="741"/>
      <c r="AG512" s="741"/>
      <c r="AH512" s="741"/>
      <c r="AI512" s="741"/>
      <c r="AJ512" s="741"/>
      <c r="AK512" s="741"/>
      <c r="AL512" s="741"/>
      <c r="AM512" s="741"/>
    </row>
    <row r="513" spans="1:39" ht="12.75" customHeight="1">
      <c r="A513" s="741"/>
      <c r="B513" s="741"/>
      <c r="C513" s="741"/>
      <c r="D513" s="741"/>
      <c r="E513" s="741"/>
      <c r="F513" s="741"/>
      <c r="G513" s="741"/>
      <c r="H513" s="741"/>
      <c r="I513" s="741"/>
      <c r="J513" s="741"/>
      <c r="K513" s="741"/>
      <c r="L513" s="741"/>
      <c r="M513" s="741"/>
      <c r="N513" s="741"/>
      <c r="O513" s="741"/>
      <c r="P513" s="741"/>
      <c r="Q513" s="741"/>
      <c r="R513" s="741"/>
      <c r="S513" s="741"/>
      <c r="T513" s="741"/>
      <c r="U513" s="741"/>
      <c r="V513" s="741"/>
      <c r="W513" s="741"/>
      <c r="X513" s="741"/>
      <c r="Y513" s="741"/>
      <c r="Z513" s="741"/>
      <c r="AA513" s="741"/>
      <c r="AB513" s="741"/>
      <c r="AC513" s="741"/>
      <c r="AD513" s="741"/>
      <c r="AE513" s="741"/>
      <c r="AF513" s="741"/>
      <c r="AG513" s="741"/>
      <c r="AH513" s="741"/>
      <c r="AI513" s="741"/>
      <c r="AJ513" s="741"/>
      <c r="AK513" s="741"/>
      <c r="AL513" s="741"/>
      <c r="AM513" s="741"/>
    </row>
    <row r="514" spans="1:39" ht="12.75" customHeight="1">
      <c r="A514" s="741"/>
      <c r="B514" s="741"/>
      <c r="C514" s="741"/>
      <c r="D514" s="741"/>
      <c r="E514" s="741"/>
      <c r="F514" s="741"/>
      <c r="G514" s="741"/>
      <c r="H514" s="741"/>
      <c r="I514" s="741"/>
      <c r="J514" s="741"/>
      <c r="K514" s="741"/>
      <c r="L514" s="741"/>
      <c r="M514" s="741"/>
      <c r="N514" s="741"/>
      <c r="O514" s="741"/>
      <c r="P514" s="741"/>
      <c r="Q514" s="741"/>
      <c r="R514" s="741"/>
      <c r="S514" s="741"/>
      <c r="T514" s="741"/>
      <c r="U514" s="741"/>
      <c r="V514" s="741"/>
      <c r="W514" s="741"/>
      <c r="X514" s="741"/>
      <c r="Y514" s="741"/>
      <c r="Z514" s="741"/>
      <c r="AA514" s="741"/>
      <c r="AB514" s="741"/>
      <c r="AC514" s="741"/>
      <c r="AD514" s="741"/>
      <c r="AE514" s="741"/>
      <c r="AF514" s="741"/>
      <c r="AG514" s="741"/>
      <c r="AH514" s="741"/>
      <c r="AI514" s="741"/>
      <c r="AJ514" s="741"/>
      <c r="AK514" s="741"/>
      <c r="AL514" s="741"/>
      <c r="AM514" s="741"/>
    </row>
    <row r="515" spans="1:39" ht="12.75" customHeight="1">
      <c r="A515" s="741"/>
      <c r="B515" s="741"/>
      <c r="C515" s="741"/>
      <c r="D515" s="741"/>
      <c r="E515" s="741"/>
      <c r="F515" s="741"/>
      <c r="G515" s="741"/>
      <c r="H515" s="741"/>
      <c r="I515" s="741"/>
      <c r="J515" s="741"/>
      <c r="K515" s="741"/>
      <c r="L515" s="741"/>
      <c r="M515" s="741"/>
      <c r="N515" s="741"/>
      <c r="O515" s="741"/>
      <c r="P515" s="741"/>
      <c r="Q515" s="741"/>
      <c r="R515" s="741"/>
      <c r="S515" s="741"/>
      <c r="T515" s="741"/>
      <c r="U515" s="741"/>
      <c r="V515" s="741"/>
      <c r="W515" s="741"/>
      <c r="X515" s="741"/>
      <c r="Y515" s="741"/>
      <c r="Z515" s="741"/>
      <c r="AA515" s="741"/>
      <c r="AB515" s="741"/>
      <c r="AC515" s="741"/>
      <c r="AD515" s="741"/>
      <c r="AE515" s="741"/>
      <c r="AF515" s="741"/>
      <c r="AG515" s="741"/>
      <c r="AH515" s="741"/>
      <c r="AI515" s="741"/>
      <c r="AJ515" s="741"/>
      <c r="AK515" s="741"/>
      <c r="AL515" s="741"/>
      <c r="AM515" s="741"/>
    </row>
    <row r="516" spans="1:39" ht="12.75" customHeight="1">
      <c r="A516" s="741"/>
      <c r="B516" s="741"/>
      <c r="C516" s="741"/>
      <c r="D516" s="741"/>
      <c r="E516" s="741"/>
      <c r="F516" s="741"/>
      <c r="G516" s="741"/>
      <c r="H516" s="741"/>
      <c r="I516" s="741"/>
      <c r="J516" s="741"/>
      <c r="K516" s="741"/>
      <c r="L516" s="741"/>
      <c r="M516" s="741"/>
      <c r="N516" s="741"/>
      <c r="O516" s="741"/>
      <c r="P516" s="741"/>
      <c r="Q516" s="741"/>
      <c r="R516" s="741"/>
      <c r="S516" s="741"/>
      <c r="T516" s="741"/>
      <c r="U516" s="741"/>
      <c r="V516" s="741"/>
      <c r="W516" s="741"/>
      <c r="X516" s="741"/>
      <c r="Y516" s="741"/>
      <c r="Z516" s="741"/>
      <c r="AA516" s="741"/>
      <c r="AB516" s="741"/>
      <c r="AC516" s="741"/>
      <c r="AD516" s="741"/>
      <c r="AE516" s="741"/>
      <c r="AF516" s="741"/>
      <c r="AG516" s="741"/>
      <c r="AH516" s="741"/>
      <c r="AI516" s="741"/>
      <c r="AJ516" s="741"/>
      <c r="AK516" s="741"/>
      <c r="AL516" s="741"/>
      <c r="AM516" s="741"/>
    </row>
    <row r="517" spans="1:39" ht="12.75" customHeight="1">
      <c r="A517" s="741"/>
      <c r="B517" s="741"/>
      <c r="C517" s="741"/>
      <c r="D517" s="741"/>
      <c r="E517" s="741"/>
      <c r="F517" s="741"/>
      <c r="G517" s="741"/>
      <c r="H517" s="741"/>
      <c r="I517" s="741"/>
      <c r="J517" s="741"/>
      <c r="K517" s="741"/>
      <c r="L517" s="741"/>
      <c r="M517" s="741"/>
      <c r="N517" s="741"/>
      <c r="O517" s="741"/>
      <c r="P517" s="741"/>
      <c r="Q517" s="741"/>
      <c r="R517" s="741"/>
      <c r="S517" s="741"/>
      <c r="T517" s="741"/>
      <c r="U517" s="741"/>
      <c r="V517" s="741"/>
      <c r="W517" s="741"/>
      <c r="X517" s="741"/>
      <c r="Y517" s="741"/>
      <c r="Z517" s="741"/>
      <c r="AA517" s="741"/>
      <c r="AB517" s="741"/>
      <c r="AC517" s="741"/>
      <c r="AD517" s="741"/>
      <c r="AE517" s="741"/>
      <c r="AF517" s="741"/>
      <c r="AG517" s="741"/>
      <c r="AH517" s="741"/>
      <c r="AI517" s="741"/>
      <c r="AJ517" s="741"/>
      <c r="AK517" s="741"/>
      <c r="AL517" s="741"/>
      <c r="AM517" s="741"/>
    </row>
    <row r="518" spans="1:39" ht="12.75" customHeight="1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1"/>
      <c r="P518" s="741"/>
      <c r="Q518" s="741"/>
      <c r="R518" s="741"/>
      <c r="S518" s="741"/>
      <c r="T518" s="741"/>
      <c r="U518" s="741"/>
      <c r="V518" s="741"/>
      <c r="W518" s="741"/>
      <c r="X518" s="741"/>
      <c r="Y518" s="741"/>
      <c r="Z518" s="741"/>
      <c r="AA518" s="741"/>
      <c r="AB518" s="741"/>
      <c r="AC518" s="741"/>
      <c r="AD518" s="741"/>
      <c r="AE518" s="741"/>
      <c r="AF518" s="741"/>
      <c r="AG518" s="741"/>
      <c r="AH518" s="741"/>
      <c r="AI518" s="741"/>
      <c r="AJ518" s="741"/>
      <c r="AK518" s="741"/>
      <c r="AL518" s="741"/>
      <c r="AM518" s="741"/>
    </row>
    <row r="519" spans="1:39" ht="12.75" customHeight="1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1"/>
      <c r="P519" s="741"/>
      <c r="Q519" s="741"/>
      <c r="R519" s="741"/>
      <c r="S519" s="741"/>
      <c r="T519" s="741"/>
      <c r="U519" s="741"/>
      <c r="V519" s="741"/>
      <c r="W519" s="741"/>
      <c r="X519" s="741"/>
      <c r="Y519" s="741"/>
      <c r="Z519" s="741"/>
      <c r="AA519" s="741"/>
      <c r="AB519" s="741"/>
      <c r="AC519" s="741"/>
      <c r="AD519" s="741"/>
      <c r="AE519" s="741"/>
      <c r="AF519" s="741"/>
      <c r="AG519" s="741"/>
      <c r="AH519" s="741"/>
      <c r="AI519" s="741"/>
      <c r="AJ519" s="741"/>
      <c r="AK519" s="741"/>
      <c r="AL519" s="741"/>
      <c r="AM519" s="741"/>
    </row>
    <row r="520" spans="1:39" ht="12.75" customHeight="1">
      <c r="A520" s="741"/>
      <c r="B520" s="741"/>
      <c r="C520" s="741"/>
      <c r="D520" s="741"/>
      <c r="E520" s="741"/>
      <c r="F520" s="741"/>
      <c r="G520" s="741"/>
      <c r="H520" s="741"/>
      <c r="I520" s="741"/>
      <c r="J520" s="741"/>
      <c r="K520" s="741"/>
      <c r="L520" s="741"/>
      <c r="M520" s="741"/>
      <c r="N520" s="741"/>
      <c r="O520" s="741"/>
      <c r="P520" s="741"/>
      <c r="Q520" s="741"/>
      <c r="R520" s="741"/>
      <c r="S520" s="741"/>
      <c r="T520" s="741"/>
      <c r="U520" s="741"/>
      <c r="V520" s="741"/>
      <c r="W520" s="741"/>
      <c r="X520" s="741"/>
      <c r="Y520" s="741"/>
      <c r="Z520" s="741"/>
      <c r="AA520" s="741"/>
      <c r="AB520" s="741"/>
      <c r="AC520" s="741"/>
      <c r="AD520" s="741"/>
      <c r="AE520" s="741"/>
      <c r="AF520" s="741"/>
      <c r="AG520" s="741"/>
      <c r="AH520" s="741"/>
      <c r="AI520" s="741"/>
      <c r="AJ520" s="741"/>
      <c r="AK520" s="741"/>
      <c r="AL520" s="741"/>
      <c r="AM520" s="741"/>
    </row>
    <row r="521" spans="1:39" ht="12.75" customHeight="1">
      <c r="A521" s="741"/>
      <c r="B521" s="741"/>
      <c r="C521" s="741"/>
      <c r="D521" s="741"/>
      <c r="E521" s="741"/>
      <c r="F521" s="741"/>
      <c r="G521" s="741"/>
      <c r="H521" s="741"/>
      <c r="I521" s="741"/>
      <c r="J521" s="741"/>
      <c r="K521" s="741"/>
      <c r="L521" s="741"/>
      <c r="M521" s="741"/>
      <c r="N521" s="741"/>
      <c r="O521" s="741"/>
      <c r="P521" s="741"/>
      <c r="Q521" s="741"/>
      <c r="R521" s="741"/>
      <c r="S521" s="741"/>
      <c r="T521" s="741"/>
      <c r="U521" s="741"/>
      <c r="V521" s="741"/>
      <c r="W521" s="741"/>
      <c r="X521" s="741"/>
      <c r="Y521" s="741"/>
      <c r="Z521" s="741"/>
      <c r="AA521" s="741"/>
      <c r="AB521" s="741"/>
      <c r="AC521" s="741"/>
      <c r="AD521" s="741"/>
      <c r="AE521" s="741"/>
      <c r="AF521" s="741"/>
      <c r="AG521" s="741"/>
      <c r="AH521" s="741"/>
      <c r="AI521" s="741"/>
      <c r="AJ521" s="741"/>
      <c r="AK521" s="741"/>
      <c r="AL521" s="741"/>
      <c r="AM521" s="741"/>
    </row>
    <row r="522" spans="1:39" ht="12.75" customHeight="1">
      <c r="A522" s="741"/>
      <c r="B522" s="741"/>
      <c r="C522" s="741"/>
      <c r="D522" s="741"/>
      <c r="E522" s="741"/>
      <c r="F522" s="741"/>
      <c r="G522" s="741"/>
      <c r="H522" s="741"/>
      <c r="I522" s="741"/>
      <c r="J522" s="741"/>
      <c r="K522" s="741"/>
      <c r="L522" s="741"/>
      <c r="M522" s="741"/>
      <c r="N522" s="741"/>
      <c r="O522" s="741"/>
      <c r="P522" s="741"/>
      <c r="Q522" s="741"/>
      <c r="R522" s="741"/>
      <c r="S522" s="741"/>
      <c r="T522" s="741"/>
      <c r="U522" s="741"/>
      <c r="V522" s="741"/>
      <c r="W522" s="741"/>
      <c r="X522" s="741"/>
      <c r="Y522" s="741"/>
      <c r="Z522" s="741"/>
      <c r="AA522" s="741"/>
      <c r="AB522" s="741"/>
      <c r="AC522" s="741"/>
      <c r="AD522" s="741"/>
      <c r="AE522" s="741"/>
      <c r="AF522" s="741"/>
      <c r="AG522" s="741"/>
      <c r="AH522" s="741"/>
      <c r="AI522" s="741"/>
      <c r="AJ522" s="741"/>
      <c r="AK522" s="741"/>
      <c r="AL522" s="741"/>
      <c r="AM522" s="741"/>
    </row>
    <row r="523" spans="1:39" ht="12.75" customHeight="1">
      <c r="A523" s="741"/>
      <c r="B523" s="741"/>
      <c r="C523" s="741"/>
      <c r="D523" s="741"/>
      <c r="E523" s="741"/>
      <c r="F523" s="741"/>
      <c r="G523" s="741"/>
      <c r="H523" s="741"/>
      <c r="I523" s="741"/>
      <c r="J523" s="741"/>
      <c r="K523" s="741"/>
      <c r="L523" s="741"/>
      <c r="M523" s="741"/>
      <c r="N523" s="741"/>
      <c r="O523" s="741"/>
      <c r="P523" s="741"/>
      <c r="Q523" s="741"/>
      <c r="R523" s="741"/>
      <c r="S523" s="741"/>
      <c r="T523" s="741"/>
      <c r="U523" s="741"/>
      <c r="V523" s="741"/>
      <c r="W523" s="741"/>
      <c r="X523" s="741"/>
      <c r="Y523" s="741"/>
      <c r="Z523" s="741"/>
      <c r="AA523" s="741"/>
      <c r="AB523" s="741"/>
      <c r="AC523" s="741"/>
      <c r="AD523" s="741"/>
      <c r="AE523" s="741"/>
      <c r="AF523" s="741"/>
      <c r="AG523" s="741"/>
      <c r="AH523" s="741"/>
      <c r="AI523" s="741"/>
      <c r="AJ523" s="741"/>
      <c r="AK523" s="741"/>
      <c r="AL523" s="741"/>
      <c r="AM523" s="741"/>
    </row>
    <row r="524" spans="1:39" ht="12.75" customHeight="1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1"/>
      <c r="P524" s="741"/>
      <c r="Q524" s="741"/>
      <c r="R524" s="741"/>
      <c r="S524" s="741"/>
      <c r="T524" s="741"/>
      <c r="U524" s="741"/>
      <c r="V524" s="741"/>
      <c r="W524" s="741"/>
      <c r="X524" s="741"/>
      <c r="Y524" s="741"/>
      <c r="Z524" s="741"/>
      <c r="AA524" s="741"/>
      <c r="AB524" s="741"/>
      <c r="AC524" s="741"/>
      <c r="AD524" s="741"/>
      <c r="AE524" s="741"/>
      <c r="AF524" s="741"/>
      <c r="AG524" s="741"/>
      <c r="AH524" s="741"/>
      <c r="AI524" s="741"/>
      <c r="AJ524" s="741"/>
      <c r="AK524" s="741"/>
      <c r="AL524" s="741"/>
      <c r="AM524" s="741"/>
    </row>
    <row r="525" spans="1:39" ht="12.75" customHeight="1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1"/>
      <c r="P525" s="741"/>
      <c r="Q525" s="741"/>
      <c r="R525" s="741"/>
      <c r="S525" s="741"/>
      <c r="T525" s="741"/>
      <c r="U525" s="741"/>
      <c r="V525" s="741"/>
      <c r="W525" s="741"/>
      <c r="X525" s="741"/>
      <c r="Y525" s="741"/>
      <c r="Z525" s="741"/>
      <c r="AA525" s="741"/>
      <c r="AB525" s="741"/>
      <c r="AC525" s="741"/>
      <c r="AD525" s="741"/>
      <c r="AE525" s="741"/>
      <c r="AF525" s="741"/>
      <c r="AG525" s="741"/>
      <c r="AH525" s="741"/>
      <c r="AI525" s="741"/>
      <c r="AJ525" s="741"/>
      <c r="AK525" s="741"/>
      <c r="AL525" s="741"/>
      <c r="AM525" s="741"/>
    </row>
    <row r="526" spans="1:39" ht="12.75" customHeight="1">
      <c r="A526" s="741"/>
      <c r="B526" s="741"/>
      <c r="C526" s="741"/>
      <c r="D526" s="741"/>
      <c r="E526" s="741"/>
      <c r="F526" s="741"/>
      <c r="G526" s="741"/>
      <c r="H526" s="741"/>
      <c r="I526" s="741"/>
      <c r="J526" s="741"/>
      <c r="K526" s="741"/>
      <c r="L526" s="741"/>
      <c r="M526" s="741"/>
      <c r="N526" s="741"/>
      <c r="O526" s="741"/>
      <c r="P526" s="741"/>
      <c r="Q526" s="741"/>
      <c r="R526" s="741"/>
      <c r="S526" s="741"/>
      <c r="T526" s="741"/>
      <c r="U526" s="741"/>
      <c r="V526" s="741"/>
      <c r="W526" s="741"/>
      <c r="X526" s="741"/>
      <c r="Y526" s="741"/>
      <c r="Z526" s="741"/>
      <c r="AA526" s="741"/>
      <c r="AB526" s="741"/>
      <c r="AC526" s="741"/>
      <c r="AD526" s="741"/>
      <c r="AE526" s="741"/>
      <c r="AF526" s="741"/>
      <c r="AG526" s="741"/>
      <c r="AH526" s="741"/>
      <c r="AI526" s="741"/>
      <c r="AJ526" s="741"/>
      <c r="AK526" s="741"/>
      <c r="AL526" s="741"/>
      <c r="AM526" s="741"/>
    </row>
    <row r="527" spans="1:39" ht="12.75" customHeight="1">
      <c r="A527" s="741"/>
      <c r="B527" s="741"/>
      <c r="C527" s="741"/>
      <c r="D527" s="741"/>
      <c r="E527" s="741"/>
      <c r="F527" s="741"/>
      <c r="G527" s="741"/>
      <c r="H527" s="741"/>
      <c r="I527" s="741"/>
      <c r="J527" s="741"/>
      <c r="K527" s="741"/>
      <c r="L527" s="741"/>
      <c r="M527" s="741"/>
      <c r="N527" s="741"/>
      <c r="O527" s="741"/>
      <c r="P527" s="741"/>
      <c r="Q527" s="741"/>
      <c r="R527" s="741"/>
      <c r="S527" s="741"/>
      <c r="T527" s="741"/>
      <c r="U527" s="741"/>
      <c r="V527" s="741"/>
      <c r="W527" s="741"/>
      <c r="X527" s="741"/>
      <c r="Y527" s="741"/>
      <c r="Z527" s="741"/>
      <c r="AA527" s="741"/>
      <c r="AB527" s="741"/>
      <c r="AC527" s="741"/>
      <c r="AD527" s="741"/>
      <c r="AE527" s="741"/>
      <c r="AF527" s="741"/>
      <c r="AG527" s="741"/>
      <c r="AH527" s="741"/>
      <c r="AI527" s="741"/>
      <c r="AJ527" s="741"/>
      <c r="AK527" s="741"/>
      <c r="AL527" s="741"/>
      <c r="AM527" s="741"/>
    </row>
    <row r="528" spans="1:39" ht="12.75" customHeight="1">
      <c r="A528" s="741"/>
      <c r="B528" s="741"/>
      <c r="C528" s="741"/>
      <c r="D528" s="741"/>
      <c r="E528" s="741"/>
      <c r="F528" s="741"/>
      <c r="G528" s="741"/>
      <c r="H528" s="741"/>
      <c r="I528" s="741"/>
      <c r="J528" s="741"/>
      <c r="K528" s="741"/>
      <c r="L528" s="741"/>
      <c r="M528" s="741"/>
      <c r="N528" s="741"/>
      <c r="O528" s="741"/>
      <c r="P528" s="741"/>
      <c r="Q528" s="741"/>
      <c r="R528" s="741"/>
      <c r="S528" s="741"/>
      <c r="T528" s="741"/>
      <c r="U528" s="741"/>
      <c r="V528" s="741"/>
      <c r="W528" s="741"/>
      <c r="X528" s="741"/>
      <c r="Y528" s="741"/>
      <c r="Z528" s="741"/>
      <c r="AA528" s="741"/>
      <c r="AB528" s="741"/>
      <c r="AC528" s="741"/>
      <c r="AD528" s="741"/>
      <c r="AE528" s="741"/>
      <c r="AF528" s="741"/>
      <c r="AG528" s="741"/>
      <c r="AH528" s="741"/>
      <c r="AI528" s="741"/>
      <c r="AJ528" s="741"/>
      <c r="AK528" s="741"/>
      <c r="AL528" s="741"/>
      <c r="AM528" s="741"/>
    </row>
    <row r="529" spans="1:39" ht="12.75" customHeight="1">
      <c r="A529" s="741"/>
      <c r="B529" s="741"/>
      <c r="C529" s="741"/>
      <c r="D529" s="741"/>
      <c r="E529" s="741"/>
      <c r="F529" s="741"/>
      <c r="G529" s="741"/>
      <c r="H529" s="741"/>
      <c r="I529" s="741"/>
      <c r="J529" s="741"/>
      <c r="K529" s="741"/>
      <c r="L529" s="741"/>
      <c r="M529" s="741"/>
      <c r="N529" s="741"/>
      <c r="O529" s="741"/>
      <c r="P529" s="741"/>
      <c r="Q529" s="741"/>
      <c r="R529" s="741"/>
      <c r="S529" s="741"/>
      <c r="T529" s="741"/>
      <c r="U529" s="741"/>
      <c r="V529" s="741"/>
      <c r="W529" s="741"/>
      <c r="X529" s="741"/>
      <c r="Y529" s="741"/>
      <c r="Z529" s="741"/>
      <c r="AA529" s="741"/>
      <c r="AB529" s="741"/>
      <c r="AC529" s="741"/>
      <c r="AD529" s="741"/>
      <c r="AE529" s="741"/>
      <c r="AF529" s="741"/>
      <c r="AG529" s="741"/>
      <c r="AH529" s="741"/>
      <c r="AI529" s="741"/>
      <c r="AJ529" s="741"/>
      <c r="AK529" s="741"/>
      <c r="AL529" s="741"/>
      <c r="AM529" s="741"/>
    </row>
    <row r="530" spans="1:39" ht="12.75" customHeight="1">
      <c r="A530" s="741"/>
      <c r="B530" s="741"/>
      <c r="C530" s="741"/>
      <c r="D530" s="741"/>
      <c r="E530" s="741"/>
      <c r="F530" s="741"/>
      <c r="G530" s="741"/>
      <c r="H530" s="741"/>
      <c r="I530" s="741"/>
      <c r="J530" s="741"/>
      <c r="K530" s="741"/>
      <c r="L530" s="741"/>
      <c r="M530" s="741"/>
      <c r="N530" s="741"/>
      <c r="O530" s="741"/>
      <c r="P530" s="741"/>
      <c r="Q530" s="741"/>
      <c r="R530" s="741"/>
      <c r="S530" s="741"/>
      <c r="T530" s="741"/>
      <c r="U530" s="741"/>
      <c r="V530" s="741"/>
      <c r="W530" s="741"/>
      <c r="X530" s="741"/>
      <c r="Y530" s="741"/>
      <c r="Z530" s="741"/>
      <c r="AA530" s="741"/>
      <c r="AB530" s="741"/>
      <c r="AC530" s="741"/>
      <c r="AD530" s="741"/>
      <c r="AE530" s="741"/>
      <c r="AF530" s="741"/>
      <c r="AG530" s="741"/>
      <c r="AH530" s="741"/>
      <c r="AI530" s="741"/>
      <c r="AJ530" s="741"/>
      <c r="AK530" s="741"/>
      <c r="AL530" s="741"/>
      <c r="AM530" s="741"/>
    </row>
    <row r="531" spans="1:39" ht="12.75" customHeight="1">
      <c r="A531" s="741"/>
      <c r="B531" s="741"/>
      <c r="C531" s="741"/>
      <c r="D531" s="741"/>
      <c r="E531" s="741"/>
      <c r="F531" s="741"/>
      <c r="G531" s="741"/>
      <c r="H531" s="741"/>
      <c r="I531" s="741"/>
      <c r="J531" s="741"/>
      <c r="K531" s="741"/>
      <c r="L531" s="741"/>
      <c r="M531" s="741"/>
      <c r="N531" s="741"/>
      <c r="O531" s="741"/>
      <c r="P531" s="741"/>
      <c r="Q531" s="741"/>
      <c r="R531" s="741"/>
      <c r="S531" s="741"/>
      <c r="T531" s="741"/>
      <c r="U531" s="741"/>
      <c r="V531" s="741"/>
      <c r="W531" s="741"/>
      <c r="X531" s="741"/>
      <c r="Y531" s="741"/>
      <c r="Z531" s="741"/>
      <c r="AA531" s="741"/>
      <c r="AB531" s="741"/>
      <c r="AC531" s="741"/>
      <c r="AD531" s="741"/>
      <c r="AE531" s="741"/>
      <c r="AF531" s="741"/>
      <c r="AG531" s="741"/>
      <c r="AH531" s="741"/>
      <c r="AI531" s="741"/>
      <c r="AJ531" s="741"/>
      <c r="AK531" s="741"/>
      <c r="AL531" s="741"/>
      <c r="AM531" s="741"/>
    </row>
    <row r="532" spans="1:39" ht="12.75" customHeight="1">
      <c r="A532" s="741"/>
      <c r="B532" s="741"/>
      <c r="C532" s="741"/>
      <c r="D532" s="741"/>
      <c r="E532" s="741"/>
      <c r="F532" s="741"/>
      <c r="G532" s="741"/>
      <c r="H532" s="741"/>
      <c r="I532" s="741"/>
      <c r="J532" s="741"/>
      <c r="K532" s="741"/>
      <c r="L532" s="741"/>
      <c r="M532" s="741"/>
      <c r="N532" s="741"/>
      <c r="O532" s="741"/>
      <c r="P532" s="741"/>
      <c r="Q532" s="741"/>
      <c r="R532" s="741"/>
      <c r="S532" s="741"/>
      <c r="T532" s="741"/>
      <c r="U532" s="741"/>
      <c r="V532" s="741"/>
      <c r="W532" s="741"/>
      <c r="X532" s="741"/>
      <c r="Y532" s="741"/>
      <c r="Z532" s="741"/>
      <c r="AA532" s="741"/>
      <c r="AB532" s="741"/>
      <c r="AC532" s="741"/>
      <c r="AD532" s="741"/>
      <c r="AE532" s="741"/>
      <c r="AF532" s="741"/>
      <c r="AG532" s="741"/>
      <c r="AH532" s="741"/>
      <c r="AI532" s="741"/>
      <c r="AJ532" s="741"/>
      <c r="AK532" s="741"/>
      <c r="AL532" s="741"/>
      <c r="AM532" s="741"/>
    </row>
    <row r="533" spans="1:39" ht="12.75" customHeight="1">
      <c r="A533" s="741"/>
      <c r="B533" s="741"/>
      <c r="C533" s="741"/>
      <c r="D533" s="741"/>
      <c r="E533" s="741"/>
      <c r="F533" s="741"/>
      <c r="G533" s="741"/>
      <c r="H533" s="741"/>
      <c r="I533" s="741"/>
      <c r="J533" s="741"/>
      <c r="K533" s="741"/>
      <c r="L533" s="741"/>
      <c r="M533" s="741"/>
      <c r="N533" s="741"/>
      <c r="O533" s="741"/>
      <c r="P533" s="741"/>
      <c r="Q533" s="741"/>
      <c r="R533" s="741"/>
      <c r="S533" s="741"/>
      <c r="T533" s="741"/>
      <c r="U533" s="741"/>
      <c r="V533" s="741"/>
      <c r="W533" s="741"/>
      <c r="X533" s="741"/>
      <c r="Y533" s="741"/>
      <c r="Z533" s="741"/>
      <c r="AA533" s="741"/>
      <c r="AB533" s="741"/>
      <c r="AC533" s="741"/>
      <c r="AD533" s="741"/>
      <c r="AE533" s="741"/>
      <c r="AF533" s="741"/>
      <c r="AG533" s="741"/>
      <c r="AH533" s="741"/>
      <c r="AI533" s="741"/>
      <c r="AJ533" s="741"/>
      <c r="AK533" s="741"/>
      <c r="AL533" s="741"/>
      <c r="AM533" s="741"/>
    </row>
    <row r="534" spans="1:39" ht="12.75" customHeight="1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1"/>
      <c r="P534" s="741"/>
      <c r="Q534" s="741"/>
      <c r="R534" s="741"/>
      <c r="S534" s="741"/>
      <c r="T534" s="741"/>
      <c r="U534" s="741"/>
      <c r="V534" s="741"/>
      <c r="W534" s="741"/>
      <c r="X534" s="741"/>
      <c r="Y534" s="741"/>
      <c r="Z534" s="741"/>
      <c r="AA534" s="741"/>
      <c r="AB534" s="741"/>
      <c r="AC534" s="741"/>
      <c r="AD534" s="741"/>
      <c r="AE534" s="741"/>
      <c r="AF534" s="741"/>
      <c r="AG534" s="741"/>
      <c r="AH534" s="741"/>
      <c r="AI534" s="741"/>
      <c r="AJ534" s="741"/>
      <c r="AK534" s="741"/>
      <c r="AL534" s="741"/>
      <c r="AM534" s="741"/>
    </row>
    <row r="535" spans="1:39" ht="12.75" customHeight="1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1"/>
      <c r="P535" s="741"/>
      <c r="Q535" s="741"/>
      <c r="R535" s="741"/>
      <c r="S535" s="741"/>
      <c r="T535" s="741"/>
      <c r="U535" s="741"/>
      <c r="V535" s="741"/>
      <c r="W535" s="741"/>
      <c r="X535" s="741"/>
      <c r="Y535" s="741"/>
      <c r="Z535" s="741"/>
      <c r="AA535" s="741"/>
      <c r="AB535" s="741"/>
      <c r="AC535" s="741"/>
      <c r="AD535" s="741"/>
      <c r="AE535" s="741"/>
      <c r="AF535" s="741"/>
      <c r="AG535" s="741"/>
      <c r="AH535" s="741"/>
      <c r="AI535" s="741"/>
      <c r="AJ535" s="741"/>
      <c r="AK535" s="741"/>
      <c r="AL535" s="741"/>
      <c r="AM535" s="741"/>
    </row>
    <row r="536" spans="1:39" ht="12.75" customHeight="1">
      <c r="A536" s="741"/>
      <c r="B536" s="741"/>
      <c r="C536" s="741"/>
      <c r="D536" s="741"/>
      <c r="E536" s="741"/>
      <c r="F536" s="741"/>
      <c r="G536" s="741"/>
      <c r="H536" s="741"/>
      <c r="I536" s="741"/>
      <c r="J536" s="741"/>
      <c r="K536" s="741"/>
      <c r="L536" s="741"/>
      <c r="M536" s="741"/>
      <c r="N536" s="741"/>
      <c r="O536" s="741"/>
      <c r="P536" s="741"/>
      <c r="Q536" s="741"/>
      <c r="R536" s="741"/>
      <c r="S536" s="741"/>
      <c r="T536" s="741"/>
      <c r="U536" s="741"/>
      <c r="V536" s="741"/>
      <c r="W536" s="741"/>
      <c r="X536" s="741"/>
      <c r="Y536" s="741"/>
      <c r="Z536" s="741"/>
      <c r="AA536" s="741"/>
      <c r="AB536" s="741"/>
      <c r="AC536" s="741"/>
      <c r="AD536" s="741"/>
      <c r="AE536" s="741"/>
      <c r="AF536" s="741"/>
      <c r="AG536" s="741"/>
      <c r="AH536" s="741"/>
      <c r="AI536" s="741"/>
      <c r="AJ536" s="741"/>
      <c r="AK536" s="741"/>
      <c r="AL536" s="741"/>
      <c r="AM536" s="741"/>
    </row>
    <row r="537" spans="1:39" ht="12.75" customHeight="1">
      <c r="A537" s="741"/>
      <c r="B537" s="741"/>
      <c r="C537" s="741"/>
      <c r="D537" s="741"/>
      <c r="E537" s="741"/>
      <c r="F537" s="741"/>
      <c r="G537" s="741"/>
      <c r="H537" s="741"/>
      <c r="I537" s="741"/>
      <c r="J537" s="741"/>
      <c r="K537" s="741"/>
      <c r="L537" s="741"/>
      <c r="M537" s="741"/>
      <c r="N537" s="741"/>
      <c r="O537" s="741"/>
      <c r="P537" s="741"/>
      <c r="Q537" s="741"/>
      <c r="R537" s="741"/>
      <c r="S537" s="741"/>
      <c r="T537" s="741"/>
      <c r="U537" s="741"/>
      <c r="V537" s="741"/>
      <c r="W537" s="741"/>
      <c r="X537" s="741"/>
      <c r="Y537" s="741"/>
      <c r="Z537" s="741"/>
      <c r="AA537" s="741"/>
      <c r="AB537" s="741"/>
      <c r="AC537" s="741"/>
      <c r="AD537" s="741"/>
      <c r="AE537" s="741"/>
      <c r="AF537" s="741"/>
      <c r="AG537" s="741"/>
      <c r="AH537" s="741"/>
      <c r="AI537" s="741"/>
      <c r="AJ537" s="741"/>
      <c r="AK537" s="741"/>
      <c r="AL537" s="741"/>
      <c r="AM537" s="741"/>
    </row>
    <row r="538" spans="1:39" ht="12.75" customHeight="1">
      <c r="A538" s="741"/>
      <c r="B538" s="741"/>
      <c r="C538" s="741"/>
      <c r="D538" s="741"/>
      <c r="E538" s="741"/>
      <c r="F538" s="741"/>
      <c r="G538" s="741"/>
      <c r="H538" s="741"/>
      <c r="I538" s="741"/>
      <c r="J538" s="741"/>
      <c r="K538" s="741"/>
      <c r="L538" s="741"/>
      <c r="M538" s="741"/>
      <c r="N538" s="741"/>
      <c r="O538" s="741"/>
      <c r="P538" s="741"/>
      <c r="Q538" s="741"/>
      <c r="R538" s="741"/>
      <c r="S538" s="741"/>
      <c r="T538" s="741"/>
      <c r="U538" s="741"/>
      <c r="V538" s="741"/>
      <c r="W538" s="741"/>
      <c r="X538" s="741"/>
      <c r="Y538" s="741"/>
      <c r="Z538" s="741"/>
      <c r="AA538" s="741"/>
      <c r="AB538" s="741"/>
      <c r="AC538" s="741"/>
      <c r="AD538" s="741"/>
      <c r="AE538" s="741"/>
      <c r="AF538" s="741"/>
      <c r="AG538" s="741"/>
      <c r="AH538" s="741"/>
      <c r="AI538" s="741"/>
      <c r="AJ538" s="741"/>
      <c r="AK538" s="741"/>
      <c r="AL538" s="741"/>
      <c r="AM538" s="741"/>
    </row>
    <row r="539" spans="1:39" ht="12.75" customHeight="1">
      <c r="A539" s="741"/>
      <c r="B539" s="741"/>
      <c r="C539" s="741"/>
      <c r="D539" s="741"/>
      <c r="E539" s="741"/>
      <c r="F539" s="741"/>
      <c r="G539" s="741"/>
      <c r="H539" s="741"/>
      <c r="I539" s="741"/>
      <c r="J539" s="741"/>
      <c r="K539" s="741"/>
      <c r="L539" s="741"/>
      <c r="M539" s="741"/>
      <c r="N539" s="741"/>
      <c r="O539" s="741"/>
      <c r="P539" s="741"/>
      <c r="Q539" s="741"/>
      <c r="R539" s="741"/>
      <c r="S539" s="741"/>
      <c r="T539" s="741"/>
      <c r="U539" s="741"/>
      <c r="V539" s="741"/>
      <c r="W539" s="741"/>
      <c r="X539" s="741"/>
      <c r="Y539" s="741"/>
      <c r="Z539" s="741"/>
      <c r="AA539" s="741"/>
      <c r="AB539" s="741"/>
      <c r="AC539" s="741"/>
      <c r="AD539" s="741"/>
      <c r="AE539" s="741"/>
      <c r="AF539" s="741"/>
      <c r="AG539" s="741"/>
      <c r="AH539" s="741"/>
      <c r="AI539" s="741"/>
      <c r="AJ539" s="741"/>
      <c r="AK539" s="741"/>
      <c r="AL539" s="741"/>
      <c r="AM539" s="741"/>
    </row>
    <row r="540" spans="1:39" ht="12.75" customHeight="1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1"/>
      <c r="P540" s="741"/>
      <c r="Q540" s="741"/>
      <c r="R540" s="741"/>
      <c r="S540" s="741"/>
      <c r="T540" s="741"/>
      <c r="U540" s="741"/>
      <c r="V540" s="741"/>
      <c r="W540" s="741"/>
      <c r="X540" s="741"/>
      <c r="Y540" s="741"/>
      <c r="Z540" s="741"/>
      <c r="AA540" s="741"/>
      <c r="AB540" s="741"/>
      <c r="AC540" s="741"/>
      <c r="AD540" s="741"/>
      <c r="AE540" s="741"/>
      <c r="AF540" s="741"/>
      <c r="AG540" s="741"/>
      <c r="AH540" s="741"/>
      <c r="AI540" s="741"/>
      <c r="AJ540" s="741"/>
      <c r="AK540" s="741"/>
      <c r="AL540" s="741"/>
      <c r="AM540" s="741"/>
    </row>
    <row r="541" spans="1:39" ht="12.75" customHeight="1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1"/>
      <c r="P541" s="741"/>
      <c r="Q541" s="741"/>
      <c r="R541" s="741"/>
      <c r="S541" s="741"/>
      <c r="T541" s="741"/>
      <c r="U541" s="741"/>
      <c r="V541" s="741"/>
      <c r="W541" s="741"/>
      <c r="X541" s="741"/>
      <c r="Y541" s="741"/>
      <c r="Z541" s="741"/>
      <c r="AA541" s="741"/>
      <c r="AB541" s="741"/>
      <c r="AC541" s="741"/>
      <c r="AD541" s="741"/>
      <c r="AE541" s="741"/>
      <c r="AF541" s="741"/>
      <c r="AG541" s="741"/>
      <c r="AH541" s="741"/>
      <c r="AI541" s="741"/>
      <c r="AJ541" s="741"/>
      <c r="AK541" s="741"/>
      <c r="AL541" s="741"/>
      <c r="AM541" s="741"/>
    </row>
    <row r="542" spans="1:39" ht="12.75" customHeight="1">
      <c r="A542" s="741"/>
      <c r="B542" s="741"/>
      <c r="C542" s="741"/>
      <c r="D542" s="741"/>
      <c r="E542" s="741"/>
      <c r="F542" s="741"/>
      <c r="G542" s="741"/>
      <c r="H542" s="741"/>
      <c r="I542" s="741"/>
      <c r="J542" s="741"/>
      <c r="K542" s="741"/>
      <c r="L542" s="741"/>
      <c r="M542" s="741"/>
      <c r="N542" s="741"/>
      <c r="O542" s="741"/>
      <c r="P542" s="741"/>
      <c r="Q542" s="741"/>
      <c r="R542" s="741"/>
      <c r="S542" s="741"/>
      <c r="T542" s="741"/>
      <c r="U542" s="741"/>
      <c r="V542" s="741"/>
      <c r="W542" s="741"/>
      <c r="X542" s="741"/>
      <c r="Y542" s="741"/>
      <c r="Z542" s="741"/>
      <c r="AA542" s="741"/>
      <c r="AB542" s="741"/>
      <c r="AC542" s="741"/>
      <c r="AD542" s="741"/>
      <c r="AE542" s="741"/>
      <c r="AF542" s="741"/>
      <c r="AG542" s="741"/>
      <c r="AH542" s="741"/>
      <c r="AI542" s="741"/>
      <c r="AJ542" s="741"/>
      <c r="AK542" s="741"/>
      <c r="AL542" s="741"/>
      <c r="AM542" s="741"/>
    </row>
    <row r="543" spans="1:39" ht="12.75" customHeight="1">
      <c r="A543" s="741"/>
      <c r="B543" s="741"/>
      <c r="C543" s="741"/>
      <c r="D543" s="741"/>
      <c r="E543" s="741"/>
      <c r="F543" s="741"/>
      <c r="G543" s="741"/>
      <c r="H543" s="741"/>
      <c r="I543" s="741"/>
      <c r="J543" s="741"/>
      <c r="K543" s="741"/>
      <c r="L543" s="741"/>
      <c r="M543" s="741"/>
      <c r="N543" s="741"/>
      <c r="O543" s="741"/>
      <c r="P543" s="741"/>
      <c r="Q543" s="741"/>
      <c r="R543" s="741"/>
      <c r="S543" s="741"/>
      <c r="T543" s="741"/>
      <c r="U543" s="741"/>
      <c r="V543" s="741"/>
      <c r="W543" s="741"/>
      <c r="X543" s="741"/>
      <c r="Y543" s="741"/>
      <c r="Z543" s="741"/>
      <c r="AA543" s="741"/>
      <c r="AB543" s="741"/>
      <c r="AC543" s="741"/>
      <c r="AD543" s="741"/>
      <c r="AE543" s="741"/>
      <c r="AF543" s="741"/>
      <c r="AG543" s="741"/>
      <c r="AH543" s="741"/>
      <c r="AI543" s="741"/>
      <c r="AJ543" s="741"/>
      <c r="AK543" s="741"/>
      <c r="AL543" s="741"/>
      <c r="AM543" s="741"/>
    </row>
    <row r="544" spans="1:39" ht="12.75" customHeight="1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1"/>
      <c r="P544" s="741"/>
      <c r="Q544" s="741"/>
      <c r="R544" s="741"/>
      <c r="S544" s="741"/>
      <c r="T544" s="741"/>
      <c r="U544" s="741"/>
      <c r="V544" s="741"/>
      <c r="W544" s="741"/>
      <c r="X544" s="741"/>
      <c r="Y544" s="741"/>
      <c r="Z544" s="741"/>
      <c r="AA544" s="741"/>
      <c r="AB544" s="741"/>
      <c r="AC544" s="741"/>
      <c r="AD544" s="741"/>
      <c r="AE544" s="741"/>
      <c r="AF544" s="741"/>
      <c r="AG544" s="741"/>
      <c r="AH544" s="741"/>
      <c r="AI544" s="741"/>
      <c r="AJ544" s="741"/>
      <c r="AK544" s="741"/>
      <c r="AL544" s="741"/>
      <c r="AM544" s="741"/>
    </row>
    <row r="545" spans="1:39" ht="12.75" customHeight="1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1"/>
      <c r="P545" s="741"/>
      <c r="Q545" s="741"/>
      <c r="R545" s="741"/>
      <c r="S545" s="741"/>
      <c r="T545" s="741"/>
      <c r="U545" s="741"/>
      <c r="V545" s="741"/>
      <c r="W545" s="741"/>
      <c r="X545" s="741"/>
      <c r="Y545" s="741"/>
      <c r="Z545" s="741"/>
      <c r="AA545" s="741"/>
      <c r="AB545" s="741"/>
      <c r="AC545" s="741"/>
      <c r="AD545" s="741"/>
      <c r="AE545" s="741"/>
      <c r="AF545" s="741"/>
      <c r="AG545" s="741"/>
      <c r="AH545" s="741"/>
      <c r="AI545" s="741"/>
      <c r="AJ545" s="741"/>
      <c r="AK545" s="741"/>
      <c r="AL545" s="741"/>
      <c r="AM545" s="741"/>
    </row>
    <row r="546" spans="1:39" ht="12.75" customHeight="1">
      <c r="A546" s="741"/>
      <c r="B546" s="741"/>
      <c r="C546" s="741"/>
      <c r="D546" s="741"/>
      <c r="E546" s="741"/>
      <c r="F546" s="741"/>
      <c r="G546" s="741"/>
      <c r="H546" s="741"/>
      <c r="I546" s="741"/>
      <c r="J546" s="741"/>
      <c r="K546" s="741"/>
      <c r="L546" s="741"/>
      <c r="M546" s="741"/>
      <c r="N546" s="741"/>
      <c r="O546" s="741"/>
      <c r="P546" s="741"/>
      <c r="Q546" s="741"/>
      <c r="R546" s="741"/>
      <c r="S546" s="741"/>
      <c r="T546" s="741"/>
      <c r="U546" s="741"/>
      <c r="V546" s="741"/>
      <c r="W546" s="741"/>
      <c r="X546" s="741"/>
      <c r="Y546" s="741"/>
      <c r="Z546" s="741"/>
      <c r="AA546" s="741"/>
      <c r="AB546" s="741"/>
      <c r="AC546" s="741"/>
      <c r="AD546" s="741"/>
      <c r="AE546" s="741"/>
      <c r="AF546" s="741"/>
      <c r="AG546" s="741"/>
      <c r="AH546" s="741"/>
      <c r="AI546" s="741"/>
      <c r="AJ546" s="741"/>
      <c r="AK546" s="741"/>
      <c r="AL546" s="741"/>
      <c r="AM546" s="741"/>
    </row>
    <row r="547" spans="1:39" ht="12.75" customHeight="1">
      <c r="A547" s="741"/>
      <c r="B547" s="741"/>
      <c r="C547" s="741"/>
      <c r="D547" s="741"/>
      <c r="E547" s="741"/>
      <c r="F547" s="741"/>
      <c r="G547" s="741"/>
      <c r="H547" s="741"/>
      <c r="I547" s="741"/>
      <c r="J547" s="741"/>
      <c r="K547" s="741"/>
      <c r="L547" s="741"/>
      <c r="M547" s="741"/>
      <c r="N547" s="741"/>
      <c r="O547" s="741"/>
      <c r="P547" s="741"/>
      <c r="Q547" s="741"/>
      <c r="R547" s="741"/>
      <c r="S547" s="741"/>
      <c r="T547" s="741"/>
      <c r="U547" s="741"/>
      <c r="V547" s="741"/>
      <c r="W547" s="741"/>
      <c r="X547" s="741"/>
      <c r="Y547" s="741"/>
      <c r="Z547" s="741"/>
      <c r="AA547" s="741"/>
      <c r="AB547" s="741"/>
      <c r="AC547" s="741"/>
      <c r="AD547" s="741"/>
      <c r="AE547" s="741"/>
      <c r="AF547" s="741"/>
      <c r="AG547" s="741"/>
      <c r="AH547" s="741"/>
      <c r="AI547" s="741"/>
      <c r="AJ547" s="741"/>
      <c r="AK547" s="741"/>
      <c r="AL547" s="741"/>
      <c r="AM547" s="741"/>
    </row>
    <row r="548" spans="1:39" ht="12.75" customHeight="1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1"/>
      <c r="P548" s="741"/>
      <c r="Q548" s="741"/>
      <c r="R548" s="741"/>
      <c r="S548" s="741"/>
      <c r="T548" s="741"/>
      <c r="U548" s="741"/>
      <c r="V548" s="741"/>
      <c r="W548" s="741"/>
      <c r="X548" s="741"/>
      <c r="Y548" s="741"/>
      <c r="Z548" s="741"/>
      <c r="AA548" s="741"/>
      <c r="AB548" s="741"/>
      <c r="AC548" s="741"/>
      <c r="AD548" s="741"/>
      <c r="AE548" s="741"/>
      <c r="AF548" s="741"/>
      <c r="AG548" s="741"/>
      <c r="AH548" s="741"/>
      <c r="AI548" s="741"/>
      <c r="AJ548" s="741"/>
      <c r="AK548" s="741"/>
      <c r="AL548" s="741"/>
      <c r="AM548" s="741"/>
    </row>
    <row r="549" spans="1:39" ht="12.75" customHeight="1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1"/>
      <c r="P549" s="741"/>
      <c r="Q549" s="741"/>
      <c r="R549" s="741"/>
      <c r="S549" s="741"/>
      <c r="T549" s="741"/>
      <c r="U549" s="741"/>
      <c r="V549" s="741"/>
      <c r="W549" s="741"/>
      <c r="X549" s="741"/>
      <c r="Y549" s="741"/>
      <c r="Z549" s="741"/>
      <c r="AA549" s="741"/>
      <c r="AB549" s="741"/>
      <c r="AC549" s="741"/>
      <c r="AD549" s="741"/>
      <c r="AE549" s="741"/>
      <c r="AF549" s="741"/>
      <c r="AG549" s="741"/>
      <c r="AH549" s="741"/>
      <c r="AI549" s="741"/>
      <c r="AJ549" s="741"/>
      <c r="AK549" s="741"/>
      <c r="AL549" s="741"/>
      <c r="AM549" s="741"/>
    </row>
    <row r="550" spans="1:39" ht="12.75" customHeight="1">
      <c r="A550" s="741"/>
      <c r="B550" s="741"/>
      <c r="C550" s="741"/>
      <c r="D550" s="741"/>
      <c r="E550" s="741"/>
      <c r="F550" s="741"/>
      <c r="G550" s="741"/>
      <c r="H550" s="741"/>
      <c r="I550" s="741"/>
      <c r="J550" s="741"/>
      <c r="K550" s="741"/>
      <c r="L550" s="741"/>
      <c r="M550" s="741"/>
      <c r="N550" s="741"/>
      <c r="O550" s="741"/>
      <c r="P550" s="741"/>
      <c r="Q550" s="741"/>
      <c r="R550" s="741"/>
      <c r="S550" s="741"/>
      <c r="T550" s="741"/>
      <c r="U550" s="741"/>
      <c r="V550" s="741"/>
      <c r="W550" s="741"/>
      <c r="X550" s="741"/>
      <c r="Y550" s="741"/>
      <c r="Z550" s="741"/>
      <c r="AA550" s="741"/>
      <c r="AB550" s="741"/>
      <c r="AC550" s="741"/>
      <c r="AD550" s="741"/>
      <c r="AE550" s="741"/>
      <c r="AF550" s="741"/>
      <c r="AG550" s="741"/>
      <c r="AH550" s="741"/>
      <c r="AI550" s="741"/>
      <c r="AJ550" s="741"/>
      <c r="AK550" s="741"/>
      <c r="AL550" s="741"/>
      <c r="AM550" s="741"/>
    </row>
    <row r="551" spans="1:39" ht="12.75" customHeight="1">
      <c r="A551" s="741"/>
      <c r="B551" s="741"/>
      <c r="C551" s="741"/>
      <c r="D551" s="741"/>
      <c r="E551" s="741"/>
      <c r="F551" s="741"/>
      <c r="G551" s="741"/>
      <c r="H551" s="741"/>
      <c r="I551" s="741"/>
      <c r="J551" s="741"/>
      <c r="K551" s="741"/>
      <c r="L551" s="741"/>
      <c r="M551" s="741"/>
      <c r="N551" s="741"/>
      <c r="O551" s="741"/>
      <c r="P551" s="741"/>
      <c r="Q551" s="741"/>
      <c r="R551" s="741"/>
      <c r="S551" s="741"/>
      <c r="T551" s="741"/>
      <c r="U551" s="741"/>
      <c r="V551" s="741"/>
      <c r="W551" s="741"/>
      <c r="X551" s="741"/>
      <c r="Y551" s="741"/>
      <c r="Z551" s="741"/>
      <c r="AA551" s="741"/>
      <c r="AB551" s="741"/>
      <c r="AC551" s="741"/>
      <c r="AD551" s="741"/>
      <c r="AE551" s="741"/>
      <c r="AF551" s="741"/>
      <c r="AG551" s="741"/>
      <c r="AH551" s="741"/>
      <c r="AI551" s="741"/>
      <c r="AJ551" s="741"/>
      <c r="AK551" s="741"/>
      <c r="AL551" s="741"/>
      <c r="AM551" s="741"/>
    </row>
    <row r="552" spans="1:39" ht="12.75" customHeight="1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1"/>
      <c r="P552" s="741"/>
      <c r="Q552" s="741"/>
      <c r="R552" s="741"/>
      <c r="S552" s="741"/>
      <c r="T552" s="741"/>
      <c r="U552" s="741"/>
      <c r="V552" s="741"/>
      <c r="W552" s="741"/>
      <c r="X552" s="741"/>
      <c r="Y552" s="741"/>
      <c r="Z552" s="741"/>
      <c r="AA552" s="741"/>
      <c r="AB552" s="741"/>
      <c r="AC552" s="741"/>
      <c r="AD552" s="741"/>
      <c r="AE552" s="741"/>
      <c r="AF552" s="741"/>
      <c r="AG552" s="741"/>
      <c r="AH552" s="741"/>
      <c r="AI552" s="741"/>
      <c r="AJ552" s="741"/>
      <c r="AK552" s="741"/>
      <c r="AL552" s="741"/>
      <c r="AM552" s="741"/>
    </row>
    <row r="553" spans="1:39" ht="12.75" customHeight="1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1"/>
      <c r="P553" s="741"/>
      <c r="Q553" s="741"/>
      <c r="R553" s="741"/>
      <c r="S553" s="741"/>
      <c r="T553" s="741"/>
      <c r="U553" s="741"/>
      <c r="V553" s="741"/>
      <c r="W553" s="741"/>
      <c r="X553" s="741"/>
      <c r="Y553" s="741"/>
      <c r="Z553" s="741"/>
      <c r="AA553" s="741"/>
      <c r="AB553" s="741"/>
      <c r="AC553" s="741"/>
      <c r="AD553" s="741"/>
      <c r="AE553" s="741"/>
      <c r="AF553" s="741"/>
      <c r="AG553" s="741"/>
      <c r="AH553" s="741"/>
      <c r="AI553" s="741"/>
      <c r="AJ553" s="741"/>
      <c r="AK553" s="741"/>
      <c r="AL553" s="741"/>
      <c r="AM553" s="741"/>
    </row>
    <row r="554" spans="1:39" ht="12.75" customHeight="1">
      <c r="A554" s="741"/>
      <c r="B554" s="741"/>
      <c r="C554" s="741"/>
      <c r="D554" s="741"/>
      <c r="E554" s="741"/>
      <c r="F554" s="741"/>
      <c r="G554" s="741"/>
      <c r="H554" s="741"/>
      <c r="I554" s="741"/>
      <c r="J554" s="741"/>
      <c r="K554" s="741"/>
      <c r="L554" s="741"/>
      <c r="M554" s="741"/>
      <c r="N554" s="741"/>
      <c r="O554" s="741"/>
      <c r="P554" s="741"/>
      <c r="Q554" s="741"/>
      <c r="R554" s="741"/>
      <c r="S554" s="741"/>
      <c r="T554" s="741"/>
      <c r="U554" s="741"/>
      <c r="V554" s="741"/>
      <c r="W554" s="741"/>
      <c r="X554" s="741"/>
      <c r="Y554" s="741"/>
      <c r="Z554" s="741"/>
      <c r="AA554" s="741"/>
      <c r="AB554" s="741"/>
      <c r="AC554" s="741"/>
      <c r="AD554" s="741"/>
      <c r="AE554" s="741"/>
      <c r="AF554" s="741"/>
      <c r="AG554" s="741"/>
      <c r="AH554" s="741"/>
      <c r="AI554" s="741"/>
      <c r="AJ554" s="741"/>
      <c r="AK554" s="741"/>
      <c r="AL554" s="741"/>
      <c r="AM554" s="741"/>
    </row>
    <row r="555" spans="1:39" ht="12.75" customHeight="1">
      <c r="A555" s="741"/>
      <c r="B555" s="741"/>
      <c r="C555" s="741"/>
      <c r="D555" s="741"/>
      <c r="E555" s="741"/>
      <c r="F555" s="741"/>
      <c r="G555" s="741"/>
      <c r="H555" s="741"/>
      <c r="I555" s="741"/>
      <c r="J555" s="741"/>
      <c r="K555" s="741"/>
      <c r="L555" s="741"/>
      <c r="M555" s="741"/>
      <c r="N555" s="741"/>
      <c r="O555" s="741"/>
      <c r="P555" s="741"/>
      <c r="Q555" s="741"/>
      <c r="R555" s="741"/>
      <c r="S555" s="741"/>
      <c r="T555" s="741"/>
      <c r="U555" s="741"/>
      <c r="V555" s="741"/>
      <c r="W555" s="741"/>
      <c r="X555" s="741"/>
      <c r="Y555" s="741"/>
      <c r="Z555" s="741"/>
      <c r="AA555" s="741"/>
      <c r="AB555" s="741"/>
      <c r="AC555" s="741"/>
      <c r="AD555" s="741"/>
      <c r="AE555" s="741"/>
      <c r="AF555" s="741"/>
      <c r="AG555" s="741"/>
      <c r="AH555" s="741"/>
      <c r="AI555" s="741"/>
      <c r="AJ555" s="741"/>
      <c r="AK555" s="741"/>
      <c r="AL555" s="741"/>
      <c r="AM555" s="741"/>
    </row>
    <row r="556" spans="1:39" ht="12.75" customHeight="1">
      <c r="A556" s="741"/>
      <c r="B556" s="741"/>
      <c r="C556" s="741"/>
      <c r="D556" s="741"/>
      <c r="E556" s="741"/>
      <c r="F556" s="741"/>
      <c r="G556" s="741"/>
      <c r="H556" s="741"/>
      <c r="I556" s="741"/>
      <c r="J556" s="741"/>
      <c r="K556" s="741"/>
      <c r="L556" s="741"/>
      <c r="M556" s="741"/>
      <c r="N556" s="741"/>
      <c r="O556" s="741"/>
      <c r="P556" s="741"/>
      <c r="Q556" s="741"/>
      <c r="R556" s="741"/>
      <c r="S556" s="741"/>
      <c r="T556" s="741"/>
      <c r="U556" s="741"/>
      <c r="V556" s="741"/>
      <c r="W556" s="741"/>
      <c r="X556" s="741"/>
      <c r="Y556" s="741"/>
      <c r="Z556" s="741"/>
      <c r="AA556" s="741"/>
      <c r="AB556" s="741"/>
      <c r="AC556" s="741"/>
      <c r="AD556" s="741"/>
      <c r="AE556" s="741"/>
      <c r="AF556" s="741"/>
      <c r="AG556" s="741"/>
      <c r="AH556" s="741"/>
      <c r="AI556" s="741"/>
      <c r="AJ556" s="741"/>
      <c r="AK556" s="741"/>
      <c r="AL556" s="741"/>
      <c r="AM556" s="741"/>
    </row>
    <row r="557" spans="1:39" ht="12.75" customHeight="1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1"/>
      <c r="P557" s="741"/>
      <c r="Q557" s="741"/>
      <c r="R557" s="741"/>
      <c r="S557" s="741"/>
      <c r="T557" s="741"/>
      <c r="U557" s="741"/>
      <c r="V557" s="741"/>
      <c r="W557" s="741"/>
      <c r="X557" s="741"/>
      <c r="Y557" s="741"/>
      <c r="Z557" s="741"/>
      <c r="AA557" s="741"/>
      <c r="AB557" s="741"/>
      <c r="AC557" s="741"/>
      <c r="AD557" s="741"/>
      <c r="AE557" s="741"/>
      <c r="AF557" s="741"/>
      <c r="AG557" s="741"/>
      <c r="AH557" s="741"/>
      <c r="AI557" s="741"/>
      <c r="AJ557" s="741"/>
      <c r="AK557" s="741"/>
      <c r="AL557" s="741"/>
      <c r="AM557" s="741"/>
    </row>
    <row r="558" spans="1:39" ht="12.75" customHeight="1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1"/>
      <c r="P558" s="741"/>
      <c r="Q558" s="741"/>
      <c r="R558" s="741"/>
      <c r="S558" s="741"/>
      <c r="T558" s="741"/>
      <c r="U558" s="741"/>
      <c r="V558" s="741"/>
      <c r="W558" s="741"/>
      <c r="X558" s="741"/>
      <c r="Y558" s="741"/>
      <c r="Z558" s="741"/>
      <c r="AA558" s="741"/>
      <c r="AB558" s="741"/>
      <c r="AC558" s="741"/>
      <c r="AD558" s="741"/>
      <c r="AE558" s="741"/>
      <c r="AF558" s="741"/>
      <c r="AG558" s="741"/>
      <c r="AH558" s="741"/>
      <c r="AI558" s="741"/>
      <c r="AJ558" s="741"/>
      <c r="AK558" s="741"/>
      <c r="AL558" s="741"/>
      <c r="AM558" s="741"/>
    </row>
    <row r="559" spans="1:39" ht="12.75" customHeight="1">
      <c r="A559" s="741"/>
      <c r="B559" s="741"/>
      <c r="C559" s="741"/>
      <c r="D559" s="741"/>
      <c r="E559" s="741"/>
      <c r="F559" s="741"/>
      <c r="G559" s="741"/>
      <c r="H559" s="741"/>
      <c r="I559" s="741"/>
      <c r="J559" s="741"/>
      <c r="K559" s="741"/>
      <c r="L559" s="741"/>
      <c r="M559" s="741"/>
      <c r="N559" s="741"/>
      <c r="O559" s="741"/>
      <c r="P559" s="741"/>
      <c r="Q559" s="741"/>
      <c r="R559" s="741"/>
      <c r="S559" s="741"/>
      <c r="T559" s="741"/>
      <c r="U559" s="741"/>
      <c r="V559" s="741"/>
      <c r="W559" s="741"/>
      <c r="X559" s="741"/>
      <c r="Y559" s="741"/>
      <c r="Z559" s="741"/>
      <c r="AA559" s="741"/>
      <c r="AB559" s="741"/>
      <c r="AC559" s="741"/>
      <c r="AD559" s="741"/>
      <c r="AE559" s="741"/>
      <c r="AF559" s="741"/>
      <c r="AG559" s="741"/>
      <c r="AH559" s="741"/>
      <c r="AI559" s="741"/>
      <c r="AJ559" s="741"/>
      <c r="AK559" s="741"/>
      <c r="AL559" s="741"/>
      <c r="AM559" s="741"/>
    </row>
    <row r="560" spans="1:39" ht="12.75" customHeight="1">
      <c r="A560" s="741"/>
      <c r="B560" s="741"/>
      <c r="C560" s="741"/>
      <c r="D560" s="741"/>
      <c r="E560" s="741"/>
      <c r="F560" s="741"/>
      <c r="G560" s="741"/>
      <c r="H560" s="741"/>
      <c r="I560" s="741"/>
      <c r="J560" s="741"/>
      <c r="K560" s="741"/>
      <c r="L560" s="741"/>
      <c r="M560" s="741"/>
      <c r="N560" s="741"/>
      <c r="O560" s="741"/>
      <c r="P560" s="741"/>
      <c r="Q560" s="741"/>
      <c r="R560" s="741"/>
      <c r="S560" s="741"/>
      <c r="T560" s="741"/>
      <c r="U560" s="741"/>
      <c r="V560" s="741"/>
      <c r="W560" s="741"/>
      <c r="X560" s="741"/>
      <c r="Y560" s="741"/>
      <c r="Z560" s="741"/>
      <c r="AA560" s="741"/>
      <c r="AB560" s="741"/>
      <c r="AC560" s="741"/>
      <c r="AD560" s="741"/>
      <c r="AE560" s="741"/>
      <c r="AF560" s="741"/>
      <c r="AG560" s="741"/>
      <c r="AH560" s="741"/>
      <c r="AI560" s="741"/>
      <c r="AJ560" s="741"/>
      <c r="AK560" s="741"/>
      <c r="AL560" s="741"/>
      <c r="AM560" s="741"/>
    </row>
    <row r="561" spans="1:39" ht="12.75" customHeight="1">
      <c r="A561" s="741"/>
      <c r="B561" s="741"/>
      <c r="C561" s="741"/>
      <c r="D561" s="741"/>
      <c r="E561" s="741"/>
      <c r="F561" s="741"/>
      <c r="G561" s="741"/>
      <c r="H561" s="741"/>
      <c r="I561" s="741"/>
      <c r="J561" s="741"/>
      <c r="K561" s="741"/>
      <c r="L561" s="741"/>
      <c r="M561" s="741"/>
      <c r="N561" s="741"/>
      <c r="O561" s="741"/>
      <c r="P561" s="741"/>
      <c r="Q561" s="741"/>
      <c r="R561" s="741"/>
      <c r="S561" s="741"/>
      <c r="T561" s="741"/>
      <c r="U561" s="741"/>
      <c r="V561" s="741"/>
      <c r="W561" s="741"/>
      <c r="X561" s="741"/>
      <c r="Y561" s="741"/>
      <c r="Z561" s="741"/>
      <c r="AA561" s="741"/>
      <c r="AB561" s="741"/>
      <c r="AC561" s="741"/>
      <c r="AD561" s="741"/>
      <c r="AE561" s="741"/>
      <c r="AF561" s="741"/>
      <c r="AG561" s="741"/>
      <c r="AH561" s="741"/>
      <c r="AI561" s="741"/>
      <c r="AJ561" s="741"/>
      <c r="AK561" s="741"/>
      <c r="AL561" s="741"/>
      <c r="AM561" s="741"/>
    </row>
    <row r="562" spans="1:39" ht="12.75" customHeight="1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1"/>
      <c r="P562" s="741"/>
      <c r="Q562" s="741"/>
      <c r="R562" s="741"/>
      <c r="S562" s="741"/>
      <c r="T562" s="741"/>
      <c r="U562" s="741"/>
      <c r="V562" s="741"/>
      <c r="W562" s="741"/>
      <c r="X562" s="741"/>
      <c r="Y562" s="741"/>
      <c r="Z562" s="741"/>
      <c r="AA562" s="741"/>
      <c r="AB562" s="741"/>
      <c r="AC562" s="741"/>
      <c r="AD562" s="741"/>
      <c r="AE562" s="741"/>
      <c r="AF562" s="741"/>
      <c r="AG562" s="741"/>
      <c r="AH562" s="741"/>
      <c r="AI562" s="741"/>
      <c r="AJ562" s="741"/>
      <c r="AK562" s="741"/>
      <c r="AL562" s="741"/>
      <c r="AM562" s="741"/>
    </row>
    <row r="563" spans="1:39" ht="12.75" customHeight="1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1"/>
      <c r="P563" s="741"/>
      <c r="Q563" s="741"/>
      <c r="R563" s="741"/>
      <c r="S563" s="741"/>
      <c r="T563" s="741"/>
      <c r="U563" s="741"/>
      <c r="V563" s="741"/>
      <c r="W563" s="741"/>
      <c r="X563" s="741"/>
      <c r="Y563" s="741"/>
      <c r="Z563" s="741"/>
      <c r="AA563" s="741"/>
      <c r="AB563" s="741"/>
      <c r="AC563" s="741"/>
      <c r="AD563" s="741"/>
      <c r="AE563" s="741"/>
      <c r="AF563" s="741"/>
      <c r="AG563" s="741"/>
      <c r="AH563" s="741"/>
      <c r="AI563" s="741"/>
      <c r="AJ563" s="741"/>
      <c r="AK563" s="741"/>
      <c r="AL563" s="741"/>
      <c r="AM563" s="741"/>
    </row>
    <row r="564" spans="1:39" ht="12.75" customHeight="1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741"/>
      <c r="P564" s="741"/>
      <c r="Q564" s="741"/>
      <c r="R564" s="741"/>
      <c r="S564" s="741"/>
      <c r="T564" s="741"/>
      <c r="U564" s="741"/>
      <c r="V564" s="741"/>
      <c r="W564" s="741"/>
      <c r="X564" s="741"/>
      <c r="Y564" s="741"/>
      <c r="Z564" s="741"/>
      <c r="AA564" s="741"/>
      <c r="AB564" s="741"/>
      <c r="AC564" s="741"/>
      <c r="AD564" s="741"/>
      <c r="AE564" s="741"/>
      <c r="AF564" s="741"/>
      <c r="AG564" s="741"/>
      <c r="AH564" s="741"/>
      <c r="AI564" s="741"/>
      <c r="AJ564" s="741"/>
      <c r="AK564" s="741"/>
      <c r="AL564" s="741"/>
      <c r="AM564" s="741"/>
    </row>
    <row r="565" spans="1:39" ht="12.75" customHeight="1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741"/>
      <c r="P565" s="741"/>
      <c r="Q565" s="741"/>
      <c r="R565" s="741"/>
      <c r="S565" s="741"/>
      <c r="T565" s="741"/>
      <c r="U565" s="741"/>
      <c r="V565" s="741"/>
      <c r="W565" s="741"/>
      <c r="X565" s="741"/>
      <c r="Y565" s="741"/>
      <c r="Z565" s="741"/>
      <c r="AA565" s="741"/>
      <c r="AB565" s="741"/>
      <c r="AC565" s="741"/>
      <c r="AD565" s="741"/>
      <c r="AE565" s="741"/>
      <c r="AF565" s="741"/>
      <c r="AG565" s="741"/>
      <c r="AH565" s="741"/>
      <c r="AI565" s="741"/>
      <c r="AJ565" s="741"/>
      <c r="AK565" s="741"/>
      <c r="AL565" s="741"/>
      <c r="AM565" s="741"/>
    </row>
    <row r="566" spans="1:39" ht="12.75" customHeight="1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741"/>
      <c r="P566" s="741"/>
      <c r="Q566" s="741"/>
      <c r="R566" s="741"/>
      <c r="S566" s="741"/>
      <c r="T566" s="741"/>
      <c r="U566" s="741"/>
      <c r="V566" s="741"/>
      <c r="W566" s="741"/>
      <c r="X566" s="741"/>
      <c r="Y566" s="741"/>
      <c r="Z566" s="741"/>
      <c r="AA566" s="741"/>
      <c r="AB566" s="741"/>
      <c r="AC566" s="741"/>
      <c r="AD566" s="741"/>
      <c r="AE566" s="741"/>
      <c r="AF566" s="741"/>
      <c r="AG566" s="741"/>
      <c r="AH566" s="741"/>
      <c r="AI566" s="741"/>
      <c r="AJ566" s="741"/>
      <c r="AK566" s="741"/>
      <c r="AL566" s="741"/>
      <c r="AM566" s="741"/>
    </row>
    <row r="567" spans="1:39" ht="12.75" customHeight="1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741"/>
      <c r="P567" s="741"/>
      <c r="Q567" s="741"/>
      <c r="R567" s="741"/>
      <c r="S567" s="741"/>
      <c r="T567" s="741"/>
      <c r="U567" s="741"/>
      <c r="V567" s="741"/>
      <c r="W567" s="741"/>
      <c r="X567" s="741"/>
      <c r="Y567" s="741"/>
      <c r="Z567" s="741"/>
      <c r="AA567" s="741"/>
      <c r="AB567" s="741"/>
      <c r="AC567" s="741"/>
      <c r="AD567" s="741"/>
      <c r="AE567" s="741"/>
      <c r="AF567" s="741"/>
      <c r="AG567" s="741"/>
      <c r="AH567" s="741"/>
      <c r="AI567" s="741"/>
      <c r="AJ567" s="741"/>
      <c r="AK567" s="741"/>
      <c r="AL567" s="741"/>
      <c r="AM567" s="741"/>
    </row>
    <row r="568" spans="1:39" ht="12.75" customHeight="1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741"/>
      <c r="P568" s="741"/>
      <c r="Q568" s="741"/>
      <c r="R568" s="741"/>
      <c r="S568" s="741"/>
      <c r="T568" s="741"/>
      <c r="U568" s="741"/>
      <c r="V568" s="741"/>
      <c r="W568" s="741"/>
      <c r="X568" s="741"/>
      <c r="Y568" s="741"/>
      <c r="Z568" s="741"/>
      <c r="AA568" s="741"/>
      <c r="AB568" s="741"/>
      <c r="AC568" s="741"/>
      <c r="AD568" s="741"/>
      <c r="AE568" s="741"/>
      <c r="AF568" s="741"/>
      <c r="AG568" s="741"/>
      <c r="AH568" s="741"/>
      <c r="AI568" s="741"/>
      <c r="AJ568" s="741"/>
      <c r="AK568" s="741"/>
      <c r="AL568" s="741"/>
      <c r="AM568" s="741"/>
    </row>
    <row r="569" spans="1:39" ht="12.75" customHeight="1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741"/>
      <c r="P569" s="741"/>
      <c r="Q569" s="741"/>
      <c r="R569" s="741"/>
      <c r="S569" s="741"/>
      <c r="T569" s="741"/>
      <c r="U569" s="741"/>
      <c r="V569" s="741"/>
      <c r="W569" s="741"/>
      <c r="X569" s="741"/>
      <c r="Y569" s="741"/>
      <c r="Z569" s="741"/>
      <c r="AA569" s="741"/>
      <c r="AB569" s="741"/>
      <c r="AC569" s="741"/>
      <c r="AD569" s="741"/>
      <c r="AE569" s="741"/>
      <c r="AF569" s="741"/>
      <c r="AG569" s="741"/>
      <c r="AH569" s="741"/>
      <c r="AI569" s="741"/>
      <c r="AJ569" s="741"/>
      <c r="AK569" s="741"/>
      <c r="AL569" s="741"/>
      <c r="AM569" s="741"/>
    </row>
    <row r="570" spans="1:39" ht="12.75" customHeight="1">
      <c r="A570" s="741"/>
      <c r="B570" s="741"/>
      <c r="C570" s="741"/>
      <c r="D570" s="741"/>
      <c r="E570" s="741"/>
      <c r="F570" s="741"/>
      <c r="G570" s="741"/>
      <c r="H570" s="741"/>
      <c r="I570" s="741"/>
      <c r="J570" s="741"/>
      <c r="K570" s="741"/>
      <c r="L570" s="741"/>
      <c r="M570" s="741"/>
      <c r="N570" s="741"/>
      <c r="O570" s="741"/>
      <c r="P570" s="741"/>
      <c r="Q570" s="741"/>
      <c r="R570" s="741"/>
      <c r="S570" s="741"/>
      <c r="T570" s="741"/>
      <c r="U570" s="741"/>
      <c r="V570" s="741"/>
      <c r="W570" s="741"/>
      <c r="X570" s="741"/>
      <c r="Y570" s="741"/>
      <c r="Z570" s="741"/>
      <c r="AA570" s="741"/>
      <c r="AB570" s="741"/>
      <c r="AC570" s="741"/>
      <c r="AD570" s="741"/>
      <c r="AE570" s="741"/>
      <c r="AF570" s="741"/>
      <c r="AG570" s="741"/>
      <c r="AH570" s="741"/>
      <c r="AI570" s="741"/>
      <c r="AJ570" s="741"/>
      <c r="AK570" s="741"/>
      <c r="AL570" s="741"/>
      <c r="AM570" s="741"/>
    </row>
    <row r="571" spans="1:39" ht="12.75" customHeight="1">
      <c r="A571" s="741"/>
      <c r="B571" s="741"/>
      <c r="C571" s="741"/>
      <c r="D571" s="741"/>
      <c r="E571" s="741"/>
      <c r="F571" s="741"/>
      <c r="G571" s="741"/>
      <c r="H571" s="741"/>
      <c r="I571" s="741"/>
      <c r="J571" s="741"/>
      <c r="K571" s="741"/>
      <c r="L571" s="741"/>
      <c r="M571" s="741"/>
      <c r="N571" s="741"/>
      <c r="O571" s="741"/>
      <c r="P571" s="741"/>
      <c r="Q571" s="741"/>
      <c r="R571" s="741"/>
      <c r="S571" s="741"/>
      <c r="T571" s="741"/>
      <c r="U571" s="741"/>
      <c r="V571" s="741"/>
      <c r="W571" s="741"/>
      <c r="X571" s="741"/>
      <c r="Y571" s="741"/>
      <c r="Z571" s="741"/>
      <c r="AA571" s="741"/>
      <c r="AB571" s="741"/>
      <c r="AC571" s="741"/>
      <c r="AD571" s="741"/>
      <c r="AE571" s="741"/>
      <c r="AF571" s="741"/>
      <c r="AG571" s="741"/>
      <c r="AH571" s="741"/>
      <c r="AI571" s="741"/>
      <c r="AJ571" s="741"/>
      <c r="AK571" s="741"/>
      <c r="AL571" s="741"/>
      <c r="AM571" s="741"/>
    </row>
    <row r="572" spans="1:39" ht="12.75" customHeight="1">
      <c r="A572" s="741"/>
      <c r="B572" s="741"/>
      <c r="C572" s="741"/>
      <c r="D572" s="741"/>
      <c r="E572" s="741"/>
      <c r="F572" s="741"/>
      <c r="G572" s="741"/>
      <c r="H572" s="741"/>
      <c r="I572" s="741"/>
      <c r="J572" s="741"/>
      <c r="K572" s="741"/>
      <c r="L572" s="741"/>
      <c r="M572" s="741"/>
      <c r="N572" s="741"/>
      <c r="O572" s="741"/>
      <c r="P572" s="741"/>
      <c r="Q572" s="741"/>
      <c r="R572" s="741"/>
      <c r="S572" s="741"/>
      <c r="T572" s="741"/>
      <c r="U572" s="741"/>
      <c r="V572" s="741"/>
      <c r="W572" s="741"/>
      <c r="X572" s="741"/>
      <c r="Y572" s="741"/>
      <c r="Z572" s="741"/>
      <c r="AA572" s="741"/>
      <c r="AB572" s="741"/>
      <c r="AC572" s="741"/>
      <c r="AD572" s="741"/>
      <c r="AE572" s="741"/>
      <c r="AF572" s="741"/>
      <c r="AG572" s="741"/>
      <c r="AH572" s="741"/>
      <c r="AI572" s="741"/>
      <c r="AJ572" s="741"/>
      <c r="AK572" s="741"/>
      <c r="AL572" s="741"/>
      <c r="AM572" s="741"/>
    </row>
    <row r="573" spans="1:39" ht="12.75" customHeight="1">
      <c r="A573" s="741"/>
      <c r="B573" s="741"/>
      <c r="C573" s="741"/>
      <c r="D573" s="741"/>
      <c r="E573" s="741"/>
      <c r="F573" s="741"/>
      <c r="G573" s="741"/>
      <c r="H573" s="741"/>
      <c r="I573" s="741"/>
      <c r="J573" s="741"/>
      <c r="K573" s="741"/>
      <c r="L573" s="741"/>
      <c r="M573" s="741"/>
      <c r="N573" s="741"/>
      <c r="O573" s="741"/>
      <c r="P573" s="741"/>
      <c r="Q573" s="741"/>
      <c r="R573" s="741"/>
      <c r="S573" s="741"/>
      <c r="T573" s="741"/>
      <c r="U573" s="741"/>
      <c r="V573" s="741"/>
      <c r="W573" s="741"/>
      <c r="X573" s="741"/>
      <c r="Y573" s="741"/>
      <c r="Z573" s="741"/>
      <c r="AA573" s="741"/>
      <c r="AB573" s="741"/>
      <c r="AC573" s="741"/>
      <c r="AD573" s="741"/>
      <c r="AE573" s="741"/>
      <c r="AF573" s="741"/>
      <c r="AG573" s="741"/>
      <c r="AH573" s="741"/>
      <c r="AI573" s="741"/>
      <c r="AJ573" s="741"/>
      <c r="AK573" s="741"/>
      <c r="AL573" s="741"/>
      <c r="AM573" s="741"/>
    </row>
    <row r="574" spans="1:39" ht="12.75" customHeight="1">
      <c r="A574" s="741"/>
      <c r="B574" s="741"/>
      <c r="C574" s="741"/>
      <c r="D574" s="741"/>
      <c r="E574" s="741"/>
      <c r="F574" s="741"/>
      <c r="G574" s="741"/>
      <c r="H574" s="741"/>
      <c r="I574" s="741"/>
      <c r="J574" s="741"/>
      <c r="K574" s="741"/>
      <c r="L574" s="741"/>
      <c r="M574" s="741"/>
      <c r="N574" s="741"/>
      <c r="O574" s="741"/>
      <c r="P574" s="741"/>
      <c r="Q574" s="741"/>
      <c r="R574" s="741"/>
      <c r="S574" s="741"/>
      <c r="T574" s="741"/>
      <c r="U574" s="741"/>
      <c r="V574" s="741"/>
      <c r="W574" s="741"/>
      <c r="X574" s="741"/>
      <c r="Y574" s="741"/>
      <c r="Z574" s="741"/>
      <c r="AA574" s="741"/>
      <c r="AB574" s="741"/>
      <c r="AC574" s="741"/>
      <c r="AD574" s="741"/>
      <c r="AE574" s="741"/>
      <c r="AF574" s="741"/>
      <c r="AG574" s="741"/>
      <c r="AH574" s="741"/>
      <c r="AI574" s="741"/>
      <c r="AJ574" s="741"/>
      <c r="AK574" s="741"/>
      <c r="AL574" s="741"/>
      <c r="AM574" s="741"/>
    </row>
    <row r="575" spans="1:39" ht="12.75" customHeight="1">
      <c r="A575" s="741"/>
      <c r="B575" s="741"/>
      <c r="C575" s="741"/>
      <c r="D575" s="741"/>
      <c r="E575" s="741"/>
      <c r="F575" s="741"/>
      <c r="G575" s="741"/>
      <c r="H575" s="741"/>
      <c r="I575" s="741"/>
      <c r="J575" s="741"/>
      <c r="K575" s="741"/>
      <c r="L575" s="741"/>
      <c r="M575" s="741"/>
      <c r="N575" s="741"/>
      <c r="O575" s="741"/>
      <c r="P575" s="741"/>
      <c r="Q575" s="741"/>
      <c r="R575" s="741"/>
      <c r="S575" s="741"/>
      <c r="T575" s="741"/>
      <c r="U575" s="741"/>
      <c r="V575" s="741"/>
      <c r="W575" s="741"/>
      <c r="X575" s="741"/>
      <c r="Y575" s="741"/>
      <c r="Z575" s="741"/>
      <c r="AA575" s="741"/>
      <c r="AB575" s="741"/>
      <c r="AC575" s="741"/>
      <c r="AD575" s="741"/>
      <c r="AE575" s="741"/>
      <c r="AF575" s="741"/>
      <c r="AG575" s="741"/>
      <c r="AH575" s="741"/>
      <c r="AI575" s="741"/>
      <c r="AJ575" s="741"/>
      <c r="AK575" s="741"/>
      <c r="AL575" s="741"/>
      <c r="AM575" s="741"/>
    </row>
    <row r="576" spans="1:39" ht="12.75" customHeight="1">
      <c r="A576" s="741"/>
      <c r="B576" s="741"/>
      <c r="C576" s="741"/>
      <c r="D576" s="741"/>
      <c r="E576" s="741"/>
      <c r="F576" s="741"/>
      <c r="G576" s="741"/>
      <c r="H576" s="741"/>
      <c r="I576" s="741"/>
      <c r="J576" s="741"/>
      <c r="K576" s="741"/>
      <c r="L576" s="741"/>
      <c r="M576" s="741"/>
      <c r="N576" s="741"/>
      <c r="O576" s="741"/>
      <c r="P576" s="741"/>
      <c r="Q576" s="741"/>
      <c r="R576" s="741"/>
      <c r="S576" s="741"/>
      <c r="T576" s="741"/>
      <c r="U576" s="741"/>
      <c r="V576" s="741"/>
      <c r="W576" s="741"/>
      <c r="X576" s="741"/>
      <c r="Y576" s="741"/>
      <c r="Z576" s="741"/>
      <c r="AA576" s="741"/>
      <c r="AB576" s="741"/>
      <c r="AC576" s="741"/>
      <c r="AD576" s="741"/>
      <c r="AE576" s="741"/>
      <c r="AF576" s="741"/>
      <c r="AG576" s="741"/>
      <c r="AH576" s="741"/>
      <c r="AI576" s="741"/>
      <c r="AJ576" s="741"/>
      <c r="AK576" s="741"/>
      <c r="AL576" s="741"/>
      <c r="AM576" s="741"/>
    </row>
    <row r="577" spans="1:39" ht="12.75" customHeight="1">
      <c r="A577" s="741"/>
      <c r="B577" s="741"/>
      <c r="C577" s="741"/>
      <c r="D577" s="741"/>
      <c r="E577" s="741"/>
      <c r="F577" s="741"/>
      <c r="G577" s="741"/>
      <c r="H577" s="741"/>
      <c r="I577" s="741"/>
      <c r="J577" s="741"/>
      <c r="K577" s="741"/>
      <c r="L577" s="741"/>
      <c r="M577" s="741"/>
      <c r="N577" s="741"/>
      <c r="O577" s="741"/>
      <c r="P577" s="741"/>
      <c r="Q577" s="741"/>
      <c r="R577" s="741"/>
      <c r="S577" s="741"/>
      <c r="T577" s="741"/>
      <c r="U577" s="741"/>
      <c r="V577" s="741"/>
      <c r="W577" s="741"/>
      <c r="X577" s="741"/>
      <c r="Y577" s="741"/>
      <c r="Z577" s="741"/>
      <c r="AA577" s="741"/>
      <c r="AB577" s="741"/>
      <c r="AC577" s="741"/>
      <c r="AD577" s="741"/>
      <c r="AE577" s="741"/>
      <c r="AF577" s="741"/>
      <c r="AG577" s="741"/>
      <c r="AH577" s="741"/>
      <c r="AI577" s="741"/>
      <c r="AJ577" s="741"/>
      <c r="AK577" s="741"/>
      <c r="AL577" s="741"/>
      <c r="AM577" s="741"/>
    </row>
    <row r="578" spans="1:39" ht="12.75" customHeight="1">
      <c r="A578" s="741"/>
      <c r="B578" s="741"/>
      <c r="C578" s="741"/>
      <c r="D578" s="741"/>
      <c r="E578" s="741"/>
      <c r="F578" s="741"/>
      <c r="G578" s="741"/>
      <c r="H578" s="741"/>
      <c r="I578" s="741"/>
      <c r="J578" s="741"/>
      <c r="K578" s="741"/>
      <c r="L578" s="741"/>
      <c r="M578" s="741"/>
      <c r="N578" s="741"/>
      <c r="O578" s="741"/>
      <c r="P578" s="741"/>
      <c r="Q578" s="741"/>
      <c r="R578" s="741"/>
      <c r="S578" s="741"/>
      <c r="T578" s="741"/>
      <c r="U578" s="741"/>
      <c r="V578" s="741"/>
      <c r="W578" s="741"/>
      <c r="X578" s="741"/>
      <c r="Y578" s="741"/>
      <c r="Z578" s="741"/>
      <c r="AA578" s="741"/>
      <c r="AB578" s="741"/>
      <c r="AC578" s="741"/>
      <c r="AD578" s="741"/>
      <c r="AE578" s="741"/>
      <c r="AF578" s="741"/>
      <c r="AG578" s="741"/>
      <c r="AH578" s="741"/>
      <c r="AI578" s="741"/>
      <c r="AJ578" s="741"/>
      <c r="AK578" s="741"/>
      <c r="AL578" s="741"/>
      <c r="AM578" s="741"/>
    </row>
    <row r="579" spans="1:39" ht="12.75" customHeight="1">
      <c r="A579" s="741"/>
      <c r="B579" s="741"/>
      <c r="C579" s="741"/>
      <c r="D579" s="741"/>
      <c r="E579" s="741"/>
      <c r="F579" s="741"/>
      <c r="G579" s="741"/>
      <c r="H579" s="741"/>
      <c r="I579" s="741"/>
      <c r="J579" s="741"/>
      <c r="K579" s="741"/>
      <c r="L579" s="741"/>
      <c r="M579" s="741"/>
      <c r="N579" s="741"/>
      <c r="O579" s="741"/>
      <c r="P579" s="741"/>
      <c r="Q579" s="741"/>
      <c r="R579" s="741"/>
      <c r="S579" s="741"/>
      <c r="T579" s="741"/>
      <c r="U579" s="741"/>
      <c r="V579" s="741"/>
      <c r="W579" s="741"/>
      <c r="X579" s="741"/>
      <c r="Y579" s="741"/>
      <c r="Z579" s="741"/>
      <c r="AA579" s="741"/>
      <c r="AB579" s="741"/>
      <c r="AC579" s="741"/>
      <c r="AD579" s="741"/>
      <c r="AE579" s="741"/>
      <c r="AF579" s="741"/>
      <c r="AG579" s="741"/>
      <c r="AH579" s="741"/>
      <c r="AI579" s="741"/>
      <c r="AJ579" s="741"/>
      <c r="AK579" s="741"/>
      <c r="AL579" s="741"/>
      <c r="AM579" s="741"/>
    </row>
    <row r="580" spans="1:39" ht="12.75" customHeight="1">
      <c r="A580" s="741"/>
      <c r="B580" s="741"/>
      <c r="C580" s="741"/>
      <c r="D580" s="741"/>
      <c r="E580" s="741"/>
      <c r="F580" s="741"/>
      <c r="G580" s="741"/>
      <c r="H580" s="741"/>
      <c r="I580" s="741"/>
      <c r="J580" s="741"/>
      <c r="K580" s="741"/>
      <c r="L580" s="741"/>
      <c r="M580" s="741"/>
      <c r="N580" s="741"/>
      <c r="O580" s="741"/>
      <c r="P580" s="741"/>
      <c r="Q580" s="741"/>
      <c r="R580" s="741"/>
      <c r="S580" s="741"/>
      <c r="T580" s="741"/>
      <c r="U580" s="741"/>
      <c r="V580" s="741"/>
      <c r="W580" s="741"/>
      <c r="X580" s="741"/>
      <c r="Y580" s="741"/>
      <c r="Z580" s="741"/>
      <c r="AA580" s="741"/>
      <c r="AB580" s="741"/>
      <c r="AC580" s="741"/>
      <c r="AD580" s="741"/>
      <c r="AE580" s="741"/>
      <c r="AF580" s="741"/>
      <c r="AG580" s="741"/>
      <c r="AH580" s="741"/>
      <c r="AI580" s="741"/>
      <c r="AJ580" s="741"/>
      <c r="AK580" s="741"/>
      <c r="AL580" s="741"/>
      <c r="AM580" s="741"/>
    </row>
    <row r="581" spans="1:39" ht="12.75" customHeight="1">
      <c r="A581" s="741"/>
      <c r="B581" s="741"/>
      <c r="C581" s="741"/>
      <c r="D581" s="741"/>
      <c r="E581" s="741"/>
      <c r="F581" s="741"/>
      <c r="G581" s="741"/>
      <c r="H581" s="741"/>
      <c r="I581" s="741"/>
      <c r="J581" s="741"/>
      <c r="K581" s="741"/>
      <c r="L581" s="741"/>
      <c r="M581" s="741"/>
      <c r="N581" s="741"/>
      <c r="O581" s="741"/>
      <c r="P581" s="741"/>
      <c r="Q581" s="741"/>
      <c r="R581" s="741"/>
      <c r="S581" s="741"/>
      <c r="T581" s="741"/>
      <c r="U581" s="741"/>
      <c r="V581" s="741"/>
      <c r="W581" s="741"/>
      <c r="X581" s="741"/>
      <c r="Y581" s="741"/>
      <c r="Z581" s="741"/>
      <c r="AA581" s="741"/>
      <c r="AB581" s="741"/>
      <c r="AC581" s="741"/>
      <c r="AD581" s="741"/>
      <c r="AE581" s="741"/>
      <c r="AF581" s="741"/>
      <c r="AG581" s="741"/>
      <c r="AH581" s="741"/>
      <c r="AI581" s="741"/>
      <c r="AJ581" s="741"/>
      <c r="AK581" s="741"/>
      <c r="AL581" s="741"/>
      <c r="AM581" s="741"/>
    </row>
    <row r="582" spans="1:39" ht="12.75" customHeight="1">
      <c r="A582" s="741"/>
      <c r="B582" s="741"/>
      <c r="C582" s="741"/>
      <c r="D582" s="741"/>
      <c r="E582" s="741"/>
      <c r="F582" s="741"/>
      <c r="G582" s="741"/>
      <c r="H582" s="741"/>
      <c r="I582" s="741"/>
      <c r="J582" s="741"/>
      <c r="K582" s="741"/>
      <c r="L582" s="741"/>
      <c r="M582" s="741"/>
      <c r="N582" s="741"/>
      <c r="O582" s="741"/>
      <c r="P582" s="741"/>
      <c r="Q582" s="741"/>
      <c r="R582" s="741"/>
      <c r="S582" s="741"/>
      <c r="T582" s="741"/>
      <c r="U582" s="741"/>
      <c r="V582" s="741"/>
      <c r="W582" s="741"/>
      <c r="X582" s="741"/>
      <c r="Y582" s="741"/>
      <c r="Z582" s="741"/>
      <c r="AA582" s="741"/>
      <c r="AB582" s="741"/>
      <c r="AC582" s="741"/>
      <c r="AD582" s="741"/>
      <c r="AE582" s="741"/>
      <c r="AF582" s="741"/>
      <c r="AG582" s="741"/>
      <c r="AH582" s="741"/>
      <c r="AI582" s="741"/>
      <c r="AJ582" s="741"/>
      <c r="AK582" s="741"/>
      <c r="AL582" s="741"/>
      <c r="AM582" s="741"/>
    </row>
    <row r="583" spans="1:39" ht="12.75" customHeight="1">
      <c r="A583" s="741"/>
      <c r="B583" s="741"/>
      <c r="C583" s="741"/>
      <c r="D583" s="741"/>
      <c r="E583" s="741"/>
      <c r="F583" s="741"/>
      <c r="G583" s="741"/>
      <c r="H583" s="741"/>
      <c r="I583" s="741"/>
      <c r="J583" s="741"/>
      <c r="K583" s="741"/>
      <c r="L583" s="741"/>
      <c r="M583" s="741"/>
      <c r="N583" s="741"/>
      <c r="O583" s="741"/>
      <c r="P583" s="741"/>
      <c r="Q583" s="741"/>
      <c r="R583" s="741"/>
      <c r="S583" s="741"/>
      <c r="T583" s="741"/>
      <c r="U583" s="741"/>
      <c r="V583" s="741"/>
      <c r="W583" s="741"/>
      <c r="X583" s="741"/>
      <c r="Y583" s="741"/>
      <c r="Z583" s="741"/>
      <c r="AA583" s="741"/>
      <c r="AB583" s="741"/>
      <c r="AC583" s="741"/>
      <c r="AD583" s="741"/>
      <c r="AE583" s="741"/>
      <c r="AF583" s="741"/>
      <c r="AG583" s="741"/>
      <c r="AH583" s="741"/>
      <c r="AI583" s="741"/>
      <c r="AJ583" s="741"/>
      <c r="AK583" s="741"/>
      <c r="AL583" s="741"/>
      <c r="AM583" s="741"/>
    </row>
    <row r="584" spans="1:39" ht="12.75" customHeight="1">
      <c r="A584" s="741"/>
      <c r="B584" s="741"/>
      <c r="C584" s="741"/>
      <c r="D584" s="741"/>
      <c r="E584" s="741"/>
      <c r="F584" s="741"/>
      <c r="G584" s="741"/>
      <c r="H584" s="741"/>
      <c r="I584" s="741"/>
      <c r="J584" s="741"/>
      <c r="K584" s="741"/>
      <c r="L584" s="741"/>
      <c r="M584" s="741"/>
      <c r="N584" s="741"/>
      <c r="O584" s="741"/>
      <c r="P584" s="741"/>
      <c r="Q584" s="741"/>
      <c r="R584" s="741"/>
      <c r="S584" s="741"/>
      <c r="T584" s="741"/>
      <c r="U584" s="741"/>
      <c r="V584" s="741"/>
      <c r="W584" s="741"/>
      <c r="X584" s="741"/>
      <c r="Y584" s="741"/>
      <c r="Z584" s="741"/>
      <c r="AA584" s="741"/>
      <c r="AB584" s="741"/>
      <c r="AC584" s="741"/>
      <c r="AD584" s="741"/>
      <c r="AE584" s="741"/>
      <c r="AF584" s="741"/>
      <c r="AG584" s="741"/>
      <c r="AH584" s="741"/>
      <c r="AI584" s="741"/>
      <c r="AJ584" s="741"/>
      <c r="AK584" s="741"/>
      <c r="AL584" s="741"/>
      <c r="AM584" s="741"/>
    </row>
    <row r="585" spans="1:39" ht="12.75" customHeight="1">
      <c r="A585" s="741"/>
      <c r="B585" s="741"/>
      <c r="C585" s="741"/>
      <c r="D585" s="741"/>
      <c r="E585" s="741"/>
      <c r="F585" s="741"/>
      <c r="G585" s="741"/>
      <c r="H585" s="741"/>
      <c r="I585" s="741"/>
      <c r="J585" s="741"/>
      <c r="K585" s="741"/>
      <c r="L585" s="741"/>
      <c r="M585" s="741"/>
      <c r="N585" s="741"/>
      <c r="O585" s="741"/>
      <c r="P585" s="741"/>
      <c r="Q585" s="741"/>
      <c r="R585" s="741"/>
      <c r="S585" s="741"/>
      <c r="T585" s="741"/>
      <c r="U585" s="741"/>
      <c r="V585" s="741"/>
      <c r="W585" s="741"/>
      <c r="X585" s="741"/>
      <c r="Y585" s="741"/>
      <c r="Z585" s="741"/>
      <c r="AA585" s="741"/>
      <c r="AB585" s="741"/>
      <c r="AC585" s="741"/>
      <c r="AD585" s="741"/>
      <c r="AE585" s="741"/>
      <c r="AF585" s="741"/>
      <c r="AG585" s="741"/>
      <c r="AH585" s="741"/>
      <c r="AI585" s="741"/>
      <c r="AJ585" s="741"/>
      <c r="AK585" s="741"/>
      <c r="AL585" s="741"/>
      <c r="AM585" s="741"/>
    </row>
    <row r="586" spans="1:39" ht="12.75" customHeight="1">
      <c r="A586" s="741"/>
      <c r="B586" s="741"/>
      <c r="C586" s="741"/>
      <c r="D586" s="741"/>
      <c r="E586" s="741"/>
      <c r="F586" s="741"/>
      <c r="G586" s="741"/>
      <c r="H586" s="741"/>
      <c r="I586" s="741"/>
      <c r="J586" s="741"/>
      <c r="K586" s="741"/>
      <c r="L586" s="741"/>
      <c r="M586" s="741"/>
      <c r="N586" s="741"/>
      <c r="O586" s="741"/>
      <c r="P586" s="741"/>
      <c r="Q586" s="741"/>
      <c r="R586" s="741"/>
      <c r="S586" s="741"/>
      <c r="T586" s="741"/>
      <c r="U586" s="741"/>
      <c r="V586" s="741"/>
      <c r="W586" s="741"/>
      <c r="X586" s="741"/>
      <c r="Y586" s="741"/>
      <c r="Z586" s="741"/>
      <c r="AA586" s="741"/>
      <c r="AB586" s="741"/>
      <c r="AC586" s="741"/>
      <c r="AD586" s="741"/>
      <c r="AE586" s="741"/>
      <c r="AF586" s="741"/>
      <c r="AG586" s="741"/>
      <c r="AH586" s="741"/>
      <c r="AI586" s="741"/>
      <c r="AJ586" s="741"/>
      <c r="AK586" s="741"/>
      <c r="AL586" s="741"/>
      <c r="AM586" s="741"/>
    </row>
    <row r="587" spans="1:39" ht="12.75" customHeight="1">
      <c r="A587" s="741"/>
      <c r="B587" s="741"/>
      <c r="C587" s="741"/>
      <c r="D587" s="741"/>
      <c r="E587" s="741"/>
      <c r="F587" s="741"/>
      <c r="G587" s="741"/>
      <c r="H587" s="741"/>
      <c r="I587" s="741"/>
      <c r="J587" s="741"/>
      <c r="K587" s="741"/>
      <c r="L587" s="741"/>
      <c r="M587" s="741"/>
      <c r="N587" s="741"/>
      <c r="O587" s="741"/>
      <c r="P587" s="741"/>
      <c r="Q587" s="741"/>
      <c r="R587" s="741"/>
      <c r="S587" s="741"/>
      <c r="T587" s="741"/>
      <c r="U587" s="741"/>
      <c r="V587" s="741"/>
      <c r="W587" s="741"/>
      <c r="X587" s="741"/>
      <c r="Y587" s="741"/>
      <c r="Z587" s="741"/>
      <c r="AA587" s="741"/>
      <c r="AB587" s="741"/>
      <c r="AC587" s="741"/>
      <c r="AD587" s="741"/>
      <c r="AE587" s="741"/>
      <c r="AF587" s="741"/>
      <c r="AG587" s="741"/>
      <c r="AH587" s="741"/>
      <c r="AI587" s="741"/>
      <c r="AJ587" s="741"/>
      <c r="AK587" s="741"/>
      <c r="AL587" s="741"/>
      <c r="AM587" s="741"/>
    </row>
    <row r="588" spans="1:39" ht="12.75" customHeight="1">
      <c r="A588" s="741"/>
      <c r="B588" s="741"/>
      <c r="C588" s="741"/>
      <c r="D588" s="741"/>
      <c r="E588" s="741"/>
      <c r="F588" s="741"/>
      <c r="G588" s="741"/>
      <c r="H588" s="741"/>
      <c r="I588" s="741"/>
      <c r="J588" s="741"/>
      <c r="K588" s="741"/>
      <c r="L588" s="741"/>
      <c r="M588" s="741"/>
      <c r="N588" s="741"/>
      <c r="O588" s="741"/>
      <c r="P588" s="741"/>
      <c r="Q588" s="741"/>
      <c r="R588" s="741"/>
      <c r="S588" s="741"/>
      <c r="T588" s="741"/>
      <c r="U588" s="741"/>
      <c r="V588" s="741"/>
      <c r="W588" s="741"/>
      <c r="X588" s="741"/>
      <c r="Y588" s="741"/>
      <c r="Z588" s="741"/>
      <c r="AA588" s="741"/>
      <c r="AB588" s="741"/>
      <c r="AC588" s="741"/>
      <c r="AD588" s="741"/>
      <c r="AE588" s="741"/>
      <c r="AF588" s="741"/>
      <c r="AG588" s="741"/>
      <c r="AH588" s="741"/>
      <c r="AI588" s="741"/>
      <c r="AJ588" s="741"/>
      <c r="AK588" s="741"/>
      <c r="AL588" s="741"/>
      <c r="AM588" s="741"/>
    </row>
    <row r="589" spans="1:39" ht="12.75" customHeight="1">
      <c r="A589" s="741"/>
      <c r="B589" s="741"/>
      <c r="C589" s="741"/>
      <c r="D589" s="741"/>
      <c r="E589" s="741"/>
      <c r="F589" s="741"/>
      <c r="G589" s="741"/>
      <c r="H589" s="741"/>
      <c r="I589" s="741"/>
      <c r="J589" s="741"/>
      <c r="K589" s="741"/>
      <c r="L589" s="741"/>
      <c r="M589" s="741"/>
      <c r="N589" s="741"/>
      <c r="O589" s="741"/>
      <c r="P589" s="741"/>
      <c r="Q589" s="741"/>
      <c r="R589" s="741"/>
      <c r="S589" s="741"/>
      <c r="T589" s="741"/>
      <c r="U589" s="741"/>
      <c r="V589" s="741"/>
      <c r="W589" s="741"/>
      <c r="X589" s="741"/>
      <c r="Y589" s="741"/>
      <c r="Z589" s="741"/>
      <c r="AA589" s="741"/>
      <c r="AB589" s="741"/>
      <c r="AC589" s="741"/>
      <c r="AD589" s="741"/>
      <c r="AE589" s="741"/>
      <c r="AF589" s="741"/>
      <c r="AG589" s="741"/>
      <c r="AH589" s="741"/>
      <c r="AI589" s="741"/>
      <c r="AJ589" s="741"/>
      <c r="AK589" s="741"/>
      <c r="AL589" s="741"/>
      <c r="AM589" s="741"/>
    </row>
    <row r="590" spans="1:39" ht="12.75" customHeight="1">
      <c r="A590" s="741"/>
      <c r="B590" s="741"/>
      <c r="C590" s="741"/>
      <c r="D590" s="741"/>
      <c r="E590" s="741"/>
      <c r="F590" s="741"/>
      <c r="G590" s="741"/>
      <c r="H590" s="741"/>
      <c r="I590" s="741"/>
      <c r="J590" s="741"/>
      <c r="K590" s="741"/>
      <c r="L590" s="741"/>
      <c r="M590" s="741"/>
      <c r="N590" s="741"/>
      <c r="O590" s="741"/>
      <c r="P590" s="741"/>
      <c r="Q590" s="741"/>
      <c r="R590" s="741"/>
      <c r="S590" s="741"/>
      <c r="T590" s="741"/>
      <c r="U590" s="741"/>
      <c r="V590" s="741"/>
      <c r="W590" s="741"/>
      <c r="X590" s="741"/>
      <c r="Y590" s="741"/>
      <c r="Z590" s="741"/>
      <c r="AA590" s="741"/>
      <c r="AB590" s="741"/>
      <c r="AC590" s="741"/>
      <c r="AD590" s="741"/>
      <c r="AE590" s="741"/>
      <c r="AF590" s="741"/>
      <c r="AG590" s="741"/>
      <c r="AH590" s="741"/>
      <c r="AI590" s="741"/>
      <c r="AJ590" s="741"/>
      <c r="AK590" s="741"/>
      <c r="AL590" s="741"/>
      <c r="AM590" s="741"/>
    </row>
    <row r="591" spans="1:39" ht="12.75" customHeight="1">
      <c r="A591" s="741"/>
      <c r="B591" s="741"/>
      <c r="C591" s="741"/>
      <c r="D591" s="741"/>
      <c r="E591" s="741"/>
      <c r="F591" s="741"/>
      <c r="G591" s="741"/>
      <c r="H591" s="741"/>
      <c r="I591" s="741"/>
      <c r="J591" s="741"/>
      <c r="K591" s="741"/>
      <c r="L591" s="741"/>
      <c r="M591" s="741"/>
      <c r="N591" s="741"/>
      <c r="O591" s="741"/>
      <c r="P591" s="741"/>
      <c r="Q591" s="741"/>
      <c r="R591" s="741"/>
      <c r="S591" s="741"/>
      <c r="T591" s="741"/>
      <c r="U591" s="741"/>
      <c r="V591" s="741"/>
      <c r="W591" s="741"/>
      <c r="X591" s="741"/>
      <c r="Y591" s="741"/>
      <c r="Z591" s="741"/>
      <c r="AA591" s="741"/>
      <c r="AB591" s="741"/>
      <c r="AC591" s="741"/>
      <c r="AD591" s="741"/>
      <c r="AE591" s="741"/>
      <c r="AF591" s="741"/>
      <c r="AG591" s="741"/>
      <c r="AH591" s="741"/>
      <c r="AI591" s="741"/>
      <c r="AJ591" s="741"/>
      <c r="AK591" s="741"/>
      <c r="AL591" s="741"/>
      <c r="AM591" s="741"/>
    </row>
    <row r="592" spans="1:39" ht="12.75" customHeight="1">
      <c r="A592" s="741"/>
      <c r="B592" s="741"/>
      <c r="C592" s="741"/>
      <c r="D592" s="741"/>
      <c r="E592" s="741"/>
      <c r="F592" s="741"/>
      <c r="G592" s="741"/>
      <c r="H592" s="741"/>
      <c r="I592" s="741"/>
      <c r="J592" s="741"/>
      <c r="K592" s="741"/>
      <c r="L592" s="741"/>
      <c r="M592" s="741"/>
      <c r="N592" s="741"/>
      <c r="O592" s="741"/>
      <c r="P592" s="741"/>
      <c r="Q592" s="741"/>
      <c r="R592" s="741"/>
      <c r="S592" s="741"/>
      <c r="T592" s="741"/>
      <c r="U592" s="741"/>
      <c r="V592" s="741"/>
      <c r="W592" s="741"/>
      <c r="X592" s="741"/>
      <c r="Y592" s="741"/>
      <c r="Z592" s="741"/>
      <c r="AA592" s="741"/>
      <c r="AB592" s="741"/>
      <c r="AC592" s="741"/>
      <c r="AD592" s="741"/>
      <c r="AE592" s="741"/>
      <c r="AF592" s="741"/>
      <c r="AG592" s="741"/>
      <c r="AH592" s="741"/>
      <c r="AI592" s="741"/>
      <c r="AJ592" s="741"/>
      <c r="AK592" s="741"/>
      <c r="AL592" s="741"/>
      <c r="AM592" s="741"/>
    </row>
    <row r="593" spans="1:39" ht="12.75" customHeight="1">
      <c r="A593" s="741"/>
      <c r="B593" s="741"/>
      <c r="C593" s="741"/>
      <c r="D593" s="741"/>
      <c r="E593" s="741"/>
      <c r="F593" s="741"/>
      <c r="G593" s="741"/>
      <c r="H593" s="741"/>
      <c r="I593" s="741"/>
      <c r="J593" s="741"/>
      <c r="K593" s="741"/>
      <c r="L593" s="741"/>
      <c r="M593" s="741"/>
      <c r="N593" s="741"/>
      <c r="O593" s="741"/>
      <c r="P593" s="741"/>
      <c r="Q593" s="741"/>
      <c r="R593" s="741"/>
      <c r="S593" s="741"/>
      <c r="T593" s="741"/>
      <c r="U593" s="741"/>
      <c r="V593" s="741"/>
      <c r="W593" s="741"/>
      <c r="X593" s="741"/>
      <c r="Y593" s="741"/>
      <c r="Z593" s="741"/>
      <c r="AA593" s="741"/>
      <c r="AB593" s="741"/>
      <c r="AC593" s="741"/>
      <c r="AD593" s="741"/>
      <c r="AE593" s="741"/>
      <c r="AF593" s="741"/>
      <c r="AG593" s="741"/>
      <c r="AH593" s="741"/>
      <c r="AI593" s="741"/>
      <c r="AJ593" s="741"/>
      <c r="AK593" s="741"/>
      <c r="AL593" s="741"/>
      <c r="AM593" s="741"/>
    </row>
    <row r="594" spans="1:39" ht="12.75" customHeight="1">
      <c r="A594" s="741"/>
      <c r="B594" s="741"/>
      <c r="C594" s="741"/>
      <c r="D594" s="741"/>
      <c r="E594" s="741"/>
      <c r="F594" s="741"/>
      <c r="G594" s="741"/>
      <c r="H594" s="741"/>
      <c r="I594" s="741"/>
      <c r="J594" s="741"/>
      <c r="K594" s="741"/>
      <c r="L594" s="741"/>
      <c r="M594" s="741"/>
      <c r="N594" s="741"/>
      <c r="O594" s="741"/>
      <c r="P594" s="741"/>
      <c r="Q594" s="741"/>
      <c r="R594" s="741"/>
      <c r="S594" s="741"/>
      <c r="T594" s="741"/>
      <c r="U594" s="741"/>
      <c r="V594" s="741"/>
      <c r="W594" s="741"/>
      <c r="X594" s="741"/>
      <c r="Y594" s="741"/>
      <c r="Z594" s="741"/>
      <c r="AA594" s="741"/>
      <c r="AB594" s="741"/>
      <c r="AC594" s="741"/>
      <c r="AD594" s="741"/>
      <c r="AE594" s="741"/>
      <c r="AF594" s="741"/>
      <c r="AG594" s="741"/>
      <c r="AH594" s="741"/>
      <c r="AI594" s="741"/>
      <c r="AJ594" s="741"/>
      <c r="AK594" s="741"/>
      <c r="AL594" s="741"/>
      <c r="AM594" s="741"/>
    </row>
    <row r="595" spans="1:39" ht="12.75" customHeight="1">
      <c r="A595" s="741"/>
      <c r="B595" s="741"/>
      <c r="C595" s="741"/>
      <c r="D595" s="741"/>
      <c r="E595" s="741"/>
      <c r="F595" s="741"/>
      <c r="G595" s="741"/>
      <c r="H595" s="741"/>
      <c r="I595" s="741"/>
      <c r="J595" s="741"/>
      <c r="K595" s="741"/>
      <c r="L595" s="741"/>
      <c r="M595" s="741"/>
      <c r="N595" s="741"/>
      <c r="O595" s="741"/>
      <c r="P595" s="741"/>
      <c r="Q595" s="741"/>
      <c r="R595" s="741"/>
      <c r="S595" s="741"/>
      <c r="T595" s="741"/>
      <c r="U595" s="741"/>
      <c r="V595" s="741"/>
      <c r="W595" s="741"/>
      <c r="X595" s="741"/>
      <c r="Y595" s="741"/>
      <c r="Z595" s="741"/>
      <c r="AA595" s="741"/>
      <c r="AB595" s="741"/>
      <c r="AC595" s="741"/>
      <c r="AD595" s="741"/>
      <c r="AE595" s="741"/>
      <c r="AF595" s="741"/>
      <c r="AG595" s="741"/>
      <c r="AH595" s="741"/>
      <c r="AI595" s="741"/>
      <c r="AJ595" s="741"/>
      <c r="AK595" s="741"/>
      <c r="AL595" s="741"/>
      <c r="AM595" s="741"/>
    </row>
    <row r="596" spans="1:39" ht="12.75" customHeight="1">
      <c r="A596" s="741"/>
      <c r="B596" s="741"/>
      <c r="C596" s="741"/>
      <c r="D596" s="741"/>
      <c r="E596" s="741"/>
      <c r="F596" s="741"/>
      <c r="G596" s="741"/>
      <c r="H596" s="741"/>
      <c r="I596" s="741"/>
      <c r="J596" s="741"/>
      <c r="K596" s="741"/>
      <c r="L596" s="741"/>
      <c r="M596" s="741"/>
      <c r="N596" s="741"/>
      <c r="O596" s="741"/>
      <c r="P596" s="741"/>
      <c r="Q596" s="741"/>
      <c r="R596" s="741"/>
      <c r="S596" s="741"/>
      <c r="T596" s="741"/>
      <c r="U596" s="741"/>
      <c r="V596" s="741"/>
      <c r="W596" s="741"/>
      <c r="X596" s="741"/>
      <c r="Y596" s="741"/>
      <c r="Z596" s="741"/>
      <c r="AA596" s="741"/>
      <c r="AB596" s="741"/>
      <c r="AC596" s="741"/>
      <c r="AD596" s="741"/>
      <c r="AE596" s="741"/>
      <c r="AF596" s="741"/>
      <c r="AG596" s="741"/>
      <c r="AH596" s="741"/>
      <c r="AI596" s="741"/>
      <c r="AJ596" s="741"/>
      <c r="AK596" s="741"/>
      <c r="AL596" s="741"/>
      <c r="AM596" s="741"/>
    </row>
    <row r="597" spans="1:39" ht="12.75" customHeight="1">
      <c r="A597" s="741"/>
      <c r="B597" s="741"/>
      <c r="C597" s="741"/>
      <c r="D597" s="741"/>
      <c r="E597" s="741"/>
      <c r="F597" s="741"/>
      <c r="G597" s="741"/>
      <c r="H597" s="741"/>
      <c r="I597" s="741"/>
      <c r="J597" s="741"/>
      <c r="K597" s="741"/>
      <c r="L597" s="741"/>
      <c r="M597" s="741"/>
      <c r="N597" s="741"/>
      <c r="O597" s="741"/>
      <c r="P597" s="741"/>
      <c r="Q597" s="741"/>
      <c r="R597" s="741"/>
      <c r="S597" s="741"/>
      <c r="T597" s="741"/>
      <c r="U597" s="741"/>
      <c r="V597" s="741"/>
      <c r="W597" s="741"/>
      <c r="X597" s="741"/>
      <c r="Y597" s="741"/>
      <c r="Z597" s="741"/>
      <c r="AA597" s="741"/>
      <c r="AB597" s="741"/>
      <c r="AC597" s="741"/>
      <c r="AD597" s="741"/>
      <c r="AE597" s="741"/>
      <c r="AF597" s="741"/>
      <c r="AG597" s="741"/>
      <c r="AH597" s="741"/>
      <c r="AI597" s="741"/>
      <c r="AJ597" s="741"/>
      <c r="AK597" s="741"/>
      <c r="AL597" s="741"/>
      <c r="AM597" s="741"/>
    </row>
    <row r="598" spans="1:39" ht="12.75" customHeight="1">
      <c r="A598" s="741"/>
      <c r="B598" s="741"/>
      <c r="C598" s="741"/>
      <c r="D598" s="741"/>
      <c r="E598" s="741"/>
      <c r="F598" s="741"/>
      <c r="G598" s="741"/>
      <c r="H598" s="741"/>
      <c r="I598" s="741"/>
      <c r="J598" s="741"/>
      <c r="K598" s="741"/>
      <c r="L598" s="741"/>
      <c r="M598" s="741"/>
      <c r="N598" s="741"/>
      <c r="O598" s="741"/>
      <c r="P598" s="741"/>
      <c r="Q598" s="741"/>
      <c r="R598" s="741"/>
      <c r="S598" s="741"/>
      <c r="T598" s="741"/>
      <c r="U598" s="741"/>
      <c r="V598" s="741"/>
      <c r="W598" s="741"/>
      <c r="X598" s="741"/>
      <c r="Y598" s="741"/>
      <c r="Z598" s="741"/>
      <c r="AA598" s="741"/>
      <c r="AB598" s="741"/>
      <c r="AC598" s="741"/>
      <c r="AD598" s="741"/>
      <c r="AE598" s="741"/>
      <c r="AF598" s="741"/>
      <c r="AG598" s="741"/>
      <c r="AH598" s="741"/>
      <c r="AI598" s="741"/>
      <c r="AJ598" s="741"/>
      <c r="AK598" s="741"/>
      <c r="AL598" s="741"/>
      <c r="AM598" s="741"/>
    </row>
    <row r="599" spans="1:39" ht="12.75" customHeight="1">
      <c r="A599" s="741"/>
      <c r="B599" s="741"/>
      <c r="C599" s="741"/>
      <c r="D599" s="741"/>
      <c r="E599" s="741"/>
      <c r="F599" s="741"/>
      <c r="G599" s="741"/>
      <c r="H599" s="741"/>
      <c r="I599" s="741"/>
      <c r="J599" s="741"/>
      <c r="K599" s="741"/>
      <c r="L599" s="741"/>
      <c r="M599" s="741"/>
      <c r="N599" s="741"/>
      <c r="O599" s="741"/>
      <c r="P599" s="741"/>
      <c r="Q599" s="741"/>
      <c r="R599" s="741"/>
      <c r="S599" s="741"/>
      <c r="T599" s="741"/>
      <c r="U599" s="741"/>
      <c r="V599" s="741"/>
      <c r="W599" s="741"/>
      <c r="X599" s="741"/>
      <c r="Y599" s="741"/>
      <c r="Z599" s="741"/>
      <c r="AA599" s="741"/>
      <c r="AB599" s="741"/>
      <c r="AC599" s="741"/>
      <c r="AD599" s="741"/>
      <c r="AE599" s="741"/>
      <c r="AF599" s="741"/>
      <c r="AG599" s="741"/>
      <c r="AH599" s="741"/>
      <c r="AI599" s="741"/>
      <c r="AJ599" s="741"/>
      <c r="AK599" s="741"/>
      <c r="AL599" s="741"/>
      <c r="AM599" s="741"/>
    </row>
    <row r="600" spans="1:39" ht="12.75" customHeight="1">
      <c r="A600" s="741"/>
      <c r="B600" s="741"/>
      <c r="C600" s="741"/>
      <c r="D600" s="741"/>
      <c r="E600" s="741"/>
      <c r="F600" s="741"/>
      <c r="G600" s="741"/>
      <c r="H600" s="741"/>
      <c r="I600" s="741"/>
      <c r="J600" s="741"/>
      <c r="K600" s="741"/>
      <c r="L600" s="741"/>
      <c r="M600" s="741"/>
      <c r="N600" s="741"/>
      <c r="O600" s="741"/>
      <c r="P600" s="741"/>
      <c r="Q600" s="741"/>
      <c r="R600" s="741"/>
      <c r="S600" s="741"/>
      <c r="T600" s="741"/>
      <c r="U600" s="741"/>
      <c r="V600" s="741"/>
      <c r="W600" s="741"/>
      <c r="X600" s="741"/>
      <c r="Y600" s="741"/>
      <c r="Z600" s="741"/>
      <c r="AA600" s="741"/>
      <c r="AB600" s="741"/>
      <c r="AC600" s="741"/>
      <c r="AD600" s="741"/>
      <c r="AE600" s="741"/>
      <c r="AF600" s="741"/>
      <c r="AG600" s="741"/>
      <c r="AH600" s="741"/>
      <c r="AI600" s="741"/>
      <c r="AJ600" s="741"/>
      <c r="AK600" s="741"/>
      <c r="AL600" s="741"/>
      <c r="AM600" s="741"/>
    </row>
    <row r="601" spans="1:39" ht="12.75" customHeight="1">
      <c r="A601" s="741"/>
      <c r="B601" s="741"/>
      <c r="C601" s="741"/>
      <c r="D601" s="741"/>
      <c r="E601" s="741"/>
      <c r="F601" s="741"/>
      <c r="G601" s="741"/>
      <c r="H601" s="741"/>
      <c r="I601" s="741"/>
      <c r="J601" s="741"/>
      <c r="K601" s="741"/>
      <c r="L601" s="741"/>
      <c r="M601" s="741"/>
      <c r="N601" s="741"/>
      <c r="O601" s="741"/>
      <c r="P601" s="741"/>
      <c r="Q601" s="741"/>
      <c r="R601" s="741"/>
      <c r="S601" s="741"/>
      <c r="T601" s="741"/>
      <c r="U601" s="741"/>
      <c r="V601" s="741"/>
      <c r="W601" s="741"/>
      <c r="X601" s="741"/>
      <c r="Y601" s="741"/>
      <c r="Z601" s="741"/>
      <c r="AA601" s="741"/>
      <c r="AB601" s="741"/>
      <c r="AC601" s="741"/>
      <c r="AD601" s="741"/>
      <c r="AE601" s="741"/>
      <c r="AF601" s="741"/>
      <c r="AG601" s="741"/>
      <c r="AH601" s="741"/>
      <c r="AI601" s="741"/>
      <c r="AJ601" s="741"/>
      <c r="AK601" s="741"/>
      <c r="AL601" s="741"/>
      <c r="AM601" s="741"/>
    </row>
    <row r="602" spans="1:39" ht="12.75" customHeight="1">
      <c r="A602" s="741"/>
      <c r="B602" s="741"/>
      <c r="C602" s="741"/>
      <c r="D602" s="741"/>
      <c r="E602" s="741"/>
      <c r="F602" s="741"/>
      <c r="G602" s="741"/>
      <c r="H602" s="741"/>
      <c r="I602" s="741"/>
      <c r="J602" s="741"/>
      <c r="K602" s="741"/>
      <c r="L602" s="741"/>
      <c r="M602" s="741"/>
      <c r="N602" s="741"/>
      <c r="O602" s="741"/>
      <c r="P602" s="741"/>
      <c r="Q602" s="741"/>
      <c r="R602" s="741"/>
      <c r="S602" s="741"/>
      <c r="T602" s="741"/>
      <c r="U602" s="741"/>
      <c r="V602" s="741"/>
      <c r="W602" s="741"/>
      <c r="X602" s="741"/>
      <c r="Y602" s="741"/>
      <c r="Z602" s="741"/>
      <c r="AA602" s="741"/>
      <c r="AB602" s="741"/>
      <c r="AC602" s="741"/>
      <c r="AD602" s="741"/>
      <c r="AE602" s="741"/>
      <c r="AF602" s="741"/>
      <c r="AG602" s="741"/>
      <c r="AH602" s="741"/>
      <c r="AI602" s="741"/>
      <c r="AJ602" s="741"/>
      <c r="AK602" s="741"/>
      <c r="AL602" s="741"/>
      <c r="AM602" s="741"/>
    </row>
    <row r="603" spans="1:39" ht="12.75" customHeight="1">
      <c r="A603" s="741"/>
      <c r="B603" s="741"/>
      <c r="C603" s="741"/>
      <c r="D603" s="741"/>
      <c r="E603" s="741"/>
      <c r="F603" s="741"/>
      <c r="G603" s="741"/>
      <c r="H603" s="741"/>
      <c r="I603" s="741"/>
      <c r="J603" s="741"/>
      <c r="K603" s="741"/>
      <c r="L603" s="741"/>
      <c r="M603" s="741"/>
      <c r="N603" s="741"/>
      <c r="O603" s="741"/>
      <c r="P603" s="741"/>
      <c r="Q603" s="741"/>
      <c r="R603" s="741"/>
      <c r="S603" s="741"/>
      <c r="T603" s="741"/>
      <c r="U603" s="741"/>
      <c r="V603" s="741"/>
      <c r="W603" s="741"/>
      <c r="X603" s="741"/>
      <c r="Y603" s="741"/>
      <c r="Z603" s="741"/>
      <c r="AA603" s="741"/>
      <c r="AB603" s="741"/>
      <c r="AC603" s="741"/>
      <c r="AD603" s="741"/>
      <c r="AE603" s="741"/>
      <c r="AF603" s="741"/>
      <c r="AG603" s="741"/>
      <c r="AH603" s="741"/>
      <c r="AI603" s="741"/>
      <c r="AJ603" s="741"/>
      <c r="AK603" s="741"/>
      <c r="AL603" s="741"/>
      <c r="AM603" s="741"/>
    </row>
    <row r="604" spans="1:39" ht="12.75" customHeight="1">
      <c r="A604" s="741"/>
      <c r="B604" s="741"/>
      <c r="C604" s="741"/>
      <c r="D604" s="741"/>
      <c r="E604" s="741"/>
      <c r="F604" s="741"/>
      <c r="G604" s="741"/>
      <c r="H604" s="741"/>
      <c r="I604" s="741"/>
      <c r="J604" s="741"/>
      <c r="K604" s="741"/>
      <c r="L604" s="741"/>
      <c r="M604" s="741"/>
      <c r="N604" s="741"/>
      <c r="O604" s="741"/>
      <c r="P604" s="741"/>
      <c r="Q604" s="741"/>
      <c r="R604" s="741"/>
      <c r="S604" s="741"/>
      <c r="T604" s="741"/>
      <c r="U604" s="741"/>
      <c r="V604" s="741"/>
      <c r="W604" s="741"/>
      <c r="X604" s="741"/>
      <c r="Y604" s="741"/>
      <c r="Z604" s="741"/>
      <c r="AA604" s="741"/>
      <c r="AB604" s="741"/>
      <c r="AC604" s="741"/>
      <c r="AD604" s="741"/>
      <c r="AE604" s="741"/>
      <c r="AF604" s="741"/>
      <c r="AG604" s="741"/>
      <c r="AH604" s="741"/>
      <c r="AI604" s="741"/>
      <c r="AJ604" s="741"/>
      <c r="AK604" s="741"/>
      <c r="AL604" s="741"/>
      <c r="AM604" s="741"/>
    </row>
    <row r="605" spans="1:39" ht="12.75" customHeight="1">
      <c r="A605" s="741"/>
      <c r="B605" s="741"/>
      <c r="C605" s="741"/>
      <c r="D605" s="741"/>
      <c r="E605" s="741"/>
      <c r="F605" s="741"/>
      <c r="G605" s="741"/>
      <c r="H605" s="741"/>
      <c r="I605" s="741"/>
      <c r="J605" s="741"/>
      <c r="K605" s="741"/>
      <c r="L605" s="741"/>
      <c r="M605" s="741"/>
      <c r="N605" s="741"/>
      <c r="O605" s="741"/>
      <c r="P605" s="741"/>
      <c r="Q605" s="741"/>
      <c r="R605" s="741"/>
      <c r="S605" s="741"/>
      <c r="T605" s="741"/>
      <c r="U605" s="741"/>
      <c r="V605" s="741"/>
      <c r="W605" s="741"/>
      <c r="X605" s="741"/>
      <c r="Y605" s="741"/>
      <c r="Z605" s="741"/>
      <c r="AA605" s="741"/>
      <c r="AB605" s="741"/>
      <c r="AC605" s="741"/>
      <c r="AD605" s="741"/>
      <c r="AE605" s="741"/>
      <c r="AF605" s="741"/>
      <c r="AG605" s="741"/>
      <c r="AH605" s="741"/>
      <c r="AI605" s="741"/>
      <c r="AJ605" s="741"/>
      <c r="AK605" s="741"/>
      <c r="AL605" s="741"/>
      <c r="AM605" s="741"/>
    </row>
    <row r="606" spans="1:39" ht="12.75" customHeight="1">
      <c r="A606" s="741"/>
      <c r="B606" s="741"/>
      <c r="C606" s="741"/>
      <c r="D606" s="741"/>
      <c r="E606" s="741"/>
      <c r="F606" s="741"/>
      <c r="G606" s="741"/>
      <c r="H606" s="741"/>
      <c r="I606" s="741"/>
      <c r="J606" s="741"/>
      <c r="K606" s="741"/>
      <c r="L606" s="741"/>
      <c r="M606" s="741"/>
      <c r="N606" s="741"/>
      <c r="O606" s="741"/>
      <c r="P606" s="741"/>
      <c r="Q606" s="741"/>
      <c r="R606" s="741"/>
      <c r="S606" s="741"/>
      <c r="T606" s="741"/>
      <c r="U606" s="741"/>
      <c r="V606" s="741"/>
      <c r="W606" s="741"/>
      <c r="X606" s="741"/>
      <c r="Y606" s="741"/>
      <c r="Z606" s="741"/>
      <c r="AA606" s="741"/>
      <c r="AB606" s="741"/>
      <c r="AC606" s="741"/>
      <c r="AD606" s="741"/>
      <c r="AE606" s="741"/>
      <c r="AF606" s="741"/>
      <c r="AG606" s="741"/>
      <c r="AH606" s="741"/>
      <c r="AI606" s="741"/>
      <c r="AJ606" s="741"/>
      <c r="AK606" s="741"/>
      <c r="AL606" s="741"/>
      <c r="AM606" s="741"/>
    </row>
    <row r="607" spans="1:39" ht="12.75" customHeight="1">
      <c r="A607" s="741"/>
      <c r="B607" s="741"/>
      <c r="C607" s="741"/>
      <c r="D607" s="741"/>
      <c r="E607" s="741"/>
      <c r="F607" s="741"/>
      <c r="G607" s="741"/>
      <c r="H607" s="741"/>
      <c r="I607" s="741"/>
      <c r="J607" s="741"/>
      <c r="K607" s="741"/>
      <c r="L607" s="741"/>
      <c r="M607" s="741"/>
      <c r="N607" s="741"/>
      <c r="O607" s="741"/>
      <c r="P607" s="741"/>
      <c r="Q607" s="741"/>
      <c r="R607" s="741"/>
      <c r="S607" s="741"/>
      <c r="T607" s="741"/>
      <c r="U607" s="741"/>
      <c r="V607" s="741"/>
      <c r="W607" s="741"/>
      <c r="X607" s="741"/>
      <c r="Y607" s="741"/>
      <c r="Z607" s="741"/>
      <c r="AA607" s="741"/>
      <c r="AB607" s="741"/>
      <c r="AC607" s="741"/>
      <c r="AD607" s="741"/>
      <c r="AE607" s="741"/>
      <c r="AF607" s="741"/>
      <c r="AG607" s="741"/>
      <c r="AH607" s="741"/>
      <c r="AI607" s="741"/>
      <c r="AJ607" s="741"/>
      <c r="AK607" s="741"/>
      <c r="AL607" s="741"/>
      <c r="AM607" s="741"/>
    </row>
    <row r="608" spans="1:39" ht="12.75" customHeight="1">
      <c r="A608" s="741"/>
      <c r="B608" s="741"/>
      <c r="C608" s="741"/>
      <c r="D608" s="741"/>
      <c r="E608" s="741"/>
      <c r="F608" s="741"/>
      <c r="G608" s="741"/>
      <c r="H608" s="741"/>
      <c r="I608" s="741"/>
      <c r="J608" s="741"/>
      <c r="K608" s="741"/>
      <c r="L608" s="741"/>
      <c r="M608" s="741"/>
      <c r="N608" s="741"/>
      <c r="O608" s="741"/>
      <c r="P608" s="741"/>
      <c r="Q608" s="741"/>
      <c r="R608" s="741"/>
      <c r="S608" s="741"/>
      <c r="T608" s="741"/>
      <c r="U608" s="741"/>
      <c r="V608" s="741"/>
      <c r="W608" s="741"/>
      <c r="X608" s="741"/>
      <c r="Y608" s="741"/>
      <c r="Z608" s="741"/>
      <c r="AA608" s="741"/>
      <c r="AB608" s="741"/>
      <c r="AC608" s="741"/>
      <c r="AD608" s="741"/>
      <c r="AE608" s="741"/>
      <c r="AF608" s="741"/>
      <c r="AG608" s="741"/>
      <c r="AH608" s="741"/>
      <c r="AI608" s="741"/>
      <c r="AJ608" s="741"/>
      <c r="AK608" s="741"/>
      <c r="AL608" s="741"/>
      <c r="AM608" s="741"/>
    </row>
    <row r="609" spans="1:39" ht="12.75" customHeight="1">
      <c r="A609" s="741"/>
      <c r="B609" s="741"/>
      <c r="C609" s="741"/>
      <c r="D609" s="741"/>
      <c r="E609" s="741"/>
      <c r="F609" s="741"/>
      <c r="G609" s="741"/>
      <c r="H609" s="741"/>
      <c r="I609" s="741"/>
      <c r="J609" s="741"/>
      <c r="K609" s="741"/>
      <c r="L609" s="741"/>
      <c r="M609" s="741"/>
      <c r="N609" s="741"/>
      <c r="O609" s="741"/>
      <c r="P609" s="741"/>
      <c r="Q609" s="741"/>
      <c r="R609" s="741"/>
      <c r="S609" s="741"/>
      <c r="T609" s="741"/>
      <c r="U609" s="741"/>
      <c r="V609" s="741"/>
      <c r="W609" s="741"/>
      <c r="X609" s="741"/>
      <c r="Y609" s="741"/>
      <c r="Z609" s="741"/>
      <c r="AA609" s="741"/>
      <c r="AB609" s="741"/>
      <c r="AC609" s="741"/>
      <c r="AD609" s="741"/>
      <c r="AE609" s="741"/>
      <c r="AF609" s="741"/>
      <c r="AG609" s="741"/>
      <c r="AH609" s="741"/>
      <c r="AI609" s="741"/>
      <c r="AJ609" s="741"/>
      <c r="AK609" s="741"/>
      <c r="AL609" s="741"/>
      <c r="AM609" s="741"/>
    </row>
    <row r="610" spans="1:39" ht="12.75" customHeight="1">
      <c r="A610" s="741"/>
      <c r="B610" s="741"/>
      <c r="C610" s="741"/>
      <c r="D610" s="741"/>
      <c r="E610" s="741"/>
      <c r="F610" s="741"/>
      <c r="G610" s="741"/>
      <c r="H610" s="741"/>
      <c r="I610" s="741"/>
      <c r="J610" s="741"/>
      <c r="K610" s="741"/>
      <c r="L610" s="741"/>
      <c r="M610" s="741"/>
      <c r="N610" s="741"/>
      <c r="O610" s="741"/>
      <c r="P610" s="741"/>
      <c r="Q610" s="741"/>
      <c r="R610" s="741"/>
      <c r="S610" s="741"/>
      <c r="T610" s="741"/>
      <c r="U610" s="741"/>
      <c r="V610" s="741"/>
      <c r="W610" s="741"/>
      <c r="X610" s="741"/>
      <c r="Y610" s="741"/>
      <c r="Z610" s="741"/>
      <c r="AA610" s="741"/>
      <c r="AB610" s="741"/>
      <c r="AC610" s="741"/>
      <c r="AD610" s="741"/>
      <c r="AE610" s="741"/>
      <c r="AF610" s="741"/>
      <c r="AG610" s="741"/>
      <c r="AH610" s="741"/>
      <c r="AI610" s="741"/>
      <c r="AJ610" s="741"/>
      <c r="AK610" s="741"/>
      <c r="AL610" s="741"/>
      <c r="AM610" s="741"/>
    </row>
    <row r="611" spans="1:39" ht="12.75" customHeight="1">
      <c r="A611" s="741"/>
      <c r="B611" s="741"/>
      <c r="C611" s="741"/>
      <c r="D611" s="741"/>
      <c r="E611" s="741"/>
      <c r="F611" s="741"/>
      <c r="G611" s="741"/>
      <c r="H611" s="741"/>
      <c r="I611" s="741"/>
      <c r="J611" s="741"/>
      <c r="K611" s="741"/>
      <c r="L611" s="741"/>
      <c r="M611" s="741"/>
      <c r="N611" s="741"/>
      <c r="O611" s="741"/>
      <c r="P611" s="741"/>
      <c r="Q611" s="741"/>
      <c r="R611" s="741"/>
      <c r="S611" s="741"/>
      <c r="T611" s="741"/>
      <c r="U611" s="741"/>
      <c r="V611" s="741"/>
      <c r="W611" s="741"/>
      <c r="X611" s="741"/>
      <c r="Y611" s="741"/>
      <c r="Z611" s="741"/>
      <c r="AA611" s="741"/>
      <c r="AB611" s="741"/>
      <c r="AC611" s="741"/>
      <c r="AD611" s="741"/>
      <c r="AE611" s="741"/>
      <c r="AF611" s="741"/>
      <c r="AG611" s="741"/>
      <c r="AH611" s="741"/>
      <c r="AI611" s="741"/>
      <c r="AJ611" s="741"/>
      <c r="AK611" s="741"/>
      <c r="AL611" s="741"/>
      <c r="AM611" s="741"/>
    </row>
    <row r="612" spans="1:39" ht="12.75" customHeight="1">
      <c r="A612" s="741"/>
      <c r="B612" s="741"/>
      <c r="C612" s="741"/>
      <c r="D612" s="741"/>
      <c r="E612" s="741"/>
      <c r="F612" s="741"/>
      <c r="G612" s="741"/>
      <c r="H612" s="741"/>
      <c r="I612" s="741"/>
      <c r="J612" s="741"/>
      <c r="K612" s="741"/>
      <c r="L612" s="741"/>
      <c r="M612" s="741"/>
      <c r="N612" s="741"/>
      <c r="O612" s="741"/>
      <c r="P612" s="741"/>
      <c r="Q612" s="741"/>
      <c r="R612" s="741"/>
      <c r="S612" s="741"/>
      <c r="T612" s="741"/>
      <c r="U612" s="741"/>
      <c r="V612" s="741"/>
      <c r="W612" s="741"/>
      <c r="X612" s="741"/>
      <c r="Y612" s="741"/>
      <c r="Z612" s="741"/>
      <c r="AA612" s="741"/>
      <c r="AB612" s="741"/>
      <c r="AC612" s="741"/>
      <c r="AD612" s="741"/>
      <c r="AE612" s="741"/>
      <c r="AF612" s="741"/>
      <c r="AG612" s="741"/>
      <c r="AH612" s="741"/>
      <c r="AI612" s="741"/>
      <c r="AJ612" s="741"/>
      <c r="AK612" s="741"/>
      <c r="AL612" s="741"/>
      <c r="AM612" s="741"/>
    </row>
    <row r="613" spans="1:39" ht="12.75" customHeight="1">
      <c r="A613" s="741"/>
      <c r="B613" s="741"/>
      <c r="C613" s="741"/>
      <c r="D613" s="741"/>
      <c r="E613" s="741"/>
      <c r="F613" s="741"/>
      <c r="G613" s="741"/>
      <c r="H613" s="741"/>
      <c r="I613" s="741"/>
      <c r="J613" s="741"/>
      <c r="K613" s="741"/>
      <c r="L613" s="741"/>
      <c r="M613" s="741"/>
      <c r="N613" s="741"/>
      <c r="O613" s="741"/>
      <c r="P613" s="741"/>
      <c r="Q613" s="741"/>
      <c r="R613" s="741"/>
      <c r="S613" s="741"/>
      <c r="T613" s="741"/>
      <c r="U613" s="741"/>
      <c r="V613" s="741"/>
      <c r="W613" s="741"/>
      <c r="X613" s="741"/>
      <c r="Y613" s="741"/>
      <c r="Z613" s="741"/>
      <c r="AA613" s="741"/>
      <c r="AB613" s="741"/>
      <c r="AC613" s="741"/>
      <c r="AD613" s="741"/>
      <c r="AE613" s="741"/>
      <c r="AF613" s="741"/>
      <c r="AG613" s="741"/>
      <c r="AH613" s="741"/>
      <c r="AI613" s="741"/>
      <c r="AJ613" s="741"/>
      <c r="AK613" s="741"/>
      <c r="AL613" s="741"/>
      <c r="AM613" s="741"/>
    </row>
    <row r="614" spans="1:39" ht="12.75" customHeight="1">
      <c r="A614" s="741"/>
      <c r="B614" s="741"/>
      <c r="C614" s="741"/>
      <c r="D614" s="741"/>
      <c r="E614" s="741"/>
      <c r="F614" s="741"/>
      <c r="G614" s="741"/>
      <c r="H614" s="741"/>
      <c r="I614" s="741"/>
      <c r="J614" s="741"/>
      <c r="K614" s="741"/>
      <c r="L614" s="741"/>
      <c r="M614" s="741"/>
      <c r="N614" s="741"/>
      <c r="O614" s="741"/>
      <c r="P614" s="741"/>
      <c r="Q614" s="741"/>
      <c r="R614" s="741"/>
      <c r="S614" s="741"/>
      <c r="T614" s="741"/>
      <c r="U614" s="741"/>
      <c r="V614" s="741"/>
      <c r="W614" s="741"/>
      <c r="X614" s="741"/>
      <c r="Y614" s="741"/>
      <c r="Z614" s="741"/>
      <c r="AA614" s="741"/>
      <c r="AB614" s="741"/>
      <c r="AC614" s="741"/>
      <c r="AD614" s="741"/>
      <c r="AE614" s="741"/>
      <c r="AF614" s="741"/>
      <c r="AG614" s="741"/>
      <c r="AH614" s="741"/>
      <c r="AI614" s="741"/>
      <c r="AJ614" s="741"/>
      <c r="AK614" s="741"/>
      <c r="AL614" s="741"/>
      <c r="AM614" s="741"/>
    </row>
    <row r="615" spans="1:39" ht="12.75" customHeight="1">
      <c r="A615" s="741"/>
      <c r="B615" s="741"/>
      <c r="C615" s="741"/>
      <c r="D615" s="741"/>
      <c r="E615" s="741"/>
      <c r="F615" s="741"/>
      <c r="G615" s="741"/>
      <c r="H615" s="741"/>
      <c r="I615" s="741"/>
      <c r="J615" s="741"/>
      <c r="K615" s="741"/>
      <c r="L615" s="741"/>
      <c r="M615" s="741"/>
      <c r="N615" s="741"/>
      <c r="O615" s="741"/>
      <c r="P615" s="741"/>
      <c r="Q615" s="741"/>
      <c r="R615" s="741"/>
      <c r="S615" s="741"/>
      <c r="T615" s="741"/>
      <c r="U615" s="741"/>
      <c r="V615" s="741"/>
      <c r="W615" s="741"/>
      <c r="X615" s="741"/>
      <c r="Y615" s="741"/>
      <c r="Z615" s="741"/>
      <c r="AA615" s="741"/>
      <c r="AB615" s="741"/>
      <c r="AC615" s="741"/>
      <c r="AD615" s="741"/>
      <c r="AE615" s="741"/>
      <c r="AF615" s="741"/>
      <c r="AG615" s="741"/>
      <c r="AH615" s="741"/>
      <c r="AI615" s="741"/>
      <c r="AJ615" s="741"/>
      <c r="AK615" s="741"/>
      <c r="AL615" s="741"/>
      <c r="AM615" s="741"/>
    </row>
    <row r="616" spans="1:39" ht="12.75" customHeight="1">
      <c r="A616" s="741"/>
      <c r="B616" s="741"/>
      <c r="C616" s="741"/>
      <c r="D616" s="741"/>
      <c r="E616" s="741"/>
      <c r="F616" s="741"/>
      <c r="G616" s="741"/>
      <c r="H616" s="741"/>
      <c r="I616" s="741"/>
      <c r="J616" s="741"/>
      <c r="K616" s="741"/>
      <c r="L616" s="741"/>
      <c r="M616" s="741"/>
      <c r="N616" s="741"/>
      <c r="O616" s="741"/>
      <c r="P616" s="741"/>
      <c r="Q616" s="741"/>
      <c r="R616" s="741"/>
      <c r="S616" s="741"/>
      <c r="T616" s="741"/>
      <c r="U616" s="741"/>
      <c r="V616" s="741"/>
      <c r="W616" s="741"/>
      <c r="X616" s="741"/>
      <c r="Y616" s="741"/>
      <c r="Z616" s="741"/>
      <c r="AA616" s="741"/>
      <c r="AB616" s="741"/>
      <c r="AC616" s="741"/>
      <c r="AD616" s="741"/>
      <c r="AE616" s="741"/>
      <c r="AF616" s="741"/>
      <c r="AG616" s="741"/>
      <c r="AH616" s="741"/>
      <c r="AI616" s="741"/>
      <c r="AJ616" s="741"/>
      <c r="AK616" s="741"/>
      <c r="AL616" s="741"/>
      <c r="AM616" s="741"/>
    </row>
    <row r="617" spans="1:39" ht="12.75" customHeight="1">
      <c r="A617" s="741"/>
      <c r="B617" s="741"/>
      <c r="C617" s="741"/>
      <c r="D617" s="741"/>
      <c r="E617" s="741"/>
      <c r="F617" s="741"/>
      <c r="G617" s="741"/>
      <c r="H617" s="741"/>
      <c r="I617" s="741"/>
      <c r="J617" s="741"/>
      <c r="K617" s="741"/>
      <c r="L617" s="741"/>
      <c r="M617" s="741"/>
      <c r="N617" s="741"/>
      <c r="O617" s="741"/>
      <c r="P617" s="741"/>
      <c r="Q617" s="741"/>
      <c r="R617" s="741"/>
      <c r="S617" s="741"/>
      <c r="T617" s="741"/>
      <c r="U617" s="741"/>
      <c r="V617" s="741"/>
      <c r="W617" s="741"/>
      <c r="X617" s="741"/>
      <c r="Y617" s="741"/>
      <c r="Z617" s="741"/>
      <c r="AA617" s="741"/>
      <c r="AB617" s="741"/>
      <c r="AC617" s="741"/>
      <c r="AD617" s="741"/>
      <c r="AE617" s="741"/>
      <c r="AF617" s="741"/>
      <c r="AG617" s="741"/>
      <c r="AH617" s="741"/>
      <c r="AI617" s="741"/>
      <c r="AJ617" s="741"/>
      <c r="AK617" s="741"/>
      <c r="AL617" s="741"/>
      <c r="AM617" s="741"/>
    </row>
    <row r="618" spans="1:39" ht="12.75" customHeight="1">
      <c r="A618" s="741"/>
      <c r="B618" s="741"/>
      <c r="C618" s="741"/>
      <c r="D618" s="741"/>
      <c r="E618" s="741"/>
      <c r="F618" s="741"/>
      <c r="G618" s="741"/>
      <c r="H618" s="741"/>
      <c r="I618" s="741"/>
      <c r="J618" s="741"/>
      <c r="K618" s="741"/>
      <c r="L618" s="741"/>
      <c r="M618" s="741"/>
      <c r="N618" s="741"/>
      <c r="O618" s="741"/>
      <c r="P618" s="741"/>
      <c r="Q618" s="741"/>
      <c r="R618" s="741"/>
      <c r="S618" s="741"/>
      <c r="T618" s="741"/>
      <c r="U618" s="741"/>
      <c r="V618" s="741"/>
      <c r="W618" s="741"/>
      <c r="X618" s="741"/>
      <c r="Y618" s="741"/>
      <c r="Z618" s="741"/>
      <c r="AA618" s="741"/>
      <c r="AB618" s="741"/>
      <c r="AC618" s="741"/>
      <c r="AD618" s="741"/>
      <c r="AE618" s="741"/>
      <c r="AF618" s="741"/>
      <c r="AG618" s="741"/>
      <c r="AH618" s="741"/>
      <c r="AI618" s="741"/>
      <c r="AJ618" s="741"/>
      <c r="AK618" s="741"/>
      <c r="AL618" s="741"/>
      <c r="AM618" s="741"/>
    </row>
    <row r="619" spans="1:39" ht="12.75" customHeight="1">
      <c r="A619" s="741"/>
      <c r="B619" s="741"/>
      <c r="C619" s="741"/>
      <c r="D619" s="741"/>
      <c r="E619" s="741"/>
      <c r="F619" s="741"/>
      <c r="G619" s="741"/>
      <c r="H619" s="741"/>
      <c r="I619" s="741"/>
      <c r="J619" s="741"/>
      <c r="K619" s="741"/>
      <c r="L619" s="741"/>
      <c r="M619" s="741"/>
      <c r="N619" s="741"/>
      <c r="O619" s="741"/>
      <c r="P619" s="741"/>
      <c r="Q619" s="741"/>
      <c r="R619" s="741"/>
      <c r="S619" s="741"/>
      <c r="T619" s="741"/>
      <c r="U619" s="741"/>
      <c r="V619" s="741"/>
      <c r="W619" s="741"/>
      <c r="X619" s="741"/>
      <c r="Y619" s="741"/>
      <c r="Z619" s="741"/>
      <c r="AA619" s="741"/>
      <c r="AB619" s="741"/>
      <c r="AC619" s="741"/>
      <c r="AD619" s="741"/>
      <c r="AE619" s="741"/>
      <c r="AF619" s="741"/>
      <c r="AG619" s="741"/>
      <c r="AH619" s="741"/>
      <c r="AI619" s="741"/>
      <c r="AJ619" s="741"/>
      <c r="AK619" s="741"/>
      <c r="AL619" s="741"/>
      <c r="AM619" s="741"/>
    </row>
    <row r="620" spans="1:39" ht="12.75" customHeight="1">
      <c r="A620" s="741"/>
      <c r="B620" s="741"/>
      <c r="C620" s="741"/>
      <c r="D620" s="741"/>
      <c r="E620" s="741"/>
      <c r="F620" s="741"/>
      <c r="G620" s="741"/>
      <c r="H620" s="741"/>
      <c r="I620" s="741"/>
      <c r="J620" s="741"/>
      <c r="K620" s="741"/>
      <c r="L620" s="741"/>
      <c r="M620" s="741"/>
      <c r="N620" s="741"/>
      <c r="O620" s="741"/>
      <c r="P620" s="741"/>
      <c r="Q620" s="741"/>
      <c r="R620" s="741"/>
      <c r="S620" s="741"/>
      <c r="T620" s="741"/>
      <c r="U620" s="741"/>
      <c r="V620" s="741"/>
      <c r="W620" s="741"/>
      <c r="X620" s="741"/>
      <c r="Y620" s="741"/>
      <c r="Z620" s="741"/>
      <c r="AA620" s="741"/>
      <c r="AB620" s="741"/>
      <c r="AC620" s="741"/>
      <c r="AD620" s="741"/>
      <c r="AE620" s="741"/>
      <c r="AF620" s="741"/>
      <c r="AG620" s="741"/>
      <c r="AH620" s="741"/>
      <c r="AI620" s="741"/>
      <c r="AJ620" s="741"/>
      <c r="AK620" s="741"/>
      <c r="AL620" s="741"/>
      <c r="AM620" s="741"/>
    </row>
    <row r="621" spans="1:39" ht="12.75" customHeight="1">
      <c r="A621" s="741"/>
      <c r="B621" s="741"/>
      <c r="C621" s="741"/>
      <c r="D621" s="741"/>
      <c r="E621" s="741"/>
      <c r="F621" s="741"/>
      <c r="G621" s="741"/>
      <c r="H621" s="741"/>
      <c r="I621" s="741"/>
      <c r="J621" s="741"/>
      <c r="K621" s="741"/>
      <c r="L621" s="741"/>
      <c r="M621" s="741"/>
      <c r="N621" s="741"/>
      <c r="O621" s="741"/>
      <c r="P621" s="741"/>
      <c r="Q621" s="741"/>
      <c r="R621" s="741"/>
      <c r="S621" s="741"/>
      <c r="T621" s="741"/>
      <c r="U621" s="741"/>
      <c r="V621" s="741"/>
      <c r="W621" s="741"/>
      <c r="X621" s="741"/>
      <c r="Y621" s="741"/>
      <c r="Z621" s="741"/>
      <c r="AA621" s="741"/>
      <c r="AB621" s="741"/>
      <c r="AC621" s="741"/>
      <c r="AD621" s="741"/>
      <c r="AE621" s="741"/>
      <c r="AF621" s="741"/>
      <c r="AG621" s="741"/>
      <c r="AH621" s="741"/>
      <c r="AI621" s="741"/>
      <c r="AJ621" s="741"/>
      <c r="AK621" s="741"/>
      <c r="AL621" s="741"/>
      <c r="AM621" s="741"/>
    </row>
    <row r="622" spans="1:39" ht="12.75" customHeight="1">
      <c r="A622" s="741"/>
      <c r="B622" s="741"/>
      <c r="C622" s="741"/>
      <c r="D622" s="741"/>
      <c r="E622" s="741"/>
      <c r="F622" s="741"/>
      <c r="G622" s="741"/>
      <c r="H622" s="741"/>
      <c r="I622" s="741"/>
      <c r="J622" s="741"/>
      <c r="K622" s="741"/>
      <c r="L622" s="741"/>
      <c r="M622" s="741"/>
      <c r="N622" s="741"/>
      <c r="O622" s="741"/>
      <c r="P622" s="741"/>
      <c r="Q622" s="741"/>
      <c r="R622" s="741"/>
      <c r="S622" s="741"/>
      <c r="T622" s="741"/>
      <c r="U622" s="741"/>
      <c r="V622" s="741"/>
      <c r="W622" s="741"/>
      <c r="X622" s="741"/>
      <c r="Y622" s="741"/>
      <c r="Z622" s="741"/>
      <c r="AA622" s="741"/>
      <c r="AB622" s="741"/>
      <c r="AC622" s="741"/>
      <c r="AD622" s="741"/>
      <c r="AE622" s="741"/>
      <c r="AF622" s="741"/>
      <c r="AG622" s="741"/>
      <c r="AH622" s="741"/>
      <c r="AI622" s="741"/>
      <c r="AJ622" s="741"/>
      <c r="AK622" s="741"/>
      <c r="AL622" s="741"/>
      <c r="AM622" s="741"/>
    </row>
    <row r="623" spans="1:39" ht="12.75" customHeight="1">
      <c r="A623" s="741"/>
      <c r="B623" s="741"/>
      <c r="C623" s="741"/>
      <c r="D623" s="741"/>
      <c r="E623" s="741"/>
      <c r="F623" s="741"/>
      <c r="G623" s="741"/>
      <c r="H623" s="741"/>
      <c r="I623" s="741"/>
      <c r="J623" s="741"/>
      <c r="K623" s="741"/>
      <c r="L623" s="741"/>
      <c r="M623" s="741"/>
      <c r="N623" s="741"/>
      <c r="O623" s="741"/>
      <c r="P623" s="741"/>
      <c r="Q623" s="741"/>
      <c r="R623" s="741"/>
      <c r="S623" s="741"/>
      <c r="T623" s="741"/>
      <c r="U623" s="741"/>
      <c r="V623" s="741"/>
      <c r="W623" s="741"/>
      <c r="X623" s="741"/>
      <c r="Y623" s="741"/>
      <c r="Z623" s="741"/>
      <c r="AA623" s="741"/>
      <c r="AB623" s="741"/>
      <c r="AC623" s="741"/>
      <c r="AD623" s="741"/>
      <c r="AE623" s="741"/>
      <c r="AF623" s="741"/>
      <c r="AG623" s="741"/>
      <c r="AH623" s="741"/>
      <c r="AI623" s="741"/>
      <c r="AJ623" s="741"/>
      <c r="AK623" s="741"/>
      <c r="AL623" s="741"/>
      <c r="AM623" s="741"/>
    </row>
    <row r="624" spans="1:39" ht="12.75" customHeight="1">
      <c r="A624" s="741"/>
      <c r="B624" s="741"/>
      <c r="C624" s="741"/>
      <c r="D624" s="741"/>
      <c r="E624" s="741"/>
      <c r="F624" s="741"/>
      <c r="G624" s="741"/>
      <c r="H624" s="741"/>
      <c r="I624" s="741"/>
      <c r="J624" s="741"/>
      <c r="K624" s="741"/>
      <c r="L624" s="741"/>
      <c r="M624" s="741"/>
      <c r="N624" s="741"/>
      <c r="O624" s="741"/>
      <c r="P624" s="741"/>
      <c r="Q624" s="741"/>
      <c r="R624" s="741"/>
      <c r="S624" s="741"/>
      <c r="T624" s="741"/>
      <c r="U624" s="741"/>
      <c r="V624" s="741"/>
      <c r="W624" s="741"/>
      <c r="X624" s="741"/>
      <c r="Y624" s="741"/>
      <c r="Z624" s="741"/>
      <c r="AA624" s="741"/>
      <c r="AB624" s="741"/>
      <c r="AC624" s="741"/>
      <c r="AD624" s="741"/>
      <c r="AE624" s="741"/>
      <c r="AF624" s="741"/>
      <c r="AG624" s="741"/>
      <c r="AH624" s="741"/>
      <c r="AI624" s="741"/>
      <c r="AJ624" s="741"/>
      <c r="AK624" s="741"/>
      <c r="AL624" s="741"/>
      <c r="AM624" s="741"/>
    </row>
    <row r="625" spans="1:39" ht="12.75" customHeight="1">
      <c r="A625" s="741"/>
      <c r="B625" s="741"/>
      <c r="C625" s="741"/>
      <c r="D625" s="741"/>
      <c r="E625" s="741"/>
      <c r="F625" s="741"/>
      <c r="G625" s="741"/>
      <c r="H625" s="741"/>
      <c r="I625" s="741"/>
      <c r="J625" s="741"/>
      <c r="K625" s="741"/>
      <c r="L625" s="741"/>
      <c r="M625" s="741"/>
      <c r="N625" s="741"/>
      <c r="O625" s="741"/>
      <c r="P625" s="741"/>
      <c r="Q625" s="741"/>
      <c r="R625" s="741"/>
      <c r="S625" s="741"/>
      <c r="T625" s="741"/>
      <c r="U625" s="741"/>
      <c r="V625" s="741"/>
      <c r="W625" s="741"/>
      <c r="X625" s="741"/>
      <c r="Y625" s="741"/>
      <c r="Z625" s="741"/>
      <c r="AA625" s="741"/>
      <c r="AB625" s="741"/>
      <c r="AC625" s="741"/>
      <c r="AD625" s="741"/>
      <c r="AE625" s="741"/>
      <c r="AF625" s="741"/>
      <c r="AG625" s="741"/>
      <c r="AH625" s="741"/>
      <c r="AI625" s="741"/>
      <c r="AJ625" s="741"/>
      <c r="AK625" s="741"/>
      <c r="AL625" s="741"/>
      <c r="AM625" s="741"/>
    </row>
    <row r="626" spans="1:39" ht="12.75" customHeight="1">
      <c r="A626" s="741"/>
      <c r="B626" s="741"/>
      <c r="C626" s="741"/>
      <c r="D626" s="741"/>
      <c r="E626" s="741"/>
      <c r="F626" s="741"/>
      <c r="G626" s="741"/>
      <c r="H626" s="741"/>
      <c r="I626" s="741"/>
      <c r="J626" s="741"/>
      <c r="K626" s="741"/>
      <c r="L626" s="741"/>
      <c r="M626" s="741"/>
      <c r="N626" s="741"/>
      <c r="O626" s="741"/>
      <c r="P626" s="741"/>
      <c r="Q626" s="741"/>
      <c r="R626" s="741"/>
      <c r="S626" s="741"/>
      <c r="T626" s="741"/>
      <c r="U626" s="741"/>
      <c r="V626" s="741"/>
      <c r="W626" s="741"/>
      <c r="X626" s="741"/>
      <c r="Y626" s="741"/>
      <c r="Z626" s="741"/>
      <c r="AA626" s="741"/>
      <c r="AB626" s="741"/>
      <c r="AC626" s="741"/>
      <c r="AD626" s="741"/>
      <c r="AE626" s="741"/>
      <c r="AF626" s="741"/>
      <c r="AG626" s="741"/>
      <c r="AH626" s="741"/>
      <c r="AI626" s="741"/>
      <c r="AJ626" s="741"/>
      <c r="AK626" s="741"/>
      <c r="AL626" s="741"/>
      <c r="AM626" s="741"/>
    </row>
    <row r="627" spans="1:39" ht="12.75" customHeight="1">
      <c r="A627" s="741"/>
      <c r="B627" s="741"/>
      <c r="C627" s="741"/>
      <c r="D627" s="741"/>
      <c r="E627" s="741"/>
      <c r="F627" s="741"/>
      <c r="G627" s="741"/>
      <c r="H627" s="741"/>
      <c r="I627" s="741"/>
      <c r="J627" s="741"/>
      <c r="K627" s="741"/>
      <c r="L627" s="741"/>
      <c r="M627" s="741"/>
      <c r="N627" s="741"/>
      <c r="O627" s="741"/>
      <c r="P627" s="741"/>
      <c r="Q627" s="741"/>
      <c r="R627" s="741"/>
      <c r="S627" s="741"/>
      <c r="T627" s="741"/>
      <c r="U627" s="741"/>
      <c r="V627" s="741"/>
      <c r="W627" s="741"/>
      <c r="X627" s="741"/>
      <c r="Y627" s="741"/>
      <c r="Z627" s="741"/>
      <c r="AA627" s="741"/>
      <c r="AB627" s="741"/>
      <c r="AC627" s="741"/>
      <c r="AD627" s="741"/>
      <c r="AE627" s="741"/>
      <c r="AF627" s="741"/>
      <c r="AG627" s="741"/>
      <c r="AH627" s="741"/>
      <c r="AI627" s="741"/>
      <c r="AJ627" s="741"/>
      <c r="AK627" s="741"/>
      <c r="AL627" s="741"/>
      <c r="AM627" s="741"/>
    </row>
    <row r="628" spans="1:39" ht="12.75" customHeight="1">
      <c r="A628" s="741"/>
      <c r="B628" s="741"/>
      <c r="C628" s="741"/>
      <c r="D628" s="741"/>
      <c r="E628" s="741"/>
      <c r="F628" s="741"/>
      <c r="G628" s="741"/>
      <c r="H628" s="741"/>
      <c r="I628" s="741"/>
      <c r="J628" s="741"/>
      <c r="K628" s="741"/>
      <c r="L628" s="741"/>
      <c r="M628" s="741"/>
      <c r="N628" s="741"/>
      <c r="O628" s="741"/>
      <c r="P628" s="741"/>
      <c r="Q628" s="741"/>
      <c r="R628" s="741"/>
      <c r="S628" s="741"/>
      <c r="T628" s="741"/>
      <c r="U628" s="741"/>
      <c r="V628" s="741"/>
      <c r="W628" s="741"/>
      <c r="X628" s="741"/>
      <c r="Y628" s="741"/>
      <c r="Z628" s="741"/>
      <c r="AA628" s="741"/>
      <c r="AB628" s="741"/>
      <c r="AC628" s="741"/>
      <c r="AD628" s="741"/>
      <c r="AE628" s="741"/>
      <c r="AF628" s="741"/>
      <c r="AG628" s="741"/>
      <c r="AH628" s="741"/>
      <c r="AI628" s="741"/>
      <c r="AJ628" s="741"/>
      <c r="AK628" s="741"/>
      <c r="AL628" s="741"/>
      <c r="AM628" s="741"/>
    </row>
    <row r="629" spans="1:39" ht="12.75" customHeight="1">
      <c r="A629" s="741"/>
      <c r="B629" s="741"/>
      <c r="C629" s="741"/>
      <c r="D629" s="741"/>
      <c r="E629" s="741"/>
      <c r="F629" s="741"/>
      <c r="G629" s="741"/>
      <c r="H629" s="741"/>
      <c r="I629" s="741"/>
      <c r="J629" s="741"/>
      <c r="K629" s="741"/>
      <c r="L629" s="741"/>
      <c r="M629" s="741"/>
      <c r="N629" s="741"/>
      <c r="O629" s="741"/>
      <c r="P629" s="741"/>
      <c r="Q629" s="741"/>
      <c r="R629" s="741"/>
      <c r="S629" s="741"/>
      <c r="T629" s="741"/>
      <c r="U629" s="741"/>
      <c r="V629" s="741"/>
      <c r="W629" s="741"/>
      <c r="X629" s="741"/>
      <c r="Y629" s="741"/>
      <c r="Z629" s="741"/>
      <c r="AA629" s="741"/>
      <c r="AB629" s="741"/>
      <c r="AC629" s="741"/>
      <c r="AD629" s="741"/>
      <c r="AE629" s="741"/>
      <c r="AF629" s="741"/>
      <c r="AG629" s="741"/>
      <c r="AH629" s="741"/>
      <c r="AI629" s="741"/>
      <c r="AJ629" s="741"/>
      <c r="AK629" s="741"/>
      <c r="AL629" s="741"/>
      <c r="AM629" s="741"/>
    </row>
    <row r="630" spans="1:39" ht="12.75" customHeight="1">
      <c r="A630" s="741"/>
      <c r="B630" s="741"/>
      <c r="C630" s="741"/>
      <c r="D630" s="741"/>
      <c r="E630" s="741"/>
      <c r="F630" s="741"/>
      <c r="G630" s="741"/>
      <c r="H630" s="741"/>
      <c r="I630" s="741"/>
      <c r="J630" s="741"/>
      <c r="K630" s="741"/>
      <c r="L630" s="741"/>
      <c r="M630" s="741"/>
      <c r="N630" s="741"/>
      <c r="O630" s="741"/>
      <c r="P630" s="741"/>
      <c r="Q630" s="741"/>
      <c r="R630" s="741"/>
      <c r="S630" s="741"/>
      <c r="T630" s="741"/>
      <c r="U630" s="741"/>
      <c r="V630" s="741"/>
      <c r="W630" s="741"/>
      <c r="X630" s="741"/>
      <c r="Y630" s="741"/>
      <c r="Z630" s="741"/>
      <c r="AA630" s="741"/>
      <c r="AB630" s="741"/>
      <c r="AC630" s="741"/>
      <c r="AD630" s="741"/>
      <c r="AE630" s="741"/>
      <c r="AF630" s="741"/>
      <c r="AG630" s="741"/>
      <c r="AH630" s="741"/>
      <c r="AI630" s="741"/>
      <c r="AJ630" s="741"/>
      <c r="AK630" s="741"/>
      <c r="AL630" s="741"/>
      <c r="AM630" s="741"/>
    </row>
    <row r="631" spans="1:39" ht="12.75" customHeight="1">
      <c r="A631" s="741"/>
      <c r="B631" s="741"/>
      <c r="C631" s="741"/>
      <c r="D631" s="741"/>
      <c r="E631" s="741"/>
      <c r="F631" s="741"/>
      <c r="G631" s="741"/>
      <c r="H631" s="741"/>
      <c r="I631" s="741"/>
      <c r="J631" s="741"/>
      <c r="K631" s="741"/>
      <c r="L631" s="741"/>
      <c r="M631" s="741"/>
      <c r="N631" s="741"/>
      <c r="O631" s="741"/>
      <c r="P631" s="741"/>
      <c r="Q631" s="741"/>
      <c r="R631" s="741"/>
      <c r="S631" s="741"/>
      <c r="T631" s="741"/>
      <c r="U631" s="741"/>
      <c r="V631" s="741"/>
      <c r="W631" s="741"/>
      <c r="X631" s="741"/>
      <c r="Y631" s="741"/>
      <c r="Z631" s="741"/>
      <c r="AA631" s="741"/>
      <c r="AB631" s="741"/>
      <c r="AC631" s="741"/>
      <c r="AD631" s="741"/>
      <c r="AE631" s="741"/>
      <c r="AF631" s="741"/>
      <c r="AG631" s="741"/>
      <c r="AH631" s="741"/>
      <c r="AI631" s="741"/>
      <c r="AJ631" s="741"/>
      <c r="AK631" s="741"/>
      <c r="AL631" s="741"/>
      <c r="AM631" s="741"/>
    </row>
    <row r="632" spans="1:39" ht="12.75" customHeight="1">
      <c r="A632" s="741"/>
      <c r="B632" s="741"/>
      <c r="C632" s="741"/>
      <c r="D632" s="741"/>
      <c r="E632" s="741"/>
      <c r="F632" s="741"/>
      <c r="G632" s="741"/>
      <c r="H632" s="741"/>
      <c r="I632" s="741"/>
      <c r="J632" s="741"/>
      <c r="K632" s="741"/>
      <c r="L632" s="741"/>
      <c r="M632" s="741"/>
      <c r="N632" s="741"/>
      <c r="O632" s="741"/>
      <c r="P632" s="741"/>
      <c r="Q632" s="741"/>
      <c r="R632" s="741"/>
      <c r="S632" s="741"/>
      <c r="T632" s="741"/>
      <c r="U632" s="741"/>
      <c r="V632" s="741"/>
      <c r="W632" s="741"/>
      <c r="X632" s="741"/>
      <c r="Y632" s="741"/>
      <c r="Z632" s="741"/>
      <c r="AA632" s="741"/>
      <c r="AB632" s="741"/>
      <c r="AC632" s="741"/>
      <c r="AD632" s="741"/>
      <c r="AE632" s="741"/>
      <c r="AF632" s="741"/>
      <c r="AG632" s="741"/>
      <c r="AH632" s="741"/>
      <c r="AI632" s="741"/>
      <c r="AJ632" s="741"/>
      <c r="AK632" s="741"/>
      <c r="AL632" s="741"/>
      <c r="AM632" s="741"/>
    </row>
    <row r="633" spans="1:39" ht="12.75" customHeight="1">
      <c r="A633" s="741"/>
      <c r="B633" s="741"/>
      <c r="C633" s="741"/>
      <c r="D633" s="741"/>
      <c r="E633" s="741"/>
      <c r="F633" s="741"/>
      <c r="G633" s="741"/>
      <c r="H633" s="741"/>
      <c r="I633" s="741"/>
      <c r="J633" s="741"/>
      <c r="K633" s="741"/>
      <c r="L633" s="741"/>
      <c r="M633" s="741"/>
      <c r="N633" s="741"/>
      <c r="O633" s="741"/>
      <c r="P633" s="741"/>
      <c r="Q633" s="741"/>
      <c r="R633" s="741"/>
      <c r="S633" s="741"/>
      <c r="T633" s="741"/>
      <c r="U633" s="741"/>
      <c r="V633" s="741"/>
      <c r="W633" s="741"/>
      <c r="X633" s="741"/>
      <c r="Y633" s="741"/>
      <c r="Z633" s="741"/>
      <c r="AA633" s="741"/>
      <c r="AB633" s="741"/>
      <c r="AC633" s="741"/>
      <c r="AD633" s="741"/>
      <c r="AE633" s="741"/>
      <c r="AF633" s="741"/>
      <c r="AG633" s="741"/>
      <c r="AH633" s="741"/>
      <c r="AI633" s="741"/>
      <c r="AJ633" s="741"/>
      <c r="AK633" s="741"/>
      <c r="AL633" s="741"/>
      <c r="AM633" s="741"/>
    </row>
    <row r="634" spans="1:39" ht="12.75" customHeight="1">
      <c r="A634" s="741"/>
      <c r="B634" s="741"/>
      <c r="C634" s="741"/>
      <c r="D634" s="741"/>
      <c r="E634" s="741"/>
      <c r="F634" s="741"/>
      <c r="G634" s="741"/>
      <c r="H634" s="741"/>
      <c r="I634" s="741"/>
      <c r="J634" s="741"/>
      <c r="K634" s="741"/>
      <c r="L634" s="741"/>
      <c r="M634" s="741"/>
      <c r="N634" s="741"/>
      <c r="O634" s="741"/>
      <c r="P634" s="741"/>
      <c r="Q634" s="741"/>
      <c r="R634" s="741"/>
      <c r="S634" s="741"/>
      <c r="T634" s="741"/>
      <c r="U634" s="741"/>
      <c r="V634" s="741"/>
      <c r="W634" s="741"/>
      <c r="X634" s="741"/>
      <c r="Y634" s="741"/>
      <c r="Z634" s="741"/>
      <c r="AA634" s="741"/>
      <c r="AB634" s="741"/>
      <c r="AC634" s="741"/>
      <c r="AD634" s="741"/>
      <c r="AE634" s="741"/>
      <c r="AF634" s="741"/>
      <c r="AG634" s="741"/>
      <c r="AH634" s="741"/>
      <c r="AI634" s="741"/>
      <c r="AJ634" s="741"/>
      <c r="AK634" s="741"/>
      <c r="AL634" s="741"/>
      <c r="AM634" s="741"/>
    </row>
    <row r="635" spans="1:39" ht="12.75" customHeight="1">
      <c r="A635" s="741"/>
      <c r="B635" s="741"/>
      <c r="C635" s="741"/>
      <c r="D635" s="741"/>
      <c r="E635" s="741"/>
      <c r="F635" s="741"/>
      <c r="G635" s="741"/>
      <c r="H635" s="741"/>
      <c r="I635" s="741"/>
      <c r="J635" s="741"/>
      <c r="K635" s="741"/>
      <c r="L635" s="741"/>
      <c r="M635" s="741"/>
      <c r="N635" s="741"/>
      <c r="O635" s="741"/>
      <c r="P635" s="741"/>
      <c r="Q635" s="741"/>
      <c r="R635" s="741"/>
      <c r="S635" s="741"/>
      <c r="T635" s="741"/>
      <c r="U635" s="741"/>
      <c r="V635" s="741"/>
      <c r="W635" s="741"/>
      <c r="X635" s="741"/>
      <c r="Y635" s="741"/>
      <c r="Z635" s="741"/>
      <c r="AA635" s="741"/>
      <c r="AB635" s="741"/>
      <c r="AC635" s="741"/>
      <c r="AD635" s="741"/>
      <c r="AE635" s="741"/>
      <c r="AF635" s="741"/>
      <c r="AG635" s="741"/>
      <c r="AH635" s="741"/>
      <c r="AI635" s="741"/>
      <c r="AJ635" s="741"/>
      <c r="AK635" s="741"/>
      <c r="AL635" s="741"/>
      <c r="AM635" s="741"/>
    </row>
    <row r="636" spans="1:39" ht="12.75" customHeight="1">
      <c r="A636" s="741"/>
      <c r="B636" s="741"/>
      <c r="C636" s="741"/>
      <c r="D636" s="741"/>
      <c r="E636" s="741"/>
      <c r="F636" s="741"/>
      <c r="G636" s="741"/>
      <c r="H636" s="741"/>
      <c r="I636" s="741"/>
      <c r="J636" s="741"/>
      <c r="K636" s="741"/>
      <c r="L636" s="741"/>
      <c r="M636" s="741"/>
      <c r="N636" s="741"/>
      <c r="O636" s="741"/>
      <c r="P636" s="741"/>
      <c r="Q636" s="741"/>
      <c r="R636" s="741"/>
      <c r="S636" s="741"/>
      <c r="T636" s="741"/>
      <c r="U636" s="741"/>
      <c r="V636" s="741"/>
      <c r="W636" s="741"/>
      <c r="X636" s="741"/>
      <c r="Y636" s="741"/>
      <c r="Z636" s="741"/>
      <c r="AA636" s="741"/>
      <c r="AB636" s="741"/>
      <c r="AC636" s="741"/>
      <c r="AD636" s="741"/>
      <c r="AE636" s="741"/>
      <c r="AF636" s="741"/>
      <c r="AG636" s="741"/>
      <c r="AH636" s="741"/>
      <c r="AI636" s="741"/>
      <c r="AJ636" s="741"/>
      <c r="AK636" s="741"/>
      <c r="AL636" s="741"/>
      <c r="AM636" s="741"/>
    </row>
    <row r="637" spans="1:39" ht="12.75" customHeight="1">
      <c r="A637" s="741"/>
      <c r="B637" s="741"/>
      <c r="C637" s="741"/>
      <c r="D637" s="741"/>
      <c r="E637" s="741"/>
      <c r="F637" s="741"/>
      <c r="G637" s="741"/>
      <c r="H637" s="741"/>
      <c r="I637" s="741"/>
      <c r="J637" s="741"/>
      <c r="K637" s="741"/>
      <c r="L637" s="741"/>
      <c r="M637" s="741"/>
      <c r="N637" s="741"/>
      <c r="O637" s="741"/>
      <c r="P637" s="741"/>
      <c r="Q637" s="741"/>
      <c r="R637" s="741"/>
      <c r="S637" s="741"/>
      <c r="T637" s="741"/>
      <c r="U637" s="741"/>
      <c r="V637" s="741"/>
      <c r="W637" s="741"/>
      <c r="X637" s="741"/>
      <c r="Y637" s="741"/>
      <c r="Z637" s="741"/>
      <c r="AA637" s="741"/>
      <c r="AB637" s="741"/>
      <c r="AC637" s="741"/>
      <c r="AD637" s="741"/>
      <c r="AE637" s="741"/>
      <c r="AF637" s="741"/>
      <c r="AG637" s="741"/>
      <c r="AH637" s="741"/>
      <c r="AI637" s="741"/>
      <c r="AJ637" s="741"/>
      <c r="AK637" s="741"/>
      <c r="AL637" s="741"/>
      <c r="AM637" s="741"/>
    </row>
    <row r="638" spans="1:39" ht="12.75" customHeight="1">
      <c r="A638" s="741"/>
      <c r="B638" s="741"/>
      <c r="C638" s="741"/>
      <c r="D638" s="741"/>
      <c r="E638" s="741"/>
      <c r="F638" s="741"/>
      <c r="G638" s="741"/>
      <c r="H638" s="741"/>
      <c r="I638" s="741"/>
      <c r="J638" s="741"/>
      <c r="K638" s="741"/>
      <c r="L638" s="741"/>
      <c r="M638" s="741"/>
      <c r="N638" s="741"/>
      <c r="O638" s="741"/>
      <c r="P638" s="741"/>
      <c r="Q638" s="741"/>
      <c r="R638" s="741"/>
      <c r="S638" s="741"/>
      <c r="T638" s="741"/>
      <c r="U638" s="741"/>
      <c r="V638" s="741"/>
      <c r="W638" s="741"/>
      <c r="X638" s="741"/>
      <c r="Y638" s="741"/>
      <c r="Z638" s="741"/>
      <c r="AA638" s="741"/>
      <c r="AB638" s="741"/>
      <c r="AC638" s="741"/>
      <c r="AD638" s="741"/>
      <c r="AE638" s="741"/>
      <c r="AF638" s="741"/>
      <c r="AG638" s="741"/>
      <c r="AH638" s="741"/>
      <c r="AI638" s="741"/>
      <c r="AJ638" s="741"/>
      <c r="AK638" s="741"/>
      <c r="AL638" s="741"/>
      <c r="AM638" s="741"/>
    </row>
    <row r="639" spans="1:39" ht="12.75" customHeight="1">
      <c r="A639" s="741"/>
      <c r="B639" s="741"/>
      <c r="C639" s="741"/>
      <c r="D639" s="741"/>
      <c r="E639" s="741"/>
      <c r="F639" s="741"/>
      <c r="G639" s="741"/>
      <c r="H639" s="741"/>
      <c r="I639" s="741"/>
      <c r="J639" s="741"/>
      <c r="K639" s="741"/>
      <c r="L639" s="741"/>
      <c r="M639" s="741"/>
      <c r="N639" s="741"/>
      <c r="O639" s="741"/>
      <c r="P639" s="741"/>
      <c r="Q639" s="741"/>
      <c r="R639" s="741"/>
      <c r="S639" s="741"/>
      <c r="T639" s="741"/>
      <c r="U639" s="741"/>
      <c r="V639" s="741"/>
      <c r="W639" s="741"/>
      <c r="X639" s="741"/>
      <c r="Y639" s="741"/>
      <c r="Z639" s="741"/>
      <c r="AA639" s="741"/>
      <c r="AB639" s="741"/>
      <c r="AC639" s="741"/>
      <c r="AD639" s="741"/>
      <c r="AE639" s="741"/>
      <c r="AF639" s="741"/>
      <c r="AG639" s="741"/>
      <c r="AH639" s="741"/>
      <c r="AI639" s="741"/>
      <c r="AJ639" s="741"/>
      <c r="AK639" s="741"/>
      <c r="AL639" s="741"/>
      <c r="AM639" s="741"/>
    </row>
    <row r="640" spans="1:39" ht="12.75" customHeight="1">
      <c r="A640" s="741"/>
      <c r="B640" s="741"/>
      <c r="C640" s="741"/>
      <c r="D640" s="741"/>
      <c r="E640" s="741"/>
      <c r="F640" s="741"/>
      <c r="G640" s="741"/>
      <c r="H640" s="741"/>
      <c r="I640" s="741"/>
      <c r="J640" s="741"/>
      <c r="K640" s="741"/>
      <c r="L640" s="741"/>
      <c r="M640" s="741"/>
      <c r="N640" s="741"/>
      <c r="O640" s="741"/>
      <c r="P640" s="741"/>
      <c r="Q640" s="741"/>
      <c r="R640" s="741"/>
      <c r="S640" s="741"/>
      <c r="T640" s="741"/>
      <c r="U640" s="741"/>
      <c r="V640" s="741"/>
      <c r="W640" s="741"/>
      <c r="X640" s="741"/>
      <c r="Y640" s="741"/>
      <c r="Z640" s="741"/>
      <c r="AA640" s="741"/>
      <c r="AB640" s="741"/>
      <c r="AC640" s="741"/>
      <c r="AD640" s="741"/>
      <c r="AE640" s="741"/>
      <c r="AF640" s="741"/>
      <c r="AG640" s="741"/>
      <c r="AH640" s="741"/>
      <c r="AI640" s="741"/>
      <c r="AJ640" s="741"/>
      <c r="AK640" s="741"/>
      <c r="AL640" s="741"/>
      <c r="AM640" s="741"/>
    </row>
    <row r="641" spans="1:39" ht="12.75" customHeight="1">
      <c r="A641" s="741"/>
      <c r="B641" s="741"/>
      <c r="C641" s="741"/>
      <c r="D641" s="741"/>
      <c r="E641" s="741"/>
      <c r="F641" s="741"/>
      <c r="G641" s="741"/>
      <c r="H641" s="741"/>
      <c r="I641" s="741"/>
      <c r="J641" s="741"/>
      <c r="K641" s="741"/>
      <c r="L641" s="741"/>
      <c r="M641" s="741"/>
      <c r="N641" s="741"/>
      <c r="O641" s="741"/>
      <c r="P641" s="741"/>
      <c r="Q641" s="741"/>
      <c r="R641" s="741"/>
      <c r="S641" s="741"/>
      <c r="T641" s="741"/>
      <c r="U641" s="741"/>
      <c r="V641" s="741"/>
      <c r="W641" s="741"/>
      <c r="X641" s="741"/>
      <c r="Y641" s="741"/>
      <c r="Z641" s="741"/>
      <c r="AA641" s="741"/>
      <c r="AB641" s="741"/>
      <c r="AC641" s="741"/>
      <c r="AD641" s="741"/>
      <c r="AE641" s="741"/>
      <c r="AF641" s="741"/>
      <c r="AG641" s="741"/>
      <c r="AH641" s="741"/>
      <c r="AI641" s="741"/>
      <c r="AJ641" s="741"/>
      <c r="AK641" s="741"/>
      <c r="AL641" s="741"/>
      <c r="AM641" s="741"/>
    </row>
    <row r="642" spans="1:39" ht="12.75" customHeight="1">
      <c r="A642" s="741"/>
      <c r="B642" s="741"/>
      <c r="C642" s="741"/>
      <c r="D642" s="741"/>
      <c r="E642" s="741"/>
      <c r="F642" s="741"/>
      <c r="G642" s="741"/>
      <c r="H642" s="741"/>
      <c r="I642" s="741"/>
      <c r="J642" s="741"/>
      <c r="K642" s="741"/>
      <c r="L642" s="741"/>
      <c r="M642" s="741"/>
      <c r="N642" s="741"/>
      <c r="O642" s="741"/>
      <c r="P642" s="741"/>
      <c r="Q642" s="741"/>
      <c r="R642" s="741"/>
      <c r="S642" s="741"/>
      <c r="T642" s="741"/>
      <c r="U642" s="741"/>
      <c r="V642" s="741"/>
      <c r="W642" s="741"/>
      <c r="X642" s="741"/>
      <c r="Y642" s="741"/>
      <c r="Z642" s="741"/>
      <c r="AA642" s="741"/>
      <c r="AB642" s="741"/>
      <c r="AC642" s="741"/>
      <c r="AD642" s="741"/>
      <c r="AE642" s="741"/>
      <c r="AF642" s="741"/>
      <c r="AG642" s="741"/>
      <c r="AH642" s="741"/>
      <c r="AI642" s="741"/>
      <c r="AJ642" s="741"/>
      <c r="AK642" s="741"/>
      <c r="AL642" s="741"/>
      <c r="AM642" s="741"/>
    </row>
    <row r="643" spans="1:39" ht="12.75" customHeight="1">
      <c r="A643" s="741"/>
      <c r="B643" s="741"/>
      <c r="C643" s="741"/>
      <c r="D643" s="741"/>
      <c r="E643" s="741"/>
      <c r="F643" s="741"/>
      <c r="G643" s="741"/>
      <c r="H643" s="741"/>
      <c r="I643" s="741"/>
      <c r="J643" s="741"/>
      <c r="K643" s="741"/>
      <c r="L643" s="741"/>
      <c r="M643" s="741"/>
      <c r="N643" s="741"/>
      <c r="O643" s="741"/>
      <c r="P643" s="741"/>
      <c r="Q643" s="741"/>
      <c r="R643" s="741"/>
      <c r="S643" s="741"/>
      <c r="T643" s="741"/>
      <c r="U643" s="741"/>
      <c r="V643" s="741"/>
      <c r="W643" s="741"/>
      <c r="X643" s="741"/>
      <c r="Y643" s="741"/>
      <c r="Z643" s="741"/>
      <c r="AA643" s="741"/>
      <c r="AB643" s="741"/>
      <c r="AC643" s="741"/>
      <c r="AD643" s="741"/>
      <c r="AE643" s="741"/>
      <c r="AF643" s="741"/>
      <c r="AG643" s="741"/>
      <c r="AH643" s="741"/>
      <c r="AI643" s="741"/>
      <c r="AJ643" s="741"/>
      <c r="AK643" s="741"/>
      <c r="AL643" s="741"/>
      <c r="AM643" s="741"/>
    </row>
    <row r="644" spans="1:39" ht="12.75" customHeight="1">
      <c r="A644" s="741"/>
      <c r="B644" s="741"/>
      <c r="C644" s="741"/>
      <c r="D644" s="741"/>
      <c r="E644" s="741"/>
      <c r="F644" s="741"/>
      <c r="G644" s="741"/>
      <c r="H644" s="741"/>
      <c r="I644" s="741"/>
      <c r="J644" s="741"/>
      <c r="K644" s="741"/>
      <c r="L644" s="741"/>
      <c r="M644" s="741"/>
      <c r="N644" s="741"/>
      <c r="O644" s="741"/>
      <c r="P644" s="741"/>
      <c r="Q644" s="741"/>
      <c r="R644" s="741"/>
      <c r="S644" s="741"/>
      <c r="T644" s="741"/>
      <c r="U644" s="741"/>
      <c r="V644" s="741"/>
      <c r="W644" s="741"/>
      <c r="X644" s="741"/>
      <c r="Y644" s="741"/>
      <c r="Z644" s="741"/>
      <c r="AA644" s="741"/>
      <c r="AB644" s="741"/>
      <c r="AC644" s="741"/>
      <c r="AD644" s="741"/>
      <c r="AE644" s="741"/>
      <c r="AF644" s="741"/>
      <c r="AG644" s="741"/>
      <c r="AH644" s="741"/>
      <c r="AI644" s="741"/>
      <c r="AJ644" s="741"/>
      <c r="AK644" s="741"/>
      <c r="AL644" s="741"/>
      <c r="AM644" s="741"/>
    </row>
    <row r="645" spans="1:39" ht="12.75" customHeight="1">
      <c r="A645" s="741"/>
      <c r="B645" s="741"/>
      <c r="C645" s="741"/>
      <c r="D645" s="741"/>
      <c r="E645" s="741"/>
      <c r="F645" s="741"/>
      <c r="G645" s="741"/>
      <c r="H645" s="741"/>
      <c r="I645" s="741"/>
      <c r="J645" s="741"/>
      <c r="K645" s="741"/>
      <c r="L645" s="741"/>
      <c r="M645" s="741"/>
      <c r="N645" s="741"/>
      <c r="O645" s="741"/>
      <c r="P645" s="741"/>
      <c r="Q645" s="741"/>
      <c r="R645" s="741"/>
      <c r="S645" s="741"/>
      <c r="T645" s="741"/>
      <c r="U645" s="741"/>
      <c r="V645" s="741"/>
      <c r="W645" s="741"/>
      <c r="X645" s="741"/>
      <c r="Y645" s="741"/>
      <c r="Z645" s="741"/>
      <c r="AA645" s="741"/>
      <c r="AB645" s="741"/>
      <c r="AC645" s="741"/>
      <c r="AD645" s="741"/>
      <c r="AE645" s="741"/>
      <c r="AF645" s="741"/>
      <c r="AG645" s="741"/>
      <c r="AH645" s="741"/>
      <c r="AI645" s="741"/>
      <c r="AJ645" s="741"/>
      <c r="AK645" s="741"/>
      <c r="AL645" s="741"/>
      <c r="AM645" s="741"/>
    </row>
    <row r="646" spans="1:39" ht="12.75" customHeight="1">
      <c r="A646" s="741"/>
      <c r="B646" s="741"/>
      <c r="C646" s="741"/>
      <c r="D646" s="741"/>
      <c r="E646" s="741"/>
      <c r="F646" s="741"/>
      <c r="G646" s="741"/>
      <c r="H646" s="741"/>
      <c r="I646" s="741"/>
      <c r="J646" s="741"/>
      <c r="K646" s="741"/>
      <c r="L646" s="741"/>
      <c r="M646" s="741"/>
      <c r="N646" s="741"/>
      <c r="O646" s="741"/>
      <c r="P646" s="741"/>
      <c r="Q646" s="741"/>
      <c r="R646" s="741"/>
      <c r="S646" s="741"/>
      <c r="T646" s="741"/>
      <c r="U646" s="741"/>
      <c r="V646" s="741"/>
      <c r="W646" s="741"/>
      <c r="X646" s="741"/>
      <c r="Y646" s="741"/>
      <c r="Z646" s="741"/>
      <c r="AA646" s="741"/>
      <c r="AB646" s="741"/>
      <c r="AC646" s="741"/>
      <c r="AD646" s="741"/>
      <c r="AE646" s="741"/>
      <c r="AF646" s="741"/>
      <c r="AG646" s="741"/>
      <c r="AH646" s="741"/>
      <c r="AI646" s="741"/>
      <c r="AJ646" s="741"/>
      <c r="AK646" s="741"/>
      <c r="AL646" s="741"/>
      <c r="AM646" s="741"/>
    </row>
    <row r="647" spans="1:39" ht="12.75" customHeight="1">
      <c r="A647" s="741"/>
      <c r="B647" s="741"/>
      <c r="C647" s="741"/>
      <c r="D647" s="741"/>
      <c r="E647" s="741"/>
      <c r="F647" s="741"/>
      <c r="G647" s="741"/>
      <c r="H647" s="741"/>
      <c r="I647" s="741"/>
      <c r="J647" s="741"/>
      <c r="K647" s="741"/>
      <c r="L647" s="741"/>
      <c r="M647" s="741"/>
      <c r="N647" s="741"/>
      <c r="O647" s="741"/>
      <c r="P647" s="741"/>
      <c r="Q647" s="741"/>
      <c r="R647" s="741"/>
      <c r="S647" s="741"/>
      <c r="T647" s="741"/>
      <c r="U647" s="741"/>
      <c r="V647" s="741"/>
      <c r="W647" s="741"/>
      <c r="X647" s="741"/>
      <c r="Y647" s="741"/>
      <c r="Z647" s="741"/>
      <c r="AA647" s="741"/>
      <c r="AB647" s="741"/>
      <c r="AC647" s="741"/>
      <c r="AD647" s="741"/>
      <c r="AE647" s="741"/>
      <c r="AF647" s="741"/>
      <c r="AG647" s="741"/>
      <c r="AH647" s="741"/>
      <c r="AI647" s="741"/>
      <c r="AJ647" s="741"/>
      <c r="AK647" s="741"/>
      <c r="AL647" s="741"/>
      <c r="AM647" s="741"/>
    </row>
    <row r="648" spans="1:39" ht="12.75" customHeight="1">
      <c r="A648" s="741"/>
      <c r="B648" s="741"/>
      <c r="C648" s="741"/>
      <c r="D648" s="741"/>
      <c r="E648" s="741"/>
      <c r="F648" s="741"/>
      <c r="G648" s="741"/>
      <c r="H648" s="741"/>
      <c r="I648" s="741"/>
      <c r="J648" s="741"/>
      <c r="K648" s="741"/>
      <c r="L648" s="741"/>
      <c r="M648" s="741"/>
      <c r="N648" s="741"/>
      <c r="O648" s="741"/>
      <c r="P648" s="741"/>
      <c r="Q648" s="741"/>
      <c r="R648" s="741"/>
      <c r="S648" s="741"/>
      <c r="T648" s="741"/>
      <c r="U648" s="741"/>
      <c r="V648" s="741"/>
      <c r="W648" s="741"/>
      <c r="X648" s="741"/>
      <c r="Y648" s="741"/>
      <c r="Z648" s="741"/>
      <c r="AA648" s="741"/>
      <c r="AB648" s="741"/>
      <c r="AC648" s="741"/>
      <c r="AD648" s="741"/>
      <c r="AE648" s="741"/>
      <c r="AF648" s="741"/>
      <c r="AG648" s="741"/>
      <c r="AH648" s="741"/>
      <c r="AI648" s="741"/>
      <c r="AJ648" s="741"/>
      <c r="AK648" s="741"/>
      <c r="AL648" s="741"/>
      <c r="AM648" s="741"/>
    </row>
    <row r="649" spans="1:39" ht="12.75" customHeight="1">
      <c r="A649" s="741"/>
      <c r="B649" s="741"/>
      <c r="C649" s="741"/>
      <c r="D649" s="741"/>
      <c r="E649" s="741"/>
      <c r="F649" s="741"/>
      <c r="G649" s="741"/>
      <c r="H649" s="741"/>
      <c r="I649" s="741"/>
      <c r="J649" s="741"/>
      <c r="K649" s="741"/>
      <c r="L649" s="741"/>
      <c r="M649" s="741"/>
      <c r="N649" s="741"/>
      <c r="O649" s="741"/>
      <c r="P649" s="741"/>
      <c r="Q649" s="741"/>
      <c r="R649" s="741"/>
      <c r="S649" s="741"/>
      <c r="T649" s="741"/>
      <c r="U649" s="741"/>
      <c r="V649" s="741"/>
      <c r="W649" s="741"/>
      <c r="X649" s="741"/>
      <c r="Y649" s="741"/>
      <c r="Z649" s="741"/>
      <c r="AA649" s="741"/>
      <c r="AB649" s="741"/>
      <c r="AC649" s="741"/>
      <c r="AD649" s="741"/>
      <c r="AE649" s="741"/>
      <c r="AF649" s="741"/>
      <c r="AG649" s="741"/>
      <c r="AH649" s="741"/>
      <c r="AI649" s="741"/>
      <c r="AJ649" s="741"/>
      <c r="AK649" s="741"/>
      <c r="AL649" s="741"/>
      <c r="AM649" s="741"/>
    </row>
    <row r="650" spans="1:39" ht="12.75" customHeight="1">
      <c r="A650" s="741"/>
      <c r="B650" s="741"/>
      <c r="C650" s="741"/>
      <c r="D650" s="741"/>
      <c r="E650" s="741"/>
      <c r="F650" s="741"/>
      <c r="G650" s="741"/>
      <c r="H650" s="741"/>
      <c r="I650" s="741"/>
      <c r="J650" s="741"/>
      <c r="K650" s="741"/>
      <c r="L650" s="741"/>
      <c r="M650" s="741"/>
      <c r="N650" s="741"/>
      <c r="O650" s="741"/>
      <c r="P650" s="741"/>
      <c r="Q650" s="741"/>
      <c r="R650" s="741"/>
      <c r="S650" s="741"/>
      <c r="T650" s="741"/>
      <c r="U650" s="741"/>
      <c r="V650" s="741"/>
      <c r="W650" s="741"/>
      <c r="X650" s="741"/>
      <c r="Y650" s="741"/>
      <c r="Z650" s="741"/>
      <c r="AA650" s="741"/>
      <c r="AB650" s="741"/>
      <c r="AC650" s="741"/>
      <c r="AD650" s="741"/>
      <c r="AE650" s="741"/>
      <c r="AF650" s="741"/>
      <c r="AG650" s="741"/>
      <c r="AH650" s="741"/>
      <c r="AI650" s="741"/>
      <c r="AJ650" s="741"/>
      <c r="AK650" s="741"/>
      <c r="AL650" s="741"/>
      <c r="AM650" s="741"/>
    </row>
    <row r="651" spans="1:39" ht="12.75" customHeight="1">
      <c r="A651" s="741"/>
      <c r="B651" s="741"/>
      <c r="C651" s="741"/>
      <c r="D651" s="741"/>
      <c r="E651" s="741"/>
      <c r="F651" s="741"/>
      <c r="G651" s="741"/>
      <c r="H651" s="741"/>
      <c r="I651" s="741"/>
      <c r="J651" s="741"/>
      <c r="K651" s="741"/>
      <c r="L651" s="741"/>
      <c r="M651" s="741"/>
      <c r="N651" s="741"/>
      <c r="O651" s="741"/>
      <c r="P651" s="741"/>
      <c r="Q651" s="741"/>
      <c r="R651" s="741"/>
      <c r="S651" s="741"/>
      <c r="T651" s="741"/>
      <c r="U651" s="741"/>
      <c r="V651" s="741"/>
      <c r="W651" s="741"/>
      <c r="X651" s="741"/>
      <c r="Y651" s="741"/>
      <c r="Z651" s="741"/>
      <c r="AA651" s="741"/>
      <c r="AB651" s="741"/>
      <c r="AC651" s="741"/>
      <c r="AD651" s="741"/>
      <c r="AE651" s="741"/>
      <c r="AF651" s="741"/>
      <c r="AG651" s="741"/>
      <c r="AH651" s="741"/>
      <c r="AI651" s="741"/>
      <c r="AJ651" s="741"/>
      <c r="AK651" s="741"/>
      <c r="AL651" s="741"/>
      <c r="AM651" s="741"/>
    </row>
    <row r="652" spans="1:39" ht="12.75" customHeight="1">
      <c r="A652" s="741"/>
      <c r="B652" s="741"/>
      <c r="C652" s="741"/>
      <c r="D652" s="741"/>
      <c r="E652" s="741"/>
      <c r="F652" s="741"/>
      <c r="G652" s="741"/>
      <c r="H652" s="741"/>
      <c r="I652" s="741"/>
      <c r="J652" s="741"/>
      <c r="K652" s="741"/>
      <c r="L652" s="741"/>
      <c r="M652" s="741"/>
      <c r="N652" s="741"/>
      <c r="O652" s="741"/>
      <c r="P652" s="741"/>
      <c r="Q652" s="741"/>
      <c r="R652" s="741"/>
      <c r="S652" s="741"/>
      <c r="T652" s="741"/>
      <c r="U652" s="741"/>
      <c r="V652" s="741"/>
      <c r="W652" s="741"/>
      <c r="X652" s="741"/>
      <c r="Y652" s="741"/>
      <c r="Z652" s="741"/>
      <c r="AA652" s="741"/>
      <c r="AB652" s="741"/>
      <c r="AC652" s="741"/>
      <c r="AD652" s="741"/>
      <c r="AE652" s="741"/>
      <c r="AF652" s="741"/>
      <c r="AG652" s="741"/>
      <c r="AH652" s="741"/>
      <c r="AI652" s="741"/>
      <c r="AJ652" s="741"/>
      <c r="AK652" s="741"/>
      <c r="AL652" s="741"/>
      <c r="AM652" s="741"/>
    </row>
    <row r="653" spans="1:39" ht="12.75" customHeight="1">
      <c r="A653" s="741"/>
      <c r="B653" s="741"/>
      <c r="C653" s="741"/>
      <c r="D653" s="741"/>
      <c r="E653" s="741"/>
      <c r="F653" s="741"/>
      <c r="G653" s="741"/>
      <c r="H653" s="741"/>
      <c r="I653" s="741"/>
      <c r="J653" s="741"/>
      <c r="K653" s="741"/>
      <c r="L653" s="741"/>
      <c r="M653" s="741"/>
      <c r="N653" s="741"/>
      <c r="O653" s="741"/>
      <c r="P653" s="741"/>
      <c r="Q653" s="741"/>
      <c r="R653" s="741"/>
      <c r="S653" s="741"/>
      <c r="T653" s="741"/>
      <c r="U653" s="741"/>
      <c r="V653" s="741"/>
      <c r="W653" s="741"/>
      <c r="X653" s="741"/>
      <c r="Y653" s="741"/>
      <c r="Z653" s="741"/>
      <c r="AA653" s="741"/>
      <c r="AB653" s="741"/>
      <c r="AC653" s="741"/>
      <c r="AD653" s="741"/>
      <c r="AE653" s="741"/>
      <c r="AF653" s="741"/>
      <c r="AG653" s="741"/>
      <c r="AH653" s="741"/>
      <c r="AI653" s="741"/>
      <c r="AJ653" s="741"/>
      <c r="AK653" s="741"/>
      <c r="AL653" s="741"/>
      <c r="AM653" s="741"/>
    </row>
    <row r="654" spans="1:39" ht="12.75" customHeight="1">
      <c r="A654" s="741"/>
      <c r="B654" s="741"/>
      <c r="C654" s="741"/>
      <c r="D654" s="741"/>
      <c r="E654" s="741"/>
      <c r="F654" s="741"/>
      <c r="G654" s="741"/>
      <c r="H654" s="741"/>
      <c r="I654" s="741"/>
      <c r="J654" s="741"/>
      <c r="K654" s="741"/>
      <c r="L654" s="741"/>
      <c r="M654" s="741"/>
      <c r="N654" s="741"/>
      <c r="O654" s="741"/>
      <c r="P654" s="741"/>
      <c r="Q654" s="741"/>
      <c r="R654" s="741"/>
      <c r="S654" s="741"/>
      <c r="T654" s="741"/>
      <c r="U654" s="741"/>
      <c r="V654" s="741"/>
      <c r="W654" s="741"/>
      <c r="X654" s="741"/>
      <c r="Y654" s="741"/>
      <c r="Z654" s="741"/>
      <c r="AA654" s="741"/>
      <c r="AB654" s="741"/>
      <c r="AC654" s="741"/>
      <c r="AD654" s="741"/>
      <c r="AE654" s="741"/>
      <c r="AF654" s="741"/>
      <c r="AG654" s="741"/>
      <c r="AH654" s="741"/>
      <c r="AI654" s="741"/>
      <c r="AJ654" s="741"/>
      <c r="AK654" s="741"/>
      <c r="AL654" s="741"/>
      <c r="AM654" s="741"/>
    </row>
    <row r="655" spans="1:39" ht="12.75" customHeight="1">
      <c r="A655" s="741"/>
      <c r="B655" s="741"/>
      <c r="C655" s="741"/>
      <c r="D655" s="741"/>
      <c r="E655" s="741"/>
      <c r="F655" s="741"/>
      <c r="G655" s="741"/>
      <c r="H655" s="741"/>
      <c r="I655" s="741"/>
      <c r="J655" s="741"/>
      <c r="K655" s="741"/>
      <c r="L655" s="741"/>
      <c r="M655" s="741"/>
      <c r="N655" s="741"/>
      <c r="O655" s="741"/>
      <c r="P655" s="741"/>
      <c r="Q655" s="741"/>
      <c r="R655" s="741"/>
      <c r="S655" s="741"/>
      <c r="T655" s="741"/>
      <c r="U655" s="741"/>
      <c r="V655" s="741"/>
      <c r="W655" s="741"/>
      <c r="X655" s="741"/>
      <c r="Y655" s="741"/>
      <c r="Z655" s="741"/>
      <c r="AA655" s="741"/>
      <c r="AB655" s="741"/>
      <c r="AC655" s="741"/>
      <c r="AD655" s="741"/>
      <c r="AE655" s="741"/>
      <c r="AF655" s="741"/>
      <c r="AG655" s="741"/>
      <c r="AH655" s="741"/>
      <c r="AI655" s="741"/>
      <c r="AJ655" s="741"/>
      <c r="AK655" s="741"/>
      <c r="AL655" s="741"/>
      <c r="AM655" s="741"/>
    </row>
    <row r="656" spans="1:39" ht="12.75" customHeight="1">
      <c r="A656" s="741"/>
      <c r="B656" s="741"/>
      <c r="C656" s="741"/>
      <c r="D656" s="741"/>
      <c r="E656" s="741"/>
      <c r="F656" s="741"/>
      <c r="G656" s="741"/>
      <c r="H656" s="741"/>
      <c r="I656" s="741"/>
      <c r="J656" s="741"/>
      <c r="K656" s="741"/>
      <c r="L656" s="741"/>
      <c r="M656" s="741"/>
      <c r="N656" s="741"/>
      <c r="O656" s="741"/>
      <c r="P656" s="741"/>
      <c r="Q656" s="741"/>
      <c r="R656" s="741"/>
      <c r="S656" s="741"/>
      <c r="T656" s="741"/>
      <c r="U656" s="741"/>
      <c r="V656" s="741"/>
      <c r="W656" s="741"/>
      <c r="X656" s="741"/>
      <c r="Y656" s="741"/>
      <c r="Z656" s="741"/>
      <c r="AA656" s="741"/>
      <c r="AB656" s="741"/>
      <c r="AC656" s="741"/>
      <c r="AD656" s="741"/>
      <c r="AE656" s="741"/>
      <c r="AF656" s="741"/>
      <c r="AG656" s="741"/>
      <c r="AH656" s="741"/>
      <c r="AI656" s="741"/>
      <c r="AJ656" s="741"/>
      <c r="AK656" s="741"/>
      <c r="AL656" s="741"/>
      <c r="AM656" s="741"/>
    </row>
    <row r="657" spans="1:39" ht="12.75" customHeight="1">
      <c r="A657" s="741"/>
      <c r="B657" s="741"/>
      <c r="C657" s="741"/>
      <c r="D657" s="741"/>
      <c r="E657" s="741"/>
      <c r="F657" s="741"/>
      <c r="G657" s="741"/>
      <c r="H657" s="741"/>
      <c r="I657" s="741"/>
      <c r="J657" s="741"/>
      <c r="K657" s="741"/>
      <c r="L657" s="741"/>
      <c r="M657" s="741"/>
      <c r="N657" s="741"/>
      <c r="O657" s="741"/>
      <c r="P657" s="741"/>
      <c r="Q657" s="741"/>
      <c r="R657" s="741"/>
      <c r="S657" s="741"/>
      <c r="T657" s="741"/>
      <c r="U657" s="741"/>
      <c r="V657" s="741"/>
      <c r="W657" s="741"/>
      <c r="X657" s="741"/>
      <c r="Y657" s="741"/>
      <c r="Z657" s="741"/>
      <c r="AA657" s="741"/>
      <c r="AB657" s="741"/>
      <c r="AC657" s="741"/>
      <c r="AD657" s="741"/>
      <c r="AE657" s="741"/>
      <c r="AF657" s="741"/>
      <c r="AG657" s="741"/>
      <c r="AH657" s="741"/>
      <c r="AI657" s="741"/>
      <c r="AJ657" s="741"/>
      <c r="AK657" s="741"/>
      <c r="AL657" s="741"/>
      <c r="AM657" s="741"/>
    </row>
    <row r="658" spans="1:39" ht="12.75" customHeight="1">
      <c r="A658" s="741"/>
      <c r="B658" s="741"/>
      <c r="C658" s="741"/>
      <c r="D658" s="741"/>
      <c r="E658" s="741"/>
      <c r="F658" s="741"/>
      <c r="G658" s="741"/>
      <c r="H658" s="741"/>
      <c r="I658" s="741"/>
      <c r="J658" s="741"/>
      <c r="K658" s="741"/>
      <c r="L658" s="741"/>
      <c r="M658" s="741"/>
      <c r="N658" s="741"/>
      <c r="O658" s="741"/>
      <c r="P658" s="741"/>
      <c r="Q658" s="741"/>
      <c r="R658" s="741"/>
      <c r="S658" s="741"/>
      <c r="T658" s="741"/>
      <c r="U658" s="741"/>
      <c r="V658" s="741"/>
      <c r="W658" s="741"/>
      <c r="X658" s="741"/>
      <c r="Y658" s="741"/>
      <c r="Z658" s="741"/>
      <c r="AA658" s="741"/>
      <c r="AB658" s="741"/>
      <c r="AC658" s="741"/>
      <c r="AD658" s="741"/>
      <c r="AE658" s="741"/>
      <c r="AF658" s="741"/>
      <c r="AG658" s="741"/>
      <c r="AH658" s="741"/>
      <c r="AI658" s="741"/>
      <c r="AJ658" s="741"/>
      <c r="AK658" s="741"/>
      <c r="AL658" s="741"/>
      <c r="AM658" s="741"/>
    </row>
    <row r="659" spans="1:39" ht="12.75" customHeight="1">
      <c r="A659" s="741"/>
      <c r="B659" s="741"/>
      <c r="C659" s="741"/>
      <c r="D659" s="741"/>
      <c r="E659" s="741"/>
      <c r="F659" s="741"/>
      <c r="G659" s="741"/>
      <c r="H659" s="741"/>
      <c r="I659" s="741"/>
      <c r="J659" s="741"/>
      <c r="K659" s="741"/>
      <c r="L659" s="741"/>
      <c r="M659" s="741"/>
      <c r="N659" s="741"/>
      <c r="O659" s="741"/>
      <c r="P659" s="741"/>
      <c r="Q659" s="741"/>
      <c r="R659" s="741"/>
      <c r="S659" s="741"/>
      <c r="T659" s="741"/>
      <c r="U659" s="741"/>
      <c r="V659" s="741"/>
      <c r="W659" s="741"/>
      <c r="X659" s="741"/>
      <c r="Y659" s="741"/>
      <c r="Z659" s="741"/>
      <c r="AA659" s="741"/>
      <c r="AB659" s="741"/>
      <c r="AC659" s="741"/>
      <c r="AD659" s="741"/>
      <c r="AE659" s="741"/>
      <c r="AF659" s="741"/>
      <c r="AG659" s="741"/>
      <c r="AH659" s="741"/>
      <c r="AI659" s="741"/>
      <c r="AJ659" s="741"/>
      <c r="AK659" s="741"/>
      <c r="AL659" s="741"/>
      <c r="AM659" s="741"/>
    </row>
    <row r="660" spans="1:39" ht="12.75" customHeight="1">
      <c r="A660" s="741"/>
      <c r="B660" s="741"/>
      <c r="C660" s="741"/>
      <c r="D660" s="741"/>
      <c r="E660" s="741"/>
      <c r="F660" s="741"/>
      <c r="G660" s="741"/>
      <c r="H660" s="741"/>
      <c r="I660" s="741"/>
      <c r="J660" s="741"/>
      <c r="K660" s="741"/>
      <c r="L660" s="741"/>
      <c r="M660" s="741"/>
      <c r="N660" s="741"/>
      <c r="O660" s="741"/>
      <c r="P660" s="741"/>
      <c r="Q660" s="741"/>
      <c r="R660" s="741"/>
      <c r="S660" s="741"/>
      <c r="T660" s="741"/>
      <c r="U660" s="741"/>
      <c r="V660" s="741"/>
      <c r="W660" s="741"/>
      <c r="X660" s="741"/>
      <c r="Y660" s="741"/>
      <c r="Z660" s="741"/>
      <c r="AA660" s="741"/>
      <c r="AB660" s="741"/>
      <c r="AC660" s="741"/>
      <c r="AD660" s="741"/>
      <c r="AE660" s="741"/>
      <c r="AF660" s="741"/>
      <c r="AG660" s="741"/>
      <c r="AH660" s="741"/>
      <c r="AI660" s="741"/>
      <c r="AJ660" s="741"/>
      <c r="AK660" s="741"/>
      <c r="AL660" s="741"/>
      <c r="AM660" s="741"/>
    </row>
    <row r="661" spans="1:39" ht="12.75" customHeight="1">
      <c r="A661" s="741"/>
      <c r="B661" s="741"/>
      <c r="C661" s="741"/>
      <c r="D661" s="741"/>
      <c r="E661" s="741"/>
      <c r="F661" s="741"/>
      <c r="G661" s="741"/>
      <c r="H661" s="741"/>
      <c r="I661" s="741"/>
      <c r="J661" s="741"/>
      <c r="K661" s="741"/>
      <c r="L661" s="741"/>
      <c r="M661" s="741"/>
      <c r="N661" s="741"/>
      <c r="O661" s="741"/>
      <c r="P661" s="741"/>
      <c r="Q661" s="741"/>
      <c r="R661" s="741"/>
      <c r="S661" s="741"/>
      <c r="T661" s="741"/>
      <c r="U661" s="741"/>
      <c r="V661" s="741"/>
      <c r="W661" s="741"/>
      <c r="X661" s="741"/>
      <c r="Y661" s="741"/>
      <c r="Z661" s="741"/>
      <c r="AA661" s="741"/>
      <c r="AB661" s="741"/>
      <c r="AC661" s="741"/>
      <c r="AD661" s="741"/>
      <c r="AE661" s="741"/>
      <c r="AF661" s="741"/>
      <c r="AG661" s="741"/>
      <c r="AH661" s="741"/>
      <c r="AI661" s="741"/>
      <c r="AJ661" s="741"/>
      <c r="AK661" s="741"/>
      <c r="AL661" s="741"/>
      <c r="AM661" s="741"/>
    </row>
    <row r="662" spans="1:39" ht="12.75" customHeight="1">
      <c r="A662" s="741"/>
      <c r="B662" s="741"/>
      <c r="C662" s="741"/>
      <c r="D662" s="741"/>
      <c r="E662" s="741"/>
      <c r="F662" s="741"/>
      <c r="G662" s="741"/>
      <c r="H662" s="741"/>
      <c r="I662" s="741"/>
      <c r="J662" s="741"/>
      <c r="K662" s="741"/>
      <c r="L662" s="741"/>
      <c r="M662" s="741"/>
      <c r="N662" s="741"/>
      <c r="O662" s="741"/>
      <c r="P662" s="741"/>
      <c r="Q662" s="741"/>
      <c r="R662" s="741"/>
      <c r="S662" s="741"/>
      <c r="T662" s="741"/>
      <c r="U662" s="741"/>
      <c r="V662" s="741"/>
      <c r="W662" s="741"/>
      <c r="X662" s="741"/>
      <c r="Y662" s="741"/>
      <c r="Z662" s="741"/>
      <c r="AA662" s="741"/>
      <c r="AB662" s="741"/>
      <c r="AC662" s="741"/>
      <c r="AD662" s="741"/>
      <c r="AE662" s="741"/>
      <c r="AF662" s="741"/>
      <c r="AG662" s="741"/>
      <c r="AH662" s="741"/>
      <c r="AI662" s="741"/>
      <c r="AJ662" s="741"/>
      <c r="AK662" s="741"/>
      <c r="AL662" s="741"/>
      <c r="AM662" s="741"/>
    </row>
    <row r="663" spans="1:39" ht="12.75" customHeight="1">
      <c r="A663" s="741"/>
      <c r="B663" s="741"/>
      <c r="C663" s="741"/>
      <c r="D663" s="741"/>
      <c r="E663" s="741"/>
      <c r="F663" s="741"/>
      <c r="G663" s="741"/>
      <c r="H663" s="741"/>
      <c r="I663" s="741"/>
      <c r="J663" s="741"/>
      <c r="K663" s="741"/>
      <c r="L663" s="741"/>
      <c r="M663" s="741"/>
      <c r="N663" s="741"/>
      <c r="O663" s="741"/>
      <c r="P663" s="741"/>
      <c r="Q663" s="741"/>
      <c r="R663" s="741"/>
      <c r="S663" s="741"/>
      <c r="T663" s="741"/>
      <c r="U663" s="741"/>
      <c r="V663" s="741"/>
      <c r="W663" s="741"/>
      <c r="X663" s="741"/>
      <c r="Y663" s="741"/>
      <c r="Z663" s="741"/>
      <c r="AA663" s="741"/>
      <c r="AB663" s="741"/>
      <c r="AC663" s="741"/>
      <c r="AD663" s="741"/>
      <c r="AE663" s="741"/>
      <c r="AF663" s="741"/>
      <c r="AG663" s="741"/>
      <c r="AH663" s="741"/>
      <c r="AI663" s="741"/>
      <c r="AJ663" s="741"/>
      <c r="AK663" s="741"/>
      <c r="AL663" s="741"/>
      <c r="AM663" s="741"/>
    </row>
    <row r="664" spans="1:39" ht="12.75" customHeight="1">
      <c r="A664" s="741"/>
      <c r="B664" s="741"/>
      <c r="C664" s="741"/>
      <c r="D664" s="741"/>
      <c r="E664" s="741"/>
      <c r="F664" s="741"/>
      <c r="G664" s="741"/>
      <c r="H664" s="741"/>
      <c r="I664" s="741"/>
      <c r="J664" s="741"/>
      <c r="K664" s="741"/>
      <c r="L664" s="741"/>
      <c r="M664" s="741"/>
      <c r="N664" s="741"/>
      <c r="O664" s="741"/>
      <c r="P664" s="741"/>
      <c r="Q664" s="741"/>
      <c r="R664" s="741"/>
      <c r="S664" s="741"/>
      <c r="T664" s="741"/>
      <c r="U664" s="741"/>
      <c r="V664" s="741"/>
      <c r="W664" s="741"/>
      <c r="X664" s="741"/>
      <c r="Y664" s="741"/>
      <c r="Z664" s="741"/>
      <c r="AA664" s="741"/>
      <c r="AB664" s="741"/>
      <c r="AC664" s="741"/>
      <c r="AD664" s="741"/>
      <c r="AE664" s="741"/>
      <c r="AF664" s="741"/>
      <c r="AG664" s="741"/>
      <c r="AH664" s="741"/>
      <c r="AI664" s="741"/>
      <c r="AJ664" s="741"/>
      <c r="AK664" s="741"/>
      <c r="AL664" s="741"/>
      <c r="AM664" s="741"/>
    </row>
    <row r="665" spans="1:39" ht="12.75" customHeight="1">
      <c r="A665" s="741"/>
      <c r="B665" s="741"/>
      <c r="C665" s="741"/>
      <c r="D665" s="741"/>
      <c r="E665" s="741"/>
      <c r="F665" s="741"/>
      <c r="G665" s="741"/>
      <c r="H665" s="741"/>
      <c r="I665" s="741"/>
      <c r="J665" s="741"/>
      <c r="K665" s="741"/>
      <c r="L665" s="741"/>
      <c r="M665" s="741"/>
      <c r="N665" s="741"/>
      <c r="O665" s="741"/>
      <c r="P665" s="741"/>
      <c r="Q665" s="741"/>
      <c r="R665" s="741"/>
      <c r="S665" s="741"/>
      <c r="T665" s="741"/>
      <c r="U665" s="741"/>
      <c r="V665" s="741"/>
      <c r="W665" s="741"/>
      <c r="X665" s="741"/>
      <c r="Y665" s="741"/>
      <c r="Z665" s="741"/>
      <c r="AA665" s="741"/>
      <c r="AB665" s="741"/>
      <c r="AC665" s="741"/>
      <c r="AD665" s="741"/>
      <c r="AE665" s="741"/>
      <c r="AF665" s="741"/>
      <c r="AG665" s="741"/>
      <c r="AH665" s="741"/>
      <c r="AI665" s="741"/>
      <c r="AJ665" s="741"/>
      <c r="AK665" s="741"/>
      <c r="AL665" s="741"/>
      <c r="AM665" s="741"/>
    </row>
    <row r="666" spans="1:39" ht="12.75" customHeight="1">
      <c r="A666" s="741"/>
      <c r="B666" s="741"/>
      <c r="C666" s="741"/>
      <c r="D666" s="741"/>
      <c r="E666" s="741"/>
      <c r="F666" s="741"/>
      <c r="G666" s="741"/>
      <c r="H666" s="741"/>
      <c r="I666" s="741"/>
      <c r="J666" s="741"/>
      <c r="K666" s="741"/>
      <c r="L666" s="741"/>
      <c r="M666" s="741"/>
      <c r="N666" s="741"/>
      <c r="O666" s="741"/>
      <c r="P666" s="741"/>
      <c r="Q666" s="741"/>
      <c r="R666" s="741"/>
      <c r="S666" s="741"/>
      <c r="T666" s="741"/>
      <c r="U666" s="741"/>
      <c r="V666" s="741"/>
      <c r="W666" s="741"/>
      <c r="X666" s="741"/>
      <c r="Y666" s="741"/>
      <c r="Z666" s="741"/>
      <c r="AA666" s="741"/>
      <c r="AB666" s="741"/>
      <c r="AC666" s="741"/>
      <c r="AD666" s="741"/>
      <c r="AE666" s="741"/>
      <c r="AF666" s="741"/>
      <c r="AG666" s="741"/>
      <c r="AH666" s="741"/>
      <c r="AI666" s="741"/>
      <c r="AJ666" s="741"/>
      <c r="AK666" s="741"/>
      <c r="AL666" s="741"/>
      <c r="AM666" s="741"/>
    </row>
    <row r="667" spans="1:39" ht="12.75" customHeight="1">
      <c r="A667" s="741"/>
      <c r="B667" s="741"/>
      <c r="C667" s="741"/>
      <c r="D667" s="741"/>
      <c r="E667" s="741"/>
      <c r="F667" s="741"/>
      <c r="G667" s="741"/>
      <c r="H667" s="741"/>
      <c r="I667" s="741"/>
      <c r="J667" s="741"/>
      <c r="K667" s="741"/>
      <c r="L667" s="741"/>
      <c r="M667" s="741"/>
      <c r="N667" s="741"/>
      <c r="O667" s="741"/>
      <c r="P667" s="741"/>
      <c r="Q667" s="741"/>
      <c r="R667" s="741"/>
      <c r="S667" s="741"/>
      <c r="T667" s="741"/>
      <c r="U667" s="741"/>
      <c r="V667" s="741"/>
      <c r="W667" s="741"/>
      <c r="X667" s="741"/>
      <c r="Y667" s="741"/>
      <c r="Z667" s="741"/>
      <c r="AA667" s="741"/>
      <c r="AB667" s="741"/>
      <c r="AC667" s="741"/>
      <c r="AD667" s="741"/>
      <c r="AE667" s="741"/>
      <c r="AF667" s="741"/>
      <c r="AG667" s="741"/>
      <c r="AH667" s="741"/>
      <c r="AI667" s="741"/>
      <c r="AJ667" s="741"/>
      <c r="AK667" s="741"/>
      <c r="AL667" s="741"/>
      <c r="AM667" s="741"/>
    </row>
    <row r="668" spans="1:39" ht="12.75" customHeight="1">
      <c r="A668" s="741"/>
      <c r="B668" s="741"/>
      <c r="C668" s="741"/>
      <c r="D668" s="741"/>
      <c r="E668" s="741"/>
      <c r="F668" s="741"/>
      <c r="G668" s="741"/>
      <c r="H668" s="741"/>
      <c r="I668" s="741"/>
      <c r="J668" s="741"/>
      <c r="K668" s="741"/>
      <c r="L668" s="741"/>
      <c r="M668" s="741"/>
      <c r="N668" s="741"/>
      <c r="O668" s="741"/>
      <c r="P668" s="741"/>
      <c r="Q668" s="741"/>
      <c r="R668" s="741"/>
      <c r="S668" s="741"/>
      <c r="T668" s="741"/>
      <c r="U668" s="741"/>
      <c r="V668" s="741"/>
      <c r="W668" s="741"/>
      <c r="X668" s="741"/>
      <c r="Y668" s="741"/>
      <c r="Z668" s="741"/>
      <c r="AA668" s="741"/>
      <c r="AB668" s="741"/>
      <c r="AC668" s="741"/>
      <c r="AD668" s="741"/>
      <c r="AE668" s="741"/>
      <c r="AF668" s="741"/>
      <c r="AG668" s="741"/>
      <c r="AH668" s="741"/>
      <c r="AI668" s="741"/>
      <c r="AJ668" s="741"/>
      <c r="AK668" s="741"/>
      <c r="AL668" s="741"/>
      <c r="AM668" s="741"/>
    </row>
    <row r="669" spans="1:39" ht="12.75" customHeight="1">
      <c r="A669" s="741"/>
      <c r="B669" s="741"/>
      <c r="C669" s="741"/>
      <c r="D669" s="741"/>
      <c r="E669" s="741"/>
      <c r="F669" s="741"/>
      <c r="G669" s="741"/>
      <c r="H669" s="741"/>
      <c r="I669" s="741"/>
      <c r="J669" s="741"/>
      <c r="K669" s="741"/>
      <c r="L669" s="741"/>
      <c r="M669" s="741"/>
      <c r="N669" s="741"/>
      <c r="O669" s="741"/>
      <c r="P669" s="741"/>
      <c r="Q669" s="741"/>
      <c r="R669" s="741"/>
      <c r="S669" s="741"/>
      <c r="T669" s="741"/>
      <c r="U669" s="741"/>
      <c r="V669" s="741"/>
      <c r="W669" s="741"/>
      <c r="X669" s="741"/>
      <c r="Y669" s="741"/>
      <c r="Z669" s="741"/>
      <c r="AA669" s="741"/>
      <c r="AB669" s="741"/>
      <c r="AC669" s="741"/>
      <c r="AD669" s="741"/>
      <c r="AE669" s="741"/>
      <c r="AF669" s="741"/>
      <c r="AG669" s="741"/>
      <c r="AH669" s="741"/>
      <c r="AI669" s="741"/>
      <c r="AJ669" s="741"/>
      <c r="AK669" s="741"/>
      <c r="AL669" s="741"/>
      <c r="AM669" s="741"/>
    </row>
    <row r="670" spans="1:39" ht="12.75" customHeight="1">
      <c r="A670" s="741"/>
      <c r="B670" s="741"/>
      <c r="C670" s="741"/>
      <c r="D670" s="741"/>
      <c r="E670" s="741"/>
      <c r="F670" s="741"/>
      <c r="G670" s="741"/>
      <c r="H670" s="741"/>
      <c r="I670" s="741"/>
      <c r="J670" s="741"/>
      <c r="K670" s="741"/>
      <c r="L670" s="741"/>
      <c r="M670" s="741"/>
      <c r="N670" s="741"/>
      <c r="O670" s="741"/>
      <c r="P670" s="741"/>
      <c r="Q670" s="741"/>
      <c r="R670" s="741"/>
      <c r="S670" s="741"/>
      <c r="T670" s="741"/>
      <c r="U670" s="741"/>
      <c r="V670" s="741"/>
      <c r="W670" s="741"/>
      <c r="X670" s="741"/>
      <c r="Y670" s="741"/>
      <c r="Z670" s="741"/>
      <c r="AA670" s="741"/>
      <c r="AB670" s="741"/>
      <c r="AC670" s="741"/>
      <c r="AD670" s="741"/>
      <c r="AE670" s="741"/>
      <c r="AF670" s="741"/>
      <c r="AG670" s="741"/>
      <c r="AH670" s="741"/>
      <c r="AI670" s="741"/>
      <c r="AJ670" s="741"/>
      <c r="AK670" s="741"/>
      <c r="AL670" s="741"/>
      <c r="AM670" s="741"/>
    </row>
    <row r="671" spans="1:39" ht="12.75" customHeight="1">
      <c r="A671" s="741"/>
      <c r="B671" s="741"/>
      <c r="C671" s="741"/>
      <c r="D671" s="741"/>
      <c r="E671" s="741"/>
      <c r="F671" s="741"/>
      <c r="G671" s="741"/>
      <c r="H671" s="741"/>
      <c r="I671" s="741"/>
      <c r="J671" s="741"/>
      <c r="K671" s="741"/>
      <c r="L671" s="741"/>
      <c r="M671" s="741"/>
      <c r="N671" s="741"/>
      <c r="O671" s="741"/>
      <c r="P671" s="741"/>
      <c r="Q671" s="741"/>
      <c r="R671" s="741"/>
      <c r="S671" s="741"/>
      <c r="T671" s="741"/>
      <c r="U671" s="741"/>
      <c r="V671" s="741"/>
      <c r="W671" s="741"/>
      <c r="X671" s="741"/>
      <c r="Y671" s="741"/>
      <c r="Z671" s="741"/>
      <c r="AA671" s="741"/>
      <c r="AB671" s="741"/>
      <c r="AC671" s="741"/>
      <c r="AD671" s="741"/>
      <c r="AE671" s="741"/>
      <c r="AF671" s="741"/>
      <c r="AG671" s="741"/>
      <c r="AH671" s="741"/>
      <c r="AI671" s="741"/>
      <c r="AJ671" s="741"/>
      <c r="AK671" s="741"/>
      <c r="AL671" s="741"/>
      <c r="AM671" s="741"/>
    </row>
    <row r="672" spans="1:39" ht="12.75" customHeight="1">
      <c r="A672" s="741"/>
      <c r="B672" s="741"/>
      <c r="C672" s="741"/>
      <c r="D672" s="741"/>
      <c r="E672" s="741"/>
      <c r="F672" s="741"/>
      <c r="G672" s="741"/>
      <c r="H672" s="741"/>
      <c r="I672" s="741"/>
      <c r="J672" s="741"/>
      <c r="K672" s="741"/>
      <c r="L672" s="741"/>
      <c r="M672" s="741"/>
      <c r="N672" s="741"/>
      <c r="O672" s="741"/>
      <c r="P672" s="741"/>
      <c r="Q672" s="741"/>
      <c r="R672" s="741"/>
      <c r="S672" s="741"/>
      <c r="T672" s="741"/>
      <c r="U672" s="741"/>
      <c r="V672" s="741"/>
      <c r="W672" s="741"/>
      <c r="X672" s="741"/>
      <c r="Y672" s="741"/>
      <c r="Z672" s="741"/>
      <c r="AA672" s="741"/>
      <c r="AB672" s="741"/>
      <c r="AC672" s="741"/>
      <c r="AD672" s="741"/>
      <c r="AE672" s="741"/>
      <c r="AF672" s="741"/>
      <c r="AG672" s="741"/>
      <c r="AH672" s="741"/>
      <c r="AI672" s="741"/>
      <c r="AJ672" s="741"/>
      <c r="AK672" s="741"/>
      <c r="AL672" s="741"/>
      <c r="AM672" s="741"/>
    </row>
    <row r="673" spans="1:39" ht="12.75" customHeight="1">
      <c r="A673" s="741"/>
      <c r="B673" s="741"/>
      <c r="C673" s="741"/>
      <c r="D673" s="741"/>
      <c r="E673" s="741"/>
      <c r="F673" s="741"/>
      <c r="G673" s="741"/>
      <c r="H673" s="741"/>
      <c r="I673" s="741"/>
      <c r="J673" s="741"/>
      <c r="K673" s="741"/>
      <c r="L673" s="741"/>
      <c r="M673" s="741"/>
      <c r="N673" s="741"/>
      <c r="O673" s="741"/>
      <c r="P673" s="741"/>
      <c r="Q673" s="741"/>
      <c r="R673" s="741"/>
      <c r="S673" s="741"/>
      <c r="T673" s="741"/>
      <c r="U673" s="741"/>
      <c r="V673" s="741"/>
      <c r="W673" s="741"/>
      <c r="X673" s="741"/>
      <c r="Y673" s="741"/>
      <c r="Z673" s="741"/>
      <c r="AA673" s="741"/>
      <c r="AB673" s="741"/>
      <c r="AC673" s="741"/>
      <c r="AD673" s="741"/>
      <c r="AE673" s="741"/>
      <c r="AF673" s="741"/>
      <c r="AG673" s="741"/>
      <c r="AH673" s="741"/>
      <c r="AI673" s="741"/>
      <c r="AJ673" s="741"/>
      <c r="AK673" s="741"/>
      <c r="AL673" s="741"/>
      <c r="AM673" s="741"/>
    </row>
    <row r="674" spans="1:39" ht="12.75" customHeight="1">
      <c r="A674" s="741"/>
      <c r="B674" s="741"/>
      <c r="C674" s="741"/>
      <c r="D674" s="741"/>
      <c r="E674" s="741"/>
      <c r="F674" s="741"/>
      <c r="G674" s="741"/>
      <c r="H674" s="741"/>
      <c r="I674" s="741"/>
      <c r="J674" s="741"/>
      <c r="K674" s="741"/>
      <c r="L674" s="741"/>
      <c r="M674" s="741"/>
      <c r="N674" s="741"/>
      <c r="O674" s="741"/>
      <c r="P674" s="741"/>
      <c r="Q674" s="741"/>
      <c r="R674" s="741"/>
      <c r="S674" s="741"/>
      <c r="T674" s="741"/>
      <c r="U674" s="741"/>
      <c r="V674" s="741"/>
      <c r="W674" s="741"/>
      <c r="X674" s="741"/>
      <c r="Y674" s="741"/>
      <c r="Z674" s="741"/>
      <c r="AA674" s="741"/>
      <c r="AB674" s="741"/>
      <c r="AC674" s="741"/>
      <c r="AD674" s="741"/>
      <c r="AE674" s="741"/>
      <c r="AF674" s="741"/>
      <c r="AG674" s="741"/>
      <c r="AH674" s="741"/>
      <c r="AI674" s="741"/>
      <c r="AJ674" s="741"/>
      <c r="AK674" s="741"/>
      <c r="AL674" s="741"/>
      <c r="AM674" s="741"/>
    </row>
    <row r="675" spans="1:39" ht="12.75" customHeight="1">
      <c r="A675" s="741"/>
      <c r="B675" s="741"/>
      <c r="C675" s="741"/>
      <c r="D675" s="741"/>
      <c r="E675" s="741"/>
      <c r="F675" s="741"/>
      <c r="G675" s="741"/>
      <c r="H675" s="741"/>
      <c r="I675" s="741"/>
      <c r="J675" s="741"/>
      <c r="K675" s="741"/>
      <c r="L675" s="741"/>
      <c r="M675" s="741"/>
      <c r="N675" s="741"/>
      <c r="O675" s="741"/>
      <c r="P675" s="741"/>
      <c r="Q675" s="741"/>
      <c r="R675" s="741"/>
      <c r="S675" s="741"/>
      <c r="T675" s="741"/>
      <c r="U675" s="741"/>
      <c r="V675" s="741"/>
      <c r="W675" s="741"/>
      <c r="X675" s="741"/>
      <c r="Y675" s="741"/>
      <c r="Z675" s="741"/>
      <c r="AA675" s="741"/>
      <c r="AB675" s="741"/>
      <c r="AC675" s="741"/>
      <c r="AD675" s="741"/>
      <c r="AE675" s="741"/>
      <c r="AF675" s="741"/>
      <c r="AG675" s="741"/>
      <c r="AH675" s="741"/>
      <c r="AI675" s="741"/>
      <c r="AJ675" s="741"/>
      <c r="AK675" s="741"/>
      <c r="AL675" s="741"/>
      <c r="AM675" s="741"/>
    </row>
    <row r="676" spans="1:39" ht="12.75" customHeight="1">
      <c r="A676" s="741"/>
      <c r="B676" s="741"/>
      <c r="C676" s="741"/>
      <c r="D676" s="741"/>
      <c r="E676" s="741"/>
      <c r="F676" s="741"/>
      <c r="G676" s="741"/>
      <c r="H676" s="741"/>
      <c r="I676" s="741"/>
      <c r="J676" s="741"/>
      <c r="K676" s="741"/>
      <c r="L676" s="741"/>
      <c r="M676" s="741"/>
      <c r="N676" s="741"/>
      <c r="O676" s="741"/>
      <c r="P676" s="741"/>
      <c r="Q676" s="741"/>
      <c r="R676" s="741"/>
      <c r="S676" s="741"/>
      <c r="T676" s="741"/>
      <c r="U676" s="741"/>
      <c r="V676" s="741"/>
      <c r="W676" s="741"/>
      <c r="X676" s="741"/>
      <c r="Y676" s="741"/>
      <c r="Z676" s="741"/>
      <c r="AA676" s="741"/>
      <c r="AB676" s="741"/>
      <c r="AC676" s="741"/>
      <c r="AD676" s="741"/>
      <c r="AE676" s="741"/>
      <c r="AF676" s="741"/>
      <c r="AG676" s="741"/>
      <c r="AH676" s="741"/>
      <c r="AI676" s="741"/>
      <c r="AJ676" s="741"/>
      <c r="AK676" s="741"/>
      <c r="AL676" s="741"/>
      <c r="AM676" s="741"/>
    </row>
    <row r="677" spans="1:39" ht="12.75" customHeight="1">
      <c r="A677" s="741"/>
      <c r="B677" s="741"/>
      <c r="C677" s="741"/>
      <c r="D677" s="741"/>
      <c r="E677" s="741"/>
      <c r="F677" s="741"/>
      <c r="G677" s="741"/>
      <c r="H677" s="741"/>
      <c r="I677" s="741"/>
      <c r="J677" s="741"/>
      <c r="K677" s="741"/>
      <c r="L677" s="741"/>
      <c r="M677" s="741"/>
      <c r="N677" s="741"/>
      <c r="O677" s="741"/>
      <c r="P677" s="741"/>
      <c r="Q677" s="741"/>
      <c r="R677" s="741"/>
      <c r="S677" s="741"/>
      <c r="T677" s="741"/>
      <c r="U677" s="741"/>
      <c r="V677" s="741"/>
      <c r="W677" s="741"/>
      <c r="X677" s="741"/>
      <c r="Y677" s="741"/>
      <c r="Z677" s="741"/>
      <c r="AA677" s="741"/>
      <c r="AB677" s="741"/>
      <c r="AC677" s="741"/>
      <c r="AD677" s="741"/>
      <c r="AE677" s="741"/>
      <c r="AF677" s="741"/>
      <c r="AG677" s="741"/>
      <c r="AH677" s="741"/>
      <c r="AI677" s="741"/>
      <c r="AJ677" s="741"/>
      <c r="AK677" s="741"/>
      <c r="AL677" s="741"/>
      <c r="AM677" s="741"/>
    </row>
    <row r="678" spans="1:39" ht="12.75" customHeight="1">
      <c r="A678" s="741"/>
      <c r="B678" s="741"/>
      <c r="C678" s="741"/>
      <c r="D678" s="741"/>
      <c r="E678" s="741"/>
      <c r="F678" s="741"/>
      <c r="G678" s="741"/>
      <c r="H678" s="741"/>
      <c r="I678" s="741"/>
      <c r="J678" s="741"/>
      <c r="K678" s="741"/>
      <c r="L678" s="741"/>
      <c r="M678" s="741"/>
      <c r="N678" s="741"/>
      <c r="O678" s="741"/>
      <c r="P678" s="741"/>
      <c r="Q678" s="741"/>
      <c r="R678" s="741"/>
      <c r="S678" s="741"/>
      <c r="T678" s="741"/>
      <c r="U678" s="741"/>
      <c r="V678" s="741"/>
      <c r="W678" s="741"/>
      <c r="X678" s="741"/>
      <c r="Y678" s="741"/>
      <c r="Z678" s="741"/>
      <c r="AA678" s="741"/>
      <c r="AB678" s="741"/>
      <c r="AC678" s="741"/>
      <c r="AD678" s="741"/>
      <c r="AE678" s="741"/>
      <c r="AF678" s="741"/>
      <c r="AG678" s="741"/>
      <c r="AH678" s="741"/>
      <c r="AI678" s="741"/>
      <c r="AJ678" s="741"/>
      <c r="AK678" s="741"/>
      <c r="AL678" s="741"/>
      <c r="AM678" s="741"/>
    </row>
    <row r="679" spans="1:39" ht="12.75" customHeight="1">
      <c r="A679" s="741"/>
      <c r="B679" s="741"/>
      <c r="C679" s="741"/>
      <c r="D679" s="741"/>
      <c r="E679" s="741"/>
      <c r="F679" s="741"/>
      <c r="G679" s="741"/>
      <c r="H679" s="741"/>
      <c r="I679" s="741"/>
      <c r="J679" s="741"/>
      <c r="K679" s="741"/>
      <c r="L679" s="741"/>
      <c r="M679" s="741"/>
      <c r="N679" s="741"/>
      <c r="O679" s="741"/>
      <c r="P679" s="741"/>
      <c r="Q679" s="741"/>
      <c r="R679" s="741"/>
      <c r="S679" s="741"/>
      <c r="T679" s="741"/>
      <c r="U679" s="741"/>
      <c r="V679" s="741"/>
      <c r="W679" s="741"/>
      <c r="X679" s="741"/>
      <c r="Y679" s="741"/>
      <c r="Z679" s="741"/>
      <c r="AA679" s="741"/>
      <c r="AB679" s="741"/>
      <c r="AC679" s="741"/>
      <c r="AD679" s="741"/>
      <c r="AE679" s="741"/>
      <c r="AF679" s="741"/>
      <c r="AG679" s="741"/>
      <c r="AH679" s="741"/>
      <c r="AI679" s="741"/>
      <c r="AJ679" s="741"/>
      <c r="AK679" s="741"/>
      <c r="AL679" s="741"/>
      <c r="AM679" s="741"/>
    </row>
    <row r="680" spans="1:39" ht="12.75" customHeight="1">
      <c r="A680" s="741"/>
      <c r="B680" s="741"/>
      <c r="C680" s="741"/>
      <c r="D680" s="741"/>
      <c r="E680" s="741"/>
      <c r="F680" s="741"/>
      <c r="G680" s="741"/>
      <c r="H680" s="741"/>
      <c r="I680" s="741"/>
      <c r="J680" s="741"/>
      <c r="K680" s="741"/>
      <c r="L680" s="741"/>
      <c r="M680" s="741"/>
      <c r="N680" s="741"/>
      <c r="O680" s="741"/>
      <c r="P680" s="741"/>
      <c r="Q680" s="741"/>
      <c r="R680" s="741"/>
      <c r="S680" s="741"/>
      <c r="T680" s="741"/>
      <c r="U680" s="741"/>
      <c r="V680" s="741"/>
      <c r="W680" s="741"/>
      <c r="X680" s="741"/>
      <c r="Y680" s="741"/>
      <c r="Z680" s="741"/>
      <c r="AA680" s="741"/>
      <c r="AB680" s="741"/>
      <c r="AC680" s="741"/>
      <c r="AD680" s="741"/>
      <c r="AE680" s="741"/>
      <c r="AF680" s="741"/>
      <c r="AG680" s="741"/>
      <c r="AH680" s="741"/>
      <c r="AI680" s="741"/>
      <c r="AJ680" s="741"/>
      <c r="AK680" s="741"/>
      <c r="AL680" s="741"/>
      <c r="AM680" s="741"/>
    </row>
    <row r="681" spans="1:39" ht="12.75" customHeight="1">
      <c r="A681" s="741"/>
      <c r="B681" s="741"/>
      <c r="C681" s="741"/>
      <c r="D681" s="741"/>
      <c r="E681" s="741"/>
      <c r="F681" s="741"/>
      <c r="G681" s="741"/>
      <c r="H681" s="741"/>
      <c r="I681" s="741"/>
      <c r="J681" s="741"/>
      <c r="K681" s="741"/>
      <c r="L681" s="741"/>
      <c r="M681" s="741"/>
      <c r="N681" s="741"/>
      <c r="O681" s="741"/>
      <c r="P681" s="741"/>
      <c r="Q681" s="741"/>
      <c r="R681" s="741"/>
      <c r="S681" s="741"/>
      <c r="T681" s="741"/>
      <c r="U681" s="741"/>
      <c r="V681" s="741"/>
      <c r="W681" s="741"/>
      <c r="X681" s="741"/>
      <c r="Y681" s="741"/>
      <c r="Z681" s="741"/>
      <c r="AA681" s="741"/>
      <c r="AB681" s="741"/>
      <c r="AC681" s="741"/>
      <c r="AD681" s="741"/>
      <c r="AE681" s="741"/>
      <c r="AF681" s="741"/>
      <c r="AG681" s="741"/>
      <c r="AH681" s="741"/>
      <c r="AI681" s="741"/>
      <c r="AJ681" s="741"/>
      <c r="AK681" s="741"/>
      <c r="AL681" s="741"/>
      <c r="AM681" s="741"/>
    </row>
    <row r="682" spans="1:39" ht="12.75" customHeight="1">
      <c r="A682" s="741"/>
      <c r="B682" s="741"/>
      <c r="C682" s="741"/>
      <c r="D682" s="741"/>
      <c r="E682" s="741"/>
      <c r="F682" s="741"/>
      <c r="G682" s="741"/>
      <c r="H682" s="741"/>
      <c r="I682" s="741"/>
      <c r="J682" s="741"/>
      <c r="K682" s="741"/>
      <c r="L682" s="741"/>
      <c r="M682" s="741"/>
      <c r="N682" s="741"/>
      <c r="O682" s="741"/>
      <c r="P682" s="741"/>
      <c r="Q682" s="741"/>
      <c r="R682" s="741"/>
      <c r="S682" s="741"/>
      <c r="T682" s="741"/>
      <c r="U682" s="741"/>
      <c r="V682" s="741"/>
      <c r="W682" s="741"/>
      <c r="X682" s="741"/>
      <c r="Y682" s="741"/>
      <c r="Z682" s="741"/>
      <c r="AA682" s="741"/>
      <c r="AB682" s="741"/>
      <c r="AC682" s="741"/>
      <c r="AD682" s="741"/>
      <c r="AE682" s="741"/>
      <c r="AF682" s="741"/>
      <c r="AG682" s="741"/>
      <c r="AH682" s="741"/>
      <c r="AI682" s="741"/>
      <c r="AJ682" s="741"/>
      <c r="AK682" s="741"/>
      <c r="AL682" s="741"/>
      <c r="AM682" s="741"/>
    </row>
    <row r="683" spans="1:39" ht="12.75" customHeight="1">
      <c r="A683" s="741"/>
      <c r="B683" s="741"/>
      <c r="C683" s="741"/>
      <c r="D683" s="741"/>
      <c r="E683" s="741"/>
      <c r="F683" s="741"/>
      <c r="G683" s="741"/>
      <c r="H683" s="741"/>
      <c r="I683" s="741"/>
      <c r="J683" s="741"/>
      <c r="K683" s="741"/>
      <c r="L683" s="741"/>
      <c r="M683" s="741"/>
      <c r="N683" s="741"/>
      <c r="O683" s="741"/>
      <c r="P683" s="741"/>
      <c r="Q683" s="741"/>
      <c r="R683" s="741"/>
      <c r="S683" s="741"/>
      <c r="T683" s="741"/>
      <c r="U683" s="741"/>
      <c r="V683" s="741"/>
      <c r="W683" s="741"/>
      <c r="X683" s="741"/>
      <c r="Y683" s="741"/>
      <c r="Z683" s="741"/>
      <c r="AA683" s="741"/>
      <c r="AB683" s="741"/>
      <c r="AC683" s="741"/>
      <c r="AD683" s="741"/>
      <c r="AE683" s="741"/>
      <c r="AF683" s="741"/>
      <c r="AG683" s="741"/>
      <c r="AH683" s="741"/>
      <c r="AI683" s="741"/>
      <c r="AJ683" s="741"/>
      <c r="AK683" s="741"/>
      <c r="AL683" s="741"/>
      <c r="AM683" s="741"/>
    </row>
    <row r="684" spans="1:39" ht="12.75" customHeight="1">
      <c r="A684" s="741"/>
      <c r="B684" s="741"/>
      <c r="C684" s="741"/>
      <c r="D684" s="741"/>
      <c r="E684" s="741"/>
      <c r="F684" s="741"/>
      <c r="G684" s="741"/>
      <c r="H684" s="741"/>
      <c r="I684" s="741"/>
      <c r="J684" s="741"/>
      <c r="K684" s="741"/>
      <c r="L684" s="741"/>
      <c r="M684" s="741"/>
      <c r="N684" s="741"/>
      <c r="O684" s="741"/>
      <c r="P684" s="741"/>
      <c r="Q684" s="741"/>
      <c r="R684" s="741"/>
      <c r="S684" s="741"/>
      <c r="T684" s="741"/>
      <c r="U684" s="741"/>
      <c r="V684" s="741"/>
      <c r="W684" s="741"/>
      <c r="X684" s="741"/>
      <c r="Y684" s="741"/>
      <c r="Z684" s="741"/>
      <c r="AA684" s="741"/>
      <c r="AB684" s="741"/>
      <c r="AC684" s="741"/>
      <c r="AD684" s="741"/>
      <c r="AE684" s="741"/>
      <c r="AF684" s="741"/>
      <c r="AG684" s="741"/>
      <c r="AH684" s="741"/>
      <c r="AI684" s="741"/>
      <c r="AJ684" s="741"/>
      <c r="AK684" s="741"/>
      <c r="AL684" s="741"/>
      <c r="AM684" s="741"/>
    </row>
    <row r="685" spans="1:39" ht="12.75" customHeight="1">
      <c r="A685" s="741"/>
      <c r="B685" s="741"/>
      <c r="C685" s="741"/>
      <c r="D685" s="741"/>
      <c r="E685" s="741"/>
      <c r="F685" s="741"/>
      <c r="G685" s="741"/>
      <c r="H685" s="741"/>
      <c r="I685" s="741"/>
      <c r="J685" s="741"/>
      <c r="K685" s="741"/>
      <c r="L685" s="741"/>
      <c r="M685" s="741"/>
      <c r="N685" s="741"/>
      <c r="O685" s="741"/>
      <c r="P685" s="741"/>
      <c r="Q685" s="741"/>
      <c r="R685" s="741"/>
      <c r="S685" s="741"/>
      <c r="T685" s="741"/>
      <c r="U685" s="741"/>
      <c r="V685" s="741"/>
      <c r="W685" s="741"/>
      <c r="X685" s="741"/>
      <c r="Y685" s="741"/>
      <c r="Z685" s="741"/>
      <c r="AA685" s="741"/>
      <c r="AB685" s="741"/>
      <c r="AC685" s="741"/>
      <c r="AD685" s="741"/>
      <c r="AE685" s="741"/>
      <c r="AF685" s="741"/>
      <c r="AG685" s="741"/>
      <c r="AH685" s="741"/>
      <c r="AI685" s="741"/>
      <c r="AJ685" s="741"/>
      <c r="AK685" s="741"/>
      <c r="AL685" s="741"/>
      <c r="AM685" s="741"/>
    </row>
    <row r="686" spans="1:39" ht="12.75" customHeight="1">
      <c r="A686" s="741"/>
      <c r="B686" s="741"/>
      <c r="C686" s="741"/>
      <c r="D686" s="741"/>
      <c r="E686" s="741"/>
      <c r="F686" s="741"/>
      <c r="G686" s="741"/>
      <c r="H686" s="741"/>
      <c r="I686" s="741"/>
      <c r="J686" s="741"/>
      <c r="K686" s="741"/>
      <c r="L686" s="741"/>
      <c r="M686" s="741"/>
      <c r="N686" s="741"/>
      <c r="O686" s="741"/>
      <c r="P686" s="741"/>
      <c r="Q686" s="741"/>
      <c r="R686" s="741"/>
      <c r="S686" s="741"/>
      <c r="T686" s="741"/>
      <c r="U686" s="741"/>
      <c r="V686" s="741"/>
      <c r="W686" s="741"/>
      <c r="X686" s="741"/>
      <c r="Y686" s="741"/>
      <c r="Z686" s="741"/>
      <c r="AA686" s="741"/>
      <c r="AB686" s="741"/>
      <c r="AC686" s="741"/>
      <c r="AD686" s="741"/>
      <c r="AE686" s="741"/>
      <c r="AF686" s="741"/>
      <c r="AG686" s="741"/>
      <c r="AH686" s="741"/>
      <c r="AI686" s="741"/>
      <c r="AJ686" s="741"/>
      <c r="AK686" s="741"/>
      <c r="AL686" s="741"/>
      <c r="AM686" s="741"/>
    </row>
    <row r="687" spans="1:39" ht="12.75" customHeight="1">
      <c r="A687" s="741"/>
      <c r="B687" s="741"/>
      <c r="C687" s="741"/>
      <c r="D687" s="741"/>
      <c r="E687" s="741"/>
      <c r="F687" s="741"/>
      <c r="G687" s="741"/>
      <c r="H687" s="741"/>
      <c r="I687" s="741"/>
      <c r="J687" s="741"/>
      <c r="K687" s="741"/>
      <c r="L687" s="741"/>
      <c r="M687" s="741"/>
      <c r="N687" s="741"/>
      <c r="O687" s="741"/>
      <c r="P687" s="741"/>
      <c r="Q687" s="741"/>
      <c r="R687" s="741"/>
      <c r="S687" s="741"/>
      <c r="T687" s="741"/>
      <c r="U687" s="741"/>
      <c r="V687" s="741"/>
      <c r="W687" s="741"/>
      <c r="X687" s="741"/>
      <c r="Y687" s="741"/>
      <c r="Z687" s="741"/>
      <c r="AA687" s="741"/>
      <c r="AB687" s="741"/>
      <c r="AC687" s="741"/>
      <c r="AD687" s="741"/>
      <c r="AE687" s="741"/>
      <c r="AF687" s="741"/>
      <c r="AG687" s="741"/>
      <c r="AH687" s="741"/>
      <c r="AI687" s="741"/>
      <c r="AJ687" s="741"/>
      <c r="AK687" s="741"/>
      <c r="AL687" s="741"/>
      <c r="AM687" s="741"/>
    </row>
    <row r="688" spans="1:39" ht="12.75" customHeight="1">
      <c r="A688" s="741"/>
      <c r="B688" s="741"/>
      <c r="C688" s="741"/>
      <c r="D688" s="741"/>
      <c r="E688" s="741"/>
      <c r="F688" s="741"/>
      <c r="G688" s="741"/>
      <c r="H688" s="741"/>
      <c r="I688" s="741"/>
      <c r="J688" s="741"/>
      <c r="K688" s="741"/>
      <c r="L688" s="741"/>
      <c r="M688" s="741"/>
      <c r="N688" s="741"/>
      <c r="O688" s="741"/>
      <c r="P688" s="741"/>
      <c r="Q688" s="741"/>
      <c r="R688" s="741"/>
      <c r="S688" s="741"/>
      <c r="T688" s="741"/>
      <c r="U688" s="741"/>
      <c r="V688" s="741"/>
      <c r="W688" s="741"/>
      <c r="X688" s="741"/>
      <c r="Y688" s="741"/>
      <c r="Z688" s="741"/>
      <c r="AA688" s="741"/>
      <c r="AB688" s="741"/>
      <c r="AC688" s="741"/>
      <c r="AD688" s="741"/>
      <c r="AE688" s="741"/>
      <c r="AF688" s="741"/>
      <c r="AG688" s="741"/>
      <c r="AH688" s="741"/>
      <c r="AI688" s="741"/>
      <c r="AJ688" s="741"/>
      <c r="AK688" s="741"/>
      <c r="AL688" s="741"/>
      <c r="AM688" s="741"/>
    </row>
    <row r="689" spans="1:39" ht="12.75" customHeight="1">
      <c r="A689" s="741"/>
      <c r="B689" s="741"/>
      <c r="C689" s="741"/>
      <c r="D689" s="741"/>
      <c r="E689" s="741"/>
      <c r="F689" s="741"/>
      <c r="G689" s="741"/>
      <c r="H689" s="741"/>
      <c r="I689" s="741"/>
      <c r="J689" s="741"/>
      <c r="K689" s="741"/>
      <c r="L689" s="741"/>
      <c r="M689" s="741"/>
      <c r="N689" s="741"/>
      <c r="O689" s="741"/>
      <c r="P689" s="741"/>
      <c r="Q689" s="741"/>
      <c r="R689" s="741"/>
      <c r="S689" s="741"/>
      <c r="T689" s="741"/>
      <c r="U689" s="741"/>
      <c r="V689" s="741"/>
      <c r="W689" s="741"/>
      <c r="X689" s="741"/>
      <c r="Y689" s="741"/>
      <c r="Z689" s="741"/>
      <c r="AA689" s="741"/>
      <c r="AB689" s="741"/>
      <c r="AC689" s="741"/>
      <c r="AD689" s="741"/>
      <c r="AE689" s="741"/>
      <c r="AF689" s="741"/>
      <c r="AG689" s="741"/>
      <c r="AH689" s="741"/>
      <c r="AI689" s="741"/>
      <c r="AJ689" s="741"/>
      <c r="AK689" s="741"/>
      <c r="AL689" s="741"/>
      <c r="AM689" s="741"/>
    </row>
    <row r="690" spans="1:39" ht="12.75" customHeight="1">
      <c r="A690" s="741"/>
      <c r="B690" s="741"/>
      <c r="C690" s="741"/>
      <c r="D690" s="741"/>
      <c r="E690" s="741"/>
      <c r="F690" s="741"/>
      <c r="G690" s="741"/>
      <c r="H690" s="741"/>
      <c r="I690" s="741"/>
      <c r="J690" s="741"/>
      <c r="K690" s="741"/>
      <c r="L690" s="741"/>
      <c r="M690" s="741"/>
      <c r="N690" s="741"/>
      <c r="O690" s="741"/>
      <c r="P690" s="741"/>
      <c r="Q690" s="741"/>
      <c r="R690" s="741"/>
      <c r="S690" s="741"/>
      <c r="T690" s="741"/>
      <c r="U690" s="741"/>
      <c r="V690" s="741"/>
      <c r="W690" s="741"/>
      <c r="X690" s="741"/>
      <c r="Y690" s="741"/>
      <c r="Z690" s="741"/>
      <c r="AA690" s="741"/>
      <c r="AB690" s="741"/>
      <c r="AC690" s="741"/>
      <c r="AD690" s="741"/>
      <c r="AE690" s="741"/>
      <c r="AF690" s="741"/>
      <c r="AG690" s="741"/>
      <c r="AH690" s="741"/>
      <c r="AI690" s="741"/>
      <c r="AJ690" s="741"/>
      <c r="AK690" s="741"/>
      <c r="AL690" s="741"/>
      <c r="AM690" s="741"/>
    </row>
    <row r="691" spans="1:39" ht="12.75" customHeight="1">
      <c r="A691" s="741"/>
      <c r="B691" s="741"/>
      <c r="C691" s="741"/>
      <c r="D691" s="741"/>
      <c r="E691" s="741"/>
      <c r="F691" s="741"/>
      <c r="G691" s="741"/>
      <c r="H691" s="741"/>
      <c r="I691" s="741"/>
      <c r="J691" s="741"/>
      <c r="K691" s="741"/>
      <c r="L691" s="741"/>
      <c r="M691" s="741"/>
      <c r="N691" s="741"/>
      <c r="O691" s="741"/>
      <c r="P691" s="741"/>
      <c r="Q691" s="741"/>
      <c r="R691" s="741"/>
      <c r="S691" s="741"/>
      <c r="T691" s="741"/>
      <c r="U691" s="741"/>
      <c r="V691" s="741"/>
      <c r="W691" s="741"/>
      <c r="X691" s="741"/>
      <c r="Y691" s="741"/>
      <c r="Z691" s="741"/>
      <c r="AA691" s="741"/>
      <c r="AB691" s="741"/>
      <c r="AC691" s="741"/>
      <c r="AD691" s="741"/>
      <c r="AE691" s="741"/>
      <c r="AF691" s="741"/>
      <c r="AG691" s="741"/>
      <c r="AH691" s="741"/>
      <c r="AI691" s="741"/>
      <c r="AJ691" s="741"/>
      <c r="AK691" s="741"/>
      <c r="AL691" s="741"/>
      <c r="AM691" s="741"/>
    </row>
    <row r="692" spans="1:39" ht="12.75" customHeight="1">
      <c r="A692" s="741"/>
      <c r="B692" s="741"/>
      <c r="C692" s="741"/>
      <c r="D692" s="741"/>
      <c r="E692" s="741"/>
      <c r="F692" s="741"/>
      <c r="G692" s="741"/>
      <c r="H692" s="741"/>
      <c r="I692" s="741"/>
      <c r="J692" s="741"/>
      <c r="K692" s="741"/>
      <c r="L692" s="741"/>
      <c r="M692" s="741"/>
      <c r="N692" s="741"/>
      <c r="O692" s="741"/>
      <c r="P692" s="741"/>
      <c r="Q692" s="741"/>
      <c r="R692" s="741"/>
      <c r="S692" s="741"/>
      <c r="T692" s="741"/>
      <c r="U692" s="741"/>
      <c r="V692" s="741"/>
      <c r="W692" s="741"/>
      <c r="X692" s="741"/>
      <c r="Y692" s="741"/>
      <c r="Z692" s="741"/>
      <c r="AA692" s="741"/>
      <c r="AB692" s="741"/>
      <c r="AC692" s="741"/>
      <c r="AD692" s="741"/>
      <c r="AE692" s="741"/>
      <c r="AF692" s="741"/>
      <c r="AG692" s="741"/>
      <c r="AH692" s="741"/>
      <c r="AI692" s="741"/>
      <c r="AJ692" s="741"/>
      <c r="AK692" s="741"/>
      <c r="AL692" s="741"/>
      <c r="AM692" s="741"/>
    </row>
    <row r="693" spans="1:39" ht="12.75" customHeight="1">
      <c r="A693" s="741"/>
      <c r="B693" s="741"/>
      <c r="C693" s="741"/>
      <c r="D693" s="741"/>
      <c r="E693" s="741"/>
      <c r="F693" s="741"/>
      <c r="G693" s="741"/>
      <c r="H693" s="741"/>
      <c r="I693" s="741"/>
      <c r="J693" s="741"/>
      <c r="K693" s="741"/>
      <c r="L693" s="741"/>
      <c r="M693" s="741"/>
      <c r="N693" s="741"/>
      <c r="O693" s="741"/>
      <c r="P693" s="741"/>
      <c r="Q693" s="741"/>
      <c r="R693" s="741"/>
      <c r="S693" s="741"/>
      <c r="T693" s="741"/>
      <c r="U693" s="741"/>
      <c r="V693" s="741"/>
      <c r="W693" s="741"/>
      <c r="X693" s="741"/>
      <c r="Y693" s="741"/>
      <c r="Z693" s="741"/>
      <c r="AA693" s="741"/>
      <c r="AB693" s="741"/>
      <c r="AC693" s="741"/>
      <c r="AD693" s="741"/>
      <c r="AE693" s="741"/>
      <c r="AF693" s="741"/>
      <c r="AG693" s="741"/>
      <c r="AH693" s="741"/>
      <c r="AI693" s="741"/>
      <c r="AJ693" s="741"/>
      <c r="AK693" s="741"/>
      <c r="AL693" s="741"/>
      <c r="AM693" s="741"/>
    </row>
    <row r="694" spans="1:39" ht="12.75" customHeight="1">
      <c r="A694" s="741"/>
      <c r="B694" s="741"/>
      <c r="C694" s="741"/>
      <c r="D694" s="741"/>
      <c r="E694" s="741"/>
      <c r="F694" s="741"/>
      <c r="G694" s="741"/>
      <c r="H694" s="741"/>
      <c r="I694" s="741"/>
      <c r="J694" s="741"/>
      <c r="K694" s="741"/>
      <c r="L694" s="741"/>
      <c r="M694" s="741"/>
      <c r="N694" s="741"/>
      <c r="O694" s="741"/>
      <c r="P694" s="741"/>
      <c r="Q694" s="741"/>
      <c r="R694" s="741"/>
      <c r="S694" s="741"/>
      <c r="T694" s="741"/>
      <c r="U694" s="741"/>
      <c r="V694" s="741"/>
      <c r="W694" s="741"/>
      <c r="X694" s="741"/>
      <c r="Y694" s="741"/>
      <c r="Z694" s="741"/>
      <c r="AA694" s="741"/>
      <c r="AB694" s="741"/>
      <c r="AC694" s="741"/>
      <c r="AD694" s="741"/>
      <c r="AE694" s="741"/>
      <c r="AF694" s="741"/>
      <c r="AG694" s="741"/>
      <c r="AH694" s="741"/>
      <c r="AI694" s="741"/>
      <c r="AJ694" s="741"/>
      <c r="AK694" s="741"/>
      <c r="AL694" s="741"/>
      <c r="AM694" s="741"/>
    </row>
    <row r="695" spans="1:39" ht="12.75" customHeight="1">
      <c r="A695" s="741"/>
      <c r="B695" s="741"/>
      <c r="C695" s="741"/>
      <c r="D695" s="741"/>
      <c r="E695" s="741"/>
      <c r="F695" s="741"/>
      <c r="G695" s="741"/>
      <c r="H695" s="741"/>
      <c r="I695" s="741"/>
      <c r="J695" s="741"/>
      <c r="K695" s="741"/>
      <c r="L695" s="741"/>
      <c r="M695" s="741"/>
      <c r="N695" s="741"/>
      <c r="O695" s="741"/>
      <c r="P695" s="741"/>
      <c r="Q695" s="741"/>
      <c r="R695" s="741"/>
      <c r="S695" s="741"/>
      <c r="T695" s="741"/>
      <c r="U695" s="741"/>
      <c r="V695" s="741"/>
      <c r="W695" s="741"/>
      <c r="X695" s="741"/>
      <c r="Y695" s="741"/>
      <c r="Z695" s="741"/>
      <c r="AA695" s="741"/>
      <c r="AB695" s="741"/>
      <c r="AC695" s="741"/>
      <c r="AD695" s="741"/>
      <c r="AE695" s="741"/>
      <c r="AF695" s="741"/>
      <c r="AG695" s="741"/>
      <c r="AH695" s="741"/>
      <c r="AI695" s="741"/>
      <c r="AJ695" s="741"/>
      <c r="AK695" s="741"/>
      <c r="AL695" s="741"/>
      <c r="AM695" s="741"/>
    </row>
    <row r="696" spans="1:39" ht="12.75" customHeight="1">
      <c r="A696" s="741"/>
      <c r="B696" s="741"/>
      <c r="C696" s="741"/>
      <c r="D696" s="741"/>
      <c r="E696" s="741"/>
      <c r="F696" s="741"/>
      <c r="G696" s="741"/>
      <c r="H696" s="741"/>
      <c r="I696" s="741"/>
      <c r="J696" s="741"/>
      <c r="K696" s="741"/>
      <c r="L696" s="741"/>
      <c r="M696" s="741"/>
      <c r="N696" s="741"/>
      <c r="O696" s="741"/>
      <c r="P696" s="741"/>
      <c r="Q696" s="741"/>
      <c r="R696" s="741"/>
      <c r="S696" s="741"/>
      <c r="T696" s="741"/>
      <c r="U696" s="741"/>
      <c r="V696" s="741"/>
      <c r="W696" s="741"/>
      <c r="X696" s="741"/>
      <c r="Y696" s="741"/>
      <c r="Z696" s="741"/>
      <c r="AA696" s="741"/>
      <c r="AB696" s="741"/>
      <c r="AC696" s="741"/>
      <c r="AD696" s="741"/>
      <c r="AE696" s="741"/>
      <c r="AF696" s="741"/>
      <c r="AG696" s="741"/>
      <c r="AH696" s="741"/>
      <c r="AI696" s="741"/>
      <c r="AJ696" s="741"/>
      <c r="AK696" s="741"/>
      <c r="AL696" s="741"/>
      <c r="AM696" s="741"/>
    </row>
    <row r="697" spans="1:39" ht="12.75" customHeight="1">
      <c r="A697" s="741"/>
      <c r="B697" s="741"/>
      <c r="C697" s="741"/>
      <c r="D697" s="741"/>
      <c r="E697" s="741"/>
      <c r="F697" s="741"/>
      <c r="G697" s="741"/>
      <c r="H697" s="741"/>
      <c r="I697" s="741"/>
      <c r="J697" s="741"/>
      <c r="K697" s="741"/>
      <c r="L697" s="741"/>
      <c r="M697" s="741"/>
      <c r="N697" s="741"/>
      <c r="O697" s="741"/>
      <c r="P697" s="741"/>
      <c r="Q697" s="741"/>
      <c r="R697" s="741"/>
      <c r="S697" s="741"/>
      <c r="T697" s="741"/>
      <c r="U697" s="741"/>
      <c r="V697" s="741"/>
      <c r="W697" s="741"/>
      <c r="X697" s="741"/>
      <c r="Y697" s="741"/>
      <c r="Z697" s="741"/>
      <c r="AA697" s="741"/>
      <c r="AB697" s="741"/>
      <c r="AC697" s="741"/>
      <c r="AD697" s="741"/>
      <c r="AE697" s="741"/>
      <c r="AF697" s="741"/>
      <c r="AG697" s="741"/>
      <c r="AH697" s="741"/>
      <c r="AI697" s="741"/>
      <c r="AJ697" s="741"/>
      <c r="AK697" s="741"/>
      <c r="AL697" s="741"/>
      <c r="AM697" s="741"/>
    </row>
    <row r="698" spans="1:39" ht="12.75" customHeight="1">
      <c r="A698" s="741"/>
      <c r="B698" s="741"/>
      <c r="C698" s="741"/>
      <c r="D698" s="741"/>
      <c r="E698" s="741"/>
      <c r="F698" s="741"/>
      <c r="G698" s="741"/>
      <c r="H698" s="741"/>
      <c r="I698" s="741"/>
      <c r="J698" s="741"/>
      <c r="K698" s="741"/>
      <c r="L698" s="741"/>
      <c r="M698" s="741"/>
      <c r="N698" s="741"/>
      <c r="O698" s="741"/>
      <c r="P698" s="741"/>
      <c r="Q698" s="741"/>
      <c r="R698" s="741"/>
      <c r="S698" s="741"/>
      <c r="T698" s="741"/>
      <c r="U698" s="741"/>
      <c r="V698" s="741"/>
      <c r="W698" s="741"/>
      <c r="X698" s="741"/>
      <c r="Y698" s="741"/>
      <c r="Z698" s="741"/>
      <c r="AA698" s="741"/>
      <c r="AB698" s="741"/>
      <c r="AC698" s="741"/>
      <c r="AD698" s="741"/>
      <c r="AE698" s="741"/>
      <c r="AF698" s="741"/>
      <c r="AG698" s="741"/>
      <c r="AH698" s="741"/>
      <c r="AI698" s="741"/>
      <c r="AJ698" s="741"/>
      <c r="AK698" s="741"/>
      <c r="AL698" s="741"/>
      <c r="AM698" s="741"/>
    </row>
    <row r="699" spans="1:39" ht="12.75" customHeight="1">
      <c r="A699" s="741"/>
      <c r="B699" s="741"/>
      <c r="C699" s="741"/>
      <c r="D699" s="741"/>
      <c r="E699" s="741"/>
      <c r="F699" s="741"/>
      <c r="G699" s="741"/>
      <c r="H699" s="741"/>
      <c r="I699" s="741"/>
      <c r="J699" s="741"/>
      <c r="K699" s="741"/>
      <c r="L699" s="741"/>
      <c r="M699" s="741"/>
      <c r="N699" s="741"/>
      <c r="O699" s="741"/>
      <c r="P699" s="741"/>
      <c r="Q699" s="741"/>
      <c r="R699" s="741"/>
      <c r="S699" s="741"/>
      <c r="T699" s="741"/>
      <c r="U699" s="741"/>
      <c r="V699" s="741"/>
      <c r="W699" s="741"/>
      <c r="X699" s="741"/>
      <c r="Y699" s="741"/>
      <c r="Z699" s="741"/>
      <c r="AA699" s="741"/>
      <c r="AB699" s="741"/>
      <c r="AC699" s="741"/>
      <c r="AD699" s="741"/>
      <c r="AE699" s="741"/>
      <c r="AF699" s="741"/>
      <c r="AG699" s="741"/>
      <c r="AH699" s="741"/>
      <c r="AI699" s="741"/>
      <c r="AJ699" s="741"/>
      <c r="AK699" s="741"/>
      <c r="AL699" s="741"/>
      <c r="AM699" s="741"/>
    </row>
    <row r="700" spans="1:39" ht="12.75" customHeight="1">
      <c r="A700" s="741"/>
      <c r="B700" s="741"/>
      <c r="C700" s="741"/>
      <c r="D700" s="741"/>
      <c r="E700" s="741"/>
      <c r="F700" s="741"/>
      <c r="G700" s="741"/>
      <c r="H700" s="741"/>
      <c r="I700" s="741"/>
      <c r="J700" s="741"/>
      <c r="K700" s="741"/>
      <c r="L700" s="741"/>
      <c r="M700" s="741"/>
      <c r="N700" s="741"/>
      <c r="O700" s="741"/>
      <c r="P700" s="741"/>
      <c r="Q700" s="741"/>
      <c r="R700" s="741"/>
      <c r="S700" s="741"/>
      <c r="T700" s="741"/>
      <c r="U700" s="741"/>
      <c r="V700" s="741"/>
      <c r="W700" s="741"/>
      <c r="X700" s="741"/>
      <c r="Y700" s="741"/>
      <c r="Z700" s="741"/>
      <c r="AA700" s="741"/>
      <c r="AB700" s="741"/>
      <c r="AC700" s="741"/>
      <c r="AD700" s="741"/>
      <c r="AE700" s="741"/>
      <c r="AF700" s="741"/>
      <c r="AG700" s="741"/>
      <c r="AH700" s="741"/>
      <c r="AI700" s="741"/>
      <c r="AJ700" s="741"/>
      <c r="AK700" s="741"/>
      <c r="AL700" s="741"/>
      <c r="AM700" s="741"/>
    </row>
    <row r="701" spans="1:39" ht="12.75" customHeight="1">
      <c r="A701" s="741"/>
      <c r="B701" s="741"/>
      <c r="C701" s="741"/>
      <c r="D701" s="741"/>
      <c r="E701" s="741"/>
      <c r="F701" s="741"/>
      <c r="G701" s="741"/>
      <c r="H701" s="741"/>
      <c r="I701" s="741"/>
      <c r="J701" s="741"/>
      <c r="K701" s="741"/>
      <c r="L701" s="741"/>
      <c r="M701" s="741"/>
      <c r="N701" s="741"/>
      <c r="O701" s="741"/>
      <c r="P701" s="741"/>
      <c r="Q701" s="741"/>
      <c r="R701" s="741"/>
      <c r="S701" s="741"/>
      <c r="T701" s="741"/>
      <c r="U701" s="741"/>
      <c r="V701" s="741"/>
      <c r="W701" s="741"/>
      <c r="X701" s="741"/>
      <c r="Y701" s="741"/>
      <c r="Z701" s="741"/>
      <c r="AA701" s="741"/>
      <c r="AB701" s="741"/>
      <c r="AC701" s="741"/>
      <c r="AD701" s="741"/>
      <c r="AE701" s="741"/>
      <c r="AF701" s="741"/>
      <c r="AG701" s="741"/>
      <c r="AH701" s="741"/>
      <c r="AI701" s="741"/>
      <c r="AJ701" s="741"/>
      <c r="AK701" s="741"/>
      <c r="AL701" s="741"/>
      <c r="AM701" s="741"/>
    </row>
    <row r="702" spans="1:39" ht="12.75" customHeight="1">
      <c r="A702" s="741"/>
      <c r="B702" s="741"/>
      <c r="C702" s="741"/>
      <c r="D702" s="741"/>
      <c r="E702" s="741"/>
      <c r="F702" s="741"/>
      <c r="G702" s="741"/>
      <c r="H702" s="741"/>
      <c r="I702" s="741"/>
      <c r="J702" s="741"/>
      <c r="K702" s="741"/>
      <c r="L702" s="741"/>
      <c r="M702" s="741"/>
      <c r="N702" s="741"/>
      <c r="O702" s="741"/>
      <c r="P702" s="741"/>
      <c r="Q702" s="741"/>
      <c r="R702" s="741"/>
      <c r="S702" s="741"/>
      <c r="T702" s="741"/>
      <c r="U702" s="741"/>
      <c r="V702" s="741"/>
      <c r="W702" s="741"/>
      <c r="X702" s="741"/>
      <c r="Y702" s="741"/>
      <c r="Z702" s="741"/>
      <c r="AA702" s="741"/>
      <c r="AB702" s="741"/>
      <c r="AC702" s="741"/>
      <c r="AD702" s="741"/>
      <c r="AE702" s="741"/>
      <c r="AF702" s="741"/>
      <c r="AG702" s="741"/>
      <c r="AH702" s="741"/>
      <c r="AI702" s="741"/>
      <c r="AJ702" s="741"/>
      <c r="AK702" s="741"/>
      <c r="AL702" s="741"/>
      <c r="AM702" s="741"/>
    </row>
    <row r="703" spans="1:39" ht="12.75" customHeight="1">
      <c r="A703" s="741"/>
      <c r="B703" s="741"/>
      <c r="C703" s="741"/>
      <c r="D703" s="741"/>
      <c r="E703" s="741"/>
      <c r="F703" s="741"/>
      <c r="G703" s="741"/>
      <c r="H703" s="741"/>
      <c r="I703" s="741"/>
      <c r="J703" s="741"/>
      <c r="K703" s="741"/>
      <c r="L703" s="741"/>
      <c r="M703" s="741"/>
      <c r="N703" s="741"/>
      <c r="O703" s="741"/>
      <c r="P703" s="741"/>
      <c r="Q703" s="741"/>
      <c r="R703" s="741"/>
      <c r="S703" s="741"/>
      <c r="T703" s="741"/>
      <c r="U703" s="741"/>
      <c r="V703" s="741"/>
      <c r="W703" s="741"/>
      <c r="X703" s="741"/>
      <c r="Y703" s="741"/>
      <c r="Z703" s="741"/>
      <c r="AA703" s="741"/>
      <c r="AB703" s="741"/>
      <c r="AC703" s="741"/>
      <c r="AD703" s="741"/>
      <c r="AE703" s="741"/>
      <c r="AF703" s="741"/>
      <c r="AG703" s="741"/>
      <c r="AH703" s="741"/>
      <c r="AI703" s="741"/>
      <c r="AJ703" s="741"/>
      <c r="AK703" s="741"/>
      <c r="AL703" s="741"/>
      <c r="AM703" s="741"/>
    </row>
    <row r="704" spans="1:39" ht="12.75" customHeight="1">
      <c r="A704" s="741"/>
      <c r="B704" s="741"/>
      <c r="C704" s="741"/>
      <c r="D704" s="741"/>
      <c r="E704" s="741"/>
      <c r="F704" s="741"/>
      <c r="G704" s="741"/>
      <c r="H704" s="741"/>
      <c r="I704" s="741"/>
      <c r="J704" s="741"/>
      <c r="K704" s="741"/>
      <c r="L704" s="741"/>
      <c r="M704" s="741"/>
      <c r="N704" s="741"/>
      <c r="O704" s="741"/>
      <c r="P704" s="741"/>
      <c r="Q704" s="741"/>
      <c r="R704" s="741"/>
      <c r="S704" s="741"/>
      <c r="T704" s="741"/>
      <c r="U704" s="741"/>
      <c r="V704" s="741"/>
      <c r="W704" s="741"/>
      <c r="X704" s="741"/>
      <c r="Y704" s="741"/>
      <c r="Z704" s="741"/>
      <c r="AA704" s="741"/>
      <c r="AB704" s="741"/>
      <c r="AC704" s="741"/>
      <c r="AD704" s="741"/>
      <c r="AE704" s="741"/>
      <c r="AF704" s="741"/>
      <c r="AG704" s="741"/>
      <c r="AH704" s="741"/>
      <c r="AI704" s="741"/>
      <c r="AJ704" s="741"/>
      <c r="AK704" s="741"/>
      <c r="AL704" s="741"/>
      <c r="AM704" s="741"/>
    </row>
    <row r="705" spans="1:39" ht="12.75" customHeight="1">
      <c r="A705" s="741"/>
      <c r="B705" s="741"/>
      <c r="C705" s="741"/>
      <c r="D705" s="741"/>
      <c r="E705" s="741"/>
      <c r="F705" s="741"/>
      <c r="G705" s="741"/>
      <c r="H705" s="741"/>
      <c r="I705" s="741"/>
      <c r="J705" s="741"/>
      <c r="K705" s="741"/>
      <c r="L705" s="741"/>
      <c r="M705" s="741"/>
      <c r="N705" s="741"/>
      <c r="O705" s="741"/>
      <c r="P705" s="741"/>
      <c r="Q705" s="741"/>
      <c r="R705" s="741"/>
      <c r="S705" s="741"/>
      <c r="T705" s="741"/>
      <c r="U705" s="741"/>
      <c r="V705" s="741"/>
      <c r="W705" s="741"/>
      <c r="X705" s="741"/>
      <c r="Y705" s="741"/>
      <c r="Z705" s="741"/>
      <c r="AA705" s="741"/>
      <c r="AB705" s="741"/>
      <c r="AC705" s="741"/>
      <c r="AD705" s="741"/>
      <c r="AE705" s="741"/>
      <c r="AF705" s="741"/>
      <c r="AG705" s="741"/>
      <c r="AH705" s="741"/>
      <c r="AI705" s="741"/>
      <c r="AJ705" s="741"/>
      <c r="AK705" s="741"/>
      <c r="AL705" s="741"/>
      <c r="AM705" s="741"/>
    </row>
    <row r="706" spans="1:39" ht="12.75" customHeight="1">
      <c r="A706" s="741"/>
      <c r="B706" s="741"/>
      <c r="C706" s="741"/>
      <c r="D706" s="741"/>
      <c r="E706" s="741"/>
      <c r="F706" s="741"/>
      <c r="G706" s="741"/>
      <c r="H706" s="741"/>
      <c r="I706" s="741"/>
      <c r="J706" s="741"/>
      <c r="K706" s="741"/>
      <c r="L706" s="741"/>
      <c r="M706" s="741"/>
      <c r="N706" s="741"/>
      <c r="O706" s="741"/>
      <c r="P706" s="741"/>
      <c r="Q706" s="741"/>
      <c r="R706" s="741"/>
      <c r="S706" s="741"/>
      <c r="T706" s="741"/>
      <c r="U706" s="741"/>
      <c r="V706" s="741"/>
      <c r="W706" s="741"/>
      <c r="X706" s="741"/>
      <c r="Y706" s="741"/>
      <c r="Z706" s="741"/>
      <c r="AA706" s="741"/>
      <c r="AB706" s="741"/>
      <c r="AC706" s="741"/>
      <c r="AD706" s="741"/>
      <c r="AE706" s="741"/>
      <c r="AF706" s="741"/>
      <c r="AG706" s="741"/>
      <c r="AH706" s="741"/>
      <c r="AI706" s="741"/>
      <c r="AJ706" s="741"/>
      <c r="AK706" s="741"/>
      <c r="AL706" s="741"/>
      <c r="AM706" s="741"/>
    </row>
    <row r="707" spans="1:39" ht="12.75" customHeight="1">
      <c r="A707" s="741"/>
      <c r="B707" s="741"/>
      <c r="C707" s="741"/>
      <c r="D707" s="741"/>
      <c r="E707" s="741"/>
      <c r="F707" s="741"/>
      <c r="G707" s="741"/>
      <c r="H707" s="741"/>
      <c r="I707" s="741"/>
      <c r="J707" s="741"/>
      <c r="K707" s="741"/>
      <c r="L707" s="741"/>
      <c r="M707" s="741"/>
      <c r="N707" s="741"/>
      <c r="O707" s="741"/>
      <c r="P707" s="741"/>
      <c r="Q707" s="741"/>
      <c r="R707" s="741"/>
      <c r="S707" s="741"/>
      <c r="T707" s="741"/>
      <c r="U707" s="741"/>
      <c r="V707" s="741"/>
      <c r="W707" s="741"/>
      <c r="X707" s="741"/>
      <c r="Y707" s="741"/>
      <c r="Z707" s="741"/>
      <c r="AA707" s="741"/>
      <c r="AB707" s="741"/>
      <c r="AC707" s="741"/>
      <c r="AD707" s="741"/>
      <c r="AE707" s="741"/>
      <c r="AF707" s="741"/>
      <c r="AG707" s="741"/>
      <c r="AH707" s="741"/>
      <c r="AI707" s="741"/>
      <c r="AJ707" s="741"/>
      <c r="AK707" s="741"/>
      <c r="AL707" s="741"/>
      <c r="AM707" s="741"/>
    </row>
    <row r="708" spans="1:39" ht="12.75" customHeight="1">
      <c r="A708" s="741"/>
      <c r="B708" s="741"/>
      <c r="C708" s="741"/>
      <c r="D708" s="741"/>
      <c r="E708" s="741"/>
      <c r="F708" s="741"/>
      <c r="G708" s="741"/>
      <c r="H708" s="741"/>
      <c r="I708" s="741"/>
      <c r="J708" s="741"/>
      <c r="K708" s="741"/>
      <c r="L708" s="741"/>
      <c r="M708" s="741"/>
      <c r="N708" s="741"/>
      <c r="O708" s="741"/>
      <c r="P708" s="741"/>
      <c r="Q708" s="741"/>
      <c r="R708" s="741"/>
      <c r="S708" s="741"/>
      <c r="T708" s="741"/>
      <c r="U708" s="741"/>
      <c r="V708" s="741"/>
      <c r="W708" s="741"/>
      <c r="X708" s="741"/>
      <c r="Y708" s="741"/>
      <c r="Z708" s="741"/>
      <c r="AA708" s="741"/>
      <c r="AB708" s="741"/>
      <c r="AC708" s="741"/>
      <c r="AD708" s="741"/>
      <c r="AE708" s="741"/>
      <c r="AF708" s="741"/>
      <c r="AG708" s="741"/>
      <c r="AH708" s="741"/>
      <c r="AI708" s="741"/>
      <c r="AJ708" s="741"/>
      <c r="AK708" s="741"/>
      <c r="AL708" s="741"/>
      <c r="AM708" s="741"/>
    </row>
    <row r="709" spans="1:39" ht="12.75" customHeight="1">
      <c r="A709" s="741"/>
      <c r="B709" s="741"/>
      <c r="C709" s="741"/>
      <c r="D709" s="741"/>
      <c r="E709" s="741"/>
      <c r="F709" s="741"/>
      <c r="G709" s="741"/>
      <c r="H709" s="741"/>
      <c r="I709" s="741"/>
      <c r="J709" s="741"/>
      <c r="K709" s="741"/>
      <c r="L709" s="741"/>
      <c r="M709" s="741"/>
      <c r="N709" s="741"/>
      <c r="O709" s="741"/>
      <c r="P709" s="741"/>
      <c r="Q709" s="741"/>
      <c r="R709" s="741"/>
      <c r="S709" s="741"/>
      <c r="T709" s="741"/>
      <c r="U709" s="741"/>
      <c r="V709" s="741"/>
      <c r="W709" s="741"/>
      <c r="X709" s="741"/>
      <c r="Y709" s="741"/>
      <c r="Z709" s="741"/>
      <c r="AA709" s="741"/>
      <c r="AB709" s="741"/>
      <c r="AC709" s="741"/>
      <c r="AD709" s="741"/>
      <c r="AE709" s="741"/>
      <c r="AF709" s="741"/>
      <c r="AG709" s="741"/>
      <c r="AH709" s="741"/>
      <c r="AI709" s="741"/>
      <c r="AJ709" s="741"/>
      <c r="AK709" s="741"/>
      <c r="AL709" s="741"/>
      <c r="AM709" s="741"/>
    </row>
    <row r="710" spans="1:39" ht="12.75" customHeight="1">
      <c r="A710" s="741"/>
      <c r="B710" s="741"/>
      <c r="C710" s="741"/>
      <c r="D710" s="741"/>
      <c r="E710" s="741"/>
      <c r="F710" s="741"/>
      <c r="G710" s="741"/>
      <c r="H710" s="741"/>
      <c r="I710" s="741"/>
      <c r="J710" s="741"/>
      <c r="K710" s="741"/>
      <c r="L710" s="741"/>
      <c r="M710" s="741"/>
      <c r="N710" s="741"/>
      <c r="O710" s="741"/>
      <c r="P710" s="741"/>
      <c r="Q710" s="741"/>
      <c r="R710" s="741"/>
      <c r="S710" s="741"/>
      <c r="T710" s="741"/>
      <c r="U710" s="741"/>
      <c r="V710" s="741"/>
      <c r="W710" s="741"/>
      <c r="X710" s="741"/>
      <c r="Y710" s="741"/>
      <c r="Z710" s="741"/>
      <c r="AA710" s="741"/>
      <c r="AB710" s="741"/>
      <c r="AC710" s="741"/>
      <c r="AD710" s="741"/>
      <c r="AE710" s="741"/>
      <c r="AF710" s="741"/>
      <c r="AG710" s="741"/>
      <c r="AH710" s="741"/>
      <c r="AI710" s="741"/>
      <c r="AJ710" s="741"/>
      <c r="AK710" s="741"/>
      <c r="AL710" s="741"/>
      <c r="AM710" s="741"/>
    </row>
    <row r="711" spans="1:39" ht="12.75" customHeight="1">
      <c r="A711" s="741"/>
      <c r="B711" s="741"/>
      <c r="C711" s="741"/>
      <c r="D711" s="741"/>
      <c r="E711" s="741"/>
      <c r="F711" s="741"/>
      <c r="G711" s="741"/>
      <c r="H711" s="741"/>
      <c r="I711" s="741"/>
      <c r="J711" s="741"/>
      <c r="K711" s="741"/>
      <c r="L711" s="741"/>
      <c r="M711" s="741"/>
      <c r="N711" s="741"/>
      <c r="O711" s="741"/>
      <c r="P711" s="741"/>
      <c r="Q711" s="741"/>
      <c r="R711" s="741"/>
      <c r="S711" s="741"/>
      <c r="T711" s="741"/>
      <c r="U711" s="741"/>
      <c r="V711" s="741"/>
      <c r="W711" s="741"/>
      <c r="X711" s="741"/>
      <c r="Y711" s="741"/>
      <c r="Z711" s="741"/>
      <c r="AA711" s="741"/>
      <c r="AB711" s="741"/>
      <c r="AC711" s="741"/>
      <c r="AD711" s="741"/>
      <c r="AE711" s="741"/>
      <c r="AF711" s="741"/>
      <c r="AG711" s="741"/>
      <c r="AH711" s="741"/>
      <c r="AI711" s="741"/>
      <c r="AJ711" s="741"/>
      <c r="AK711" s="741"/>
      <c r="AL711" s="741"/>
      <c r="AM711" s="741"/>
    </row>
    <row r="712" spans="1:39" ht="12.75" customHeight="1">
      <c r="A712" s="741"/>
      <c r="B712" s="741"/>
      <c r="C712" s="741"/>
      <c r="D712" s="741"/>
      <c r="E712" s="741"/>
      <c r="F712" s="741"/>
      <c r="G712" s="741"/>
      <c r="H712" s="741"/>
      <c r="I712" s="741"/>
      <c r="J712" s="741"/>
      <c r="K712" s="741"/>
      <c r="L712" s="741"/>
      <c r="M712" s="741"/>
      <c r="N712" s="741"/>
      <c r="O712" s="741"/>
      <c r="P712" s="741"/>
      <c r="Q712" s="741"/>
      <c r="R712" s="741"/>
      <c r="S712" s="741"/>
      <c r="T712" s="741"/>
      <c r="U712" s="741"/>
      <c r="V712" s="741"/>
      <c r="W712" s="741"/>
      <c r="X712" s="741"/>
      <c r="Y712" s="741"/>
      <c r="Z712" s="741"/>
      <c r="AA712" s="741"/>
      <c r="AB712" s="741"/>
      <c r="AC712" s="741"/>
      <c r="AD712" s="741"/>
      <c r="AE712" s="741"/>
      <c r="AF712" s="741"/>
      <c r="AG712" s="741"/>
      <c r="AH712" s="741"/>
      <c r="AI712" s="741"/>
      <c r="AJ712" s="741"/>
      <c r="AK712" s="741"/>
      <c r="AL712" s="741"/>
      <c r="AM712" s="741"/>
    </row>
    <row r="713" spans="1:39" ht="12.75" customHeight="1">
      <c r="A713" s="741"/>
      <c r="B713" s="741"/>
      <c r="C713" s="741"/>
      <c r="D713" s="741"/>
      <c r="E713" s="741"/>
      <c r="F713" s="741"/>
      <c r="G713" s="741"/>
      <c r="H713" s="741"/>
      <c r="I713" s="741"/>
      <c r="J713" s="741"/>
      <c r="K713" s="741"/>
      <c r="L713" s="741"/>
      <c r="M713" s="741"/>
      <c r="N713" s="741"/>
      <c r="O713" s="741"/>
      <c r="P713" s="741"/>
      <c r="Q713" s="741"/>
      <c r="R713" s="741"/>
      <c r="S713" s="741"/>
      <c r="T713" s="741"/>
      <c r="U713" s="741"/>
      <c r="V713" s="741"/>
      <c r="W713" s="741"/>
      <c r="X713" s="741"/>
      <c r="Y713" s="741"/>
      <c r="Z713" s="741"/>
      <c r="AA713" s="741"/>
      <c r="AB713" s="741"/>
      <c r="AC713" s="741"/>
      <c r="AD713" s="741"/>
      <c r="AE713" s="741"/>
      <c r="AF713" s="741"/>
      <c r="AG713" s="741"/>
      <c r="AH713" s="741"/>
      <c r="AI713" s="741"/>
      <c r="AJ713" s="741"/>
      <c r="AK713" s="741"/>
      <c r="AL713" s="741"/>
      <c r="AM713" s="741"/>
    </row>
    <row r="714" spans="1:39" ht="12.75" customHeight="1">
      <c r="A714" s="741"/>
      <c r="B714" s="741"/>
      <c r="C714" s="741"/>
      <c r="D714" s="741"/>
      <c r="E714" s="741"/>
      <c r="F714" s="741"/>
      <c r="G714" s="741"/>
      <c r="H714" s="741"/>
      <c r="I714" s="741"/>
      <c r="J714" s="741"/>
      <c r="K714" s="741"/>
      <c r="L714" s="741"/>
      <c r="M714" s="741"/>
      <c r="N714" s="741"/>
      <c r="O714" s="741"/>
      <c r="P714" s="741"/>
      <c r="Q714" s="741"/>
      <c r="R714" s="741"/>
      <c r="S714" s="741"/>
      <c r="T714" s="741"/>
      <c r="U714" s="741"/>
      <c r="V714" s="741"/>
      <c r="W714" s="741"/>
      <c r="X714" s="741"/>
      <c r="Y714" s="741"/>
      <c r="Z714" s="741"/>
      <c r="AA714" s="741"/>
      <c r="AB714" s="741"/>
      <c r="AC714" s="741"/>
      <c r="AD714" s="741"/>
      <c r="AE714" s="741"/>
      <c r="AF714" s="741"/>
      <c r="AG714" s="741"/>
      <c r="AH714" s="741"/>
      <c r="AI714" s="741"/>
      <c r="AJ714" s="741"/>
      <c r="AK714" s="741"/>
      <c r="AL714" s="741"/>
      <c r="AM714" s="741"/>
    </row>
    <row r="715" spans="1:39" ht="12.75" customHeight="1">
      <c r="A715" s="741"/>
      <c r="B715" s="741"/>
      <c r="C715" s="741"/>
      <c r="D715" s="741"/>
      <c r="E715" s="741"/>
      <c r="F715" s="741"/>
      <c r="G715" s="741"/>
      <c r="H715" s="741"/>
      <c r="I715" s="741"/>
      <c r="J715" s="741"/>
      <c r="K715" s="741"/>
      <c r="L715" s="741"/>
      <c r="M715" s="741"/>
      <c r="N715" s="741"/>
      <c r="O715" s="741"/>
      <c r="P715" s="741"/>
      <c r="Q715" s="741"/>
      <c r="R715" s="741"/>
      <c r="S715" s="741"/>
      <c r="T715" s="741"/>
      <c r="U715" s="741"/>
      <c r="V715" s="741"/>
      <c r="W715" s="741"/>
      <c r="X715" s="741"/>
      <c r="Y715" s="741"/>
      <c r="Z715" s="741"/>
      <c r="AA715" s="741"/>
      <c r="AB715" s="741"/>
      <c r="AC715" s="741"/>
      <c r="AD715" s="741"/>
      <c r="AE715" s="741"/>
      <c r="AF715" s="741"/>
      <c r="AG715" s="741"/>
      <c r="AH715" s="741"/>
      <c r="AI715" s="741"/>
      <c r="AJ715" s="741"/>
      <c r="AK715" s="741"/>
      <c r="AL715" s="741"/>
      <c r="AM715" s="741"/>
    </row>
    <row r="716" spans="1:39" ht="12.75" customHeight="1">
      <c r="A716" s="741"/>
      <c r="B716" s="741"/>
      <c r="C716" s="741"/>
      <c r="D716" s="741"/>
      <c r="E716" s="741"/>
      <c r="F716" s="741"/>
      <c r="G716" s="741"/>
      <c r="H716" s="741"/>
      <c r="I716" s="741"/>
      <c r="J716" s="741"/>
      <c r="K716" s="741"/>
      <c r="L716" s="741"/>
      <c r="M716" s="741"/>
      <c r="N716" s="741"/>
      <c r="O716" s="741"/>
      <c r="P716" s="741"/>
      <c r="Q716" s="741"/>
      <c r="R716" s="741"/>
      <c r="S716" s="741"/>
      <c r="T716" s="741"/>
      <c r="U716" s="741"/>
      <c r="V716" s="741"/>
      <c r="W716" s="741"/>
      <c r="X716" s="741"/>
      <c r="Y716" s="741"/>
      <c r="Z716" s="741"/>
      <c r="AA716" s="741"/>
      <c r="AB716" s="741"/>
      <c r="AC716" s="741"/>
      <c r="AD716" s="741"/>
      <c r="AE716" s="741"/>
      <c r="AF716" s="741"/>
      <c r="AG716" s="741"/>
      <c r="AH716" s="741"/>
      <c r="AI716" s="741"/>
      <c r="AJ716" s="741"/>
      <c r="AK716" s="741"/>
      <c r="AL716" s="741"/>
      <c r="AM716" s="741"/>
    </row>
    <row r="717" spans="1:39" ht="12.75" customHeight="1">
      <c r="A717" s="741"/>
      <c r="B717" s="741"/>
      <c r="C717" s="741"/>
      <c r="D717" s="741"/>
      <c r="E717" s="741"/>
      <c r="F717" s="741"/>
      <c r="G717" s="741"/>
      <c r="H717" s="741"/>
      <c r="I717" s="741"/>
      <c r="J717" s="741"/>
      <c r="K717" s="741"/>
      <c r="L717" s="741"/>
      <c r="M717" s="741"/>
      <c r="N717" s="741"/>
      <c r="O717" s="741"/>
      <c r="P717" s="741"/>
      <c r="Q717" s="741"/>
      <c r="R717" s="741"/>
      <c r="S717" s="741"/>
      <c r="T717" s="741"/>
      <c r="U717" s="741"/>
      <c r="V717" s="741"/>
      <c r="W717" s="741"/>
      <c r="X717" s="741"/>
      <c r="Y717" s="741"/>
      <c r="Z717" s="741"/>
      <c r="AA717" s="741"/>
      <c r="AB717" s="741"/>
      <c r="AC717" s="741"/>
      <c r="AD717" s="741"/>
      <c r="AE717" s="741"/>
      <c r="AF717" s="741"/>
      <c r="AG717" s="741"/>
      <c r="AH717" s="741"/>
      <c r="AI717" s="741"/>
      <c r="AJ717" s="741"/>
      <c r="AK717" s="741"/>
      <c r="AL717" s="741"/>
      <c r="AM717" s="741"/>
    </row>
    <row r="718" spans="1:39" ht="12.75" customHeight="1">
      <c r="A718" s="741"/>
      <c r="B718" s="741"/>
      <c r="C718" s="741"/>
      <c r="D718" s="741"/>
      <c r="E718" s="741"/>
      <c r="F718" s="741"/>
      <c r="G718" s="741"/>
      <c r="H718" s="741"/>
      <c r="I718" s="741"/>
      <c r="J718" s="741"/>
      <c r="K718" s="741"/>
      <c r="L718" s="741"/>
      <c r="M718" s="741"/>
      <c r="N718" s="741"/>
      <c r="O718" s="741"/>
      <c r="P718" s="741"/>
      <c r="Q718" s="741"/>
      <c r="R718" s="741"/>
      <c r="S718" s="741"/>
      <c r="T718" s="741"/>
      <c r="U718" s="741"/>
      <c r="V718" s="741"/>
      <c r="W718" s="741"/>
      <c r="X718" s="741"/>
      <c r="Y718" s="741"/>
      <c r="Z718" s="741"/>
      <c r="AA718" s="741"/>
      <c r="AB718" s="741"/>
      <c r="AC718" s="741"/>
      <c r="AD718" s="741"/>
      <c r="AE718" s="741"/>
      <c r="AF718" s="741"/>
      <c r="AG718" s="741"/>
      <c r="AH718" s="741"/>
      <c r="AI718" s="741"/>
      <c r="AJ718" s="741"/>
      <c r="AK718" s="741"/>
      <c r="AL718" s="741"/>
      <c r="AM718" s="741"/>
    </row>
    <row r="719" spans="1:39" ht="12.75" customHeight="1">
      <c r="A719" s="741"/>
      <c r="B719" s="741"/>
      <c r="C719" s="741"/>
      <c r="D719" s="741"/>
      <c r="E719" s="741"/>
      <c r="F719" s="741"/>
      <c r="G719" s="741"/>
      <c r="H719" s="741"/>
      <c r="I719" s="741"/>
      <c r="J719" s="741"/>
      <c r="K719" s="741"/>
      <c r="L719" s="741"/>
      <c r="M719" s="741"/>
      <c r="N719" s="741"/>
      <c r="O719" s="741"/>
      <c r="P719" s="741"/>
      <c r="Q719" s="741"/>
      <c r="R719" s="741"/>
      <c r="S719" s="741"/>
      <c r="T719" s="741"/>
      <c r="U719" s="741"/>
      <c r="V719" s="741"/>
      <c r="W719" s="741"/>
      <c r="X719" s="741"/>
      <c r="Y719" s="741"/>
      <c r="Z719" s="741"/>
      <c r="AA719" s="741"/>
      <c r="AB719" s="741"/>
      <c r="AC719" s="741"/>
      <c r="AD719" s="741"/>
      <c r="AE719" s="741"/>
      <c r="AF719" s="741"/>
      <c r="AG719" s="741"/>
      <c r="AH719" s="741"/>
      <c r="AI719" s="741"/>
      <c r="AJ719" s="741"/>
      <c r="AK719" s="741"/>
      <c r="AL719" s="741"/>
      <c r="AM719" s="741"/>
    </row>
    <row r="720" spans="1:39" ht="12.75" customHeight="1">
      <c r="A720" s="741"/>
      <c r="B720" s="741"/>
      <c r="C720" s="741"/>
      <c r="D720" s="741"/>
      <c r="E720" s="741"/>
      <c r="F720" s="741"/>
      <c r="G720" s="741"/>
      <c r="H720" s="741"/>
      <c r="I720" s="741"/>
      <c r="J720" s="741"/>
      <c r="K720" s="741"/>
      <c r="L720" s="741"/>
      <c r="M720" s="741"/>
      <c r="N720" s="741"/>
      <c r="O720" s="741"/>
      <c r="P720" s="741"/>
      <c r="Q720" s="741"/>
      <c r="R720" s="741"/>
      <c r="S720" s="741"/>
      <c r="T720" s="741"/>
      <c r="U720" s="741"/>
      <c r="V720" s="741"/>
      <c r="W720" s="741"/>
      <c r="X720" s="741"/>
      <c r="Y720" s="741"/>
      <c r="Z720" s="741"/>
      <c r="AA720" s="741"/>
      <c r="AB720" s="741"/>
      <c r="AC720" s="741"/>
      <c r="AD720" s="741"/>
      <c r="AE720" s="741"/>
      <c r="AF720" s="741"/>
      <c r="AG720" s="741"/>
      <c r="AH720" s="741"/>
      <c r="AI720" s="741"/>
      <c r="AJ720" s="741"/>
      <c r="AK720" s="741"/>
      <c r="AL720" s="741"/>
      <c r="AM720" s="741"/>
    </row>
    <row r="721" spans="1:39" ht="12.75" customHeight="1">
      <c r="A721" s="741"/>
      <c r="B721" s="741"/>
      <c r="C721" s="741"/>
      <c r="D721" s="741"/>
      <c r="E721" s="741"/>
      <c r="F721" s="741"/>
      <c r="G721" s="741"/>
      <c r="H721" s="741"/>
      <c r="I721" s="741"/>
      <c r="J721" s="741"/>
      <c r="K721" s="741"/>
      <c r="L721" s="741"/>
      <c r="M721" s="741"/>
      <c r="N721" s="741"/>
      <c r="O721" s="741"/>
      <c r="P721" s="741"/>
      <c r="Q721" s="741"/>
      <c r="R721" s="741"/>
      <c r="S721" s="741"/>
      <c r="T721" s="741"/>
      <c r="U721" s="741"/>
      <c r="V721" s="741"/>
      <c r="W721" s="741"/>
      <c r="X721" s="741"/>
      <c r="Y721" s="741"/>
      <c r="Z721" s="741"/>
      <c r="AA721" s="741"/>
      <c r="AB721" s="741"/>
      <c r="AC721" s="741"/>
      <c r="AD721" s="741"/>
      <c r="AE721" s="741"/>
      <c r="AF721" s="741"/>
      <c r="AG721" s="741"/>
      <c r="AH721" s="741"/>
      <c r="AI721" s="741"/>
      <c r="AJ721" s="741"/>
      <c r="AK721" s="741"/>
      <c r="AL721" s="741"/>
      <c r="AM721" s="741"/>
    </row>
    <row r="722" spans="1:39" ht="12.75" customHeight="1">
      <c r="A722" s="741"/>
      <c r="B722" s="741"/>
      <c r="C722" s="741"/>
      <c r="D722" s="741"/>
      <c r="E722" s="741"/>
      <c r="F722" s="741"/>
      <c r="G722" s="741"/>
      <c r="H722" s="741"/>
      <c r="I722" s="741"/>
      <c r="J722" s="741"/>
      <c r="K722" s="741"/>
      <c r="L722" s="741"/>
      <c r="M722" s="741"/>
      <c r="N722" s="741"/>
      <c r="O722" s="741"/>
      <c r="P722" s="741"/>
      <c r="Q722" s="741"/>
      <c r="R722" s="741"/>
      <c r="S722" s="741"/>
      <c r="T722" s="741"/>
      <c r="U722" s="741"/>
      <c r="V722" s="741"/>
      <c r="W722" s="741"/>
      <c r="X722" s="741"/>
      <c r="Y722" s="741"/>
      <c r="Z722" s="741"/>
      <c r="AA722" s="741"/>
      <c r="AB722" s="741"/>
      <c r="AC722" s="741"/>
      <c r="AD722" s="741"/>
      <c r="AE722" s="741"/>
      <c r="AF722" s="741"/>
      <c r="AG722" s="741"/>
      <c r="AH722" s="741"/>
      <c r="AI722" s="741"/>
      <c r="AJ722" s="741"/>
      <c r="AK722" s="741"/>
      <c r="AL722" s="741"/>
      <c r="AM722" s="741"/>
    </row>
    <row r="723" spans="1:39" ht="12.75" customHeight="1">
      <c r="A723" s="741"/>
      <c r="B723" s="741"/>
      <c r="C723" s="741"/>
      <c r="D723" s="741"/>
      <c r="E723" s="741"/>
      <c r="F723" s="741"/>
      <c r="G723" s="741"/>
      <c r="H723" s="741"/>
      <c r="I723" s="741"/>
      <c r="J723" s="741"/>
      <c r="K723" s="741"/>
      <c r="L723" s="741"/>
      <c r="M723" s="741"/>
      <c r="N723" s="741"/>
      <c r="O723" s="741"/>
      <c r="P723" s="741"/>
      <c r="Q723" s="741"/>
      <c r="R723" s="741"/>
      <c r="S723" s="741"/>
      <c r="T723" s="741"/>
      <c r="U723" s="741"/>
      <c r="V723" s="741"/>
      <c r="W723" s="741"/>
      <c r="X723" s="741"/>
      <c r="Y723" s="741"/>
      <c r="Z723" s="741"/>
      <c r="AA723" s="741"/>
      <c r="AB723" s="741"/>
      <c r="AC723" s="741"/>
      <c r="AD723" s="741"/>
      <c r="AE723" s="741"/>
      <c r="AF723" s="741"/>
      <c r="AG723" s="741"/>
      <c r="AH723" s="741"/>
      <c r="AI723" s="741"/>
      <c r="AJ723" s="741"/>
      <c r="AK723" s="741"/>
      <c r="AL723" s="741"/>
      <c r="AM723" s="741"/>
    </row>
    <row r="724" spans="1:39" ht="12.75" customHeight="1">
      <c r="A724" s="741"/>
      <c r="B724" s="741"/>
      <c r="C724" s="741"/>
      <c r="D724" s="741"/>
      <c r="E724" s="741"/>
      <c r="F724" s="741"/>
      <c r="G724" s="741"/>
      <c r="H724" s="741"/>
      <c r="I724" s="741"/>
      <c r="J724" s="741"/>
      <c r="K724" s="741"/>
      <c r="L724" s="741"/>
      <c r="M724" s="741"/>
      <c r="N724" s="741"/>
      <c r="O724" s="741"/>
      <c r="P724" s="741"/>
      <c r="Q724" s="741"/>
      <c r="R724" s="741"/>
      <c r="S724" s="741"/>
      <c r="T724" s="741"/>
      <c r="U724" s="741"/>
      <c r="V724" s="741"/>
      <c r="W724" s="741"/>
      <c r="X724" s="741"/>
      <c r="Y724" s="741"/>
      <c r="Z724" s="741"/>
      <c r="AA724" s="741"/>
      <c r="AB724" s="741"/>
      <c r="AC724" s="741"/>
      <c r="AD724" s="741"/>
      <c r="AE724" s="741"/>
      <c r="AF724" s="741"/>
      <c r="AG724" s="741"/>
      <c r="AH724" s="741"/>
      <c r="AI724" s="741"/>
      <c r="AJ724" s="741"/>
      <c r="AK724" s="741"/>
      <c r="AL724" s="741"/>
      <c r="AM724" s="741"/>
    </row>
    <row r="725" spans="1:39" ht="12.75" customHeight="1">
      <c r="A725" s="741"/>
      <c r="B725" s="741"/>
      <c r="C725" s="741"/>
      <c r="D725" s="741"/>
      <c r="E725" s="741"/>
      <c r="F725" s="741"/>
      <c r="G725" s="741"/>
      <c r="H725" s="741"/>
      <c r="I725" s="741"/>
      <c r="J725" s="741"/>
      <c r="K725" s="741"/>
      <c r="L725" s="741"/>
      <c r="M725" s="741"/>
      <c r="N725" s="741"/>
      <c r="O725" s="741"/>
      <c r="P725" s="741"/>
      <c r="Q725" s="741"/>
      <c r="R725" s="741"/>
      <c r="S725" s="741"/>
      <c r="T725" s="741"/>
      <c r="U725" s="741"/>
      <c r="V725" s="741"/>
      <c r="W725" s="741"/>
      <c r="X725" s="741"/>
      <c r="Y725" s="741"/>
      <c r="Z725" s="741"/>
      <c r="AA725" s="741"/>
      <c r="AB725" s="741"/>
      <c r="AC725" s="741"/>
      <c r="AD725" s="741"/>
      <c r="AE725" s="741"/>
      <c r="AF725" s="741"/>
      <c r="AG725" s="741"/>
      <c r="AH725" s="741"/>
      <c r="AI725" s="741"/>
      <c r="AJ725" s="741"/>
      <c r="AK725" s="741"/>
      <c r="AL725" s="741"/>
      <c r="AM725" s="741"/>
    </row>
    <row r="726" spans="1:39" ht="12.75" customHeight="1">
      <c r="A726" s="741"/>
      <c r="B726" s="741"/>
      <c r="C726" s="741"/>
      <c r="D726" s="741"/>
      <c r="E726" s="741"/>
      <c r="F726" s="741"/>
      <c r="G726" s="741"/>
      <c r="H726" s="741"/>
      <c r="I726" s="741"/>
      <c r="J726" s="741"/>
      <c r="K726" s="741"/>
      <c r="L726" s="741"/>
      <c r="M726" s="741"/>
      <c r="N726" s="741"/>
      <c r="O726" s="741"/>
      <c r="P726" s="741"/>
      <c r="Q726" s="741"/>
      <c r="R726" s="741"/>
      <c r="S726" s="741"/>
      <c r="T726" s="741"/>
      <c r="U726" s="741"/>
      <c r="V726" s="741"/>
      <c r="W726" s="741"/>
      <c r="X726" s="741"/>
      <c r="Y726" s="741"/>
      <c r="Z726" s="741"/>
      <c r="AA726" s="741"/>
      <c r="AB726" s="741"/>
      <c r="AC726" s="741"/>
      <c r="AD726" s="741"/>
      <c r="AE726" s="741"/>
      <c r="AF726" s="741"/>
      <c r="AG726" s="741"/>
      <c r="AH726" s="741"/>
      <c r="AI726" s="741"/>
      <c r="AJ726" s="741"/>
      <c r="AK726" s="741"/>
      <c r="AL726" s="741"/>
      <c r="AM726" s="741"/>
    </row>
    <row r="727" spans="1:39" ht="12.75" customHeight="1">
      <c r="A727" s="741"/>
      <c r="B727" s="741"/>
      <c r="C727" s="741"/>
      <c r="D727" s="741"/>
      <c r="E727" s="741"/>
      <c r="F727" s="741"/>
      <c r="G727" s="741"/>
      <c r="H727" s="741"/>
      <c r="I727" s="741"/>
      <c r="J727" s="741"/>
      <c r="K727" s="741"/>
      <c r="L727" s="741"/>
      <c r="M727" s="741"/>
      <c r="N727" s="741"/>
      <c r="O727" s="741"/>
      <c r="P727" s="741"/>
      <c r="Q727" s="741"/>
      <c r="R727" s="741"/>
      <c r="S727" s="741"/>
      <c r="T727" s="741"/>
      <c r="U727" s="741"/>
      <c r="V727" s="741"/>
      <c r="W727" s="741"/>
      <c r="X727" s="741"/>
      <c r="Y727" s="741"/>
      <c r="Z727" s="741"/>
      <c r="AA727" s="741"/>
      <c r="AB727" s="741"/>
      <c r="AC727" s="741"/>
      <c r="AD727" s="741"/>
      <c r="AE727" s="741"/>
      <c r="AF727" s="741"/>
      <c r="AG727" s="741"/>
      <c r="AH727" s="741"/>
      <c r="AI727" s="741"/>
      <c r="AJ727" s="741"/>
      <c r="AK727" s="741"/>
      <c r="AL727" s="741"/>
      <c r="AM727" s="741"/>
    </row>
    <row r="728" spans="1:39" ht="12.75" customHeight="1">
      <c r="A728" s="741"/>
      <c r="B728" s="741"/>
      <c r="C728" s="741"/>
      <c r="D728" s="741"/>
      <c r="E728" s="741"/>
      <c r="F728" s="741"/>
      <c r="G728" s="741"/>
      <c r="H728" s="741"/>
      <c r="I728" s="741"/>
      <c r="J728" s="741"/>
      <c r="K728" s="741"/>
      <c r="L728" s="741"/>
      <c r="M728" s="741"/>
      <c r="N728" s="741"/>
      <c r="O728" s="741"/>
      <c r="P728" s="741"/>
      <c r="Q728" s="741"/>
      <c r="R728" s="741"/>
      <c r="S728" s="741"/>
      <c r="T728" s="741"/>
      <c r="U728" s="741"/>
      <c r="V728" s="741"/>
      <c r="W728" s="741"/>
      <c r="X728" s="741"/>
      <c r="Y728" s="741"/>
      <c r="Z728" s="741"/>
      <c r="AA728" s="741"/>
      <c r="AB728" s="741"/>
      <c r="AC728" s="741"/>
      <c r="AD728" s="741"/>
      <c r="AE728" s="741"/>
      <c r="AF728" s="741"/>
      <c r="AG728" s="741"/>
      <c r="AH728" s="741"/>
      <c r="AI728" s="741"/>
      <c r="AJ728" s="741"/>
      <c r="AK728" s="741"/>
      <c r="AL728" s="741"/>
      <c r="AM728" s="741"/>
    </row>
    <row r="729" spans="1:39" ht="12.75" customHeight="1">
      <c r="A729" s="741"/>
      <c r="B729" s="741"/>
      <c r="C729" s="741"/>
      <c r="D729" s="741"/>
      <c r="E729" s="741"/>
      <c r="F729" s="741"/>
      <c r="G729" s="741"/>
      <c r="H729" s="741"/>
      <c r="I729" s="741"/>
      <c r="J729" s="741"/>
      <c r="K729" s="741"/>
      <c r="L729" s="741"/>
      <c r="M729" s="741"/>
      <c r="N729" s="741"/>
      <c r="O729" s="741"/>
      <c r="P729" s="741"/>
      <c r="Q729" s="741"/>
      <c r="R729" s="741"/>
      <c r="S729" s="741"/>
      <c r="T729" s="741"/>
      <c r="U729" s="741"/>
      <c r="V729" s="741"/>
      <c r="W729" s="741"/>
      <c r="X729" s="741"/>
      <c r="Y729" s="741"/>
      <c r="Z729" s="741"/>
      <c r="AA729" s="741"/>
      <c r="AB729" s="741"/>
      <c r="AC729" s="741"/>
      <c r="AD729" s="741"/>
      <c r="AE729" s="741"/>
      <c r="AF729" s="741"/>
      <c r="AG729" s="741"/>
      <c r="AH729" s="741"/>
      <c r="AI729" s="741"/>
      <c r="AJ729" s="741"/>
      <c r="AK729" s="741"/>
      <c r="AL729" s="741"/>
      <c r="AM729" s="741"/>
    </row>
    <row r="730" spans="1:39" ht="12.75" customHeight="1">
      <c r="A730" s="741"/>
      <c r="B730" s="741"/>
      <c r="C730" s="741"/>
      <c r="D730" s="741"/>
      <c r="E730" s="741"/>
      <c r="F730" s="741"/>
      <c r="G730" s="741"/>
      <c r="H730" s="741"/>
      <c r="I730" s="741"/>
      <c r="J730" s="741"/>
      <c r="K730" s="741"/>
      <c r="L730" s="741"/>
      <c r="M730" s="741"/>
      <c r="N730" s="741"/>
      <c r="O730" s="741"/>
      <c r="P730" s="741"/>
      <c r="Q730" s="741"/>
      <c r="R730" s="741"/>
      <c r="S730" s="741"/>
      <c r="T730" s="741"/>
      <c r="U730" s="741"/>
      <c r="V730" s="741"/>
      <c r="W730" s="741"/>
      <c r="X730" s="741"/>
      <c r="Y730" s="741"/>
      <c r="Z730" s="741"/>
      <c r="AA730" s="741"/>
      <c r="AB730" s="741"/>
      <c r="AC730" s="741"/>
      <c r="AD730" s="741"/>
      <c r="AE730" s="741"/>
      <c r="AF730" s="741"/>
      <c r="AG730" s="741"/>
      <c r="AH730" s="741"/>
      <c r="AI730" s="741"/>
      <c r="AJ730" s="741"/>
      <c r="AK730" s="741"/>
      <c r="AL730" s="741"/>
      <c r="AM730" s="741"/>
    </row>
    <row r="731" spans="1:39" ht="12.75" customHeight="1">
      <c r="A731" s="741"/>
      <c r="B731" s="741"/>
      <c r="C731" s="741"/>
      <c r="D731" s="741"/>
      <c r="E731" s="741"/>
      <c r="F731" s="741"/>
      <c r="G731" s="741"/>
      <c r="H731" s="741"/>
      <c r="I731" s="741"/>
      <c r="J731" s="741"/>
      <c r="K731" s="741"/>
      <c r="L731" s="741"/>
      <c r="M731" s="741"/>
      <c r="N731" s="741"/>
      <c r="O731" s="741"/>
      <c r="P731" s="741"/>
      <c r="Q731" s="741"/>
      <c r="R731" s="741"/>
      <c r="S731" s="741"/>
      <c r="T731" s="741"/>
      <c r="U731" s="741"/>
      <c r="V731" s="741"/>
      <c r="W731" s="741"/>
      <c r="X731" s="741"/>
      <c r="Y731" s="741"/>
      <c r="Z731" s="741"/>
      <c r="AA731" s="741"/>
      <c r="AB731" s="741"/>
      <c r="AC731" s="741"/>
      <c r="AD731" s="741"/>
      <c r="AE731" s="741"/>
      <c r="AF731" s="741"/>
      <c r="AG731" s="741"/>
      <c r="AH731" s="741"/>
      <c r="AI731" s="741"/>
      <c r="AJ731" s="741"/>
      <c r="AK731" s="741"/>
      <c r="AL731" s="741"/>
      <c r="AM731" s="741"/>
    </row>
    <row r="732" spans="1:39" ht="12.75" customHeight="1">
      <c r="A732" s="741"/>
      <c r="B732" s="741"/>
      <c r="C732" s="741"/>
      <c r="D732" s="741"/>
      <c r="E732" s="741"/>
      <c r="F732" s="741"/>
      <c r="G732" s="741"/>
      <c r="H732" s="741"/>
      <c r="I732" s="741"/>
      <c r="J732" s="741"/>
      <c r="K732" s="741"/>
      <c r="L732" s="741"/>
      <c r="M732" s="741"/>
      <c r="N732" s="741"/>
      <c r="O732" s="741"/>
      <c r="P732" s="741"/>
      <c r="Q732" s="741"/>
      <c r="R732" s="741"/>
      <c r="S732" s="741"/>
      <c r="T732" s="741"/>
      <c r="U732" s="741"/>
      <c r="V732" s="741"/>
      <c r="W732" s="741"/>
      <c r="X732" s="741"/>
      <c r="Y732" s="741"/>
      <c r="Z732" s="741"/>
      <c r="AA732" s="741"/>
      <c r="AB732" s="741"/>
      <c r="AC732" s="741"/>
      <c r="AD732" s="741"/>
      <c r="AE732" s="741"/>
      <c r="AF732" s="741"/>
      <c r="AG732" s="741"/>
      <c r="AH732" s="741"/>
      <c r="AI732" s="741"/>
      <c r="AJ732" s="741"/>
      <c r="AK732" s="741"/>
      <c r="AL732" s="741"/>
      <c r="AM732" s="741"/>
    </row>
    <row r="733" spans="1:39" ht="12.75" customHeight="1">
      <c r="A733" s="741"/>
      <c r="B733" s="741"/>
      <c r="C733" s="741"/>
      <c r="D733" s="741"/>
      <c r="E733" s="741"/>
      <c r="F733" s="741"/>
      <c r="G733" s="741"/>
      <c r="H733" s="741"/>
      <c r="I733" s="741"/>
      <c r="J733" s="741"/>
      <c r="K733" s="741"/>
      <c r="L733" s="741"/>
      <c r="M733" s="741"/>
      <c r="N733" s="741"/>
      <c r="O733" s="741"/>
      <c r="P733" s="741"/>
      <c r="Q733" s="741"/>
      <c r="R733" s="741"/>
      <c r="S733" s="741"/>
      <c r="T733" s="741"/>
      <c r="U733" s="741"/>
      <c r="V733" s="741"/>
      <c r="W733" s="741"/>
      <c r="X733" s="741"/>
      <c r="Y733" s="741"/>
      <c r="Z733" s="741"/>
      <c r="AA733" s="741"/>
      <c r="AB733" s="741"/>
      <c r="AC733" s="741"/>
      <c r="AD733" s="741"/>
      <c r="AE733" s="741"/>
      <c r="AF733" s="741"/>
      <c r="AG733" s="741"/>
      <c r="AH733" s="741"/>
      <c r="AI733" s="741"/>
      <c r="AJ733" s="741"/>
      <c r="AK733" s="741"/>
      <c r="AL733" s="741"/>
      <c r="AM733" s="741"/>
    </row>
    <row r="734" spans="1:39" ht="12.75" customHeight="1">
      <c r="A734" s="741"/>
      <c r="B734" s="741"/>
      <c r="C734" s="741"/>
      <c r="D734" s="741"/>
      <c r="E734" s="741"/>
      <c r="F734" s="741"/>
      <c r="G734" s="741"/>
      <c r="H734" s="741"/>
      <c r="I734" s="741"/>
      <c r="J734" s="741"/>
      <c r="K734" s="741"/>
      <c r="L734" s="741"/>
      <c r="M734" s="741"/>
      <c r="N734" s="741"/>
      <c r="O734" s="741"/>
      <c r="P734" s="741"/>
      <c r="Q734" s="741"/>
      <c r="R734" s="741"/>
      <c r="S734" s="741"/>
      <c r="T734" s="741"/>
      <c r="U734" s="741"/>
      <c r="V734" s="741"/>
      <c r="W734" s="741"/>
      <c r="X734" s="741"/>
      <c r="Y734" s="741"/>
      <c r="Z734" s="741"/>
      <c r="AA734" s="741"/>
      <c r="AB734" s="741"/>
      <c r="AC734" s="741"/>
      <c r="AD734" s="741"/>
      <c r="AE734" s="741"/>
      <c r="AF734" s="741"/>
      <c r="AG734" s="741"/>
      <c r="AH734" s="741"/>
      <c r="AI734" s="741"/>
      <c r="AJ734" s="741"/>
      <c r="AK734" s="741"/>
      <c r="AL734" s="741"/>
      <c r="AM734" s="741"/>
    </row>
    <row r="735" spans="1:39" ht="12.75" customHeight="1">
      <c r="A735" s="741"/>
      <c r="B735" s="741"/>
      <c r="C735" s="741"/>
      <c r="D735" s="741"/>
      <c r="E735" s="741"/>
      <c r="F735" s="741"/>
      <c r="G735" s="741"/>
      <c r="H735" s="741"/>
      <c r="I735" s="741"/>
      <c r="J735" s="741"/>
      <c r="K735" s="741"/>
      <c r="L735" s="741"/>
      <c r="M735" s="741"/>
      <c r="N735" s="741"/>
      <c r="O735" s="741"/>
      <c r="P735" s="741"/>
      <c r="Q735" s="741"/>
      <c r="R735" s="741"/>
      <c r="S735" s="741"/>
      <c r="T735" s="741"/>
      <c r="U735" s="741"/>
      <c r="V735" s="741"/>
      <c r="W735" s="741"/>
      <c r="X735" s="741"/>
      <c r="Y735" s="741"/>
      <c r="Z735" s="741"/>
      <c r="AA735" s="741"/>
      <c r="AB735" s="741"/>
      <c r="AC735" s="741"/>
      <c r="AD735" s="741"/>
      <c r="AE735" s="741"/>
      <c r="AF735" s="741"/>
      <c r="AG735" s="741"/>
      <c r="AH735" s="741"/>
      <c r="AI735" s="741"/>
      <c r="AJ735" s="741"/>
      <c r="AK735" s="741"/>
      <c r="AL735" s="741"/>
      <c r="AM735" s="741"/>
    </row>
    <row r="736" spans="1:39" ht="12.75" customHeight="1">
      <c r="A736" s="741"/>
      <c r="B736" s="741"/>
      <c r="C736" s="741"/>
      <c r="D736" s="741"/>
      <c r="E736" s="741"/>
      <c r="F736" s="741"/>
      <c r="G736" s="741"/>
      <c r="H736" s="741"/>
      <c r="I736" s="741"/>
      <c r="J736" s="741"/>
      <c r="K736" s="741"/>
      <c r="L736" s="741"/>
      <c r="M736" s="741"/>
      <c r="N736" s="741"/>
      <c r="O736" s="741"/>
      <c r="P736" s="741"/>
      <c r="Q736" s="741"/>
      <c r="R736" s="741"/>
      <c r="S736" s="741"/>
      <c r="T736" s="741"/>
      <c r="U736" s="741"/>
      <c r="V736" s="741"/>
      <c r="W736" s="741"/>
      <c r="X736" s="741"/>
      <c r="Y736" s="741"/>
      <c r="Z736" s="741"/>
      <c r="AA736" s="741"/>
      <c r="AB736" s="741"/>
      <c r="AC736" s="741"/>
      <c r="AD736" s="741"/>
      <c r="AE736" s="741"/>
      <c r="AF736" s="741"/>
      <c r="AG736" s="741"/>
      <c r="AH736" s="741"/>
      <c r="AI736" s="741"/>
      <c r="AJ736" s="741"/>
      <c r="AK736" s="741"/>
      <c r="AL736" s="741"/>
      <c r="AM736" s="741"/>
    </row>
    <row r="737" spans="1:39" ht="12.75" customHeight="1">
      <c r="A737" s="741"/>
      <c r="B737" s="741"/>
      <c r="C737" s="741"/>
      <c r="D737" s="741"/>
      <c r="E737" s="741"/>
      <c r="F737" s="741"/>
      <c r="G737" s="741"/>
      <c r="H737" s="741"/>
      <c r="I737" s="741"/>
      <c r="J737" s="741"/>
      <c r="K737" s="741"/>
      <c r="L737" s="741"/>
      <c r="M737" s="741"/>
      <c r="N737" s="741"/>
      <c r="O737" s="741"/>
      <c r="P737" s="741"/>
      <c r="Q737" s="741"/>
      <c r="R737" s="741"/>
      <c r="S737" s="741"/>
      <c r="T737" s="741"/>
      <c r="U737" s="741"/>
      <c r="V737" s="741"/>
      <c r="W737" s="741"/>
      <c r="X737" s="741"/>
      <c r="Y737" s="741"/>
      <c r="Z737" s="741"/>
      <c r="AA737" s="741"/>
      <c r="AB737" s="741"/>
      <c r="AC737" s="741"/>
      <c r="AD737" s="741"/>
      <c r="AE737" s="741"/>
      <c r="AF737" s="741"/>
      <c r="AG737" s="741"/>
      <c r="AH737" s="741"/>
      <c r="AI737" s="741"/>
      <c r="AJ737" s="741"/>
      <c r="AK737" s="741"/>
      <c r="AL737" s="741"/>
      <c r="AM737" s="741"/>
    </row>
    <row r="738" spans="1:39" ht="12.75" customHeight="1">
      <c r="A738" s="741"/>
      <c r="B738" s="741"/>
      <c r="C738" s="741"/>
      <c r="D738" s="741"/>
      <c r="E738" s="741"/>
      <c r="F738" s="741"/>
      <c r="G738" s="741"/>
      <c r="H738" s="741"/>
      <c r="I738" s="741"/>
      <c r="J738" s="741"/>
      <c r="K738" s="741"/>
      <c r="L738" s="741"/>
      <c r="M738" s="741"/>
      <c r="N738" s="741"/>
      <c r="O738" s="741"/>
      <c r="P738" s="741"/>
      <c r="Q738" s="741"/>
      <c r="R738" s="741"/>
      <c r="S738" s="741"/>
      <c r="T738" s="741"/>
      <c r="U738" s="741"/>
      <c r="V738" s="741"/>
      <c r="W738" s="741"/>
      <c r="X738" s="741"/>
      <c r="Y738" s="741"/>
      <c r="Z738" s="741"/>
      <c r="AA738" s="741"/>
      <c r="AB738" s="741"/>
      <c r="AC738" s="741"/>
      <c r="AD738" s="741"/>
      <c r="AE738" s="741"/>
      <c r="AF738" s="741"/>
      <c r="AG738" s="741"/>
      <c r="AH738" s="741"/>
      <c r="AI738" s="741"/>
      <c r="AJ738" s="741"/>
      <c r="AK738" s="741"/>
      <c r="AL738" s="741"/>
      <c r="AM738" s="741"/>
    </row>
    <row r="739" spans="1:39" ht="12.75" customHeight="1">
      <c r="A739" s="741"/>
      <c r="B739" s="741"/>
      <c r="C739" s="741"/>
      <c r="D739" s="741"/>
      <c r="E739" s="741"/>
      <c r="F739" s="741"/>
      <c r="G739" s="741"/>
      <c r="H739" s="741"/>
      <c r="I739" s="741"/>
      <c r="J739" s="741"/>
      <c r="K739" s="741"/>
      <c r="L739" s="741"/>
      <c r="M739" s="741"/>
      <c r="N739" s="741"/>
      <c r="O739" s="741"/>
      <c r="P739" s="741"/>
      <c r="Q739" s="741"/>
      <c r="R739" s="741"/>
      <c r="S739" s="741"/>
      <c r="T739" s="741"/>
      <c r="U739" s="741"/>
      <c r="V739" s="741"/>
      <c r="W739" s="741"/>
      <c r="X739" s="741"/>
      <c r="Y739" s="741"/>
      <c r="Z739" s="741"/>
      <c r="AA739" s="741"/>
      <c r="AB739" s="741"/>
      <c r="AC739" s="741"/>
      <c r="AD739" s="741"/>
      <c r="AE739" s="741"/>
      <c r="AF739" s="741"/>
      <c r="AG739" s="741"/>
      <c r="AH739" s="741"/>
      <c r="AI739" s="741"/>
      <c r="AJ739" s="741"/>
      <c r="AK739" s="741"/>
      <c r="AL739" s="741"/>
      <c r="AM739" s="741"/>
    </row>
    <row r="740" spans="1:39" ht="12.75" customHeight="1">
      <c r="A740" s="741"/>
      <c r="B740" s="741"/>
      <c r="C740" s="741"/>
      <c r="D740" s="741"/>
      <c r="E740" s="741"/>
      <c r="F740" s="741"/>
      <c r="G740" s="741"/>
      <c r="H740" s="741"/>
      <c r="I740" s="741"/>
      <c r="J740" s="741"/>
      <c r="K740" s="741"/>
      <c r="L740" s="741"/>
      <c r="M740" s="741"/>
      <c r="N740" s="741"/>
      <c r="O740" s="741"/>
      <c r="P740" s="741"/>
      <c r="Q740" s="741"/>
      <c r="R740" s="741"/>
      <c r="S740" s="741"/>
      <c r="T740" s="741"/>
      <c r="U740" s="741"/>
      <c r="V740" s="741"/>
      <c r="W740" s="741"/>
      <c r="X740" s="741"/>
      <c r="Y740" s="741"/>
      <c r="Z740" s="741"/>
      <c r="AA740" s="741"/>
      <c r="AB740" s="741"/>
      <c r="AC740" s="741"/>
      <c r="AD740" s="741"/>
      <c r="AE740" s="741"/>
      <c r="AF740" s="741"/>
      <c r="AG740" s="741"/>
      <c r="AH740" s="741"/>
      <c r="AI740" s="741"/>
      <c r="AJ740" s="741"/>
      <c r="AK740" s="741"/>
      <c r="AL740" s="741"/>
      <c r="AM740" s="741"/>
    </row>
    <row r="741" spans="1:39" ht="12.75" customHeight="1">
      <c r="A741" s="741"/>
      <c r="B741" s="741"/>
      <c r="C741" s="741"/>
      <c r="D741" s="741"/>
      <c r="E741" s="741"/>
      <c r="F741" s="741"/>
      <c r="G741" s="741"/>
      <c r="H741" s="741"/>
      <c r="I741" s="741"/>
      <c r="J741" s="741"/>
      <c r="K741" s="741"/>
      <c r="L741" s="741"/>
      <c r="M741" s="741"/>
      <c r="N741" s="741"/>
      <c r="O741" s="741"/>
      <c r="P741" s="741"/>
      <c r="Q741" s="741"/>
      <c r="R741" s="741"/>
      <c r="S741" s="741"/>
      <c r="T741" s="741"/>
      <c r="U741" s="741"/>
      <c r="V741" s="741"/>
      <c r="W741" s="741"/>
      <c r="X741" s="741"/>
      <c r="Y741" s="741"/>
      <c r="Z741" s="741"/>
      <c r="AA741" s="741"/>
      <c r="AB741" s="741"/>
      <c r="AC741" s="741"/>
      <c r="AD741" s="741"/>
      <c r="AE741" s="741"/>
      <c r="AF741" s="741"/>
      <c r="AG741" s="741"/>
      <c r="AH741" s="741"/>
      <c r="AI741" s="741"/>
      <c r="AJ741" s="741"/>
      <c r="AK741" s="741"/>
      <c r="AL741" s="741"/>
      <c r="AM741" s="741"/>
    </row>
    <row r="742" spans="1:39" ht="12.75" customHeight="1">
      <c r="A742" s="741"/>
      <c r="B742" s="741"/>
      <c r="C742" s="741"/>
      <c r="D742" s="741"/>
      <c r="E742" s="741"/>
      <c r="F742" s="741"/>
      <c r="G742" s="741"/>
      <c r="H742" s="741"/>
      <c r="I742" s="741"/>
      <c r="J742" s="741"/>
      <c r="K742" s="741"/>
      <c r="L742" s="741"/>
      <c r="M742" s="741"/>
      <c r="N742" s="741"/>
      <c r="O742" s="741"/>
      <c r="P742" s="741"/>
      <c r="Q742" s="741"/>
      <c r="R742" s="741"/>
      <c r="S742" s="741"/>
      <c r="T742" s="741"/>
      <c r="U742" s="741"/>
      <c r="V742" s="741"/>
      <c r="W742" s="741"/>
      <c r="X742" s="741"/>
      <c r="Y742" s="741"/>
      <c r="Z742" s="741"/>
      <c r="AA742" s="741"/>
      <c r="AB742" s="741"/>
      <c r="AC742" s="741"/>
      <c r="AD742" s="741"/>
      <c r="AE742" s="741"/>
      <c r="AF742" s="741"/>
      <c r="AG742" s="741"/>
      <c r="AH742" s="741"/>
      <c r="AI742" s="741"/>
      <c r="AJ742" s="741"/>
      <c r="AK742" s="741"/>
      <c r="AL742" s="741"/>
      <c r="AM742" s="741"/>
    </row>
    <row r="743" spans="1:39" ht="12.75" customHeight="1">
      <c r="A743" s="741"/>
      <c r="B743" s="741"/>
      <c r="C743" s="741"/>
      <c r="D743" s="741"/>
      <c r="E743" s="741"/>
      <c r="F743" s="741"/>
      <c r="G743" s="741"/>
      <c r="H743" s="741"/>
      <c r="I743" s="741"/>
      <c r="J743" s="741"/>
      <c r="K743" s="741"/>
      <c r="L743" s="741"/>
      <c r="M743" s="741"/>
      <c r="N743" s="741"/>
      <c r="O743" s="741"/>
      <c r="P743" s="741"/>
      <c r="Q743" s="741"/>
      <c r="R743" s="741"/>
      <c r="S743" s="741"/>
      <c r="T743" s="741"/>
      <c r="U743" s="741"/>
      <c r="V743" s="741"/>
      <c r="W743" s="741"/>
      <c r="X743" s="741"/>
      <c r="Y743" s="741"/>
      <c r="Z743" s="741"/>
      <c r="AA743" s="741"/>
      <c r="AB743" s="741"/>
      <c r="AC743" s="741"/>
      <c r="AD743" s="741"/>
      <c r="AE743" s="741"/>
      <c r="AF743" s="741"/>
      <c r="AG743" s="741"/>
      <c r="AH743" s="741"/>
      <c r="AI743" s="741"/>
      <c r="AJ743" s="741"/>
      <c r="AK743" s="741"/>
      <c r="AL743" s="741"/>
      <c r="AM743" s="741"/>
    </row>
    <row r="744" spans="1:39" ht="12.75" customHeight="1">
      <c r="A744" s="741"/>
      <c r="B744" s="741"/>
      <c r="C744" s="741"/>
      <c r="D744" s="741"/>
      <c r="E744" s="741"/>
      <c r="F744" s="741"/>
      <c r="G744" s="741"/>
      <c r="H744" s="741"/>
      <c r="I744" s="741"/>
      <c r="J744" s="741"/>
      <c r="K744" s="741"/>
      <c r="L744" s="741"/>
      <c r="M744" s="741"/>
      <c r="N744" s="741"/>
      <c r="O744" s="741"/>
      <c r="P744" s="741"/>
      <c r="Q744" s="741"/>
      <c r="R744" s="741"/>
      <c r="S744" s="741"/>
      <c r="T744" s="741"/>
      <c r="U744" s="741"/>
      <c r="V744" s="741"/>
      <c r="W744" s="741"/>
      <c r="X744" s="741"/>
      <c r="Y744" s="741"/>
      <c r="Z744" s="741"/>
      <c r="AA744" s="741"/>
      <c r="AB744" s="741"/>
      <c r="AC744" s="741"/>
      <c r="AD744" s="741"/>
      <c r="AE744" s="741"/>
      <c r="AF744" s="741"/>
      <c r="AG744" s="741"/>
      <c r="AH744" s="741"/>
      <c r="AI744" s="741"/>
      <c r="AJ744" s="741"/>
      <c r="AK744" s="741"/>
      <c r="AL744" s="741"/>
      <c r="AM744" s="741"/>
    </row>
    <row r="745" spans="1:39" ht="12.75" customHeight="1">
      <c r="A745" s="741"/>
      <c r="B745" s="741"/>
      <c r="C745" s="741"/>
      <c r="D745" s="741"/>
      <c r="E745" s="741"/>
      <c r="F745" s="741"/>
      <c r="G745" s="741"/>
      <c r="H745" s="741"/>
      <c r="I745" s="741"/>
      <c r="J745" s="741"/>
      <c r="K745" s="741"/>
      <c r="L745" s="741"/>
      <c r="M745" s="741"/>
      <c r="N745" s="741"/>
      <c r="O745" s="741"/>
      <c r="P745" s="741"/>
      <c r="Q745" s="741"/>
      <c r="R745" s="741"/>
      <c r="S745" s="741"/>
      <c r="T745" s="741"/>
      <c r="U745" s="741"/>
      <c r="V745" s="741"/>
      <c r="W745" s="741"/>
      <c r="X745" s="741"/>
      <c r="Y745" s="741"/>
      <c r="Z745" s="741"/>
      <c r="AA745" s="741"/>
      <c r="AB745" s="741"/>
      <c r="AC745" s="741"/>
      <c r="AD745" s="741"/>
      <c r="AE745" s="741"/>
      <c r="AF745" s="741"/>
      <c r="AG745" s="741"/>
      <c r="AH745" s="741"/>
      <c r="AI745" s="741"/>
      <c r="AJ745" s="741"/>
      <c r="AK745" s="741"/>
      <c r="AL745" s="741"/>
      <c r="AM745" s="741"/>
    </row>
    <row r="746" spans="1:39" ht="12.75" customHeight="1">
      <c r="A746" s="741"/>
      <c r="B746" s="741"/>
      <c r="C746" s="741"/>
      <c r="D746" s="741"/>
      <c r="E746" s="741"/>
      <c r="F746" s="741"/>
      <c r="G746" s="741"/>
      <c r="H746" s="741"/>
      <c r="I746" s="741"/>
      <c r="J746" s="741"/>
      <c r="K746" s="741"/>
      <c r="L746" s="741"/>
      <c r="M746" s="741"/>
      <c r="N746" s="741"/>
      <c r="O746" s="741"/>
      <c r="P746" s="741"/>
      <c r="Q746" s="741"/>
      <c r="R746" s="741"/>
      <c r="S746" s="741"/>
      <c r="T746" s="741"/>
      <c r="U746" s="741"/>
      <c r="V746" s="741"/>
      <c r="W746" s="741"/>
      <c r="X746" s="741"/>
      <c r="Y746" s="741"/>
      <c r="Z746" s="741"/>
      <c r="AA746" s="741"/>
      <c r="AB746" s="741"/>
      <c r="AC746" s="741"/>
      <c r="AD746" s="741"/>
      <c r="AE746" s="741"/>
      <c r="AF746" s="741"/>
      <c r="AG746" s="741"/>
      <c r="AH746" s="741"/>
      <c r="AI746" s="741"/>
      <c r="AJ746" s="741"/>
      <c r="AK746" s="741"/>
      <c r="AL746" s="741"/>
      <c r="AM746" s="741"/>
    </row>
    <row r="747" spans="1:39" ht="12.75" customHeight="1">
      <c r="A747" s="741"/>
      <c r="B747" s="741"/>
      <c r="C747" s="741"/>
      <c r="D747" s="741"/>
      <c r="E747" s="741"/>
      <c r="F747" s="741"/>
      <c r="G747" s="741"/>
      <c r="H747" s="741"/>
      <c r="I747" s="741"/>
      <c r="J747" s="741"/>
      <c r="K747" s="741"/>
      <c r="L747" s="741"/>
      <c r="M747" s="741"/>
      <c r="N747" s="741"/>
      <c r="O747" s="741"/>
      <c r="P747" s="741"/>
      <c r="Q747" s="741"/>
      <c r="R747" s="741"/>
      <c r="S747" s="741"/>
      <c r="T747" s="741"/>
      <c r="U747" s="741"/>
      <c r="V747" s="741"/>
      <c r="W747" s="741"/>
      <c r="X747" s="741"/>
      <c r="Y747" s="741"/>
      <c r="Z747" s="741"/>
      <c r="AA747" s="741"/>
      <c r="AB747" s="741"/>
      <c r="AC747" s="741"/>
      <c r="AD747" s="741"/>
      <c r="AE747" s="741"/>
      <c r="AF747" s="741"/>
      <c r="AG747" s="741"/>
      <c r="AH747" s="741"/>
      <c r="AI747" s="741"/>
      <c r="AJ747" s="741"/>
      <c r="AK747" s="741"/>
      <c r="AL747" s="741"/>
      <c r="AM747" s="741"/>
    </row>
    <row r="748" spans="1:39" ht="12.75" customHeight="1">
      <c r="A748" s="741"/>
      <c r="B748" s="741"/>
      <c r="C748" s="741"/>
      <c r="D748" s="741"/>
      <c r="E748" s="741"/>
      <c r="F748" s="741"/>
      <c r="G748" s="741"/>
      <c r="H748" s="741"/>
      <c r="I748" s="741"/>
      <c r="J748" s="741"/>
      <c r="K748" s="741"/>
      <c r="L748" s="741"/>
      <c r="M748" s="741"/>
      <c r="N748" s="741"/>
      <c r="O748" s="741"/>
      <c r="P748" s="741"/>
      <c r="Q748" s="741"/>
      <c r="R748" s="741"/>
      <c r="S748" s="741"/>
      <c r="T748" s="741"/>
      <c r="U748" s="741"/>
      <c r="V748" s="741"/>
      <c r="W748" s="741"/>
      <c r="X748" s="741"/>
      <c r="Y748" s="741"/>
      <c r="Z748" s="741"/>
      <c r="AA748" s="741"/>
      <c r="AB748" s="741"/>
      <c r="AC748" s="741"/>
      <c r="AD748" s="741"/>
      <c r="AE748" s="741"/>
      <c r="AF748" s="741"/>
      <c r="AG748" s="741"/>
      <c r="AH748" s="741"/>
      <c r="AI748" s="741"/>
      <c r="AJ748" s="741"/>
      <c r="AK748" s="741"/>
      <c r="AL748" s="741"/>
      <c r="AM748" s="741"/>
    </row>
    <row r="749" spans="1:39" ht="12.75" customHeight="1">
      <c r="A749" s="741"/>
      <c r="B749" s="741"/>
      <c r="C749" s="741"/>
      <c r="D749" s="741"/>
      <c r="E749" s="741"/>
      <c r="F749" s="741"/>
      <c r="G749" s="741"/>
      <c r="H749" s="741"/>
      <c r="I749" s="741"/>
      <c r="J749" s="741"/>
      <c r="K749" s="741"/>
      <c r="L749" s="741"/>
      <c r="M749" s="741"/>
      <c r="N749" s="741"/>
      <c r="O749" s="741"/>
      <c r="P749" s="741"/>
      <c r="Q749" s="741"/>
      <c r="R749" s="741"/>
      <c r="S749" s="741"/>
      <c r="T749" s="741"/>
      <c r="U749" s="741"/>
      <c r="V749" s="741"/>
      <c r="W749" s="741"/>
      <c r="X749" s="741"/>
      <c r="Y749" s="741"/>
      <c r="Z749" s="741"/>
      <c r="AA749" s="741"/>
      <c r="AB749" s="741"/>
      <c r="AC749" s="741"/>
      <c r="AD749" s="741"/>
      <c r="AE749" s="741"/>
      <c r="AF749" s="741"/>
      <c r="AG749" s="741"/>
      <c r="AH749" s="741"/>
      <c r="AI749" s="741"/>
      <c r="AJ749" s="741"/>
      <c r="AK749" s="741"/>
      <c r="AL749" s="741"/>
      <c r="AM749" s="741"/>
    </row>
    <row r="750" spans="1:39" ht="12.75" customHeight="1">
      <c r="A750" s="741"/>
      <c r="B750" s="741"/>
      <c r="C750" s="741"/>
      <c r="D750" s="741"/>
      <c r="E750" s="741"/>
      <c r="F750" s="741"/>
      <c r="G750" s="741"/>
      <c r="H750" s="741"/>
      <c r="I750" s="741"/>
      <c r="J750" s="741"/>
      <c r="K750" s="741"/>
      <c r="L750" s="741"/>
      <c r="M750" s="741"/>
      <c r="N750" s="741"/>
      <c r="O750" s="741"/>
      <c r="P750" s="741"/>
      <c r="Q750" s="741"/>
      <c r="R750" s="741"/>
      <c r="S750" s="741"/>
      <c r="T750" s="741"/>
      <c r="U750" s="741"/>
      <c r="V750" s="741"/>
      <c r="W750" s="741"/>
      <c r="X750" s="741"/>
      <c r="Y750" s="741"/>
      <c r="Z750" s="741"/>
      <c r="AA750" s="741"/>
      <c r="AB750" s="741"/>
      <c r="AC750" s="741"/>
      <c r="AD750" s="741"/>
      <c r="AE750" s="741"/>
      <c r="AF750" s="741"/>
      <c r="AG750" s="741"/>
      <c r="AH750" s="741"/>
      <c r="AI750" s="741"/>
      <c r="AJ750" s="741"/>
      <c r="AK750" s="741"/>
      <c r="AL750" s="741"/>
      <c r="AM750" s="741"/>
    </row>
    <row r="751" spans="1:39" ht="12.75" customHeight="1">
      <c r="A751" s="741"/>
      <c r="B751" s="741"/>
      <c r="C751" s="741"/>
      <c r="D751" s="741"/>
      <c r="E751" s="741"/>
      <c r="F751" s="741"/>
      <c r="G751" s="741"/>
      <c r="H751" s="741"/>
      <c r="I751" s="741"/>
      <c r="J751" s="741"/>
      <c r="K751" s="741"/>
      <c r="L751" s="741"/>
      <c r="M751" s="741"/>
      <c r="N751" s="741"/>
      <c r="O751" s="741"/>
      <c r="P751" s="741"/>
      <c r="Q751" s="741"/>
      <c r="R751" s="741"/>
      <c r="S751" s="741"/>
      <c r="T751" s="741"/>
      <c r="U751" s="741"/>
      <c r="V751" s="741"/>
      <c r="W751" s="741"/>
      <c r="X751" s="741"/>
      <c r="Y751" s="741"/>
      <c r="Z751" s="741"/>
      <c r="AA751" s="741"/>
      <c r="AB751" s="741"/>
      <c r="AC751" s="741"/>
      <c r="AD751" s="741"/>
      <c r="AE751" s="741"/>
      <c r="AF751" s="741"/>
      <c r="AG751" s="741"/>
      <c r="AH751" s="741"/>
      <c r="AI751" s="741"/>
      <c r="AJ751" s="741"/>
      <c r="AK751" s="741"/>
      <c r="AL751" s="741"/>
      <c r="AM751" s="741"/>
    </row>
    <row r="752" spans="1:39" ht="12.75" customHeight="1">
      <c r="A752" s="741"/>
      <c r="B752" s="741"/>
      <c r="C752" s="741"/>
      <c r="D752" s="741"/>
      <c r="E752" s="741"/>
      <c r="F752" s="741"/>
      <c r="G752" s="741"/>
      <c r="H752" s="741"/>
      <c r="I752" s="741"/>
      <c r="J752" s="741"/>
      <c r="K752" s="741"/>
      <c r="L752" s="741"/>
      <c r="M752" s="741"/>
      <c r="N752" s="741"/>
      <c r="O752" s="741"/>
      <c r="P752" s="741"/>
      <c r="Q752" s="741"/>
      <c r="R752" s="741"/>
      <c r="S752" s="741"/>
      <c r="T752" s="741"/>
      <c r="U752" s="741"/>
      <c r="V752" s="741"/>
      <c r="W752" s="741"/>
      <c r="X752" s="741"/>
      <c r="Y752" s="741"/>
      <c r="Z752" s="741"/>
      <c r="AA752" s="741"/>
      <c r="AB752" s="741"/>
      <c r="AC752" s="741"/>
      <c r="AD752" s="741"/>
      <c r="AE752" s="741"/>
      <c r="AF752" s="741"/>
      <c r="AG752" s="741"/>
      <c r="AH752" s="741"/>
      <c r="AI752" s="741"/>
      <c r="AJ752" s="741"/>
      <c r="AK752" s="741"/>
      <c r="AL752" s="741"/>
      <c r="AM752" s="741"/>
    </row>
    <row r="753" spans="1:39" ht="12.75" customHeight="1">
      <c r="A753" s="741"/>
      <c r="B753" s="741"/>
      <c r="C753" s="741"/>
      <c r="D753" s="741"/>
      <c r="E753" s="741"/>
      <c r="F753" s="741"/>
      <c r="G753" s="741"/>
      <c r="H753" s="741"/>
      <c r="I753" s="741"/>
      <c r="J753" s="741"/>
      <c r="K753" s="741"/>
      <c r="L753" s="741"/>
      <c r="M753" s="741"/>
      <c r="N753" s="741"/>
      <c r="O753" s="741"/>
      <c r="P753" s="741"/>
      <c r="Q753" s="741"/>
      <c r="R753" s="741"/>
      <c r="S753" s="741"/>
      <c r="T753" s="741"/>
      <c r="U753" s="741"/>
      <c r="V753" s="741"/>
      <c r="W753" s="741"/>
      <c r="X753" s="741"/>
      <c r="Y753" s="741"/>
      <c r="Z753" s="741"/>
      <c r="AA753" s="741"/>
      <c r="AB753" s="741"/>
      <c r="AC753" s="741"/>
      <c r="AD753" s="741"/>
      <c r="AE753" s="741"/>
      <c r="AF753" s="741"/>
      <c r="AG753" s="741"/>
      <c r="AH753" s="741"/>
      <c r="AI753" s="741"/>
      <c r="AJ753" s="741"/>
      <c r="AK753" s="741"/>
      <c r="AL753" s="741"/>
      <c r="AM753" s="741"/>
    </row>
    <row r="754" spans="1:39" ht="12.75" customHeight="1">
      <c r="A754" s="741"/>
      <c r="B754" s="741"/>
      <c r="C754" s="741"/>
      <c r="D754" s="741"/>
      <c r="E754" s="741"/>
      <c r="F754" s="741"/>
      <c r="G754" s="741"/>
      <c r="H754" s="741"/>
      <c r="I754" s="741"/>
      <c r="J754" s="741"/>
      <c r="K754" s="741"/>
      <c r="L754" s="741"/>
      <c r="M754" s="741"/>
      <c r="N754" s="741"/>
      <c r="O754" s="741"/>
      <c r="P754" s="741"/>
      <c r="Q754" s="741"/>
      <c r="R754" s="741"/>
      <c r="S754" s="741"/>
      <c r="T754" s="741"/>
      <c r="U754" s="741"/>
      <c r="V754" s="741"/>
      <c r="W754" s="741"/>
      <c r="X754" s="741"/>
      <c r="Y754" s="741"/>
      <c r="Z754" s="741"/>
      <c r="AA754" s="741"/>
      <c r="AB754" s="741"/>
      <c r="AC754" s="741"/>
      <c r="AD754" s="741"/>
      <c r="AE754" s="741"/>
      <c r="AF754" s="741"/>
      <c r="AG754" s="741"/>
      <c r="AH754" s="741"/>
      <c r="AI754" s="741"/>
      <c r="AJ754" s="741"/>
      <c r="AK754" s="741"/>
      <c r="AL754" s="741"/>
      <c r="AM754" s="741"/>
    </row>
    <row r="755" spans="1:39" ht="12.75" customHeight="1">
      <c r="A755" s="741"/>
      <c r="B755" s="741"/>
      <c r="C755" s="741"/>
      <c r="D755" s="741"/>
      <c r="E755" s="741"/>
      <c r="F755" s="741"/>
      <c r="G755" s="741"/>
      <c r="H755" s="741"/>
      <c r="I755" s="741"/>
      <c r="J755" s="741"/>
      <c r="K755" s="741"/>
      <c r="L755" s="741"/>
      <c r="M755" s="741"/>
      <c r="N755" s="741"/>
      <c r="O755" s="741"/>
      <c r="P755" s="741"/>
      <c r="Q755" s="741"/>
      <c r="R755" s="741"/>
      <c r="S755" s="741"/>
      <c r="T755" s="741"/>
      <c r="U755" s="741"/>
      <c r="V755" s="741"/>
      <c r="W755" s="741"/>
      <c r="X755" s="741"/>
      <c r="Y755" s="741"/>
      <c r="Z755" s="741"/>
      <c r="AA755" s="741"/>
      <c r="AB755" s="741"/>
      <c r="AC755" s="741"/>
      <c r="AD755" s="741"/>
      <c r="AE755" s="741"/>
      <c r="AF755" s="741"/>
      <c r="AG755" s="741"/>
      <c r="AH755" s="741"/>
      <c r="AI755" s="741"/>
      <c r="AJ755" s="741"/>
      <c r="AK755" s="741"/>
      <c r="AL755" s="741"/>
      <c r="AM755" s="741"/>
    </row>
    <row r="756" spans="1:39" ht="12.75" customHeight="1">
      <c r="A756" s="741"/>
      <c r="B756" s="741"/>
      <c r="C756" s="741"/>
      <c r="D756" s="741"/>
      <c r="E756" s="741"/>
      <c r="F756" s="741"/>
      <c r="G756" s="741"/>
      <c r="H756" s="741"/>
      <c r="I756" s="741"/>
      <c r="J756" s="741"/>
      <c r="K756" s="741"/>
      <c r="L756" s="741"/>
      <c r="M756" s="741"/>
      <c r="N756" s="741"/>
      <c r="O756" s="741"/>
      <c r="P756" s="741"/>
      <c r="Q756" s="741"/>
      <c r="R756" s="741"/>
      <c r="S756" s="741"/>
      <c r="T756" s="741"/>
      <c r="U756" s="741"/>
      <c r="V756" s="741"/>
      <c r="W756" s="741"/>
      <c r="X756" s="741"/>
      <c r="Y756" s="741"/>
      <c r="Z756" s="741"/>
      <c r="AA756" s="741"/>
      <c r="AB756" s="741"/>
      <c r="AC756" s="741"/>
      <c r="AD756" s="741"/>
      <c r="AE756" s="741"/>
      <c r="AF756" s="741"/>
      <c r="AG756" s="741"/>
      <c r="AH756" s="741"/>
      <c r="AI756" s="741"/>
      <c r="AJ756" s="741"/>
      <c r="AK756" s="741"/>
      <c r="AL756" s="741"/>
      <c r="AM756" s="741"/>
    </row>
    <row r="757" spans="1:39" ht="12.75" customHeight="1">
      <c r="A757" s="741"/>
      <c r="B757" s="741"/>
      <c r="C757" s="741"/>
      <c r="D757" s="741"/>
      <c r="E757" s="741"/>
      <c r="F757" s="741"/>
      <c r="G757" s="741"/>
      <c r="H757" s="741"/>
      <c r="I757" s="741"/>
      <c r="J757" s="741"/>
      <c r="K757" s="741"/>
      <c r="L757" s="741"/>
      <c r="M757" s="741"/>
      <c r="N757" s="741"/>
      <c r="O757" s="741"/>
      <c r="P757" s="741"/>
      <c r="Q757" s="741"/>
      <c r="R757" s="741"/>
      <c r="S757" s="741"/>
      <c r="T757" s="741"/>
      <c r="U757" s="741"/>
      <c r="V757" s="741"/>
      <c r="W757" s="741"/>
      <c r="X757" s="741"/>
      <c r="Y757" s="741"/>
      <c r="Z757" s="741"/>
      <c r="AA757" s="741"/>
      <c r="AB757" s="741"/>
      <c r="AC757" s="741"/>
      <c r="AD757" s="741"/>
      <c r="AE757" s="741"/>
      <c r="AF757" s="741"/>
      <c r="AG757" s="741"/>
      <c r="AH757" s="741"/>
      <c r="AI757" s="741"/>
      <c r="AJ757" s="741"/>
      <c r="AK757" s="741"/>
      <c r="AL757" s="741"/>
      <c r="AM757" s="741"/>
    </row>
    <row r="758" spans="1:39" ht="12.75" customHeight="1">
      <c r="A758" s="741"/>
      <c r="B758" s="741"/>
      <c r="C758" s="741"/>
      <c r="D758" s="741"/>
      <c r="E758" s="741"/>
      <c r="F758" s="741"/>
      <c r="G758" s="741"/>
      <c r="H758" s="741"/>
      <c r="I758" s="741"/>
      <c r="J758" s="741"/>
      <c r="K758" s="741"/>
      <c r="L758" s="741"/>
      <c r="M758" s="741"/>
      <c r="N758" s="741"/>
      <c r="O758" s="741"/>
      <c r="P758" s="741"/>
      <c r="Q758" s="741"/>
      <c r="R758" s="741"/>
      <c r="S758" s="741"/>
      <c r="T758" s="741"/>
      <c r="U758" s="741"/>
      <c r="V758" s="741"/>
      <c r="W758" s="741"/>
      <c r="X758" s="741"/>
      <c r="Y758" s="741"/>
      <c r="Z758" s="741"/>
      <c r="AA758" s="741"/>
      <c r="AB758" s="741"/>
      <c r="AC758" s="741"/>
      <c r="AD758" s="741"/>
      <c r="AE758" s="741"/>
      <c r="AF758" s="741"/>
      <c r="AG758" s="741"/>
      <c r="AH758" s="741"/>
      <c r="AI758" s="741"/>
      <c r="AJ758" s="741"/>
      <c r="AK758" s="741"/>
      <c r="AL758" s="741"/>
      <c r="AM758" s="741"/>
    </row>
    <row r="759" spans="1:39" ht="12.75" customHeight="1">
      <c r="A759" s="741"/>
      <c r="B759" s="741"/>
      <c r="C759" s="741"/>
      <c r="D759" s="741"/>
      <c r="E759" s="741"/>
      <c r="F759" s="741"/>
      <c r="G759" s="741"/>
      <c r="H759" s="741"/>
      <c r="I759" s="741"/>
      <c r="J759" s="741"/>
      <c r="K759" s="741"/>
      <c r="L759" s="741"/>
      <c r="M759" s="741"/>
      <c r="N759" s="741"/>
      <c r="O759" s="741"/>
      <c r="P759" s="741"/>
      <c r="Q759" s="741"/>
      <c r="R759" s="741"/>
      <c r="S759" s="741"/>
      <c r="T759" s="741"/>
      <c r="U759" s="741"/>
      <c r="V759" s="741"/>
      <c r="W759" s="741"/>
      <c r="X759" s="741"/>
      <c r="Y759" s="741"/>
      <c r="Z759" s="741"/>
      <c r="AA759" s="741"/>
      <c r="AB759" s="741"/>
      <c r="AC759" s="741"/>
      <c r="AD759" s="741"/>
      <c r="AE759" s="741"/>
      <c r="AF759" s="741"/>
      <c r="AG759" s="741"/>
      <c r="AH759" s="741"/>
      <c r="AI759" s="741"/>
      <c r="AJ759" s="741"/>
      <c r="AK759" s="741"/>
      <c r="AL759" s="741"/>
      <c r="AM759" s="741"/>
    </row>
    <row r="760" spans="1:39" ht="12.75" customHeight="1">
      <c r="A760" s="741"/>
      <c r="B760" s="741"/>
      <c r="C760" s="741"/>
      <c r="D760" s="741"/>
      <c r="E760" s="741"/>
      <c r="F760" s="741"/>
      <c r="G760" s="741"/>
      <c r="H760" s="741"/>
      <c r="I760" s="741"/>
      <c r="J760" s="741"/>
      <c r="K760" s="741"/>
      <c r="L760" s="741"/>
      <c r="M760" s="741"/>
      <c r="N760" s="741"/>
      <c r="O760" s="741"/>
      <c r="P760" s="741"/>
      <c r="Q760" s="741"/>
      <c r="R760" s="741"/>
      <c r="S760" s="741"/>
      <c r="T760" s="741"/>
      <c r="U760" s="741"/>
      <c r="V760" s="741"/>
      <c r="W760" s="741"/>
      <c r="X760" s="741"/>
      <c r="Y760" s="741"/>
      <c r="Z760" s="741"/>
      <c r="AA760" s="741"/>
      <c r="AB760" s="741"/>
      <c r="AC760" s="741"/>
      <c r="AD760" s="741"/>
      <c r="AE760" s="741"/>
      <c r="AF760" s="741"/>
      <c r="AG760" s="741"/>
      <c r="AH760" s="741"/>
      <c r="AI760" s="741"/>
      <c r="AJ760" s="741"/>
      <c r="AK760" s="741"/>
      <c r="AL760" s="741"/>
      <c r="AM760" s="741"/>
    </row>
    <row r="761" spans="1:39" ht="12.75" customHeight="1">
      <c r="A761" s="741"/>
      <c r="B761" s="741"/>
      <c r="C761" s="741"/>
      <c r="D761" s="741"/>
      <c r="E761" s="741"/>
      <c r="F761" s="741"/>
      <c r="G761" s="741"/>
      <c r="H761" s="741"/>
      <c r="I761" s="741"/>
      <c r="J761" s="741"/>
      <c r="K761" s="741"/>
      <c r="L761" s="741"/>
      <c r="M761" s="741"/>
      <c r="N761" s="741"/>
      <c r="O761" s="741"/>
      <c r="P761" s="741"/>
      <c r="Q761" s="741"/>
      <c r="R761" s="741"/>
      <c r="S761" s="741"/>
      <c r="T761" s="741"/>
      <c r="U761" s="741"/>
      <c r="V761" s="741"/>
      <c r="W761" s="741"/>
      <c r="X761" s="741"/>
      <c r="Y761" s="741"/>
      <c r="Z761" s="741"/>
      <c r="AA761" s="741"/>
      <c r="AB761" s="741"/>
      <c r="AC761" s="741"/>
      <c r="AD761" s="741"/>
      <c r="AE761" s="741"/>
      <c r="AF761" s="741"/>
      <c r="AG761" s="741"/>
      <c r="AH761" s="741"/>
      <c r="AI761" s="741"/>
      <c r="AJ761" s="741"/>
      <c r="AK761" s="741"/>
      <c r="AL761" s="741"/>
      <c r="AM761" s="741"/>
    </row>
    <row r="762" spans="1:39" ht="12.75" customHeight="1">
      <c r="A762" s="741"/>
      <c r="B762" s="741"/>
      <c r="C762" s="741"/>
      <c r="D762" s="741"/>
      <c r="E762" s="741"/>
      <c r="F762" s="741"/>
      <c r="G762" s="741"/>
      <c r="H762" s="741"/>
      <c r="I762" s="741"/>
      <c r="J762" s="741"/>
      <c r="K762" s="741"/>
      <c r="L762" s="741"/>
      <c r="M762" s="741"/>
      <c r="N762" s="741"/>
      <c r="O762" s="741"/>
      <c r="P762" s="741"/>
      <c r="Q762" s="741"/>
      <c r="R762" s="741"/>
      <c r="S762" s="741"/>
      <c r="T762" s="741"/>
      <c r="U762" s="741"/>
      <c r="V762" s="741"/>
      <c r="W762" s="741"/>
      <c r="X762" s="741"/>
      <c r="Y762" s="741"/>
      <c r="Z762" s="741"/>
      <c r="AA762" s="741"/>
      <c r="AB762" s="741"/>
      <c r="AC762" s="741"/>
      <c r="AD762" s="741"/>
      <c r="AE762" s="741"/>
      <c r="AF762" s="741"/>
      <c r="AG762" s="741"/>
      <c r="AH762" s="741"/>
      <c r="AI762" s="741"/>
      <c r="AJ762" s="741"/>
      <c r="AK762" s="741"/>
      <c r="AL762" s="741"/>
      <c r="AM762" s="741"/>
    </row>
    <row r="763" spans="1:39" ht="12.75" customHeight="1">
      <c r="A763" s="741"/>
      <c r="B763" s="741"/>
      <c r="C763" s="741"/>
      <c r="D763" s="741"/>
      <c r="E763" s="741"/>
      <c r="F763" s="741"/>
      <c r="G763" s="741"/>
      <c r="H763" s="741"/>
      <c r="I763" s="741"/>
      <c r="J763" s="741"/>
      <c r="K763" s="741"/>
      <c r="L763" s="741"/>
      <c r="M763" s="741"/>
      <c r="N763" s="741"/>
      <c r="O763" s="741"/>
      <c r="P763" s="741"/>
      <c r="Q763" s="741"/>
      <c r="R763" s="741"/>
      <c r="S763" s="741"/>
      <c r="T763" s="741"/>
      <c r="U763" s="741"/>
      <c r="V763" s="741"/>
      <c r="W763" s="741"/>
      <c r="X763" s="741"/>
      <c r="Y763" s="741"/>
      <c r="Z763" s="741"/>
      <c r="AA763" s="741"/>
      <c r="AB763" s="741"/>
      <c r="AC763" s="741"/>
      <c r="AD763" s="741"/>
      <c r="AE763" s="741"/>
      <c r="AF763" s="741"/>
      <c r="AG763" s="741"/>
      <c r="AH763" s="741"/>
      <c r="AI763" s="741"/>
      <c r="AJ763" s="741"/>
      <c r="AK763" s="741"/>
      <c r="AL763" s="741"/>
      <c r="AM763" s="741"/>
    </row>
    <row r="764" spans="1:39" ht="12.75" customHeight="1">
      <c r="A764" s="741"/>
      <c r="B764" s="741"/>
      <c r="C764" s="741"/>
      <c r="D764" s="741"/>
      <c r="E764" s="741"/>
      <c r="F764" s="741"/>
      <c r="G764" s="741"/>
      <c r="H764" s="741"/>
      <c r="I764" s="741"/>
      <c r="J764" s="741"/>
      <c r="K764" s="741"/>
      <c r="L764" s="741"/>
      <c r="M764" s="741"/>
      <c r="N764" s="741"/>
      <c r="O764" s="741"/>
      <c r="P764" s="741"/>
      <c r="Q764" s="741"/>
      <c r="R764" s="741"/>
      <c r="S764" s="741"/>
      <c r="T764" s="741"/>
      <c r="U764" s="741"/>
      <c r="V764" s="741"/>
      <c r="W764" s="741"/>
      <c r="X764" s="741"/>
      <c r="Y764" s="741"/>
      <c r="Z764" s="741"/>
      <c r="AA764" s="741"/>
      <c r="AB764" s="741"/>
      <c r="AC764" s="741"/>
      <c r="AD764" s="741"/>
      <c r="AE764" s="741"/>
      <c r="AF764" s="741"/>
      <c r="AG764" s="741"/>
      <c r="AH764" s="741"/>
      <c r="AI764" s="741"/>
      <c r="AJ764" s="741"/>
      <c r="AK764" s="741"/>
      <c r="AL764" s="741"/>
      <c r="AM764" s="741"/>
    </row>
    <row r="765" spans="1:39" ht="12.75" customHeight="1">
      <c r="A765" s="741"/>
      <c r="B765" s="741"/>
      <c r="C765" s="741"/>
      <c r="D765" s="741"/>
      <c r="E765" s="741"/>
      <c r="F765" s="741"/>
      <c r="G765" s="741"/>
      <c r="H765" s="741"/>
      <c r="I765" s="741"/>
      <c r="J765" s="741"/>
      <c r="K765" s="741"/>
      <c r="L765" s="741"/>
      <c r="M765" s="741"/>
      <c r="N765" s="741"/>
      <c r="O765" s="741"/>
      <c r="P765" s="741"/>
      <c r="Q765" s="741"/>
      <c r="R765" s="741"/>
      <c r="S765" s="741"/>
      <c r="T765" s="741"/>
      <c r="U765" s="741"/>
      <c r="V765" s="741"/>
      <c r="W765" s="741"/>
      <c r="X765" s="741"/>
      <c r="Y765" s="741"/>
      <c r="Z765" s="741"/>
      <c r="AA765" s="741"/>
      <c r="AB765" s="741"/>
      <c r="AC765" s="741"/>
      <c r="AD765" s="741"/>
      <c r="AE765" s="741"/>
      <c r="AF765" s="741"/>
      <c r="AG765" s="741"/>
      <c r="AH765" s="741"/>
      <c r="AI765" s="741"/>
      <c r="AJ765" s="741"/>
      <c r="AK765" s="741"/>
      <c r="AL765" s="741"/>
      <c r="AM765" s="741"/>
    </row>
    <row r="766" spans="1:39" ht="12.75" customHeight="1">
      <c r="A766" s="741"/>
      <c r="B766" s="741"/>
      <c r="C766" s="741"/>
      <c r="D766" s="741"/>
      <c r="E766" s="741"/>
      <c r="F766" s="741"/>
      <c r="G766" s="741"/>
      <c r="H766" s="741"/>
      <c r="I766" s="741"/>
      <c r="J766" s="741"/>
      <c r="K766" s="741"/>
      <c r="L766" s="741"/>
      <c r="M766" s="741"/>
      <c r="N766" s="741"/>
      <c r="O766" s="741"/>
      <c r="P766" s="741"/>
      <c r="Q766" s="741"/>
      <c r="R766" s="741"/>
      <c r="S766" s="741"/>
      <c r="T766" s="741"/>
      <c r="U766" s="741"/>
      <c r="V766" s="741"/>
      <c r="W766" s="741"/>
      <c r="X766" s="741"/>
      <c r="Y766" s="741"/>
      <c r="Z766" s="741"/>
      <c r="AA766" s="741"/>
      <c r="AB766" s="741"/>
      <c r="AC766" s="741"/>
      <c r="AD766" s="741"/>
      <c r="AE766" s="741"/>
      <c r="AF766" s="741"/>
      <c r="AG766" s="741"/>
      <c r="AH766" s="741"/>
      <c r="AI766" s="741"/>
      <c r="AJ766" s="741"/>
      <c r="AK766" s="741"/>
      <c r="AL766" s="741"/>
      <c r="AM766" s="741"/>
    </row>
    <row r="767" spans="1:39" ht="12.75" customHeight="1">
      <c r="A767" s="741"/>
      <c r="B767" s="741"/>
      <c r="C767" s="741"/>
      <c r="D767" s="741"/>
      <c r="E767" s="741"/>
      <c r="F767" s="741"/>
      <c r="G767" s="741"/>
      <c r="H767" s="741"/>
      <c r="I767" s="741"/>
      <c r="J767" s="741"/>
      <c r="K767" s="741"/>
      <c r="L767" s="741"/>
      <c r="M767" s="741"/>
      <c r="N767" s="741"/>
      <c r="O767" s="741"/>
      <c r="P767" s="741"/>
      <c r="Q767" s="741"/>
      <c r="R767" s="741"/>
      <c r="S767" s="741"/>
      <c r="T767" s="741"/>
      <c r="U767" s="741"/>
      <c r="V767" s="741"/>
      <c r="W767" s="741"/>
      <c r="X767" s="741"/>
      <c r="Y767" s="741"/>
      <c r="Z767" s="741"/>
      <c r="AA767" s="741"/>
      <c r="AB767" s="741"/>
      <c r="AC767" s="741"/>
      <c r="AD767" s="741"/>
      <c r="AE767" s="741"/>
      <c r="AF767" s="741"/>
      <c r="AG767" s="741"/>
      <c r="AH767" s="741"/>
      <c r="AI767" s="741"/>
      <c r="AJ767" s="741"/>
      <c r="AK767" s="741"/>
      <c r="AL767" s="741"/>
      <c r="AM767" s="741"/>
    </row>
    <row r="768" spans="1:39" ht="12.75" customHeight="1">
      <c r="A768" s="741"/>
      <c r="B768" s="741"/>
      <c r="C768" s="741"/>
      <c r="D768" s="741"/>
      <c r="E768" s="741"/>
      <c r="F768" s="741"/>
      <c r="G768" s="741"/>
      <c r="H768" s="741"/>
      <c r="I768" s="741"/>
      <c r="J768" s="741"/>
      <c r="K768" s="741"/>
      <c r="L768" s="741"/>
      <c r="M768" s="741"/>
      <c r="N768" s="741"/>
      <c r="O768" s="741"/>
      <c r="P768" s="741"/>
      <c r="Q768" s="741"/>
      <c r="R768" s="741"/>
      <c r="S768" s="741"/>
      <c r="T768" s="741"/>
      <c r="U768" s="741"/>
      <c r="V768" s="741"/>
      <c r="W768" s="741"/>
      <c r="X768" s="741"/>
      <c r="Y768" s="741"/>
      <c r="Z768" s="741"/>
      <c r="AA768" s="741"/>
      <c r="AB768" s="741"/>
      <c r="AC768" s="741"/>
      <c r="AD768" s="741"/>
      <c r="AE768" s="741"/>
      <c r="AF768" s="741"/>
      <c r="AG768" s="741"/>
      <c r="AH768" s="741"/>
      <c r="AI768" s="741"/>
      <c r="AJ768" s="741"/>
      <c r="AK768" s="741"/>
      <c r="AL768" s="741"/>
      <c r="AM768" s="741"/>
    </row>
    <row r="769" spans="1:39" ht="12.75" customHeight="1">
      <c r="A769" s="741"/>
      <c r="B769" s="741"/>
      <c r="C769" s="741"/>
      <c r="D769" s="741"/>
      <c r="E769" s="741"/>
      <c r="F769" s="741"/>
      <c r="G769" s="741"/>
      <c r="H769" s="741"/>
      <c r="I769" s="741"/>
      <c r="J769" s="741"/>
      <c r="K769" s="741"/>
      <c r="L769" s="741"/>
      <c r="M769" s="741"/>
      <c r="N769" s="741"/>
      <c r="O769" s="741"/>
      <c r="P769" s="741"/>
      <c r="Q769" s="741"/>
      <c r="R769" s="741"/>
      <c r="S769" s="741"/>
      <c r="T769" s="741"/>
      <c r="U769" s="741"/>
      <c r="V769" s="741"/>
      <c r="W769" s="741"/>
      <c r="X769" s="741"/>
      <c r="Y769" s="741"/>
      <c r="Z769" s="741"/>
      <c r="AA769" s="741"/>
      <c r="AB769" s="741"/>
      <c r="AC769" s="741"/>
      <c r="AD769" s="741"/>
      <c r="AE769" s="741"/>
      <c r="AF769" s="741"/>
      <c r="AG769" s="741"/>
      <c r="AH769" s="741"/>
      <c r="AI769" s="741"/>
      <c r="AJ769" s="741"/>
      <c r="AK769" s="741"/>
      <c r="AL769" s="741"/>
      <c r="AM769" s="741"/>
    </row>
    <row r="770" spans="1:39" ht="12.75" customHeight="1">
      <c r="A770" s="741"/>
      <c r="B770" s="741"/>
      <c r="C770" s="741"/>
      <c r="D770" s="741"/>
      <c r="E770" s="741"/>
      <c r="F770" s="741"/>
      <c r="G770" s="741"/>
      <c r="H770" s="741"/>
      <c r="I770" s="741"/>
      <c r="J770" s="741"/>
      <c r="K770" s="741"/>
      <c r="L770" s="741"/>
      <c r="M770" s="741"/>
      <c r="N770" s="741"/>
      <c r="O770" s="741"/>
      <c r="P770" s="741"/>
      <c r="Q770" s="741"/>
      <c r="R770" s="741"/>
      <c r="S770" s="741"/>
      <c r="T770" s="741"/>
      <c r="U770" s="741"/>
      <c r="V770" s="741"/>
      <c r="W770" s="741"/>
      <c r="X770" s="741"/>
      <c r="Y770" s="741"/>
      <c r="Z770" s="741"/>
      <c r="AA770" s="741"/>
      <c r="AB770" s="741"/>
      <c r="AC770" s="741"/>
      <c r="AD770" s="741"/>
      <c r="AE770" s="741"/>
      <c r="AF770" s="741"/>
      <c r="AG770" s="741"/>
      <c r="AH770" s="741"/>
      <c r="AI770" s="741"/>
      <c r="AJ770" s="741"/>
      <c r="AK770" s="741"/>
      <c r="AL770" s="741"/>
      <c r="AM770" s="741"/>
    </row>
    <row r="771" spans="1:39" ht="12.75" customHeight="1">
      <c r="A771" s="741"/>
      <c r="B771" s="741"/>
      <c r="C771" s="741"/>
      <c r="D771" s="741"/>
      <c r="E771" s="741"/>
      <c r="F771" s="741"/>
      <c r="G771" s="741"/>
      <c r="H771" s="741"/>
      <c r="I771" s="741"/>
      <c r="J771" s="741"/>
      <c r="K771" s="741"/>
      <c r="L771" s="741"/>
      <c r="M771" s="741"/>
      <c r="N771" s="741"/>
      <c r="O771" s="741"/>
      <c r="P771" s="741"/>
      <c r="Q771" s="741"/>
      <c r="R771" s="741"/>
      <c r="S771" s="741"/>
      <c r="T771" s="741"/>
      <c r="U771" s="741"/>
      <c r="V771" s="741"/>
      <c r="W771" s="741"/>
      <c r="X771" s="741"/>
      <c r="Y771" s="741"/>
      <c r="Z771" s="741"/>
      <c r="AA771" s="741"/>
      <c r="AB771" s="741"/>
      <c r="AC771" s="741"/>
      <c r="AD771" s="741"/>
      <c r="AE771" s="741"/>
      <c r="AF771" s="741"/>
      <c r="AG771" s="741"/>
      <c r="AH771" s="741"/>
      <c r="AI771" s="741"/>
      <c r="AJ771" s="741"/>
      <c r="AK771" s="741"/>
      <c r="AL771" s="741"/>
      <c r="AM771" s="741"/>
    </row>
    <row r="772" spans="1:39" ht="12.75" customHeight="1">
      <c r="A772" s="741"/>
      <c r="B772" s="741"/>
      <c r="C772" s="741"/>
      <c r="D772" s="741"/>
      <c r="E772" s="741"/>
      <c r="F772" s="741"/>
      <c r="G772" s="741"/>
      <c r="H772" s="741"/>
      <c r="I772" s="741"/>
      <c r="J772" s="741"/>
      <c r="K772" s="741"/>
      <c r="L772" s="741"/>
      <c r="M772" s="741"/>
      <c r="N772" s="741"/>
      <c r="O772" s="741"/>
      <c r="P772" s="741"/>
      <c r="Q772" s="741"/>
      <c r="R772" s="741"/>
      <c r="S772" s="741"/>
      <c r="T772" s="741"/>
      <c r="U772" s="741"/>
      <c r="V772" s="741"/>
      <c r="W772" s="741"/>
      <c r="X772" s="741"/>
      <c r="Y772" s="741"/>
      <c r="Z772" s="741"/>
      <c r="AA772" s="741"/>
      <c r="AB772" s="741"/>
      <c r="AC772" s="741"/>
      <c r="AD772" s="741"/>
      <c r="AE772" s="741"/>
      <c r="AF772" s="741"/>
      <c r="AG772" s="741"/>
      <c r="AH772" s="741"/>
      <c r="AI772" s="741"/>
      <c r="AJ772" s="741"/>
      <c r="AK772" s="741"/>
      <c r="AL772" s="741"/>
      <c r="AM772" s="741"/>
    </row>
    <row r="773" spans="1:39" ht="12.75" customHeight="1">
      <c r="A773" s="741"/>
      <c r="B773" s="741"/>
      <c r="C773" s="741"/>
      <c r="D773" s="741"/>
      <c r="E773" s="741"/>
      <c r="F773" s="741"/>
      <c r="G773" s="741"/>
      <c r="H773" s="741"/>
      <c r="I773" s="741"/>
      <c r="J773" s="741"/>
      <c r="K773" s="741"/>
      <c r="L773" s="741"/>
      <c r="M773" s="741"/>
      <c r="N773" s="741"/>
      <c r="O773" s="741"/>
      <c r="P773" s="741"/>
      <c r="Q773" s="741"/>
      <c r="R773" s="741"/>
      <c r="S773" s="741"/>
      <c r="T773" s="741"/>
      <c r="U773" s="741"/>
      <c r="V773" s="741"/>
      <c r="W773" s="741"/>
      <c r="X773" s="741"/>
      <c r="Y773" s="741"/>
      <c r="Z773" s="741"/>
      <c r="AA773" s="741"/>
      <c r="AB773" s="741"/>
      <c r="AC773" s="741"/>
      <c r="AD773" s="741"/>
      <c r="AE773" s="741"/>
      <c r="AF773" s="741"/>
      <c r="AG773" s="741"/>
      <c r="AH773" s="741"/>
      <c r="AI773" s="741"/>
      <c r="AJ773" s="741"/>
      <c r="AK773" s="741"/>
      <c r="AL773" s="741"/>
      <c r="AM773" s="741"/>
    </row>
    <row r="774" spans="1:39" ht="12.75" customHeight="1">
      <c r="A774" s="741"/>
      <c r="B774" s="741"/>
      <c r="C774" s="741"/>
      <c r="D774" s="741"/>
      <c r="E774" s="741"/>
      <c r="F774" s="741"/>
      <c r="G774" s="741"/>
      <c r="H774" s="741"/>
      <c r="I774" s="741"/>
      <c r="J774" s="741"/>
      <c r="K774" s="741"/>
      <c r="L774" s="741"/>
      <c r="M774" s="741"/>
      <c r="N774" s="741"/>
      <c r="O774" s="741"/>
      <c r="P774" s="741"/>
      <c r="Q774" s="741"/>
      <c r="R774" s="741"/>
      <c r="S774" s="741"/>
      <c r="T774" s="741"/>
      <c r="U774" s="741"/>
      <c r="V774" s="741"/>
      <c r="W774" s="741"/>
      <c r="X774" s="741"/>
      <c r="Y774" s="741"/>
      <c r="Z774" s="741"/>
      <c r="AA774" s="741"/>
      <c r="AB774" s="741"/>
      <c r="AC774" s="741"/>
      <c r="AD774" s="741"/>
      <c r="AE774" s="741"/>
      <c r="AF774" s="741"/>
      <c r="AG774" s="741"/>
      <c r="AH774" s="741"/>
      <c r="AI774" s="741"/>
      <c r="AJ774" s="741"/>
      <c r="AK774" s="741"/>
      <c r="AL774" s="741"/>
      <c r="AM774" s="741"/>
    </row>
    <row r="775" spans="1:39" ht="12.75" customHeight="1">
      <c r="A775" s="741"/>
      <c r="B775" s="741"/>
      <c r="C775" s="741"/>
      <c r="D775" s="741"/>
      <c r="E775" s="741"/>
      <c r="F775" s="741"/>
      <c r="G775" s="741"/>
      <c r="H775" s="741"/>
      <c r="I775" s="741"/>
      <c r="J775" s="741"/>
      <c r="K775" s="741"/>
      <c r="L775" s="741"/>
      <c r="M775" s="741"/>
      <c r="N775" s="741"/>
      <c r="O775" s="741"/>
      <c r="P775" s="741"/>
      <c r="Q775" s="741"/>
      <c r="R775" s="741"/>
      <c r="S775" s="741"/>
      <c r="T775" s="741"/>
      <c r="U775" s="741"/>
      <c r="V775" s="741"/>
      <c r="W775" s="741"/>
      <c r="X775" s="741"/>
      <c r="Y775" s="741"/>
      <c r="Z775" s="741"/>
      <c r="AA775" s="741"/>
      <c r="AB775" s="741"/>
      <c r="AC775" s="741"/>
      <c r="AD775" s="741"/>
      <c r="AE775" s="741"/>
      <c r="AF775" s="741"/>
      <c r="AG775" s="741"/>
      <c r="AH775" s="741"/>
      <c r="AI775" s="741"/>
      <c r="AJ775" s="741"/>
      <c r="AK775" s="741"/>
      <c r="AL775" s="741"/>
      <c r="AM775" s="741"/>
    </row>
    <row r="776" spans="1:39" ht="12.75" customHeight="1">
      <c r="A776" s="741"/>
      <c r="B776" s="741"/>
      <c r="C776" s="741"/>
      <c r="D776" s="741"/>
      <c r="E776" s="741"/>
      <c r="F776" s="741"/>
      <c r="G776" s="741"/>
      <c r="H776" s="741"/>
      <c r="I776" s="741"/>
      <c r="J776" s="741"/>
      <c r="K776" s="741"/>
      <c r="L776" s="741"/>
      <c r="M776" s="741"/>
      <c r="N776" s="741"/>
      <c r="O776" s="741"/>
      <c r="P776" s="741"/>
      <c r="Q776" s="741"/>
      <c r="R776" s="741"/>
      <c r="S776" s="741"/>
      <c r="T776" s="741"/>
      <c r="U776" s="741"/>
      <c r="V776" s="741"/>
      <c r="W776" s="741"/>
      <c r="X776" s="741"/>
      <c r="Y776" s="741"/>
      <c r="Z776" s="741"/>
      <c r="AA776" s="741"/>
      <c r="AB776" s="741"/>
      <c r="AC776" s="741"/>
      <c r="AD776" s="741"/>
      <c r="AE776" s="741"/>
      <c r="AF776" s="741"/>
      <c r="AG776" s="741"/>
      <c r="AH776" s="741"/>
      <c r="AI776" s="741"/>
      <c r="AJ776" s="741"/>
      <c r="AK776" s="741"/>
      <c r="AL776" s="741"/>
      <c r="AM776" s="741"/>
    </row>
    <row r="777" spans="1:39" ht="12.75" customHeight="1">
      <c r="A777" s="741"/>
      <c r="B777" s="741"/>
      <c r="C777" s="741"/>
      <c r="D777" s="741"/>
      <c r="E777" s="741"/>
      <c r="F777" s="741"/>
      <c r="G777" s="741"/>
      <c r="H777" s="741"/>
      <c r="I777" s="741"/>
      <c r="J777" s="741"/>
      <c r="K777" s="741"/>
      <c r="L777" s="741"/>
      <c r="M777" s="741"/>
      <c r="N777" s="741"/>
      <c r="O777" s="741"/>
      <c r="P777" s="741"/>
      <c r="Q777" s="741"/>
      <c r="R777" s="741"/>
      <c r="S777" s="741"/>
      <c r="T777" s="741"/>
      <c r="U777" s="741"/>
      <c r="V777" s="741"/>
      <c r="W777" s="741"/>
      <c r="X777" s="741"/>
      <c r="Y777" s="741"/>
      <c r="Z777" s="741"/>
      <c r="AA777" s="741"/>
      <c r="AB777" s="741"/>
      <c r="AC777" s="741"/>
      <c r="AD777" s="741"/>
      <c r="AE777" s="741"/>
      <c r="AF777" s="741"/>
      <c r="AG777" s="741"/>
      <c r="AH777" s="741"/>
      <c r="AI777" s="741"/>
      <c r="AJ777" s="741"/>
      <c r="AK777" s="741"/>
      <c r="AL777" s="741"/>
      <c r="AM777" s="741"/>
    </row>
    <row r="778" spans="1:39" ht="12.75" customHeight="1">
      <c r="A778" s="741"/>
      <c r="B778" s="741"/>
      <c r="C778" s="741"/>
      <c r="D778" s="741"/>
      <c r="E778" s="741"/>
      <c r="F778" s="741"/>
      <c r="G778" s="741"/>
      <c r="H778" s="741"/>
      <c r="I778" s="741"/>
      <c r="J778" s="741"/>
      <c r="K778" s="741"/>
      <c r="L778" s="741"/>
      <c r="M778" s="741"/>
      <c r="N778" s="741"/>
      <c r="O778" s="741"/>
      <c r="P778" s="741"/>
      <c r="Q778" s="741"/>
      <c r="R778" s="741"/>
      <c r="S778" s="741"/>
      <c r="T778" s="741"/>
      <c r="U778" s="741"/>
      <c r="V778" s="741"/>
      <c r="W778" s="741"/>
      <c r="X778" s="741"/>
      <c r="Y778" s="741"/>
      <c r="Z778" s="741"/>
      <c r="AA778" s="741"/>
      <c r="AB778" s="741"/>
      <c r="AC778" s="741"/>
      <c r="AD778" s="741"/>
      <c r="AE778" s="741"/>
      <c r="AF778" s="741"/>
      <c r="AG778" s="741"/>
      <c r="AH778" s="741"/>
      <c r="AI778" s="741"/>
      <c r="AJ778" s="741"/>
      <c r="AK778" s="741"/>
      <c r="AL778" s="741"/>
      <c r="AM778" s="741"/>
    </row>
    <row r="779" spans="1:39" ht="12.75" customHeight="1">
      <c r="A779" s="741"/>
      <c r="B779" s="741"/>
      <c r="C779" s="741"/>
      <c r="D779" s="741"/>
      <c r="E779" s="741"/>
      <c r="F779" s="741"/>
      <c r="G779" s="741"/>
      <c r="H779" s="741"/>
      <c r="I779" s="741"/>
      <c r="J779" s="741"/>
      <c r="K779" s="741"/>
      <c r="L779" s="741"/>
      <c r="M779" s="741"/>
      <c r="N779" s="741"/>
      <c r="O779" s="741"/>
      <c r="P779" s="741"/>
      <c r="Q779" s="741"/>
      <c r="R779" s="741"/>
      <c r="S779" s="741"/>
      <c r="T779" s="741"/>
      <c r="U779" s="741"/>
      <c r="V779" s="741"/>
      <c r="W779" s="741"/>
      <c r="X779" s="741"/>
      <c r="Y779" s="741"/>
      <c r="Z779" s="741"/>
      <c r="AA779" s="741"/>
      <c r="AB779" s="741"/>
      <c r="AC779" s="741"/>
      <c r="AD779" s="741"/>
      <c r="AE779" s="741"/>
      <c r="AF779" s="741"/>
      <c r="AG779" s="741"/>
      <c r="AH779" s="741"/>
      <c r="AI779" s="741"/>
      <c r="AJ779" s="741"/>
      <c r="AK779" s="741"/>
      <c r="AL779" s="741"/>
      <c r="AM779" s="741"/>
    </row>
    <row r="780" spans="1:39" ht="12.75" customHeight="1">
      <c r="A780" s="741"/>
      <c r="B780" s="741"/>
      <c r="C780" s="741"/>
      <c r="D780" s="741"/>
      <c r="E780" s="741"/>
      <c r="F780" s="741"/>
      <c r="G780" s="741"/>
      <c r="H780" s="741"/>
      <c r="I780" s="741"/>
      <c r="J780" s="741"/>
      <c r="K780" s="741"/>
      <c r="L780" s="741"/>
      <c r="M780" s="741"/>
      <c r="N780" s="741"/>
      <c r="O780" s="741"/>
      <c r="P780" s="741"/>
      <c r="Q780" s="741"/>
      <c r="R780" s="741"/>
      <c r="S780" s="741"/>
      <c r="T780" s="741"/>
      <c r="U780" s="741"/>
      <c r="V780" s="741"/>
      <c r="W780" s="741"/>
      <c r="X780" s="741"/>
      <c r="Y780" s="741"/>
      <c r="Z780" s="741"/>
      <c r="AA780" s="741"/>
      <c r="AB780" s="741"/>
      <c r="AC780" s="741"/>
      <c r="AD780" s="741"/>
      <c r="AE780" s="741"/>
      <c r="AF780" s="741"/>
      <c r="AG780" s="741"/>
      <c r="AH780" s="741"/>
      <c r="AI780" s="741"/>
      <c r="AJ780" s="741"/>
      <c r="AK780" s="741"/>
      <c r="AL780" s="741"/>
      <c r="AM780" s="741"/>
    </row>
    <row r="781" spans="1:39" ht="12.75" customHeight="1">
      <c r="A781" s="741"/>
      <c r="B781" s="741"/>
      <c r="C781" s="741"/>
      <c r="D781" s="741"/>
      <c r="E781" s="741"/>
      <c r="F781" s="741"/>
      <c r="G781" s="741"/>
      <c r="H781" s="741"/>
      <c r="I781" s="741"/>
      <c r="J781" s="741"/>
      <c r="K781" s="741"/>
      <c r="L781" s="741"/>
      <c r="M781" s="741"/>
      <c r="N781" s="741"/>
      <c r="O781" s="741"/>
      <c r="P781" s="741"/>
      <c r="Q781" s="741"/>
      <c r="R781" s="741"/>
      <c r="S781" s="741"/>
      <c r="T781" s="741"/>
      <c r="U781" s="741"/>
      <c r="V781" s="741"/>
      <c r="W781" s="741"/>
      <c r="X781" s="741"/>
      <c r="Y781" s="741"/>
      <c r="Z781" s="741"/>
      <c r="AA781" s="741"/>
      <c r="AB781" s="741"/>
      <c r="AC781" s="741"/>
      <c r="AD781" s="741"/>
      <c r="AE781" s="741"/>
      <c r="AF781" s="741"/>
      <c r="AG781" s="741"/>
      <c r="AH781" s="741"/>
      <c r="AI781" s="741"/>
      <c r="AJ781" s="741"/>
      <c r="AK781" s="741"/>
      <c r="AL781" s="741"/>
      <c r="AM781" s="741"/>
    </row>
    <row r="782" spans="1:39" ht="12.75" customHeight="1">
      <c r="A782" s="741"/>
      <c r="B782" s="741"/>
      <c r="C782" s="741"/>
      <c r="D782" s="741"/>
      <c r="E782" s="741"/>
      <c r="F782" s="741"/>
      <c r="G782" s="741"/>
      <c r="H782" s="741"/>
      <c r="I782" s="741"/>
      <c r="J782" s="741"/>
      <c r="K782" s="741"/>
      <c r="L782" s="741"/>
      <c r="M782" s="741"/>
      <c r="N782" s="741"/>
      <c r="O782" s="741"/>
      <c r="P782" s="741"/>
      <c r="Q782" s="741"/>
      <c r="R782" s="741"/>
      <c r="S782" s="741"/>
      <c r="T782" s="741"/>
      <c r="U782" s="741"/>
      <c r="V782" s="741"/>
      <c r="W782" s="741"/>
      <c r="X782" s="741"/>
      <c r="Y782" s="741"/>
      <c r="Z782" s="741"/>
      <c r="AA782" s="741"/>
      <c r="AB782" s="741"/>
      <c r="AC782" s="741"/>
      <c r="AD782" s="741"/>
      <c r="AE782" s="741"/>
      <c r="AF782" s="741"/>
      <c r="AG782" s="741"/>
      <c r="AH782" s="741"/>
      <c r="AI782" s="741"/>
      <c r="AJ782" s="741"/>
      <c r="AK782" s="741"/>
      <c r="AL782" s="741"/>
      <c r="AM782" s="741"/>
    </row>
    <row r="783" spans="1:39" ht="12.75" customHeight="1">
      <c r="A783" s="741"/>
      <c r="B783" s="741"/>
      <c r="C783" s="741"/>
      <c r="D783" s="741"/>
      <c r="E783" s="741"/>
      <c r="F783" s="741"/>
      <c r="G783" s="741"/>
      <c r="H783" s="741"/>
      <c r="I783" s="741"/>
      <c r="J783" s="741"/>
      <c r="K783" s="741"/>
      <c r="L783" s="741"/>
      <c r="M783" s="741"/>
      <c r="N783" s="741"/>
      <c r="O783" s="741"/>
      <c r="P783" s="741"/>
      <c r="Q783" s="741"/>
      <c r="R783" s="741"/>
      <c r="S783" s="741"/>
      <c r="T783" s="741"/>
      <c r="U783" s="741"/>
      <c r="V783" s="741"/>
      <c r="W783" s="741"/>
      <c r="X783" s="741"/>
      <c r="Y783" s="741"/>
      <c r="Z783" s="741"/>
      <c r="AA783" s="741"/>
      <c r="AB783" s="741"/>
      <c r="AC783" s="741"/>
      <c r="AD783" s="741"/>
      <c r="AE783" s="741"/>
      <c r="AF783" s="741"/>
      <c r="AG783" s="741"/>
      <c r="AH783" s="741"/>
      <c r="AI783" s="741"/>
      <c r="AJ783" s="741"/>
      <c r="AK783" s="741"/>
      <c r="AL783" s="741"/>
      <c r="AM783" s="741"/>
    </row>
    <row r="784" spans="1:39" ht="12.75" customHeight="1">
      <c r="A784" s="741"/>
      <c r="B784" s="741"/>
      <c r="C784" s="741"/>
      <c r="D784" s="741"/>
      <c r="E784" s="741"/>
      <c r="F784" s="741"/>
      <c r="G784" s="741"/>
      <c r="H784" s="741"/>
      <c r="I784" s="741"/>
      <c r="J784" s="741"/>
      <c r="K784" s="741"/>
      <c r="L784" s="741"/>
      <c r="M784" s="741"/>
      <c r="N784" s="741"/>
      <c r="O784" s="741"/>
      <c r="P784" s="741"/>
      <c r="Q784" s="741"/>
      <c r="R784" s="741"/>
      <c r="S784" s="741"/>
      <c r="T784" s="741"/>
      <c r="U784" s="741"/>
      <c r="V784" s="741"/>
      <c r="W784" s="741"/>
      <c r="X784" s="741"/>
      <c r="Y784" s="741"/>
      <c r="Z784" s="741"/>
      <c r="AA784" s="741"/>
      <c r="AB784" s="741"/>
      <c r="AC784" s="741"/>
      <c r="AD784" s="741"/>
      <c r="AE784" s="741"/>
      <c r="AF784" s="741"/>
      <c r="AG784" s="741"/>
      <c r="AH784" s="741"/>
      <c r="AI784" s="741"/>
      <c r="AJ784" s="741"/>
      <c r="AK784" s="741"/>
      <c r="AL784" s="741"/>
      <c r="AM784" s="741"/>
    </row>
    <row r="785" spans="1:39" ht="12.75" customHeight="1">
      <c r="A785" s="741"/>
      <c r="B785" s="741"/>
      <c r="C785" s="741"/>
      <c r="D785" s="741"/>
      <c r="E785" s="741"/>
      <c r="F785" s="741"/>
      <c r="G785" s="741"/>
      <c r="H785" s="741"/>
      <c r="I785" s="741"/>
      <c r="J785" s="741"/>
      <c r="K785" s="741"/>
      <c r="L785" s="741"/>
      <c r="M785" s="741"/>
      <c r="N785" s="741"/>
      <c r="O785" s="741"/>
      <c r="P785" s="741"/>
      <c r="Q785" s="741"/>
      <c r="R785" s="741"/>
      <c r="S785" s="741"/>
      <c r="T785" s="741"/>
      <c r="U785" s="741"/>
      <c r="V785" s="741"/>
      <c r="W785" s="741"/>
      <c r="X785" s="741"/>
      <c r="Y785" s="741"/>
      <c r="Z785" s="741"/>
      <c r="AA785" s="741"/>
      <c r="AB785" s="741"/>
      <c r="AC785" s="741"/>
      <c r="AD785" s="741"/>
      <c r="AE785" s="741"/>
      <c r="AF785" s="741"/>
      <c r="AG785" s="741"/>
      <c r="AH785" s="741"/>
      <c r="AI785" s="741"/>
      <c r="AJ785" s="741"/>
      <c r="AK785" s="741"/>
      <c r="AL785" s="741"/>
      <c r="AM785" s="741"/>
    </row>
    <row r="786" spans="1:39" ht="12.75" customHeight="1">
      <c r="A786" s="741"/>
      <c r="B786" s="741"/>
      <c r="C786" s="741"/>
      <c r="D786" s="741"/>
      <c r="E786" s="741"/>
      <c r="F786" s="741"/>
      <c r="G786" s="741"/>
      <c r="H786" s="741"/>
      <c r="I786" s="741"/>
      <c r="J786" s="741"/>
      <c r="K786" s="741"/>
      <c r="L786" s="741"/>
      <c r="M786" s="741"/>
      <c r="N786" s="741"/>
      <c r="O786" s="741"/>
      <c r="P786" s="741"/>
      <c r="Q786" s="741"/>
      <c r="R786" s="741"/>
      <c r="S786" s="741"/>
      <c r="T786" s="741"/>
      <c r="U786" s="741"/>
      <c r="V786" s="741"/>
      <c r="W786" s="741"/>
      <c r="X786" s="741"/>
      <c r="Y786" s="741"/>
      <c r="Z786" s="741"/>
      <c r="AA786" s="741"/>
      <c r="AB786" s="741"/>
      <c r="AC786" s="741"/>
      <c r="AD786" s="741"/>
      <c r="AE786" s="741"/>
      <c r="AF786" s="741"/>
      <c r="AG786" s="741"/>
      <c r="AH786" s="741"/>
      <c r="AI786" s="741"/>
      <c r="AJ786" s="741"/>
      <c r="AK786" s="741"/>
      <c r="AL786" s="741"/>
      <c r="AM786" s="741"/>
    </row>
    <row r="787" spans="1:39" ht="12.75" customHeight="1">
      <c r="A787" s="741"/>
      <c r="B787" s="741"/>
      <c r="C787" s="741"/>
      <c r="D787" s="741"/>
      <c r="E787" s="741"/>
      <c r="F787" s="741"/>
      <c r="G787" s="741"/>
      <c r="H787" s="741"/>
      <c r="I787" s="741"/>
      <c r="J787" s="741"/>
      <c r="K787" s="741"/>
      <c r="L787" s="741"/>
      <c r="M787" s="741"/>
      <c r="N787" s="741"/>
      <c r="O787" s="741"/>
      <c r="P787" s="741"/>
      <c r="Q787" s="741"/>
      <c r="R787" s="741"/>
      <c r="S787" s="741"/>
      <c r="T787" s="741"/>
      <c r="U787" s="741"/>
      <c r="V787" s="741"/>
      <c r="W787" s="741"/>
      <c r="X787" s="741"/>
      <c r="Y787" s="741"/>
      <c r="Z787" s="741"/>
      <c r="AA787" s="741"/>
      <c r="AB787" s="741"/>
      <c r="AC787" s="741"/>
      <c r="AD787" s="741"/>
      <c r="AE787" s="741"/>
      <c r="AF787" s="741"/>
      <c r="AG787" s="741"/>
      <c r="AH787" s="741"/>
      <c r="AI787" s="741"/>
      <c r="AJ787" s="741"/>
      <c r="AK787" s="741"/>
      <c r="AL787" s="741"/>
      <c r="AM787" s="741"/>
    </row>
    <row r="788" spans="1:39" ht="12.75" customHeight="1">
      <c r="A788" s="741"/>
      <c r="B788" s="741"/>
      <c r="C788" s="741"/>
      <c r="D788" s="741"/>
      <c r="E788" s="741"/>
      <c r="F788" s="741"/>
      <c r="G788" s="741"/>
      <c r="H788" s="741"/>
      <c r="I788" s="741"/>
      <c r="J788" s="741"/>
      <c r="K788" s="741"/>
      <c r="L788" s="741"/>
      <c r="M788" s="741"/>
      <c r="N788" s="741"/>
      <c r="O788" s="741"/>
      <c r="P788" s="741"/>
      <c r="Q788" s="741"/>
      <c r="R788" s="741"/>
      <c r="S788" s="741"/>
      <c r="T788" s="741"/>
      <c r="U788" s="741"/>
      <c r="V788" s="741"/>
      <c r="W788" s="741"/>
      <c r="X788" s="741"/>
      <c r="Y788" s="741"/>
      <c r="Z788" s="741"/>
      <c r="AA788" s="741"/>
      <c r="AB788" s="741"/>
      <c r="AC788" s="741"/>
      <c r="AD788" s="741"/>
      <c r="AE788" s="741"/>
      <c r="AF788" s="741"/>
      <c r="AG788" s="741"/>
      <c r="AH788" s="741"/>
      <c r="AI788" s="741"/>
      <c r="AJ788" s="741"/>
      <c r="AK788" s="741"/>
      <c r="AL788" s="741"/>
      <c r="AM788" s="741"/>
    </row>
    <row r="789" spans="1:39" ht="12.75" customHeight="1">
      <c r="A789" s="741"/>
      <c r="B789" s="741"/>
      <c r="C789" s="741"/>
      <c r="D789" s="741"/>
      <c r="E789" s="741"/>
      <c r="F789" s="741"/>
      <c r="G789" s="741"/>
      <c r="H789" s="741"/>
      <c r="I789" s="741"/>
      <c r="J789" s="741"/>
      <c r="K789" s="741"/>
      <c r="L789" s="741"/>
      <c r="M789" s="741"/>
      <c r="N789" s="741"/>
      <c r="O789" s="741"/>
      <c r="P789" s="741"/>
      <c r="Q789" s="741"/>
      <c r="R789" s="741"/>
      <c r="S789" s="741"/>
      <c r="T789" s="741"/>
      <c r="U789" s="741"/>
      <c r="V789" s="741"/>
      <c r="W789" s="741"/>
      <c r="X789" s="741"/>
      <c r="Y789" s="741"/>
      <c r="Z789" s="741"/>
      <c r="AA789" s="741"/>
      <c r="AB789" s="741"/>
      <c r="AC789" s="741"/>
      <c r="AD789" s="741"/>
      <c r="AE789" s="741"/>
      <c r="AF789" s="741"/>
      <c r="AG789" s="741"/>
      <c r="AH789" s="741"/>
      <c r="AI789" s="741"/>
      <c r="AJ789" s="741"/>
      <c r="AK789" s="741"/>
      <c r="AL789" s="741"/>
      <c r="AM789" s="741"/>
    </row>
    <row r="790" spans="1:39" ht="12.75" customHeight="1">
      <c r="A790" s="741"/>
      <c r="B790" s="741"/>
      <c r="C790" s="741"/>
      <c r="D790" s="741"/>
      <c r="E790" s="741"/>
      <c r="F790" s="741"/>
      <c r="G790" s="741"/>
      <c r="H790" s="741"/>
      <c r="I790" s="741"/>
      <c r="J790" s="741"/>
      <c r="K790" s="741"/>
      <c r="L790" s="741"/>
      <c r="M790" s="741"/>
      <c r="N790" s="741"/>
      <c r="O790" s="741"/>
      <c r="P790" s="741"/>
      <c r="Q790" s="741"/>
      <c r="R790" s="741"/>
      <c r="S790" s="741"/>
      <c r="T790" s="741"/>
      <c r="U790" s="741"/>
      <c r="V790" s="741"/>
      <c r="W790" s="741"/>
      <c r="X790" s="741"/>
      <c r="Y790" s="741"/>
      <c r="Z790" s="741"/>
      <c r="AA790" s="741"/>
      <c r="AB790" s="741"/>
      <c r="AC790" s="741"/>
      <c r="AD790" s="741"/>
      <c r="AE790" s="741"/>
      <c r="AF790" s="741"/>
      <c r="AG790" s="741"/>
      <c r="AH790" s="741"/>
      <c r="AI790" s="741"/>
      <c r="AJ790" s="741"/>
      <c r="AK790" s="741"/>
      <c r="AL790" s="741"/>
      <c r="AM790" s="741"/>
    </row>
    <row r="791" spans="1:39" ht="12.75" customHeight="1">
      <c r="A791" s="741"/>
      <c r="B791" s="741"/>
      <c r="C791" s="741"/>
      <c r="D791" s="741"/>
      <c r="E791" s="741"/>
      <c r="F791" s="741"/>
      <c r="G791" s="741"/>
      <c r="H791" s="741"/>
      <c r="I791" s="741"/>
      <c r="J791" s="741"/>
      <c r="K791" s="741"/>
      <c r="L791" s="741"/>
      <c r="M791" s="741"/>
      <c r="N791" s="741"/>
      <c r="O791" s="741"/>
      <c r="P791" s="741"/>
      <c r="Q791" s="741"/>
      <c r="R791" s="741"/>
      <c r="S791" s="741"/>
      <c r="T791" s="741"/>
      <c r="U791" s="741"/>
      <c r="V791" s="741"/>
      <c r="W791" s="741"/>
      <c r="X791" s="741"/>
      <c r="Y791" s="741"/>
      <c r="Z791" s="741"/>
      <c r="AA791" s="741"/>
      <c r="AB791" s="741"/>
      <c r="AC791" s="741"/>
      <c r="AD791" s="741"/>
      <c r="AE791" s="741"/>
      <c r="AF791" s="741"/>
      <c r="AG791" s="741"/>
      <c r="AH791" s="741"/>
      <c r="AI791" s="741"/>
      <c r="AJ791" s="741"/>
      <c r="AK791" s="741"/>
      <c r="AL791" s="741"/>
      <c r="AM791" s="741"/>
    </row>
    <row r="792" spans="1:39" ht="12.75" customHeight="1">
      <c r="A792" s="741"/>
      <c r="B792" s="741"/>
      <c r="C792" s="741"/>
      <c r="D792" s="741"/>
      <c r="E792" s="741"/>
      <c r="F792" s="741"/>
      <c r="G792" s="741"/>
      <c r="H792" s="741"/>
      <c r="I792" s="741"/>
      <c r="J792" s="741"/>
      <c r="K792" s="741"/>
      <c r="L792" s="741"/>
      <c r="M792" s="741"/>
      <c r="N792" s="741"/>
      <c r="O792" s="741"/>
      <c r="P792" s="741"/>
      <c r="Q792" s="741"/>
      <c r="R792" s="741"/>
      <c r="S792" s="741"/>
      <c r="T792" s="741"/>
      <c r="U792" s="741"/>
      <c r="V792" s="741"/>
      <c r="W792" s="741"/>
      <c r="X792" s="741"/>
      <c r="Y792" s="741"/>
      <c r="Z792" s="741"/>
      <c r="AA792" s="741"/>
      <c r="AB792" s="741"/>
      <c r="AC792" s="741"/>
      <c r="AD792" s="741"/>
      <c r="AE792" s="741"/>
      <c r="AF792" s="741"/>
      <c r="AG792" s="741"/>
      <c r="AH792" s="741"/>
      <c r="AI792" s="741"/>
      <c r="AJ792" s="741"/>
      <c r="AK792" s="741"/>
      <c r="AL792" s="741"/>
      <c r="AM792" s="741"/>
    </row>
    <row r="793" spans="1:39" ht="12.75" customHeight="1">
      <c r="A793" s="741"/>
      <c r="B793" s="741"/>
      <c r="C793" s="741"/>
      <c r="D793" s="741"/>
      <c r="E793" s="741"/>
      <c r="F793" s="741"/>
      <c r="G793" s="741"/>
      <c r="H793" s="741"/>
      <c r="I793" s="741"/>
      <c r="J793" s="741"/>
      <c r="K793" s="741"/>
      <c r="L793" s="741"/>
      <c r="M793" s="741"/>
      <c r="N793" s="741"/>
      <c r="O793" s="741"/>
      <c r="P793" s="741"/>
      <c r="Q793" s="741"/>
      <c r="R793" s="741"/>
      <c r="S793" s="741"/>
      <c r="T793" s="741"/>
      <c r="U793" s="741"/>
      <c r="V793" s="741"/>
      <c r="W793" s="741"/>
      <c r="X793" s="741"/>
      <c r="Y793" s="741"/>
      <c r="Z793" s="741"/>
      <c r="AA793" s="741"/>
      <c r="AB793" s="741"/>
      <c r="AC793" s="741"/>
      <c r="AD793" s="741"/>
      <c r="AE793" s="741"/>
      <c r="AF793" s="741"/>
      <c r="AG793" s="741"/>
      <c r="AH793" s="741"/>
      <c r="AI793" s="741"/>
      <c r="AJ793" s="741"/>
      <c r="AK793" s="741"/>
      <c r="AL793" s="741"/>
      <c r="AM793" s="741"/>
    </row>
    <row r="794" spans="1:39" ht="12.75" customHeight="1">
      <c r="A794" s="741"/>
      <c r="B794" s="741"/>
      <c r="C794" s="741"/>
      <c r="D794" s="741"/>
      <c r="E794" s="741"/>
      <c r="F794" s="741"/>
      <c r="G794" s="741"/>
      <c r="H794" s="741"/>
      <c r="I794" s="741"/>
      <c r="J794" s="741"/>
      <c r="K794" s="741"/>
      <c r="L794" s="741"/>
      <c r="M794" s="741"/>
      <c r="N794" s="741"/>
      <c r="O794" s="741"/>
      <c r="P794" s="741"/>
      <c r="Q794" s="741"/>
      <c r="R794" s="741"/>
      <c r="S794" s="741"/>
      <c r="T794" s="741"/>
      <c r="U794" s="741"/>
      <c r="V794" s="741"/>
      <c r="W794" s="741"/>
      <c r="X794" s="741"/>
      <c r="Y794" s="741"/>
      <c r="Z794" s="741"/>
      <c r="AA794" s="741"/>
      <c r="AB794" s="741"/>
      <c r="AC794" s="741"/>
      <c r="AD794" s="741"/>
      <c r="AE794" s="741"/>
      <c r="AF794" s="741"/>
      <c r="AG794" s="741"/>
      <c r="AH794" s="741"/>
      <c r="AI794" s="741"/>
      <c r="AJ794" s="741"/>
      <c r="AK794" s="741"/>
      <c r="AL794" s="741"/>
      <c r="AM794" s="741"/>
    </row>
    <row r="795" spans="1:39" ht="12.75" customHeight="1">
      <c r="A795" s="741"/>
      <c r="B795" s="741"/>
      <c r="C795" s="741"/>
      <c r="D795" s="741"/>
      <c r="E795" s="741"/>
      <c r="F795" s="741"/>
      <c r="G795" s="741"/>
      <c r="H795" s="741"/>
      <c r="I795" s="741"/>
      <c r="J795" s="741"/>
      <c r="K795" s="741"/>
      <c r="L795" s="741"/>
      <c r="M795" s="741"/>
      <c r="N795" s="741"/>
      <c r="O795" s="741"/>
      <c r="P795" s="741"/>
      <c r="Q795" s="741"/>
      <c r="R795" s="741"/>
      <c r="S795" s="741"/>
      <c r="T795" s="741"/>
      <c r="U795" s="741"/>
      <c r="V795" s="741"/>
      <c r="W795" s="741"/>
      <c r="X795" s="741"/>
      <c r="Y795" s="741"/>
      <c r="Z795" s="741"/>
      <c r="AA795" s="741"/>
      <c r="AB795" s="741"/>
      <c r="AC795" s="741"/>
      <c r="AD795" s="741"/>
      <c r="AE795" s="741"/>
      <c r="AF795" s="741"/>
      <c r="AG795" s="741"/>
      <c r="AH795" s="741"/>
      <c r="AI795" s="741"/>
      <c r="AJ795" s="741"/>
      <c r="AK795" s="741"/>
      <c r="AL795" s="741"/>
      <c r="AM795" s="741"/>
    </row>
    <row r="796" spans="1:39" ht="12.75" customHeight="1">
      <c r="A796" s="741"/>
      <c r="B796" s="741"/>
      <c r="C796" s="741"/>
      <c r="D796" s="741"/>
      <c r="E796" s="741"/>
      <c r="F796" s="741"/>
      <c r="G796" s="741"/>
      <c r="H796" s="741"/>
      <c r="I796" s="741"/>
      <c r="J796" s="741"/>
      <c r="K796" s="741"/>
      <c r="L796" s="741"/>
      <c r="M796" s="741"/>
      <c r="N796" s="741"/>
      <c r="O796" s="741"/>
      <c r="P796" s="741"/>
      <c r="Q796" s="741"/>
      <c r="R796" s="741"/>
      <c r="S796" s="741"/>
      <c r="T796" s="741"/>
      <c r="U796" s="741"/>
      <c r="V796" s="741"/>
      <c r="W796" s="741"/>
      <c r="X796" s="741"/>
      <c r="Y796" s="741"/>
      <c r="Z796" s="741"/>
      <c r="AA796" s="741"/>
      <c r="AB796" s="741"/>
      <c r="AC796" s="741"/>
      <c r="AD796" s="741"/>
      <c r="AE796" s="741"/>
      <c r="AF796" s="741"/>
      <c r="AG796" s="741"/>
      <c r="AH796" s="741"/>
      <c r="AI796" s="741"/>
      <c r="AJ796" s="741"/>
      <c r="AK796" s="741"/>
      <c r="AL796" s="741"/>
      <c r="AM796" s="741"/>
    </row>
    <row r="797" spans="1:39" ht="12.75" customHeight="1">
      <c r="A797" s="741"/>
      <c r="B797" s="741"/>
      <c r="C797" s="741"/>
      <c r="D797" s="741"/>
      <c r="E797" s="741"/>
      <c r="F797" s="741"/>
      <c r="G797" s="741"/>
      <c r="H797" s="741"/>
      <c r="I797" s="741"/>
      <c r="J797" s="741"/>
      <c r="K797" s="741"/>
      <c r="L797" s="741"/>
      <c r="M797" s="741"/>
      <c r="N797" s="741"/>
      <c r="O797" s="741"/>
      <c r="P797" s="741"/>
      <c r="Q797" s="741"/>
      <c r="R797" s="741"/>
      <c r="S797" s="741"/>
      <c r="T797" s="741"/>
      <c r="U797" s="741"/>
      <c r="V797" s="741"/>
      <c r="W797" s="741"/>
      <c r="X797" s="741"/>
      <c r="Y797" s="741"/>
      <c r="Z797" s="741"/>
      <c r="AA797" s="741"/>
      <c r="AB797" s="741"/>
      <c r="AC797" s="741"/>
      <c r="AD797" s="741"/>
      <c r="AE797" s="741"/>
      <c r="AF797" s="741"/>
      <c r="AG797" s="741"/>
      <c r="AH797" s="741"/>
      <c r="AI797" s="741"/>
      <c r="AJ797" s="741"/>
      <c r="AK797" s="741"/>
      <c r="AL797" s="741"/>
      <c r="AM797" s="741"/>
    </row>
    <row r="798" spans="1:39" ht="12.75" customHeight="1">
      <c r="A798" s="741"/>
      <c r="B798" s="741"/>
      <c r="C798" s="741"/>
      <c r="D798" s="741"/>
      <c r="E798" s="741"/>
      <c r="F798" s="741"/>
      <c r="G798" s="741"/>
      <c r="H798" s="741"/>
      <c r="I798" s="741"/>
      <c r="J798" s="741"/>
      <c r="K798" s="741"/>
      <c r="L798" s="741"/>
      <c r="M798" s="741"/>
      <c r="N798" s="741"/>
      <c r="O798" s="741"/>
      <c r="P798" s="741"/>
      <c r="Q798" s="741"/>
      <c r="R798" s="741"/>
      <c r="S798" s="741"/>
      <c r="T798" s="741"/>
      <c r="U798" s="741"/>
      <c r="V798" s="741"/>
      <c r="W798" s="741"/>
      <c r="X798" s="741"/>
      <c r="Y798" s="741"/>
      <c r="Z798" s="741"/>
      <c r="AA798" s="741"/>
      <c r="AB798" s="741"/>
      <c r="AC798" s="741"/>
      <c r="AD798" s="741"/>
      <c r="AE798" s="741"/>
      <c r="AF798" s="741"/>
      <c r="AG798" s="741"/>
      <c r="AH798" s="741"/>
      <c r="AI798" s="741"/>
      <c r="AJ798" s="741"/>
      <c r="AK798" s="741"/>
      <c r="AL798" s="741"/>
      <c r="AM798" s="741"/>
    </row>
    <row r="799" spans="1:39" ht="12.75" customHeight="1">
      <c r="A799" s="741"/>
      <c r="B799" s="741"/>
      <c r="C799" s="741"/>
      <c r="D799" s="741"/>
      <c r="E799" s="741"/>
      <c r="F799" s="741"/>
      <c r="G799" s="741"/>
      <c r="H799" s="741"/>
      <c r="I799" s="741"/>
      <c r="J799" s="741"/>
      <c r="K799" s="741"/>
      <c r="L799" s="741"/>
      <c r="M799" s="741"/>
      <c r="N799" s="741"/>
      <c r="O799" s="741"/>
      <c r="P799" s="741"/>
      <c r="Q799" s="741"/>
      <c r="R799" s="741"/>
      <c r="S799" s="741"/>
      <c r="T799" s="741"/>
      <c r="U799" s="741"/>
      <c r="V799" s="741"/>
      <c r="W799" s="741"/>
      <c r="X799" s="741"/>
      <c r="Y799" s="741"/>
      <c r="Z799" s="741"/>
      <c r="AA799" s="741"/>
      <c r="AB799" s="741"/>
      <c r="AC799" s="741"/>
      <c r="AD799" s="741"/>
      <c r="AE799" s="741"/>
      <c r="AF799" s="741"/>
      <c r="AG799" s="741"/>
      <c r="AH799" s="741"/>
      <c r="AI799" s="741"/>
      <c r="AJ799" s="741"/>
      <c r="AK799" s="741"/>
      <c r="AL799" s="741"/>
      <c r="AM799" s="741"/>
    </row>
    <row r="800" spans="1:39" ht="12.75" customHeight="1">
      <c r="A800" s="741"/>
      <c r="B800" s="741"/>
      <c r="C800" s="741"/>
      <c r="D800" s="741"/>
      <c r="E800" s="741"/>
      <c r="F800" s="741"/>
      <c r="G800" s="741"/>
      <c r="H800" s="741"/>
      <c r="I800" s="741"/>
      <c r="J800" s="741"/>
      <c r="K800" s="741"/>
      <c r="L800" s="741"/>
      <c r="M800" s="741"/>
      <c r="N800" s="741"/>
      <c r="O800" s="741"/>
      <c r="P800" s="741"/>
      <c r="Q800" s="741"/>
      <c r="R800" s="741"/>
      <c r="S800" s="741"/>
      <c r="T800" s="741"/>
      <c r="U800" s="741"/>
      <c r="V800" s="741"/>
      <c r="W800" s="741"/>
      <c r="X800" s="741"/>
      <c r="Y800" s="741"/>
      <c r="Z800" s="741"/>
      <c r="AA800" s="741"/>
      <c r="AB800" s="741"/>
      <c r="AC800" s="741"/>
      <c r="AD800" s="741"/>
      <c r="AE800" s="741"/>
      <c r="AF800" s="741"/>
      <c r="AG800" s="741"/>
      <c r="AH800" s="741"/>
      <c r="AI800" s="741"/>
      <c r="AJ800" s="741"/>
      <c r="AK800" s="741"/>
      <c r="AL800" s="741"/>
      <c r="AM800" s="741"/>
    </row>
    <row r="801" spans="1:39" ht="12.75" customHeight="1">
      <c r="A801" s="741"/>
      <c r="B801" s="741"/>
      <c r="C801" s="741"/>
      <c r="D801" s="741"/>
      <c r="E801" s="741"/>
      <c r="F801" s="741"/>
      <c r="G801" s="741"/>
      <c r="H801" s="741"/>
      <c r="I801" s="741"/>
      <c r="J801" s="741"/>
      <c r="K801" s="741"/>
      <c r="L801" s="741"/>
      <c r="M801" s="741"/>
      <c r="N801" s="741"/>
      <c r="O801" s="741"/>
      <c r="P801" s="741"/>
      <c r="Q801" s="741"/>
      <c r="R801" s="741"/>
      <c r="S801" s="741"/>
      <c r="T801" s="741"/>
      <c r="U801" s="741"/>
      <c r="V801" s="741"/>
      <c r="W801" s="741"/>
      <c r="X801" s="741"/>
      <c r="Y801" s="741"/>
      <c r="Z801" s="741"/>
      <c r="AA801" s="741"/>
      <c r="AB801" s="741"/>
      <c r="AC801" s="741"/>
      <c r="AD801" s="741"/>
      <c r="AE801" s="741"/>
      <c r="AF801" s="741"/>
      <c r="AG801" s="741"/>
      <c r="AH801" s="741"/>
      <c r="AI801" s="741"/>
      <c r="AJ801" s="741"/>
      <c r="AK801" s="741"/>
      <c r="AL801" s="741"/>
      <c r="AM801" s="741"/>
    </row>
    <row r="802" spans="1:39" ht="12.75" customHeight="1">
      <c r="A802" s="741"/>
      <c r="B802" s="741"/>
      <c r="C802" s="741"/>
      <c r="D802" s="741"/>
      <c r="E802" s="741"/>
      <c r="F802" s="741"/>
      <c r="G802" s="741"/>
      <c r="H802" s="741"/>
      <c r="I802" s="741"/>
      <c r="J802" s="741"/>
      <c r="K802" s="741"/>
      <c r="L802" s="741"/>
      <c r="M802" s="741"/>
      <c r="N802" s="741"/>
      <c r="O802" s="741"/>
      <c r="P802" s="741"/>
      <c r="Q802" s="741"/>
      <c r="R802" s="741"/>
      <c r="S802" s="741"/>
      <c r="T802" s="741"/>
      <c r="U802" s="741"/>
      <c r="V802" s="741"/>
      <c r="W802" s="741"/>
      <c r="X802" s="741"/>
      <c r="Y802" s="741"/>
      <c r="Z802" s="741"/>
      <c r="AA802" s="741"/>
      <c r="AB802" s="741"/>
      <c r="AC802" s="741"/>
      <c r="AD802" s="741"/>
      <c r="AE802" s="741"/>
      <c r="AF802" s="741"/>
      <c r="AG802" s="741"/>
      <c r="AH802" s="741"/>
      <c r="AI802" s="741"/>
      <c r="AJ802" s="741"/>
      <c r="AK802" s="741"/>
      <c r="AL802" s="741"/>
      <c r="AM802" s="741"/>
    </row>
    <row r="803" spans="1:39" ht="12.75" customHeight="1">
      <c r="A803" s="741"/>
      <c r="B803" s="741"/>
      <c r="C803" s="741"/>
      <c r="D803" s="741"/>
      <c r="E803" s="741"/>
      <c r="F803" s="741"/>
      <c r="G803" s="741"/>
      <c r="H803" s="741"/>
      <c r="I803" s="741"/>
      <c r="J803" s="741"/>
      <c r="K803" s="741"/>
      <c r="L803" s="741"/>
      <c r="M803" s="741"/>
      <c r="N803" s="741"/>
      <c r="O803" s="741"/>
      <c r="P803" s="741"/>
      <c r="Q803" s="741"/>
      <c r="R803" s="741"/>
      <c r="S803" s="741"/>
      <c r="T803" s="741"/>
      <c r="U803" s="741"/>
      <c r="V803" s="741"/>
      <c r="W803" s="741"/>
      <c r="X803" s="741"/>
      <c r="Y803" s="741"/>
      <c r="Z803" s="741"/>
      <c r="AA803" s="741"/>
      <c r="AB803" s="741"/>
      <c r="AC803" s="741"/>
      <c r="AD803" s="741"/>
      <c r="AE803" s="741"/>
      <c r="AF803" s="741"/>
      <c r="AG803" s="741"/>
      <c r="AH803" s="741"/>
      <c r="AI803" s="741"/>
      <c r="AJ803" s="741"/>
      <c r="AK803" s="741"/>
      <c r="AL803" s="741"/>
      <c r="AM803" s="741"/>
    </row>
    <row r="804" spans="1:39" ht="12.75" customHeight="1">
      <c r="A804" s="741"/>
      <c r="B804" s="741"/>
      <c r="C804" s="741"/>
      <c r="D804" s="741"/>
      <c r="E804" s="741"/>
      <c r="F804" s="741"/>
      <c r="G804" s="741"/>
      <c r="H804" s="741"/>
      <c r="I804" s="741"/>
      <c r="J804" s="741"/>
      <c r="K804" s="741"/>
      <c r="L804" s="741"/>
      <c r="M804" s="741"/>
      <c r="N804" s="741"/>
      <c r="O804" s="741"/>
      <c r="P804" s="741"/>
      <c r="Q804" s="741"/>
      <c r="R804" s="741"/>
      <c r="S804" s="741"/>
      <c r="T804" s="741"/>
      <c r="U804" s="741"/>
      <c r="V804" s="741"/>
      <c r="W804" s="741"/>
      <c r="X804" s="741"/>
      <c r="Y804" s="741"/>
      <c r="Z804" s="741"/>
      <c r="AA804" s="741"/>
      <c r="AB804" s="741"/>
      <c r="AC804" s="741"/>
      <c r="AD804" s="741"/>
      <c r="AE804" s="741"/>
      <c r="AF804" s="741"/>
      <c r="AG804" s="741"/>
      <c r="AH804" s="741"/>
      <c r="AI804" s="741"/>
      <c r="AJ804" s="741"/>
      <c r="AK804" s="741"/>
      <c r="AL804" s="741"/>
      <c r="AM804" s="741"/>
    </row>
    <row r="805" spans="1:39" ht="12.75" customHeight="1">
      <c r="A805" s="741"/>
      <c r="B805" s="741"/>
      <c r="C805" s="741"/>
      <c r="D805" s="741"/>
      <c r="E805" s="741"/>
      <c r="F805" s="741"/>
      <c r="G805" s="741"/>
      <c r="H805" s="741"/>
      <c r="I805" s="741"/>
      <c r="J805" s="741"/>
      <c r="K805" s="741"/>
      <c r="L805" s="741"/>
      <c r="M805" s="741"/>
      <c r="N805" s="741"/>
      <c r="O805" s="741"/>
      <c r="P805" s="741"/>
      <c r="Q805" s="741"/>
      <c r="R805" s="741"/>
      <c r="S805" s="741"/>
      <c r="T805" s="741"/>
      <c r="U805" s="741"/>
      <c r="V805" s="741"/>
      <c r="W805" s="741"/>
      <c r="X805" s="741"/>
      <c r="Y805" s="741"/>
      <c r="Z805" s="741"/>
      <c r="AA805" s="741"/>
      <c r="AB805" s="741"/>
      <c r="AC805" s="741"/>
      <c r="AD805" s="741"/>
      <c r="AE805" s="741"/>
      <c r="AF805" s="741"/>
      <c r="AG805" s="741"/>
      <c r="AH805" s="741"/>
      <c r="AI805" s="741"/>
      <c r="AJ805" s="741"/>
      <c r="AK805" s="741"/>
      <c r="AL805" s="741"/>
      <c r="AM805" s="741"/>
    </row>
    <row r="806" spans="1:39" ht="12.75" customHeight="1">
      <c r="A806" s="741"/>
      <c r="B806" s="741"/>
      <c r="C806" s="741"/>
      <c r="D806" s="741"/>
      <c r="E806" s="741"/>
      <c r="F806" s="741"/>
      <c r="G806" s="741"/>
      <c r="H806" s="741"/>
      <c r="I806" s="741"/>
      <c r="J806" s="741"/>
      <c r="K806" s="741"/>
      <c r="L806" s="741"/>
      <c r="M806" s="741"/>
      <c r="N806" s="741"/>
      <c r="O806" s="741"/>
      <c r="P806" s="741"/>
      <c r="Q806" s="741"/>
      <c r="R806" s="741"/>
      <c r="S806" s="741"/>
      <c r="T806" s="741"/>
      <c r="U806" s="741"/>
      <c r="V806" s="741"/>
      <c r="W806" s="741"/>
      <c r="X806" s="741"/>
      <c r="Y806" s="741"/>
      <c r="Z806" s="741"/>
      <c r="AA806" s="741"/>
      <c r="AB806" s="741"/>
      <c r="AC806" s="741"/>
      <c r="AD806" s="741"/>
      <c r="AE806" s="741"/>
      <c r="AF806" s="741"/>
      <c r="AG806" s="741"/>
      <c r="AH806" s="741"/>
      <c r="AI806" s="741"/>
      <c r="AJ806" s="741"/>
      <c r="AK806" s="741"/>
      <c r="AL806" s="741"/>
      <c r="AM806" s="741"/>
    </row>
    <row r="807" spans="1:39" ht="12.75" customHeight="1">
      <c r="A807" s="741"/>
      <c r="B807" s="741"/>
      <c r="C807" s="741"/>
      <c r="D807" s="741"/>
      <c r="E807" s="741"/>
      <c r="F807" s="741"/>
      <c r="G807" s="741"/>
      <c r="H807" s="741"/>
      <c r="I807" s="741"/>
      <c r="J807" s="741"/>
      <c r="K807" s="741"/>
      <c r="L807" s="741"/>
      <c r="M807" s="741"/>
      <c r="N807" s="741"/>
      <c r="O807" s="741"/>
      <c r="P807" s="741"/>
      <c r="Q807" s="741"/>
      <c r="R807" s="741"/>
      <c r="S807" s="741"/>
      <c r="T807" s="741"/>
      <c r="U807" s="741"/>
      <c r="V807" s="741"/>
      <c r="W807" s="741"/>
      <c r="X807" s="741"/>
      <c r="Y807" s="741"/>
      <c r="Z807" s="741"/>
      <c r="AA807" s="741"/>
      <c r="AB807" s="741"/>
      <c r="AC807" s="741"/>
      <c r="AD807" s="741"/>
      <c r="AE807" s="741"/>
      <c r="AF807" s="741"/>
      <c r="AG807" s="741"/>
      <c r="AH807" s="741"/>
      <c r="AI807" s="741"/>
      <c r="AJ807" s="741"/>
      <c r="AK807" s="741"/>
      <c r="AL807" s="741"/>
      <c r="AM807" s="741"/>
    </row>
    <row r="808" spans="1:39" ht="12.75" customHeight="1">
      <c r="A808" s="741"/>
      <c r="B808" s="741"/>
      <c r="C808" s="741"/>
      <c r="D808" s="741"/>
      <c r="E808" s="741"/>
      <c r="F808" s="741"/>
      <c r="G808" s="741"/>
      <c r="H808" s="741"/>
      <c r="I808" s="741"/>
      <c r="J808" s="741"/>
      <c r="K808" s="741"/>
      <c r="L808" s="741"/>
      <c r="M808" s="741"/>
      <c r="N808" s="741"/>
      <c r="O808" s="741"/>
      <c r="P808" s="741"/>
      <c r="Q808" s="741"/>
      <c r="R808" s="741"/>
      <c r="S808" s="741"/>
      <c r="T808" s="741"/>
      <c r="U808" s="741"/>
      <c r="V808" s="741"/>
      <c r="W808" s="741"/>
      <c r="X808" s="741"/>
      <c r="Y808" s="741"/>
      <c r="Z808" s="741"/>
      <c r="AA808" s="741"/>
      <c r="AB808" s="741"/>
      <c r="AC808" s="741"/>
      <c r="AD808" s="741"/>
      <c r="AE808" s="741"/>
      <c r="AF808" s="741"/>
      <c r="AG808" s="741"/>
      <c r="AH808" s="741"/>
      <c r="AI808" s="741"/>
      <c r="AJ808" s="741"/>
      <c r="AK808" s="741"/>
      <c r="AL808" s="741"/>
      <c r="AM808" s="741"/>
    </row>
    <row r="809" spans="1:39" ht="12.75" customHeight="1">
      <c r="A809" s="741"/>
      <c r="B809" s="741"/>
      <c r="C809" s="741"/>
      <c r="D809" s="741"/>
      <c r="E809" s="741"/>
      <c r="F809" s="741"/>
      <c r="G809" s="741"/>
      <c r="H809" s="741"/>
      <c r="I809" s="741"/>
      <c r="J809" s="741"/>
      <c r="K809" s="741"/>
      <c r="L809" s="741"/>
      <c r="M809" s="741"/>
      <c r="N809" s="741"/>
      <c r="O809" s="741"/>
      <c r="P809" s="741"/>
      <c r="Q809" s="741"/>
      <c r="R809" s="741"/>
      <c r="S809" s="741"/>
      <c r="T809" s="741"/>
      <c r="U809" s="741"/>
      <c r="V809" s="741"/>
      <c r="W809" s="741"/>
      <c r="X809" s="741"/>
      <c r="Y809" s="741"/>
      <c r="Z809" s="741"/>
      <c r="AA809" s="741"/>
      <c r="AB809" s="741"/>
      <c r="AC809" s="741"/>
      <c r="AD809" s="741"/>
      <c r="AE809" s="741"/>
      <c r="AF809" s="741"/>
      <c r="AG809" s="741"/>
      <c r="AH809" s="741"/>
      <c r="AI809" s="741"/>
      <c r="AJ809" s="741"/>
      <c r="AK809" s="741"/>
      <c r="AL809" s="741"/>
      <c r="AM809" s="741"/>
    </row>
    <row r="810" spans="1:39" ht="12.75" customHeight="1">
      <c r="A810" s="741"/>
      <c r="B810" s="741"/>
      <c r="C810" s="741"/>
      <c r="D810" s="741"/>
      <c r="E810" s="741"/>
      <c r="F810" s="741"/>
      <c r="G810" s="741"/>
      <c r="H810" s="741"/>
      <c r="I810" s="741"/>
      <c r="J810" s="741"/>
      <c r="K810" s="741"/>
      <c r="L810" s="741"/>
      <c r="M810" s="741"/>
      <c r="N810" s="741"/>
      <c r="O810" s="741"/>
      <c r="P810" s="741"/>
      <c r="Q810" s="741"/>
      <c r="R810" s="741"/>
      <c r="S810" s="741"/>
      <c r="T810" s="741"/>
      <c r="U810" s="741"/>
      <c r="V810" s="741"/>
      <c r="W810" s="741"/>
      <c r="X810" s="741"/>
      <c r="Y810" s="741"/>
      <c r="Z810" s="741"/>
      <c r="AA810" s="741"/>
      <c r="AB810" s="741"/>
      <c r="AC810" s="741"/>
      <c r="AD810" s="741"/>
      <c r="AE810" s="741"/>
      <c r="AF810" s="741"/>
      <c r="AG810" s="741"/>
      <c r="AH810" s="741"/>
      <c r="AI810" s="741"/>
      <c r="AJ810" s="741"/>
      <c r="AK810" s="741"/>
      <c r="AL810" s="741"/>
      <c r="AM810" s="741"/>
    </row>
    <row r="811" spans="1:39" ht="12.75" customHeight="1">
      <c r="A811" s="741"/>
      <c r="B811" s="741"/>
      <c r="C811" s="741"/>
      <c r="D811" s="741"/>
      <c r="E811" s="741"/>
      <c r="F811" s="741"/>
      <c r="G811" s="741"/>
      <c r="H811" s="741"/>
      <c r="I811" s="741"/>
      <c r="J811" s="741"/>
      <c r="K811" s="741"/>
      <c r="L811" s="741"/>
      <c r="M811" s="741"/>
      <c r="N811" s="741"/>
      <c r="O811" s="741"/>
      <c r="P811" s="741"/>
      <c r="Q811" s="741"/>
      <c r="R811" s="741"/>
      <c r="S811" s="741"/>
      <c r="T811" s="741"/>
      <c r="U811" s="741"/>
      <c r="V811" s="741"/>
      <c r="W811" s="741"/>
      <c r="X811" s="741"/>
      <c r="Y811" s="741"/>
      <c r="Z811" s="741"/>
      <c r="AA811" s="741"/>
      <c r="AB811" s="741"/>
      <c r="AC811" s="741"/>
      <c r="AD811" s="741"/>
      <c r="AE811" s="741"/>
      <c r="AF811" s="741"/>
      <c r="AG811" s="741"/>
      <c r="AH811" s="741"/>
      <c r="AI811" s="741"/>
      <c r="AJ811" s="741"/>
      <c r="AK811" s="741"/>
      <c r="AL811" s="741"/>
      <c r="AM811" s="741"/>
    </row>
    <row r="812" spans="1:39" ht="12.75" customHeight="1">
      <c r="A812" s="741"/>
      <c r="B812" s="741"/>
      <c r="C812" s="741"/>
      <c r="D812" s="741"/>
      <c r="E812" s="741"/>
      <c r="F812" s="741"/>
      <c r="G812" s="741"/>
      <c r="H812" s="741"/>
      <c r="I812" s="741"/>
      <c r="J812" s="741"/>
      <c r="K812" s="741"/>
      <c r="L812" s="741"/>
      <c r="M812" s="741"/>
      <c r="N812" s="741"/>
      <c r="O812" s="741"/>
      <c r="P812" s="741"/>
      <c r="Q812" s="741"/>
      <c r="R812" s="741"/>
      <c r="S812" s="741"/>
      <c r="T812" s="741"/>
      <c r="U812" s="741"/>
      <c r="V812" s="741"/>
      <c r="W812" s="741"/>
      <c r="X812" s="741"/>
      <c r="Y812" s="741"/>
      <c r="Z812" s="741"/>
      <c r="AA812" s="741"/>
      <c r="AB812" s="741"/>
      <c r="AC812" s="741"/>
      <c r="AD812" s="741"/>
      <c r="AE812" s="741"/>
      <c r="AF812" s="741"/>
      <c r="AG812" s="741"/>
      <c r="AH812" s="741"/>
      <c r="AI812" s="741"/>
      <c r="AJ812" s="741"/>
      <c r="AK812" s="741"/>
      <c r="AL812" s="741"/>
      <c r="AM812" s="741"/>
    </row>
    <row r="813" spans="1:39" ht="12.75" customHeight="1">
      <c r="A813" s="741"/>
      <c r="B813" s="741"/>
      <c r="C813" s="741"/>
      <c r="D813" s="741"/>
      <c r="E813" s="741"/>
      <c r="F813" s="741"/>
      <c r="G813" s="741"/>
      <c r="H813" s="741"/>
      <c r="I813" s="741"/>
      <c r="J813" s="741"/>
      <c r="K813" s="741"/>
      <c r="L813" s="741"/>
      <c r="M813" s="741"/>
      <c r="N813" s="741"/>
      <c r="O813" s="741"/>
      <c r="P813" s="741"/>
      <c r="Q813" s="741"/>
      <c r="R813" s="741"/>
      <c r="S813" s="741"/>
      <c r="T813" s="741"/>
      <c r="U813" s="741"/>
      <c r="V813" s="741"/>
      <c r="W813" s="741"/>
      <c r="X813" s="741"/>
      <c r="Y813" s="741"/>
      <c r="Z813" s="741"/>
      <c r="AA813" s="741"/>
      <c r="AB813" s="741"/>
      <c r="AC813" s="741"/>
      <c r="AD813" s="741"/>
      <c r="AE813" s="741"/>
      <c r="AF813" s="741"/>
      <c r="AG813" s="741"/>
      <c r="AH813" s="741"/>
      <c r="AI813" s="741"/>
      <c r="AJ813" s="741"/>
      <c r="AK813" s="741"/>
      <c r="AL813" s="741"/>
      <c r="AM813" s="741"/>
    </row>
    <row r="814" spans="1:39" ht="12.75" customHeight="1">
      <c r="A814" s="741"/>
      <c r="B814" s="741"/>
      <c r="C814" s="741"/>
      <c r="D814" s="741"/>
      <c r="E814" s="741"/>
      <c r="F814" s="741"/>
      <c r="G814" s="741"/>
      <c r="H814" s="741"/>
      <c r="I814" s="741"/>
      <c r="J814" s="741"/>
      <c r="K814" s="741"/>
      <c r="L814" s="741"/>
      <c r="M814" s="741"/>
      <c r="N814" s="741"/>
      <c r="O814" s="741"/>
      <c r="P814" s="741"/>
      <c r="Q814" s="741"/>
      <c r="R814" s="741"/>
      <c r="S814" s="741"/>
      <c r="T814" s="741"/>
      <c r="U814" s="741"/>
      <c r="V814" s="741"/>
      <c r="W814" s="741"/>
      <c r="X814" s="741"/>
      <c r="Y814" s="741"/>
      <c r="Z814" s="741"/>
      <c r="AA814" s="741"/>
      <c r="AB814" s="741"/>
      <c r="AC814" s="741"/>
      <c r="AD814" s="741"/>
      <c r="AE814" s="741"/>
      <c r="AF814" s="741"/>
      <c r="AG814" s="741"/>
      <c r="AH814" s="741"/>
      <c r="AI814" s="741"/>
      <c r="AJ814" s="741"/>
      <c r="AK814" s="741"/>
      <c r="AL814" s="741"/>
      <c r="AM814" s="741"/>
    </row>
    <row r="815" spans="1:39" ht="12.75" customHeight="1">
      <c r="A815" s="741"/>
      <c r="B815" s="741"/>
      <c r="C815" s="741"/>
      <c r="D815" s="741"/>
      <c r="E815" s="741"/>
      <c r="F815" s="741"/>
      <c r="G815" s="741"/>
      <c r="H815" s="741"/>
      <c r="I815" s="741"/>
      <c r="J815" s="741"/>
      <c r="K815" s="741"/>
      <c r="L815" s="741"/>
      <c r="M815" s="741"/>
      <c r="N815" s="741"/>
      <c r="O815" s="741"/>
      <c r="P815" s="741"/>
      <c r="Q815" s="741"/>
      <c r="R815" s="741"/>
      <c r="S815" s="741"/>
      <c r="T815" s="741"/>
      <c r="U815" s="741"/>
      <c r="V815" s="741"/>
      <c r="W815" s="741"/>
      <c r="X815" s="741"/>
      <c r="Y815" s="741"/>
      <c r="Z815" s="741"/>
      <c r="AA815" s="741"/>
      <c r="AB815" s="741"/>
      <c r="AC815" s="741"/>
      <c r="AD815" s="741"/>
      <c r="AE815" s="741"/>
      <c r="AF815" s="741"/>
      <c r="AG815" s="741"/>
      <c r="AH815" s="741"/>
      <c r="AI815" s="741"/>
      <c r="AJ815" s="741"/>
      <c r="AK815" s="741"/>
      <c r="AL815" s="741"/>
      <c r="AM815" s="741"/>
    </row>
    <row r="816" spans="1:39" ht="12.75" customHeight="1">
      <c r="A816" s="741"/>
      <c r="B816" s="741"/>
      <c r="C816" s="741"/>
      <c r="D816" s="741"/>
      <c r="E816" s="741"/>
      <c r="F816" s="741"/>
      <c r="G816" s="741"/>
      <c r="H816" s="741"/>
      <c r="I816" s="741"/>
      <c r="J816" s="741"/>
      <c r="K816" s="741"/>
      <c r="L816" s="741"/>
      <c r="M816" s="741"/>
      <c r="N816" s="741"/>
      <c r="O816" s="741"/>
      <c r="P816" s="741"/>
      <c r="Q816" s="741"/>
      <c r="R816" s="741"/>
      <c r="S816" s="741"/>
      <c r="T816" s="741"/>
      <c r="U816" s="741"/>
      <c r="V816" s="741"/>
      <c r="W816" s="741"/>
      <c r="X816" s="741"/>
      <c r="Y816" s="741"/>
      <c r="Z816" s="741"/>
      <c r="AA816" s="741"/>
      <c r="AB816" s="741"/>
      <c r="AC816" s="741"/>
      <c r="AD816" s="741"/>
      <c r="AE816" s="741"/>
      <c r="AF816" s="741"/>
      <c r="AG816" s="741"/>
      <c r="AH816" s="741"/>
      <c r="AI816" s="741"/>
      <c r="AJ816" s="741"/>
      <c r="AK816" s="741"/>
      <c r="AL816" s="741"/>
      <c r="AM816" s="741"/>
    </row>
    <row r="817" spans="1:39" ht="12.75" customHeight="1">
      <c r="A817" s="741"/>
      <c r="B817" s="741"/>
      <c r="C817" s="741"/>
      <c r="D817" s="741"/>
      <c r="E817" s="741"/>
      <c r="F817" s="741"/>
      <c r="G817" s="741"/>
      <c r="H817" s="741"/>
      <c r="I817" s="741"/>
      <c r="J817" s="741"/>
      <c r="K817" s="741"/>
      <c r="L817" s="741"/>
      <c r="M817" s="741"/>
      <c r="N817" s="741"/>
      <c r="O817" s="741"/>
      <c r="P817" s="741"/>
      <c r="Q817" s="741"/>
      <c r="R817" s="741"/>
      <c r="S817" s="741"/>
      <c r="T817" s="741"/>
      <c r="U817" s="741"/>
      <c r="V817" s="741"/>
      <c r="W817" s="741"/>
      <c r="X817" s="741"/>
      <c r="Y817" s="741"/>
      <c r="Z817" s="741"/>
      <c r="AA817" s="741"/>
      <c r="AB817" s="741"/>
      <c r="AC817" s="741"/>
      <c r="AD817" s="741"/>
      <c r="AE817" s="741"/>
      <c r="AF817" s="741"/>
      <c r="AG817" s="741"/>
      <c r="AH817" s="741"/>
      <c r="AI817" s="741"/>
      <c r="AJ817" s="741"/>
      <c r="AK817" s="741"/>
      <c r="AL817" s="741"/>
      <c r="AM817" s="741"/>
    </row>
    <row r="818" spans="1:39" ht="12.75" customHeight="1">
      <c r="A818" s="741"/>
      <c r="B818" s="741"/>
      <c r="C818" s="741"/>
      <c r="D818" s="741"/>
      <c r="E818" s="741"/>
      <c r="F818" s="741"/>
      <c r="G818" s="741"/>
      <c r="H818" s="741"/>
      <c r="I818" s="741"/>
      <c r="J818" s="741"/>
      <c r="K818" s="741"/>
      <c r="L818" s="741"/>
      <c r="M818" s="741"/>
      <c r="N818" s="741"/>
      <c r="O818" s="741"/>
      <c r="P818" s="741"/>
      <c r="Q818" s="741"/>
      <c r="R818" s="741"/>
      <c r="S818" s="741"/>
      <c r="T818" s="741"/>
      <c r="U818" s="741"/>
      <c r="V818" s="741"/>
      <c r="W818" s="741"/>
      <c r="X818" s="741"/>
      <c r="Y818" s="741"/>
      <c r="Z818" s="741"/>
      <c r="AA818" s="741"/>
      <c r="AB818" s="741"/>
      <c r="AC818" s="741"/>
      <c r="AD818" s="741"/>
      <c r="AE818" s="741"/>
      <c r="AF818" s="741"/>
      <c r="AG818" s="741"/>
      <c r="AH818" s="741"/>
      <c r="AI818" s="741"/>
      <c r="AJ818" s="741"/>
      <c r="AK818" s="741"/>
      <c r="AL818" s="741"/>
      <c r="AM818" s="741"/>
    </row>
    <row r="819" spans="1:39" ht="12.75" customHeight="1">
      <c r="A819" s="741"/>
      <c r="B819" s="741"/>
      <c r="C819" s="741"/>
      <c r="D819" s="741"/>
      <c r="E819" s="741"/>
      <c r="F819" s="741"/>
      <c r="G819" s="741"/>
      <c r="H819" s="741"/>
      <c r="I819" s="741"/>
      <c r="J819" s="741"/>
      <c r="K819" s="741"/>
      <c r="L819" s="741"/>
      <c r="M819" s="741"/>
      <c r="N819" s="741"/>
      <c r="O819" s="741"/>
      <c r="P819" s="741"/>
      <c r="Q819" s="741"/>
      <c r="R819" s="741"/>
      <c r="S819" s="741"/>
      <c r="T819" s="741"/>
      <c r="U819" s="741"/>
      <c r="V819" s="741"/>
      <c r="W819" s="741"/>
      <c r="X819" s="741"/>
      <c r="Y819" s="741"/>
      <c r="Z819" s="741"/>
      <c r="AA819" s="741"/>
      <c r="AB819" s="741"/>
      <c r="AC819" s="741"/>
      <c r="AD819" s="741"/>
      <c r="AE819" s="741"/>
      <c r="AF819" s="741"/>
      <c r="AG819" s="741"/>
      <c r="AH819" s="741"/>
      <c r="AI819" s="741"/>
      <c r="AJ819" s="741"/>
      <c r="AK819" s="741"/>
      <c r="AL819" s="741"/>
      <c r="AM819" s="741"/>
    </row>
    <row r="820" spans="1:39" ht="12.75" customHeight="1">
      <c r="A820" s="741"/>
      <c r="B820" s="741"/>
      <c r="C820" s="741"/>
      <c r="D820" s="741"/>
      <c r="E820" s="741"/>
      <c r="F820" s="741"/>
      <c r="G820" s="741"/>
      <c r="H820" s="741"/>
      <c r="I820" s="741"/>
      <c r="J820" s="741"/>
      <c r="K820" s="741"/>
      <c r="L820" s="741"/>
      <c r="M820" s="741"/>
      <c r="N820" s="741"/>
      <c r="O820" s="741"/>
      <c r="P820" s="741"/>
      <c r="Q820" s="741"/>
      <c r="R820" s="741"/>
      <c r="S820" s="741"/>
      <c r="T820" s="741"/>
      <c r="U820" s="741"/>
      <c r="V820" s="741"/>
      <c r="W820" s="741"/>
      <c r="X820" s="741"/>
      <c r="Y820" s="741"/>
      <c r="Z820" s="741"/>
      <c r="AA820" s="741"/>
      <c r="AB820" s="741"/>
      <c r="AC820" s="741"/>
      <c r="AD820" s="741"/>
      <c r="AE820" s="741"/>
      <c r="AF820" s="741"/>
      <c r="AG820" s="741"/>
      <c r="AH820" s="741"/>
      <c r="AI820" s="741"/>
      <c r="AJ820" s="741"/>
      <c r="AK820" s="741"/>
      <c r="AL820" s="741"/>
      <c r="AM820" s="741"/>
    </row>
    <row r="821" spans="1:39" ht="12.75" customHeight="1">
      <c r="A821" s="741"/>
      <c r="B821" s="741"/>
      <c r="C821" s="741"/>
      <c r="D821" s="741"/>
      <c r="E821" s="741"/>
      <c r="F821" s="741"/>
      <c r="G821" s="741"/>
      <c r="H821" s="741"/>
      <c r="I821" s="741"/>
      <c r="J821" s="741"/>
      <c r="K821" s="741"/>
      <c r="L821" s="741"/>
      <c r="M821" s="741"/>
      <c r="N821" s="741"/>
      <c r="O821" s="741"/>
      <c r="P821" s="741"/>
      <c r="Q821" s="741"/>
      <c r="R821" s="741"/>
      <c r="S821" s="741"/>
      <c r="T821" s="741"/>
      <c r="U821" s="741"/>
      <c r="V821" s="741"/>
      <c r="W821" s="741"/>
      <c r="X821" s="741"/>
      <c r="Y821" s="741"/>
      <c r="Z821" s="741"/>
      <c r="AA821" s="741"/>
      <c r="AB821" s="741"/>
      <c r="AC821" s="741"/>
      <c r="AD821" s="741"/>
      <c r="AE821" s="741"/>
      <c r="AF821" s="741"/>
      <c r="AG821" s="741"/>
      <c r="AH821" s="741"/>
      <c r="AI821" s="741"/>
      <c r="AJ821" s="741"/>
      <c r="AK821" s="741"/>
      <c r="AL821" s="741"/>
      <c r="AM821" s="741"/>
    </row>
    <row r="822" spans="1:39" ht="12.75" customHeight="1">
      <c r="A822" s="741"/>
      <c r="B822" s="741"/>
      <c r="C822" s="741"/>
      <c r="D822" s="741"/>
      <c r="E822" s="741"/>
      <c r="F822" s="741"/>
      <c r="G822" s="741"/>
      <c r="H822" s="741"/>
      <c r="I822" s="741"/>
      <c r="J822" s="741"/>
      <c r="K822" s="741"/>
      <c r="L822" s="741"/>
      <c r="M822" s="741"/>
      <c r="N822" s="741"/>
      <c r="O822" s="741"/>
      <c r="P822" s="741"/>
      <c r="Q822" s="741"/>
      <c r="R822" s="741"/>
      <c r="S822" s="741"/>
      <c r="T822" s="741"/>
      <c r="U822" s="741"/>
      <c r="V822" s="741"/>
      <c r="W822" s="741"/>
      <c r="X822" s="741"/>
      <c r="Y822" s="741"/>
      <c r="Z822" s="741"/>
      <c r="AA822" s="741"/>
      <c r="AB822" s="741"/>
      <c r="AC822" s="741"/>
      <c r="AD822" s="741"/>
      <c r="AE822" s="741"/>
      <c r="AF822" s="741"/>
      <c r="AG822" s="741"/>
      <c r="AH822" s="741"/>
      <c r="AI822" s="741"/>
      <c r="AJ822" s="741"/>
      <c r="AK822" s="741"/>
      <c r="AL822" s="741"/>
      <c r="AM822" s="741"/>
    </row>
    <row r="823" spans="1:39" ht="12.75" customHeight="1">
      <c r="A823" s="741"/>
      <c r="B823" s="741"/>
      <c r="C823" s="741"/>
      <c r="D823" s="741"/>
      <c r="E823" s="741"/>
      <c r="F823" s="741"/>
      <c r="G823" s="741"/>
      <c r="H823" s="741"/>
      <c r="I823" s="741"/>
      <c r="J823" s="741"/>
      <c r="K823" s="741"/>
      <c r="L823" s="741"/>
      <c r="M823" s="741"/>
      <c r="N823" s="741"/>
      <c r="O823" s="741"/>
      <c r="P823" s="741"/>
      <c r="Q823" s="741"/>
      <c r="R823" s="741"/>
      <c r="S823" s="741"/>
      <c r="T823" s="741"/>
      <c r="U823" s="741"/>
      <c r="V823" s="741"/>
      <c r="W823" s="741"/>
      <c r="X823" s="741"/>
      <c r="Y823" s="741"/>
      <c r="Z823" s="741"/>
      <c r="AA823" s="741"/>
      <c r="AB823" s="741"/>
      <c r="AC823" s="741"/>
      <c r="AD823" s="741"/>
      <c r="AE823" s="741"/>
      <c r="AF823" s="741"/>
      <c r="AG823" s="741"/>
      <c r="AH823" s="741"/>
      <c r="AI823" s="741"/>
      <c r="AJ823" s="741"/>
      <c r="AK823" s="741"/>
      <c r="AL823" s="741"/>
      <c r="AM823" s="741"/>
    </row>
    <row r="824" spans="1:39" ht="12.75" customHeight="1">
      <c r="A824" s="741"/>
      <c r="B824" s="741"/>
      <c r="C824" s="741"/>
      <c r="D824" s="741"/>
      <c r="E824" s="741"/>
      <c r="F824" s="741"/>
      <c r="G824" s="741"/>
      <c r="H824" s="741"/>
      <c r="I824" s="741"/>
      <c r="J824" s="741"/>
      <c r="K824" s="741"/>
      <c r="L824" s="741"/>
      <c r="M824" s="741"/>
      <c r="N824" s="741"/>
      <c r="O824" s="741"/>
      <c r="P824" s="741"/>
      <c r="Q824" s="741"/>
      <c r="R824" s="741"/>
      <c r="S824" s="741"/>
      <c r="T824" s="741"/>
      <c r="U824" s="741"/>
      <c r="V824" s="741"/>
      <c r="W824" s="741"/>
      <c r="X824" s="741"/>
      <c r="Y824" s="741"/>
      <c r="Z824" s="741"/>
      <c r="AA824" s="741"/>
      <c r="AB824" s="741"/>
      <c r="AC824" s="741"/>
      <c r="AD824" s="741"/>
      <c r="AE824" s="741"/>
      <c r="AF824" s="741"/>
      <c r="AG824" s="741"/>
      <c r="AH824" s="741"/>
      <c r="AI824" s="741"/>
      <c r="AJ824" s="741"/>
      <c r="AK824" s="741"/>
      <c r="AL824" s="741"/>
      <c r="AM824" s="741"/>
    </row>
    <row r="825" spans="1:39" ht="12.75" customHeight="1">
      <c r="A825" s="741"/>
      <c r="B825" s="741"/>
      <c r="C825" s="741"/>
      <c r="D825" s="741"/>
      <c r="E825" s="741"/>
      <c r="F825" s="741"/>
      <c r="G825" s="741"/>
      <c r="H825" s="741"/>
      <c r="I825" s="741"/>
      <c r="J825" s="741"/>
      <c r="K825" s="741"/>
      <c r="L825" s="741"/>
      <c r="M825" s="741"/>
      <c r="N825" s="741"/>
      <c r="O825" s="741"/>
      <c r="P825" s="741"/>
      <c r="Q825" s="741"/>
      <c r="R825" s="741"/>
      <c r="S825" s="741"/>
      <c r="T825" s="741"/>
      <c r="U825" s="741"/>
      <c r="V825" s="741"/>
      <c r="W825" s="741"/>
      <c r="X825" s="741"/>
      <c r="Y825" s="741"/>
      <c r="Z825" s="741"/>
      <c r="AA825" s="741"/>
      <c r="AB825" s="741"/>
      <c r="AC825" s="741"/>
      <c r="AD825" s="741"/>
      <c r="AE825" s="741"/>
      <c r="AF825" s="741"/>
      <c r="AG825" s="741"/>
      <c r="AH825" s="741"/>
      <c r="AI825" s="741"/>
      <c r="AJ825" s="741"/>
      <c r="AK825" s="741"/>
      <c r="AL825" s="741"/>
      <c r="AM825" s="741"/>
    </row>
    <row r="826" spans="1:39" ht="12.75" customHeight="1">
      <c r="A826" s="741"/>
      <c r="B826" s="741"/>
      <c r="C826" s="741"/>
      <c r="D826" s="741"/>
      <c r="E826" s="741"/>
      <c r="F826" s="741"/>
      <c r="G826" s="741"/>
      <c r="H826" s="741"/>
      <c r="I826" s="741"/>
      <c r="J826" s="741"/>
      <c r="K826" s="741"/>
      <c r="L826" s="741"/>
      <c r="M826" s="741"/>
      <c r="N826" s="741"/>
      <c r="O826" s="741"/>
      <c r="P826" s="741"/>
      <c r="Q826" s="741"/>
      <c r="R826" s="741"/>
      <c r="S826" s="741"/>
      <c r="T826" s="741"/>
      <c r="U826" s="741"/>
      <c r="V826" s="741"/>
      <c r="W826" s="741"/>
      <c r="X826" s="741"/>
      <c r="Y826" s="741"/>
      <c r="Z826" s="741"/>
      <c r="AA826" s="741"/>
      <c r="AB826" s="741"/>
      <c r="AC826" s="741"/>
      <c r="AD826" s="741"/>
      <c r="AE826" s="741"/>
      <c r="AF826" s="741"/>
      <c r="AG826" s="741"/>
      <c r="AH826" s="741"/>
      <c r="AI826" s="741"/>
      <c r="AJ826" s="741"/>
      <c r="AK826" s="741"/>
      <c r="AL826" s="741"/>
      <c r="AM826" s="741"/>
    </row>
    <row r="827" spans="1:39" ht="12.75" customHeight="1">
      <c r="A827" s="741"/>
      <c r="B827" s="741"/>
      <c r="C827" s="741"/>
      <c r="D827" s="741"/>
      <c r="E827" s="741"/>
      <c r="F827" s="741"/>
      <c r="G827" s="741"/>
      <c r="H827" s="741"/>
      <c r="I827" s="741"/>
      <c r="J827" s="741"/>
      <c r="K827" s="741"/>
      <c r="L827" s="741"/>
      <c r="M827" s="741"/>
      <c r="N827" s="741"/>
      <c r="O827" s="741"/>
      <c r="P827" s="741"/>
      <c r="Q827" s="741"/>
      <c r="R827" s="741"/>
      <c r="S827" s="741"/>
      <c r="T827" s="741"/>
      <c r="U827" s="741"/>
      <c r="V827" s="741"/>
      <c r="W827" s="741"/>
      <c r="X827" s="741"/>
      <c r="Y827" s="741"/>
      <c r="Z827" s="741"/>
      <c r="AA827" s="741"/>
      <c r="AB827" s="741"/>
      <c r="AC827" s="741"/>
      <c r="AD827" s="741"/>
      <c r="AE827" s="741"/>
      <c r="AF827" s="741"/>
      <c r="AG827" s="741"/>
      <c r="AH827" s="741"/>
      <c r="AI827" s="741"/>
      <c r="AJ827" s="741"/>
      <c r="AK827" s="741"/>
      <c r="AL827" s="741"/>
      <c r="AM827" s="741"/>
    </row>
    <row r="828" spans="1:39" ht="12.75" customHeight="1">
      <c r="A828" s="741"/>
      <c r="B828" s="741"/>
      <c r="C828" s="741"/>
      <c r="D828" s="741"/>
      <c r="E828" s="741"/>
      <c r="F828" s="741"/>
      <c r="G828" s="741"/>
      <c r="H828" s="741"/>
      <c r="I828" s="741"/>
      <c r="J828" s="741"/>
      <c r="K828" s="741"/>
      <c r="L828" s="741"/>
      <c r="M828" s="741"/>
      <c r="N828" s="741"/>
      <c r="O828" s="741"/>
      <c r="P828" s="741"/>
      <c r="Q828" s="741"/>
      <c r="R828" s="741"/>
      <c r="S828" s="741"/>
      <c r="T828" s="741"/>
      <c r="U828" s="741"/>
      <c r="V828" s="741"/>
      <c r="W828" s="741"/>
      <c r="X828" s="741"/>
      <c r="Y828" s="741"/>
      <c r="Z828" s="741"/>
      <c r="AA828" s="741"/>
      <c r="AB828" s="741"/>
      <c r="AC828" s="741"/>
      <c r="AD828" s="741"/>
      <c r="AE828" s="741"/>
      <c r="AF828" s="741"/>
      <c r="AG828" s="741"/>
      <c r="AH828" s="741"/>
      <c r="AI828" s="741"/>
      <c r="AJ828" s="741"/>
      <c r="AK828" s="741"/>
      <c r="AL828" s="741"/>
      <c r="AM828" s="741"/>
    </row>
    <row r="829" spans="1:39" ht="12.75" customHeight="1">
      <c r="A829" s="741"/>
      <c r="B829" s="741"/>
      <c r="C829" s="741"/>
      <c r="D829" s="741"/>
      <c r="E829" s="741"/>
      <c r="F829" s="741"/>
      <c r="G829" s="741"/>
      <c r="H829" s="741"/>
      <c r="I829" s="741"/>
      <c r="J829" s="741"/>
      <c r="K829" s="741"/>
      <c r="L829" s="741"/>
      <c r="M829" s="741"/>
      <c r="N829" s="741"/>
      <c r="O829" s="741"/>
      <c r="P829" s="741"/>
      <c r="Q829" s="741"/>
      <c r="R829" s="741"/>
      <c r="S829" s="741"/>
      <c r="T829" s="741"/>
      <c r="U829" s="741"/>
      <c r="V829" s="741"/>
      <c r="W829" s="741"/>
      <c r="X829" s="741"/>
      <c r="Y829" s="741"/>
      <c r="Z829" s="741"/>
      <c r="AA829" s="741"/>
      <c r="AB829" s="741"/>
      <c r="AC829" s="741"/>
      <c r="AD829" s="741"/>
      <c r="AE829" s="741"/>
      <c r="AF829" s="741"/>
      <c r="AG829" s="741"/>
      <c r="AH829" s="741"/>
      <c r="AI829" s="741"/>
      <c r="AJ829" s="741"/>
      <c r="AK829" s="741"/>
      <c r="AL829" s="741"/>
      <c r="AM829" s="741"/>
    </row>
    <row r="830" spans="1:39" ht="12.75" customHeight="1">
      <c r="A830" s="741"/>
      <c r="B830" s="741"/>
      <c r="C830" s="741"/>
      <c r="D830" s="741"/>
      <c r="E830" s="741"/>
      <c r="F830" s="741"/>
      <c r="G830" s="741"/>
      <c r="H830" s="741"/>
      <c r="I830" s="741"/>
      <c r="J830" s="741"/>
      <c r="K830" s="741"/>
      <c r="L830" s="741"/>
      <c r="M830" s="741"/>
      <c r="N830" s="741"/>
      <c r="O830" s="741"/>
      <c r="P830" s="741"/>
      <c r="Q830" s="741"/>
      <c r="R830" s="741"/>
      <c r="S830" s="741"/>
      <c r="T830" s="741"/>
      <c r="U830" s="741"/>
      <c r="V830" s="741"/>
      <c r="W830" s="741"/>
      <c r="X830" s="741"/>
      <c r="Y830" s="741"/>
      <c r="Z830" s="741"/>
      <c r="AA830" s="741"/>
      <c r="AB830" s="741"/>
      <c r="AC830" s="741"/>
      <c r="AD830" s="741"/>
      <c r="AE830" s="741"/>
      <c r="AF830" s="741"/>
      <c r="AG830" s="741"/>
      <c r="AH830" s="741"/>
      <c r="AI830" s="741"/>
      <c r="AJ830" s="741"/>
      <c r="AK830" s="741"/>
      <c r="AL830" s="741"/>
      <c r="AM830" s="741"/>
    </row>
    <row r="831" spans="1:39" ht="12.75" customHeight="1">
      <c r="A831" s="741"/>
      <c r="B831" s="741"/>
      <c r="C831" s="741"/>
      <c r="D831" s="741"/>
      <c r="E831" s="741"/>
      <c r="F831" s="741"/>
      <c r="G831" s="741"/>
      <c r="H831" s="741"/>
      <c r="I831" s="741"/>
      <c r="J831" s="741"/>
      <c r="K831" s="741"/>
      <c r="L831" s="741"/>
      <c r="M831" s="741"/>
      <c r="N831" s="741"/>
      <c r="O831" s="741"/>
      <c r="P831" s="741"/>
      <c r="Q831" s="741"/>
      <c r="R831" s="741"/>
      <c r="S831" s="741"/>
      <c r="T831" s="741"/>
      <c r="U831" s="741"/>
      <c r="V831" s="741"/>
      <c r="W831" s="741"/>
      <c r="X831" s="741"/>
      <c r="Y831" s="741"/>
      <c r="Z831" s="741"/>
      <c r="AA831" s="741"/>
      <c r="AB831" s="741"/>
      <c r="AC831" s="741"/>
      <c r="AD831" s="741"/>
      <c r="AE831" s="741"/>
      <c r="AF831" s="741"/>
      <c r="AG831" s="741"/>
      <c r="AH831" s="741"/>
      <c r="AI831" s="741"/>
      <c r="AJ831" s="741"/>
      <c r="AK831" s="741"/>
      <c r="AL831" s="741"/>
      <c r="AM831" s="741"/>
    </row>
    <row r="832" spans="1:39" ht="12.75" customHeight="1">
      <c r="A832" s="741"/>
      <c r="B832" s="741"/>
      <c r="C832" s="741"/>
      <c r="D832" s="741"/>
      <c r="E832" s="741"/>
      <c r="F832" s="741"/>
      <c r="G832" s="741"/>
      <c r="H832" s="741"/>
      <c r="I832" s="741"/>
      <c r="J832" s="741"/>
      <c r="K832" s="741"/>
      <c r="L832" s="741"/>
      <c r="M832" s="741"/>
      <c r="N832" s="741"/>
      <c r="O832" s="741"/>
      <c r="P832" s="741"/>
      <c r="Q832" s="741"/>
      <c r="R832" s="741"/>
      <c r="S832" s="741"/>
      <c r="T832" s="741"/>
      <c r="U832" s="741"/>
      <c r="V832" s="741"/>
      <c r="W832" s="741"/>
      <c r="X832" s="741"/>
      <c r="Y832" s="741"/>
      <c r="Z832" s="741"/>
      <c r="AA832" s="741"/>
      <c r="AB832" s="741"/>
      <c r="AC832" s="741"/>
      <c r="AD832" s="741"/>
      <c r="AE832" s="741"/>
      <c r="AF832" s="741"/>
      <c r="AG832" s="741"/>
      <c r="AH832" s="741"/>
      <c r="AI832" s="741"/>
      <c r="AJ832" s="741"/>
      <c r="AK832" s="741"/>
      <c r="AL832" s="741"/>
      <c r="AM832" s="741"/>
    </row>
    <row r="833" spans="1:39" ht="12.75" customHeight="1">
      <c r="A833" s="741"/>
      <c r="B833" s="741"/>
      <c r="C833" s="741"/>
      <c r="D833" s="741"/>
      <c r="E833" s="741"/>
      <c r="F833" s="741"/>
      <c r="G833" s="741"/>
      <c r="H833" s="741"/>
      <c r="I833" s="741"/>
      <c r="J833" s="741"/>
      <c r="K833" s="741"/>
      <c r="L833" s="741"/>
      <c r="M833" s="741"/>
      <c r="N833" s="741"/>
      <c r="O833" s="741"/>
      <c r="P833" s="741"/>
      <c r="Q833" s="741"/>
      <c r="R833" s="741"/>
      <c r="S833" s="741"/>
      <c r="T833" s="741"/>
      <c r="U833" s="741"/>
      <c r="V833" s="741"/>
      <c r="W833" s="741"/>
      <c r="X833" s="741"/>
      <c r="Y833" s="741"/>
      <c r="Z833" s="741"/>
      <c r="AA833" s="741"/>
      <c r="AB833" s="741"/>
      <c r="AC833" s="741"/>
      <c r="AD833" s="741"/>
      <c r="AE833" s="741"/>
      <c r="AF833" s="741"/>
      <c r="AG833" s="741"/>
      <c r="AH833" s="741"/>
      <c r="AI833" s="741"/>
      <c r="AJ833" s="741"/>
      <c r="AK833" s="741"/>
      <c r="AL833" s="741"/>
      <c r="AM833" s="741"/>
    </row>
    <row r="834" spans="1:39" ht="12.75" customHeight="1">
      <c r="A834" s="741"/>
      <c r="B834" s="741"/>
      <c r="C834" s="741"/>
      <c r="D834" s="741"/>
      <c r="E834" s="741"/>
      <c r="F834" s="741"/>
      <c r="G834" s="741"/>
      <c r="H834" s="741"/>
      <c r="I834" s="741"/>
      <c r="J834" s="741"/>
      <c r="K834" s="741"/>
      <c r="L834" s="741"/>
      <c r="M834" s="741"/>
      <c r="N834" s="741"/>
      <c r="O834" s="741"/>
      <c r="P834" s="741"/>
      <c r="Q834" s="741"/>
      <c r="R834" s="741"/>
      <c r="S834" s="741"/>
      <c r="T834" s="741"/>
      <c r="U834" s="741"/>
      <c r="V834" s="741"/>
      <c r="W834" s="741"/>
      <c r="X834" s="741"/>
      <c r="Y834" s="741"/>
      <c r="Z834" s="741"/>
      <c r="AA834" s="741"/>
      <c r="AB834" s="741"/>
      <c r="AC834" s="741"/>
      <c r="AD834" s="741"/>
      <c r="AE834" s="741"/>
      <c r="AF834" s="741"/>
      <c r="AG834" s="741"/>
      <c r="AH834" s="741"/>
      <c r="AI834" s="741"/>
      <c r="AJ834" s="741"/>
      <c r="AK834" s="741"/>
      <c r="AL834" s="741"/>
      <c r="AM834" s="741"/>
    </row>
    <row r="835" spans="1:39" ht="12.75" customHeight="1">
      <c r="A835" s="741"/>
      <c r="B835" s="741"/>
      <c r="C835" s="741"/>
      <c r="D835" s="741"/>
      <c r="E835" s="741"/>
      <c r="F835" s="741"/>
      <c r="G835" s="741"/>
      <c r="H835" s="741"/>
      <c r="I835" s="741"/>
      <c r="J835" s="741"/>
      <c r="K835" s="741"/>
      <c r="L835" s="741"/>
      <c r="M835" s="741"/>
      <c r="N835" s="741"/>
      <c r="O835" s="741"/>
      <c r="P835" s="741"/>
      <c r="Q835" s="741"/>
      <c r="R835" s="741"/>
      <c r="S835" s="741"/>
      <c r="T835" s="741"/>
      <c r="U835" s="741"/>
      <c r="V835" s="741"/>
      <c r="W835" s="741"/>
      <c r="X835" s="741"/>
      <c r="Y835" s="741"/>
      <c r="Z835" s="741"/>
      <c r="AA835" s="741"/>
      <c r="AB835" s="741"/>
      <c r="AC835" s="741"/>
      <c r="AD835" s="741"/>
      <c r="AE835" s="741"/>
      <c r="AF835" s="741"/>
      <c r="AG835" s="741"/>
      <c r="AH835" s="741"/>
      <c r="AI835" s="741"/>
      <c r="AJ835" s="741"/>
      <c r="AK835" s="741"/>
      <c r="AL835" s="741"/>
      <c r="AM835" s="741"/>
    </row>
    <row r="836" spans="1:39" ht="12.75" customHeight="1">
      <c r="A836" s="741"/>
      <c r="B836" s="741"/>
      <c r="C836" s="741"/>
      <c r="D836" s="741"/>
      <c r="E836" s="741"/>
      <c r="F836" s="741"/>
      <c r="G836" s="741"/>
      <c r="H836" s="741"/>
      <c r="I836" s="741"/>
      <c r="J836" s="741"/>
      <c r="K836" s="741"/>
      <c r="L836" s="741"/>
      <c r="M836" s="741"/>
      <c r="N836" s="741"/>
      <c r="O836" s="741"/>
      <c r="P836" s="741"/>
      <c r="Q836" s="741"/>
      <c r="R836" s="741"/>
      <c r="S836" s="741"/>
      <c r="T836" s="741"/>
      <c r="U836" s="741"/>
      <c r="V836" s="741"/>
      <c r="W836" s="741"/>
      <c r="X836" s="741"/>
      <c r="Y836" s="741"/>
      <c r="Z836" s="741"/>
      <c r="AA836" s="741"/>
      <c r="AB836" s="741"/>
      <c r="AC836" s="741"/>
      <c r="AD836" s="741"/>
      <c r="AE836" s="741"/>
      <c r="AF836" s="741"/>
      <c r="AG836" s="741"/>
      <c r="AH836" s="741"/>
      <c r="AI836" s="741"/>
      <c r="AJ836" s="741"/>
      <c r="AK836" s="741"/>
      <c r="AL836" s="741"/>
      <c r="AM836" s="741"/>
    </row>
    <row r="837" spans="1:39" ht="12.75" customHeight="1">
      <c r="A837" s="741"/>
      <c r="B837" s="741"/>
      <c r="C837" s="741"/>
      <c r="D837" s="741"/>
      <c r="E837" s="741"/>
      <c r="F837" s="741"/>
      <c r="G837" s="741"/>
      <c r="H837" s="741"/>
      <c r="I837" s="741"/>
      <c r="J837" s="741"/>
      <c r="K837" s="741"/>
      <c r="L837" s="741"/>
      <c r="M837" s="741"/>
      <c r="N837" s="741"/>
      <c r="O837" s="741"/>
      <c r="P837" s="741"/>
      <c r="Q837" s="741"/>
      <c r="R837" s="741"/>
      <c r="S837" s="741"/>
      <c r="T837" s="741"/>
      <c r="U837" s="741"/>
      <c r="V837" s="741"/>
      <c r="W837" s="741"/>
      <c r="X837" s="741"/>
      <c r="Y837" s="741"/>
      <c r="Z837" s="741"/>
      <c r="AA837" s="741"/>
      <c r="AB837" s="741"/>
      <c r="AC837" s="741"/>
      <c r="AD837" s="741"/>
      <c r="AE837" s="741"/>
      <c r="AF837" s="741"/>
      <c r="AG837" s="741"/>
      <c r="AH837" s="741"/>
      <c r="AI837" s="741"/>
      <c r="AJ837" s="741"/>
      <c r="AK837" s="741"/>
      <c r="AL837" s="741"/>
      <c r="AM837" s="741"/>
    </row>
    <row r="838" spans="1:39" ht="12.75" customHeight="1">
      <c r="A838" s="741"/>
      <c r="B838" s="741"/>
      <c r="C838" s="741"/>
      <c r="D838" s="741"/>
      <c r="E838" s="741"/>
      <c r="F838" s="741"/>
      <c r="G838" s="741"/>
      <c r="H838" s="741"/>
      <c r="I838" s="741"/>
      <c r="J838" s="741"/>
      <c r="K838" s="741"/>
      <c r="L838" s="741"/>
      <c r="M838" s="741"/>
      <c r="N838" s="741"/>
      <c r="O838" s="741"/>
      <c r="P838" s="741"/>
      <c r="Q838" s="741"/>
      <c r="R838" s="741"/>
      <c r="S838" s="741"/>
      <c r="T838" s="741"/>
      <c r="U838" s="741"/>
      <c r="V838" s="741"/>
      <c r="W838" s="741"/>
      <c r="X838" s="741"/>
      <c r="Y838" s="741"/>
      <c r="Z838" s="741"/>
      <c r="AA838" s="741"/>
      <c r="AB838" s="741"/>
      <c r="AC838" s="741"/>
      <c r="AD838" s="741"/>
      <c r="AE838" s="741"/>
      <c r="AF838" s="741"/>
      <c r="AG838" s="741"/>
      <c r="AH838" s="741"/>
      <c r="AI838" s="741"/>
      <c r="AJ838" s="741"/>
      <c r="AK838" s="741"/>
      <c r="AL838" s="741"/>
      <c r="AM838" s="741"/>
    </row>
    <row r="839" spans="1:39" ht="12.75" customHeight="1">
      <c r="A839" s="741"/>
      <c r="B839" s="741"/>
      <c r="C839" s="741"/>
      <c r="D839" s="741"/>
      <c r="E839" s="741"/>
      <c r="F839" s="741"/>
      <c r="G839" s="741"/>
      <c r="H839" s="741"/>
      <c r="I839" s="741"/>
      <c r="J839" s="741"/>
      <c r="K839" s="741"/>
      <c r="L839" s="741"/>
      <c r="M839" s="741"/>
      <c r="N839" s="741"/>
      <c r="O839" s="741"/>
      <c r="P839" s="741"/>
      <c r="Q839" s="741"/>
      <c r="R839" s="741"/>
      <c r="S839" s="741"/>
      <c r="T839" s="741"/>
      <c r="U839" s="741"/>
      <c r="V839" s="741"/>
      <c r="W839" s="741"/>
      <c r="X839" s="741"/>
      <c r="Y839" s="741"/>
      <c r="Z839" s="741"/>
      <c r="AA839" s="741"/>
      <c r="AB839" s="741"/>
      <c r="AC839" s="741"/>
      <c r="AD839" s="741"/>
      <c r="AE839" s="741"/>
      <c r="AF839" s="741"/>
      <c r="AG839" s="741"/>
      <c r="AH839" s="741"/>
      <c r="AI839" s="741"/>
      <c r="AJ839" s="741"/>
      <c r="AK839" s="741"/>
      <c r="AL839" s="741"/>
      <c r="AM839" s="741"/>
    </row>
    <row r="840" spans="1:39" ht="12.75" customHeight="1">
      <c r="A840" s="741"/>
      <c r="B840" s="741"/>
      <c r="C840" s="741"/>
      <c r="D840" s="741"/>
      <c r="E840" s="741"/>
      <c r="F840" s="741"/>
      <c r="G840" s="741"/>
      <c r="H840" s="741"/>
      <c r="I840" s="741"/>
      <c r="J840" s="741"/>
      <c r="K840" s="741"/>
      <c r="L840" s="741"/>
      <c r="M840" s="741"/>
      <c r="N840" s="741"/>
      <c r="O840" s="741"/>
      <c r="P840" s="741"/>
      <c r="Q840" s="741"/>
      <c r="R840" s="741"/>
      <c r="S840" s="741"/>
      <c r="T840" s="741"/>
      <c r="U840" s="741"/>
      <c r="V840" s="741"/>
      <c r="W840" s="741"/>
      <c r="X840" s="741"/>
      <c r="Y840" s="741"/>
      <c r="Z840" s="741"/>
      <c r="AA840" s="741"/>
      <c r="AB840" s="741"/>
      <c r="AC840" s="741"/>
      <c r="AD840" s="741"/>
      <c r="AE840" s="741"/>
      <c r="AF840" s="741"/>
      <c r="AG840" s="741"/>
      <c r="AH840" s="741"/>
      <c r="AI840" s="741"/>
      <c r="AJ840" s="741"/>
      <c r="AK840" s="741"/>
      <c r="AL840" s="741"/>
      <c r="AM840" s="741"/>
    </row>
    <row r="841" spans="1:39" ht="12.75" customHeight="1">
      <c r="A841" s="741"/>
      <c r="B841" s="741"/>
      <c r="C841" s="741"/>
      <c r="D841" s="741"/>
      <c r="E841" s="741"/>
      <c r="F841" s="741"/>
      <c r="G841" s="741"/>
      <c r="H841" s="741"/>
      <c r="I841" s="741"/>
      <c r="J841" s="741"/>
      <c r="K841" s="741"/>
      <c r="L841" s="741"/>
      <c r="M841" s="741"/>
      <c r="N841" s="741"/>
      <c r="O841" s="741"/>
      <c r="P841" s="741"/>
      <c r="Q841" s="741"/>
      <c r="R841" s="741"/>
      <c r="S841" s="741"/>
      <c r="T841" s="741"/>
      <c r="U841" s="741"/>
      <c r="V841" s="741"/>
      <c r="W841" s="741"/>
      <c r="X841" s="741"/>
      <c r="Y841" s="741"/>
      <c r="Z841" s="741"/>
      <c r="AA841" s="741"/>
      <c r="AB841" s="741"/>
      <c r="AC841" s="741"/>
      <c r="AD841" s="741"/>
      <c r="AE841" s="741"/>
      <c r="AF841" s="741"/>
      <c r="AG841" s="741"/>
      <c r="AH841" s="741"/>
      <c r="AI841" s="741"/>
      <c r="AJ841" s="741"/>
      <c r="AK841" s="741"/>
      <c r="AL841" s="741"/>
      <c r="AM841" s="741"/>
    </row>
    <row r="842" spans="1:39" ht="12.75" customHeight="1">
      <c r="A842" s="741"/>
      <c r="B842" s="741"/>
      <c r="C842" s="741"/>
      <c r="D842" s="741"/>
      <c r="E842" s="741"/>
      <c r="F842" s="741"/>
      <c r="G842" s="741"/>
      <c r="H842" s="741"/>
      <c r="I842" s="741"/>
      <c r="J842" s="741"/>
      <c r="K842" s="741"/>
      <c r="L842" s="741"/>
      <c r="M842" s="741"/>
      <c r="N842" s="741"/>
      <c r="O842" s="741"/>
      <c r="P842" s="741"/>
      <c r="Q842" s="741"/>
      <c r="R842" s="741"/>
      <c r="S842" s="741"/>
      <c r="T842" s="741"/>
      <c r="U842" s="741"/>
      <c r="V842" s="741"/>
      <c r="W842" s="741"/>
      <c r="X842" s="741"/>
      <c r="Y842" s="741"/>
      <c r="Z842" s="741"/>
      <c r="AA842" s="741"/>
      <c r="AB842" s="741"/>
      <c r="AC842" s="741"/>
      <c r="AD842" s="741"/>
      <c r="AE842" s="741"/>
      <c r="AF842" s="741"/>
      <c r="AG842" s="741"/>
      <c r="AH842" s="741"/>
      <c r="AI842" s="741"/>
      <c r="AJ842" s="741"/>
      <c r="AK842" s="741"/>
      <c r="AL842" s="741"/>
      <c r="AM842" s="741"/>
    </row>
    <row r="843" spans="1:39" ht="12.75" customHeight="1">
      <c r="A843" s="741"/>
      <c r="B843" s="741"/>
      <c r="C843" s="741"/>
      <c r="D843" s="741"/>
      <c r="E843" s="741"/>
      <c r="F843" s="741"/>
      <c r="G843" s="741"/>
      <c r="H843" s="741"/>
      <c r="I843" s="741"/>
      <c r="J843" s="741"/>
      <c r="K843" s="741"/>
      <c r="L843" s="741"/>
      <c r="M843" s="741"/>
      <c r="N843" s="741"/>
      <c r="O843" s="741"/>
      <c r="P843" s="741"/>
      <c r="Q843" s="741"/>
      <c r="R843" s="741"/>
      <c r="S843" s="741"/>
      <c r="T843" s="741"/>
      <c r="U843" s="741"/>
      <c r="V843" s="741"/>
      <c r="W843" s="741"/>
      <c r="X843" s="741"/>
      <c r="Y843" s="741"/>
      <c r="Z843" s="741"/>
      <c r="AA843" s="741"/>
      <c r="AB843" s="741"/>
      <c r="AC843" s="741"/>
      <c r="AD843" s="741"/>
      <c r="AE843" s="741"/>
      <c r="AF843" s="741"/>
      <c r="AG843" s="741"/>
      <c r="AH843" s="741"/>
      <c r="AI843" s="741"/>
      <c r="AJ843" s="741"/>
      <c r="AK843" s="741"/>
      <c r="AL843" s="741"/>
      <c r="AM843" s="741"/>
    </row>
    <row r="844" spans="1:39" ht="12.75" customHeight="1">
      <c r="A844" s="741"/>
      <c r="B844" s="741"/>
      <c r="C844" s="741"/>
      <c r="D844" s="741"/>
      <c r="E844" s="741"/>
      <c r="F844" s="741"/>
      <c r="G844" s="741"/>
      <c r="H844" s="741"/>
      <c r="I844" s="741"/>
      <c r="J844" s="741"/>
      <c r="K844" s="741"/>
      <c r="L844" s="741"/>
      <c r="M844" s="741"/>
      <c r="N844" s="741"/>
      <c r="O844" s="741"/>
      <c r="P844" s="741"/>
      <c r="Q844" s="741"/>
      <c r="R844" s="741"/>
      <c r="S844" s="741"/>
      <c r="T844" s="741"/>
      <c r="U844" s="741"/>
      <c r="V844" s="741"/>
      <c r="W844" s="741"/>
      <c r="X844" s="741"/>
      <c r="Y844" s="741"/>
      <c r="Z844" s="741"/>
      <c r="AA844" s="741"/>
      <c r="AB844" s="741"/>
      <c r="AC844" s="741"/>
      <c r="AD844" s="741"/>
      <c r="AE844" s="741"/>
      <c r="AF844" s="741"/>
      <c r="AG844" s="741"/>
      <c r="AH844" s="741"/>
      <c r="AI844" s="741"/>
      <c r="AJ844" s="741"/>
      <c r="AK844" s="741"/>
      <c r="AL844" s="741"/>
      <c r="AM844" s="741"/>
    </row>
    <row r="845" spans="1:39" ht="12.75" customHeight="1">
      <c r="A845" s="741"/>
      <c r="B845" s="741"/>
      <c r="C845" s="741"/>
      <c r="D845" s="741"/>
      <c r="E845" s="741"/>
      <c r="F845" s="741"/>
      <c r="G845" s="741"/>
      <c r="H845" s="741"/>
      <c r="I845" s="741"/>
      <c r="J845" s="741"/>
      <c r="K845" s="741"/>
      <c r="L845" s="741"/>
      <c r="M845" s="741"/>
      <c r="N845" s="741"/>
      <c r="O845" s="741"/>
      <c r="P845" s="741"/>
      <c r="Q845" s="741"/>
      <c r="R845" s="741"/>
      <c r="S845" s="741"/>
      <c r="T845" s="741"/>
      <c r="U845" s="741"/>
      <c r="V845" s="741"/>
      <c r="W845" s="741"/>
      <c r="X845" s="741"/>
      <c r="Y845" s="741"/>
      <c r="Z845" s="741"/>
      <c r="AA845" s="741"/>
      <c r="AB845" s="741"/>
      <c r="AC845" s="741"/>
      <c r="AD845" s="741"/>
      <c r="AE845" s="741"/>
      <c r="AF845" s="741"/>
      <c r="AG845" s="741"/>
      <c r="AH845" s="741"/>
      <c r="AI845" s="741"/>
      <c r="AJ845" s="741"/>
      <c r="AK845" s="741"/>
      <c r="AL845" s="741"/>
      <c r="AM845" s="741"/>
    </row>
    <row r="846" spans="1:39" ht="12.75" customHeight="1">
      <c r="A846" s="741"/>
      <c r="B846" s="741"/>
      <c r="C846" s="741"/>
      <c r="D846" s="741"/>
      <c r="E846" s="741"/>
      <c r="F846" s="741"/>
      <c r="G846" s="741"/>
      <c r="H846" s="741"/>
      <c r="I846" s="741"/>
      <c r="J846" s="741"/>
      <c r="K846" s="741"/>
      <c r="L846" s="741"/>
      <c r="M846" s="741"/>
      <c r="N846" s="741"/>
      <c r="O846" s="741"/>
      <c r="P846" s="741"/>
      <c r="Q846" s="741"/>
      <c r="R846" s="741"/>
      <c r="S846" s="741"/>
      <c r="T846" s="741"/>
      <c r="U846" s="741"/>
      <c r="V846" s="741"/>
      <c r="W846" s="741"/>
      <c r="X846" s="741"/>
      <c r="Y846" s="741"/>
      <c r="Z846" s="741"/>
      <c r="AA846" s="741"/>
      <c r="AB846" s="741"/>
      <c r="AC846" s="741"/>
      <c r="AD846" s="741"/>
      <c r="AE846" s="741"/>
      <c r="AF846" s="741"/>
      <c r="AG846" s="741"/>
      <c r="AH846" s="741"/>
      <c r="AI846" s="741"/>
      <c r="AJ846" s="741"/>
      <c r="AK846" s="741"/>
      <c r="AL846" s="741"/>
      <c r="AM846" s="741"/>
    </row>
    <row r="847" spans="1:39" ht="12.75" customHeight="1">
      <c r="A847" s="741"/>
      <c r="B847" s="741"/>
      <c r="C847" s="741"/>
      <c r="D847" s="741"/>
      <c r="E847" s="741"/>
      <c r="F847" s="741"/>
      <c r="G847" s="741"/>
      <c r="H847" s="741"/>
      <c r="I847" s="741"/>
      <c r="J847" s="741"/>
      <c r="K847" s="741"/>
      <c r="L847" s="741"/>
      <c r="M847" s="741"/>
      <c r="N847" s="741"/>
      <c r="O847" s="741"/>
      <c r="P847" s="741"/>
      <c r="Q847" s="741"/>
      <c r="R847" s="741"/>
      <c r="S847" s="741"/>
      <c r="T847" s="741"/>
      <c r="U847" s="741"/>
      <c r="V847" s="741"/>
      <c r="W847" s="741"/>
      <c r="X847" s="741"/>
      <c r="Y847" s="741"/>
      <c r="Z847" s="741"/>
      <c r="AA847" s="741"/>
      <c r="AB847" s="741"/>
      <c r="AC847" s="741"/>
      <c r="AD847" s="741"/>
      <c r="AE847" s="741"/>
      <c r="AF847" s="741"/>
      <c r="AG847" s="741"/>
      <c r="AH847" s="741"/>
      <c r="AI847" s="741"/>
      <c r="AJ847" s="741"/>
      <c r="AK847" s="741"/>
      <c r="AL847" s="741"/>
      <c r="AM847" s="741"/>
    </row>
    <row r="848" spans="1:39" ht="12.75" customHeight="1">
      <c r="A848" s="741"/>
      <c r="B848" s="741"/>
      <c r="C848" s="741"/>
      <c r="D848" s="741"/>
      <c r="E848" s="741"/>
      <c r="F848" s="741"/>
      <c r="G848" s="741"/>
      <c r="H848" s="741"/>
      <c r="I848" s="741"/>
      <c r="J848" s="741"/>
      <c r="K848" s="741"/>
      <c r="L848" s="741"/>
      <c r="M848" s="741"/>
      <c r="N848" s="741"/>
      <c r="O848" s="741"/>
      <c r="P848" s="741"/>
      <c r="Q848" s="741"/>
      <c r="R848" s="741"/>
      <c r="S848" s="741"/>
      <c r="T848" s="741"/>
      <c r="U848" s="741"/>
      <c r="V848" s="741"/>
      <c r="W848" s="741"/>
      <c r="X848" s="741"/>
      <c r="Y848" s="741"/>
      <c r="Z848" s="741"/>
      <c r="AA848" s="741"/>
      <c r="AB848" s="741"/>
      <c r="AC848" s="741"/>
      <c r="AD848" s="741"/>
      <c r="AE848" s="741"/>
      <c r="AF848" s="741"/>
      <c r="AG848" s="741"/>
      <c r="AH848" s="741"/>
      <c r="AI848" s="741"/>
      <c r="AJ848" s="741"/>
      <c r="AK848" s="741"/>
      <c r="AL848" s="741"/>
      <c r="AM848" s="741"/>
    </row>
    <row r="849" spans="1:39" ht="12.75" customHeight="1">
      <c r="A849" s="741"/>
      <c r="B849" s="741"/>
      <c r="C849" s="741"/>
      <c r="D849" s="741"/>
      <c r="E849" s="741"/>
      <c r="F849" s="741"/>
      <c r="G849" s="741"/>
      <c r="H849" s="741"/>
      <c r="I849" s="741"/>
      <c r="J849" s="741"/>
      <c r="K849" s="741"/>
      <c r="L849" s="741"/>
      <c r="M849" s="741"/>
      <c r="N849" s="741"/>
      <c r="O849" s="741"/>
      <c r="P849" s="741"/>
      <c r="Q849" s="741"/>
      <c r="R849" s="741"/>
      <c r="S849" s="741"/>
      <c r="T849" s="741"/>
      <c r="U849" s="741"/>
      <c r="V849" s="741"/>
      <c r="W849" s="741"/>
      <c r="X849" s="741"/>
      <c r="Y849" s="741"/>
      <c r="Z849" s="741"/>
      <c r="AA849" s="741"/>
      <c r="AB849" s="741"/>
      <c r="AC849" s="741"/>
      <c r="AD849" s="741"/>
      <c r="AE849" s="741"/>
      <c r="AF849" s="741"/>
      <c r="AG849" s="741"/>
      <c r="AH849" s="741"/>
      <c r="AI849" s="741"/>
      <c r="AJ849" s="741"/>
      <c r="AK849" s="741"/>
      <c r="AL849" s="741"/>
      <c r="AM849" s="741"/>
    </row>
    <row r="850" spans="1:39" ht="12.75" customHeight="1">
      <c r="A850" s="741"/>
      <c r="B850" s="741"/>
      <c r="C850" s="741"/>
      <c r="D850" s="741"/>
      <c r="E850" s="741"/>
      <c r="F850" s="741"/>
      <c r="G850" s="741"/>
      <c r="H850" s="741"/>
      <c r="I850" s="741"/>
      <c r="J850" s="741"/>
      <c r="K850" s="741"/>
      <c r="L850" s="741"/>
      <c r="M850" s="741"/>
      <c r="N850" s="741"/>
      <c r="O850" s="741"/>
      <c r="P850" s="741"/>
      <c r="Q850" s="741"/>
      <c r="R850" s="741"/>
      <c r="S850" s="741"/>
      <c r="T850" s="741"/>
      <c r="U850" s="741"/>
      <c r="V850" s="741"/>
      <c r="W850" s="741"/>
      <c r="X850" s="741"/>
      <c r="Y850" s="741"/>
      <c r="Z850" s="741"/>
      <c r="AA850" s="741"/>
      <c r="AB850" s="741"/>
      <c r="AC850" s="741"/>
      <c r="AD850" s="741"/>
      <c r="AE850" s="741"/>
      <c r="AF850" s="741"/>
      <c r="AG850" s="741"/>
      <c r="AH850" s="741"/>
      <c r="AI850" s="741"/>
      <c r="AJ850" s="741"/>
      <c r="AK850" s="741"/>
      <c r="AL850" s="741"/>
      <c r="AM850" s="741"/>
    </row>
    <row r="851" spans="1:39" ht="12.75" customHeight="1">
      <c r="A851" s="741"/>
      <c r="B851" s="741"/>
      <c r="C851" s="741"/>
      <c r="D851" s="741"/>
      <c r="E851" s="741"/>
      <c r="F851" s="741"/>
      <c r="G851" s="741"/>
      <c r="H851" s="741"/>
      <c r="I851" s="741"/>
      <c r="J851" s="741"/>
      <c r="K851" s="741"/>
      <c r="L851" s="741"/>
      <c r="M851" s="741"/>
      <c r="N851" s="741"/>
      <c r="O851" s="741"/>
      <c r="P851" s="741"/>
      <c r="Q851" s="741"/>
      <c r="R851" s="741"/>
      <c r="S851" s="741"/>
      <c r="T851" s="741"/>
      <c r="U851" s="741"/>
      <c r="V851" s="741"/>
      <c r="W851" s="741"/>
      <c r="X851" s="741"/>
      <c r="Y851" s="741"/>
      <c r="Z851" s="741"/>
      <c r="AA851" s="741"/>
      <c r="AB851" s="741"/>
      <c r="AC851" s="741"/>
      <c r="AD851" s="741"/>
      <c r="AE851" s="741"/>
      <c r="AF851" s="741"/>
      <c r="AG851" s="741"/>
      <c r="AH851" s="741"/>
      <c r="AI851" s="741"/>
      <c r="AJ851" s="741"/>
      <c r="AK851" s="741"/>
      <c r="AL851" s="741"/>
      <c r="AM851" s="741"/>
    </row>
    <row r="852" spans="1:39" ht="12.75" customHeight="1">
      <c r="A852" s="741"/>
      <c r="B852" s="741"/>
      <c r="C852" s="741"/>
      <c r="D852" s="741"/>
      <c r="E852" s="741"/>
      <c r="F852" s="741"/>
      <c r="G852" s="741"/>
      <c r="H852" s="741"/>
      <c r="I852" s="741"/>
      <c r="J852" s="741"/>
      <c r="K852" s="741"/>
      <c r="L852" s="741"/>
      <c r="M852" s="741"/>
      <c r="N852" s="741"/>
      <c r="O852" s="741"/>
      <c r="P852" s="741"/>
      <c r="Q852" s="741"/>
      <c r="R852" s="741"/>
      <c r="S852" s="741"/>
      <c r="T852" s="741"/>
      <c r="U852" s="741"/>
      <c r="V852" s="741"/>
      <c r="W852" s="741"/>
      <c r="X852" s="741"/>
      <c r="Y852" s="741"/>
      <c r="Z852" s="741"/>
      <c r="AA852" s="741"/>
      <c r="AB852" s="741"/>
      <c r="AC852" s="741"/>
      <c r="AD852" s="741"/>
      <c r="AE852" s="741"/>
      <c r="AF852" s="741"/>
      <c r="AG852" s="741"/>
      <c r="AH852" s="741"/>
      <c r="AI852" s="741"/>
      <c r="AJ852" s="741"/>
      <c r="AK852" s="741"/>
      <c r="AL852" s="741"/>
      <c r="AM852" s="741"/>
    </row>
    <row r="853" spans="1:39" ht="12.75" customHeight="1">
      <c r="A853" s="741"/>
      <c r="B853" s="741"/>
      <c r="C853" s="741"/>
      <c r="D853" s="741"/>
      <c r="E853" s="741"/>
      <c r="F853" s="741"/>
      <c r="G853" s="741"/>
      <c r="H853" s="741"/>
      <c r="I853" s="741"/>
      <c r="J853" s="741"/>
      <c r="K853" s="741"/>
      <c r="L853" s="741"/>
      <c r="M853" s="741"/>
      <c r="N853" s="741"/>
      <c r="O853" s="741"/>
      <c r="P853" s="741"/>
      <c r="Q853" s="741"/>
      <c r="R853" s="741"/>
      <c r="S853" s="741"/>
      <c r="T853" s="741"/>
      <c r="U853" s="741"/>
      <c r="V853" s="741"/>
      <c r="W853" s="741"/>
      <c r="X853" s="741"/>
      <c r="Y853" s="741"/>
      <c r="Z853" s="741"/>
      <c r="AA853" s="741"/>
      <c r="AB853" s="741"/>
      <c r="AC853" s="741"/>
      <c r="AD853" s="741"/>
      <c r="AE853" s="741"/>
      <c r="AF853" s="741"/>
      <c r="AG853" s="741"/>
      <c r="AH853" s="741"/>
      <c r="AI853" s="741"/>
      <c r="AJ853" s="741"/>
      <c r="AK853" s="741"/>
      <c r="AL853" s="741"/>
      <c r="AM853" s="741"/>
    </row>
    <row r="854" spans="1:39" ht="12.75" customHeight="1">
      <c r="A854" s="741"/>
      <c r="B854" s="741"/>
      <c r="C854" s="741"/>
      <c r="D854" s="741"/>
      <c r="E854" s="741"/>
      <c r="F854" s="741"/>
      <c r="G854" s="741"/>
      <c r="H854" s="741"/>
      <c r="I854" s="741"/>
      <c r="J854" s="741"/>
      <c r="K854" s="741"/>
      <c r="L854" s="741"/>
      <c r="M854" s="741"/>
      <c r="N854" s="741"/>
      <c r="O854" s="741"/>
      <c r="P854" s="741"/>
      <c r="Q854" s="741"/>
      <c r="R854" s="741"/>
      <c r="S854" s="741"/>
      <c r="T854" s="741"/>
      <c r="U854" s="741"/>
      <c r="V854" s="741"/>
      <c r="W854" s="741"/>
      <c r="X854" s="741"/>
      <c r="Y854" s="741"/>
      <c r="Z854" s="741"/>
      <c r="AA854" s="741"/>
      <c r="AB854" s="741"/>
      <c r="AC854" s="741"/>
      <c r="AD854" s="741"/>
      <c r="AE854" s="741"/>
      <c r="AF854" s="741"/>
      <c r="AG854" s="741"/>
      <c r="AH854" s="741"/>
      <c r="AI854" s="741"/>
      <c r="AJ854" s="741"/>
      <c r="AK854" s="741"/>
      <c r="AL854" s="741"/>
      <c r="AM854" s="741"/>
    </row>
    <row r="855" spans="1:39" ht="12.75" customHeight="1">
      <c r="A855" s="741"/>
      <c r="B855" s="741"/>
      <c r="C855" s="741"/>
      <c r="D855" s="741"/>
      <c r="E855" s="741"/>
      <c r="F855" s="741"/>
      <c r="G855" s="741"/>
      <c r="H855" s="741"/>
      <c r="I855" s="741"/>
      <c r="J855" s="741"/>
      <c r="K855" s="741"/>
      <c r="L855" s="741"/>
      <c r="M855" s="741"/>
      <c r="N855" s="741"/>
      <c r="O855" s="741"/>
      <c r="P855" s="741"/>
      <c r="Q855" s="741"/>
      <c r="R855" s="741"/>
      <c r="S855" s="741"/>
      <c r="T855" s="741"/>
      <c r="U855" s="741"/>
      <c r="V855" s="741"/>
      <c r="W855" s="741"/>
      <c r="X855" s="741"/>
      <c r="Y855" s="741"/>
      <c r="Z855" s="741"/>
      <c r="AA855" s="741"/>
      <c r="AB855" s="741"/>
      <c r="AC855" s="741"/>
      <c r="AD855" s="741"/>
      <c r="AE855" s="741"/>
      <c r="AF855" s="741"/>
      <c r="AG855" s="741"/>
      <c r="AH855" s="741"/>
      <c r="AI855" s="741"/>
      <c r="AJ855" s="741"/>
      <c r="AK855" s="741"/>
      <c r="AL855" s="741"/>
      <c r="AM855" s="741"/>
    </row>
    <row r="856" spans="1:39" ht="12.75" customHeight="1">
      <c r="A856" s="741"/>
      <c r="B856" s="741"/>
      <c r="C856" s="741"/>
      <c r="D856" s="741"/>
      <c r="E856" s="741"/>
      <c r="F856" s="741"/>
      <c r="G856" s="741"/>
      <c r="H856" s="741"/>
      <c r="I856" s="741"/>
      <c r="J856" s="741"/>
      <c r="K856" s="741"/>
      <c r="L856" s="741"/>
      <c r="M856" s="741"/>
      <c r="N856" s="741"/>
      <c r="O856" s="741"/>
      <c r="P856" s="741"/>
      <c r="Q856" s="741"/>
      <c r="R856" s="741"/>
      <c r="S856" s="741"/>
      <c r="T856" s="741"/>
      <c r="U856" s="741"/>
      <c r="V856" s="741"/>
      <c r="W856" s="741"/>
      <c r="X856" s="741"/>
      <c r="Y856" s="741"/>
      <c r="Z856" s="741"/>
      <c r="AA856" s="741"/>
      <c r="AB856" s="741"/>
      <c r="AC856" s="741"/>
      <c r="AD856" s="741"/>
      <c r="AE856" s="741"/>
      <c r="AF856" s="741"/>
      <c r="AG856" s="741"/>
      <c r="AH856" s="741"/>
      <c r="AI856" s="741"/>
      <c r="AJ856" s="741"/>
      <c r="AK856" s="741"/>
      <c r="AL856" s="741"/>
      <c r="AM856" s="741"/>
    </row>
    <row r="857" spans="1:39" ht="12.75" customHeight="1">
      <c r="A857" s="741"/>
      <c r="B857" s="741"/>
      <c r="C857" s="741"/>
      <c r="D857" s="741"/>
      <c r="E857" s="741"/>
      <c r="F857" s="741"/>
      <c r="G857" s="741"/>
      <c r="H857" s="741"/>
      <c r="I857" s="741"/>
      <c r="J857" s="741"/>
      <c r="K857" s="741"/>
      <c r="L857" s="741"/>
      <c r="M857" s="741"/>
      <c r="N857" s="741"/>
      <c r="O857" s="741"/>
      <c r="P857" s="741"/>
      <c r="Q857" s="741"/>
      <c r="R857" s="741"/>
      <c r="S857" s="741"/>
      <c r="T857" s="741"/>
      <c r="U857" s="741"/>
      <c r="V857" s="741"/>
      <c r="W857" s="741"/>
      <c r="X857" s="741"/>
      <c r="Y857" s="741"/>
      <c r="Z857" s="741"/>
      <c r="AA857" s="741"/>
      <c r="AB857" s="741"/>
      <c r="AC857" s="741"/>
      <c r="AD857" s="741"/>
      <c r="AE857" s="741"/>
      <c r="AF857" s="741"/>
      <c r="AG857" s="741"/>
      <c r="AH857" s="741"/>
      <c r="AI857" s="741"/>
      <c r="AJ857" s="741"/>
      <c r="AK857" s="741"/>
      <c r="AL857" s="741"/>
      <c r="AM857" s="741"/>
    </row>
    <row r="858" spans="1:39" ht="12.75" customHeight="1">
      <c r="A858" s="741"/>
      <c r="B858" s="741"/>
      <c r="C858" s="741"/>
      <c r="D858" s="741"/>
      <c r="E858" s="741"/>
      <c r="F858" s="741"/>
      <c r="G858" s="741"/>
      <c r="H858" s="741"/>
      <c r="I858" s="741"/>
      <c r="J858" s="741"/>
      <c r="K858" s="741"/>
      <c r="L858" s="741"/>
      <c r="M858" s="741"/>
      <c r="N858" s="741"/>
      <c r="O858" s="741"/>
      <c r="P858" s="741"/>
      <c r="Q858" s="741"/>
      <c r="R858" s="741"/>
      <c r="S858" s="741"/>
      <c r="T858" s="741"/>
      <c r="U858" s="741"/>
      <c r="V858" s="741"/>
      <c r="W858" s="741"/>
      <c r="X858" s="741"/>
      <c r="Y858" s="741"/>
      <c r="Z858" s="741"/>
      <c r="AA858" s="741"/>
      <c r="AB858" s="741"/>
      <c r="AC858" s="741"/>
      <c r="AD858" s="741"/>
      <c r="AE858" s="741"/>
      <c r="AF858" s="741"/>
      <c r="AG858" s="741"/>
      <c r="AH858" s="741"/>
      <c r="AI858" s="741"/>
      <c r="AJ858" s="741"/>
      <c r="AK858" s="741"/>
      <c r="AL858" s="741"/>
      <c r="AM858" s="741"/>
    </row>
    <row r="859" spans="1:39" ht="12.75" customHeight="1">
      <c r="A859" s="741"/>
      <c r="B859" s="741"/>
      <c r="C859" s="741"/>
      <c r="D859" s="741"/>
      <c r="E859" s="741"/>
      <c r="F859" s="741"/>
      <c r="G859" s="741"/>
      <c r="H859" s="741"/>
      <c r="I859" s="741"/>
      <c r="J859" s="741"/>
      <c r="K859" s="741"/>
      <c r="L859" s="741"/>
      <c r="M859" s="741"/>
      <c r="N859" s="741"/>
      <c r="O859" s="741"/>
      <c r="P859" s="741"/>
      <c r="Q859" s="741"/>
      <c r="R859" s="741"/>
      <c r="S859" s="741"/>
      <c r="T859" s="741"/>
      <c r="U859" s="741"/>
      <c r="V859" s="741"/>
      <c r="W859" s="741"/>
      <c r="X859" s="741"/>
      <c r="Y859" s="741"/>
      <c r="Z859" s="741"/>
      <c r="AA859" s="741"/>
      <c r="AB859" s="741"/>
      <c r="AC859" s="741"/>
      <c r="AD859" s="741"/>
      <c r="AE859" s="741"/>
      <c r="AF859" s="741"/>
      <c r="AG859" s="741"/>
      <c r="AH859" s="741"/>
      <c r="AI859" s="741"/>
      <c r="AJ859" s="741"/>
      <c r="AK859" s="741"/>
      <c r="AL859" s="741"/>
      <c r="AM859" s="741"/>
    </row>
    <row r="860" spans="1:39" ht="12.75" customHeight="1">
      <c r="A860" s="741"/>
      <c r="B860" s="741"/>
      <c r="C860" s="741"/>
      <c r="D860" s="741"/>
      <c r="E860" s="741"/>
      <c r="F860" s="741"/>
      <c r="G860" s="741"/>
      <c r="H860" s="741"/>
      <c r="I860" s="741"/>
      <c r="J860" s="741"/>
      <c r="K860" s="741"/>
      <c r="L860" s="741"/>
      <c r="M860" s="741"/>
      <c r="N860" s="741"/>
      <c r="O860" s="741"/>
      <c r="P860" s="741"/>
      <c r="Q860" s="741"/>
      <c r="R860" s="741"/>
      <c r="S860" s="741"/>
      <c r="T860" s="741"/>
      <c r="U860" s="741"/>
      <c r="V860" s="741"/>
      <c r="W860" s="741"/>
      <c r="X860" s="741"/>
      <c r="Y860" s="741"/>
      <c r="Z860" s="741"/>
      <c r="AA860" s="741"/>
      <c r="AB860" s="741"/>
      <c r="AC860" s="741"/>
      <c r="AD860" s="741"/>
      <c r="AE860" s="741"/>
      <c r="AF860" s="741"/>
      <c r="AG860" s="741"/>
      <c r="AH860" s="741"/>
      <c r="AI860" s="741"/>
      <c r="AJ860" s="741"/>
      <c r="AK860" s="741"/>
      <c r="AL860" s="741"/>
      <c r="AM860" s="741"/>
    </row>
    <row r="861" spans="1:39" ht="12.75" customHeight="1">
      <c r="A861" s="741"/>
      <c r="B861" s="741"/>
      <c r="C861" s="741"/>
      <c r="D861" s="741"/>
      <c r="E861" s="741"/>
      <c r="F861" s="741"/>
      <c r="G861" s="741"/>
      <c r="H861" s="741"/>
      <c r="I861" s="741"/>
      <c r="J861" s="741"/>
      <c r="K861" s="741"/>
      <c r="L861" s="741"/>
      <c r="M861" s="741"/>
      <c r="N861" s="741"/>
      <c r="O861" s="741"/>
      <c r="P861" s="741"/>
      <c r="Q861" s="741"/>
      <c r="R861" s="741"/>
      <c r="S861" s="741"/>
      <c r="T861" s="741"/>
      <c r="U861" s="741"/>
      <c r="V861" s="741"/>
      <c r="W861" s="741"/>
      <c r="X861" s="741"/>
      <c r="Y861" s="741"/>
      <c r="Z861" s="741"/>
      <c r="AA861" s="741"/>
      <c r="AB861" s="741"/>
      <c r="AC861" s="741"/>
      <c r="AD861" s="741"/>
      <c r="AE861" s="741"/>
      <c r="AF861" s="741"/>
      <c r="AG861" s="741"/>
      <c r="AH861" s="741"/>
      <c r="AI861" s="741"/>
      <c r="AJ861" s="741"/>
      <c r="AK861" s="741"/>
      <c r="AL861" s="741"/>
      <c r="AM861" s="741"/>
    </row>
    <row r="862" spans="1:39" ht="12.75" customHeight="1">
      <c r="A862" s="741"/>
      <c r="B862" s="741"/>
      <c r="C862" s="741"/>
      <c r="D862" s="741"/>
      <c r="E862" s="741"/>
      <c r="F862" s="741"/>
      <c r="G862" s="741"/>
      <c r="H862" s="741"/>
      <c r="I862" s="741"/>
      <c r="J862" s="741"/>
      <c r="K862" s="741"/>
      <c r="L862" s="741"/>
      <c r="M862" s="741"/>
      <c r="N862" s="741"/>
      <c r="O862" s="741"/>
      <c r="P862" s="741"/>
      <c r="Q862" s="741"/>
      <c r="R862" s="741"/>
      <c r="S862" s="741"/>
      <c r="T862" s="741"/>
      <c r="U862" s="741"/>
      <c r="V862" s="741"/>
      <c r="W862" s="741"/>
      <c r="X862" s="741"/>
      <c r="Y862" s="741"/>
      <c r="Z862" s="741"/>
      <c r="AA862" s="741"/>
      <c r="AB862" s="741"/>
      <c r="AC862" s="741"/>
      <c r="AD862" s="741"/>
      <c r="AE862" s="741"/>
      <c r="AF862" s="741"/>
      <c r="AG862" s="741"/>
      <c r="AH862" s="741"/>
      <c r="AI862" s="741"/>
      <c r="AJ862" s="741"/>
      <c r="AK862" s="741"/>
      <c r="AL862" s="741"/>
      <c r="AM862" s="741"/>
    </row>
    <row r="863" spans="1:39" ht="12.75" customHeight="1">
      <c r="A863" s="741"/>
      <c r="B863" s="741"/>
      <c r="C863" s="741"/>
      <c r="D863" s="741"/>
      <c r="E863" s="741"/>
      <c r="F863" s="741"/>
      <c r="G863" s="741"/>
      <c r="H863" s="741"/>
      <c r="I863" s="741"/>
      <c r="J863" s="741"/>
      <c r="K863" s="741"/>
      <c r="L863" s="741"/>
      <c r="M863" s="741"/>
      <c r="N863" s="741"/>
      <c r="O863" s="741"/>
      <c r="P863" s="741"/>
      <c r="Q863" s="741"/>
      <c r="R863" s="741"/>
      <c r="S863" s="741"/>
      <c r="T863" s="741"/>
      <c r="U863" s="741"/>
      <c r="V863" s="741"/>
      <c r="W863" s="741"/>
      <c r="X863" s="741"/>
      <c r="Y863" s="741"/>
      <c r="Z863" s="741"/>
      <c r="AA863" s="741"/>
      <c r="AB863" s="741"/>
      <c r="AC863" s="741"/>
      <c r="AD863" s="741"/>
      <c r="AE863" s="741"/>
      <c r="AF863" s="741"/>
      <c r="AG863" s="741"/>
      <c r="AH863" s="741"/>
      <c r="AI863" s="741"/>
      <c r="AJ863" s="741"/>
      <c r="AK863" s="741"/>
      <c r="AL863" s="741"/>
      <c r="AM863" s="741"/>
    </row>
    <row r="864" spans="1:39" ht="12.75" customHeight="1">
      <c r="A864" s="741"/>
      <c r="B864" s="741"/>
      <c r="C864" s="741"/>
      <c r="D864" s="741"/>
      <c r="E864" s="741"/>
      <c r="F864" s="741"/>
      <c r="G864" s="741"/>
      <c r="H864" s="741"/>
      <c r="I864" s="741"/>
      <c r="J864" s="741"/>
      <c r="K864" s="741"/>
      <c r="L864" s="741"/>
      <c r="M864" s="741"/>
      <c r="N864" s="741"/>
      <c r="O864" s="741"/>
      <c r="P864" s="741"/>
      <c r="Q864" s="741"/>
      <c r="R864" s="741"/>
      <c r="S864" s="741"/>
      <c r="T864" s="741"/>
      <c r="U864" s="741"/>
      <c r="V864" s="741"/>
      <c r="W864" s="741"/>
      <c r="X864" s="741"/>
      <c r="Y864" s="741"/>
      <c r="Z864" s="741"/>
      <c r="AA864" s="741"/>
      <c r="AB864" s="741"/>
      <c r="AC864" s="741"/>
      <c r="AD864" s="741"/>
      <c r="AE864" s="741"/>
      <c r="AF864" s="741"/>
      <c r="AG864" s="741"/>
      <c r="AH864" s="741"/>
      <c r="AI864" s="741"/>
      <c r="AJ864" s="741"/>
      <c r="AK864" s="741"/>
      <c r="AL864" s="741"/>
      <c r="AM864" s="741"/>
    </row>
    <row r="865" spans="1:39" ht="12.75" customHeight="1">
      <c r="A865" s="741"/>
      <c r="B865" s="741"/>
      <c r="C865" s="741"/>
      <c r="D865" s="741"/>
      <c r="E865" s="741"/>
      <c r="F865" s="741"/>
      <c r="G865" s="741"/>
      <c r="H865" s="741"/>
      <c r="I865" s="741"/>
      <c r="J865" s="741"/>
      <c r="K865" s="741"/>
      <c r="L865" s="741"/>
      <c r="M865" s="741"/>
      <c r="N865" s="741"/>
      <c r="O865" s="741"/>
      <c r="P865" s="741"/>
      <c r="Q865" s="741"/>
      <c r="R865" s="741"/>
      <c r="S865" s="741"/>
      <c r="T865" s="741"/>
      <c r="U865" s="741"/>
      <c r="V865" s="741"/>
      <c r="W865" s="741"/>
      <c r="X865" s="741"/>
      <c r="Y865" s="741"/>
      <c r="Z865" s="741"/>
      <c r="AA865" s="741"/>
      <c r="AB865" s="741"/>
      <c r="AC865" s="741"/>
      <c r="AD865" s="741"/>
      <c r="AE865" s="741"/>
      <c r="AF865" s="741"/>
      <c r="AG865" s="741"/>
      <c r="AH865" s="741"/>
      <c r="AI865" s="741"/>
      <c r="AJ865" s="741"/>
      <c r="AK865" s="741"/>
      <c r="AL865" s="741"/>
      <c r="AM865" s="741"/>
    </row>
    <row r="866" spans="1:39" ht="12.75" customHeight="1">
      <c r="A866" s="741"/>
      <c r="B866" s="741"/>
      <c r="C866" s="741"/>
      <c r="D866" s="741"/>
      <c r="E866" s="741"/>
      <c r="F866" s="741"/>
      <c r="G866" s="741"/>
      <c r="H866" s="741"/>
      <c r="I866" s="741"/>
      <c r="J866" s="741"/>
      <c r="K866" s="741"/>
      <c r="L866" s="741"/>
      <c r="M866" s="741"/>
      <c r="N866" s="741"/>
      <c r="O866" s="741"/>
      <c r="P866" s="741"/>
      <c r="Q866" s="741"/>
      <c r="R866" s="741"/>
      <c r="S866" s="741"/>
      <c r="T866" s="741"/>
      <c r="U866" s="741"/>
      <c r="V866" s="741"/>
      <c r="W866" s="741"/>
      <c r="X866" s="741"/>
      <c r="Y866" s="741"/>
      <c r="Z866" s="741"/>
      <c r="AA866" s="741"/>
      <c r="AB866" s="741"/>
      <c r="AC866" s="741"/>
      <c r="AD866" s="741"/>
      <c r="AE866" s="741"/>
      <c r="AF866" s="741"/>
      <c r="AG866" s="741"/>
      <c r="AH866" s="741"/>
      <c r="AI866" s="741"/>
      <c r="AJ866" s="741"/>
      <c r="AK866" s="741"/>
      <c r="AL866" s="741"/>
      <c r="AM866" s="741"/>
    </row>
    <row r="867" spans="1:39" ht="12.75" customHeight="1">
      <c r="A867" s="741"/>
      <c r="B867" s="741"/>
      <c r="C867" s="741"/>
      <c r="D867" s="741"/>
      <c r="E867" s="741"/>
      <c r="F867" s="741"/>
      <c r="G867" s="741"/>
      <c r="H867" s="741"/>
      <c r="I867" s="741"/>
      <c r="J867" s="741"/>
      <c r="K867" s="741"/>
      <c r="L867" s="741"/>
      <c r="M867" s="741"/>
      <c r="N867" s="741"/>
      <c r="O867" s="741"/>
      <c r="P867" s="741"/>
      <c r="Q867" s="741"/>
      <c r="R867" s="741"/>
      <c r="S867" s="741"/>
      <c r="T867" s="741"/>
      <c r="U867" s="741"/>
      <c r="V867" s="741"/>
      <c r="W867" s="741"/>
      <c r="X867" s="741"/>
      <c r="Y867" s="741"/>
      <c r="Z867" s="741"/>
      <c r="AA867" s="741"/>
      <c r="AB867" s="741"/>
      <c r="AC867" s="741"/>
      <c r="AD867" s="741"/>
      <c r="AE867" s="741"/>
      <c r="AF867" s="741"/>
      <c r="AG867" s="741"/>
      <c r="AH867" s="741"/>
      <c r="AI867" s="741"/>
      <c r="AJ867" s="741"/>
      <c r="AK867" s="741"/>
      <c r="AL867" s="741"/>
      <c r="AM867" s="741"/>
    </row>
    <row r="868" spans="1:39" ht="12.75" customHeight="1">
      <c r="A868" s="741"/>
      <c r="B868" s="741"/>
      <c r="C868" s="741"/>
      <c r="D868" s="741"/>
      <c r="E868" s="741"/>
      <c r="F868" s="741"/>
      <c r="G868" s="741"/>
      <c r="H868" s="741"/>
      <c r="I868" s="741"/>
      <c r="J868" s="741"/>
      <c r="K868" s="741"/>
      <c r="L868" s="741"/>
      <c r="M868" s="741"/>
      <c r="N868" s="741"/>
      <c r="O868" s="741"/>
      <c r="P868" s="741"/>
      <c r="Q868" s="741"/>
      <c r="R868" s="741"/>
      <c r="S868" s="741"/>
      <c r="T868" s="741"/>
      <c r="U868" s="741"/>
      <c r="V868" s="741"/>
      <c r="W868" s="741"/>
      <c r="X868" s="741"/>
      <c r="Y868" s="741"/>
      <c r="Z868" s="741"/>
      <c r="AA868" s="741"/>
      <c r="AB868" s="741"/>
      <c r="AC868" s="741"/>
      <c r="AD868" s="741"/>
      <c r="AE868" s="741"/>
      <c r="AF868" s="741"/>
      <c r="AG868" s="741"/>
      <c r="AH868" s="741"/>
      <c r="AI868" s="741"/>
      <c r="AJ868" s="741"/>
      <c r="AK868" s="741"/>
      <c r="AL868" s="741"/>
      <c r="AM868" s="741"/>
    </row>
    <row r="869" spans="1:39" ht="12.75" customHeight="1">
      <c r="A869" s="741"/>
      <c r="B869" s="741"/>
      <c r="C869" s="741"/>
      <c r="D869" s="741"/>
      <c r="E869" s="741"/>
      <c r="F869" s="741"/>
      <c r="G869" s="741"/>
      <c r="H869" s="741"/>
      <c r="I869" s="741"/>
      <c r="J869" s="741"/>
      <c r="K869" s="741"/>
      <c r="L869" s="741"/>
      <c r="M869" s="741"/>
      <c r="N869" s="741"/>
      <c r="O869" s="741"/>
      <c r="P869" s="741"/>
      <c r="Q869" s="741"/>
      <c r="R869" s="741"/>
      <c r="S869" s="741"/>
      <c r="T869" s="741"/>
      <c r="U869" s="741"/>
      <c r="V869" s="741"/>
      <c r="W869" s="741"/>
      <c r="X869" s="741"/>
      <c r="Y869" s="741"/>
      <c r="Z869" s="741"/>
      <c r="AA869" s="741"/>
      <c r="AB869" s="741"/>
      <c r="AC869" s="741"/>
      <c r="AD869" s="741"/>
      <c r="AE869" s="741"/>
      <c r="AF869" s="741"/>
      <c r="AG869" s="741"/>
      <c r="AH869" s="741"/>
      <c r="AI869" s="741"/>
      <c r="AJ869" s="741"/>
      <c r="AK869" s="741"/>
      <c r="AL869" s="741"/>
      <c r="AM869" s="741"/>
    </row>
    <row r="870" spans="1:39" ht="12.75" customHeight="1">
      <c r="A870" s="741"/>
      <c r="B870" s="741"/>
      <c r="C870" s="741"/>
      <c r="D870" s="741"/>
      <c r="E870" s="741"/>
      <c r="F870" s="741"/>
      <c r="G870" s="741"/>
      <c r="H870" s="741"/>
      <c r="I870" s="741"/>
      <c r="J870" s="741"/>
      <c r="K870" s="741"/>
      <c r="L870" s="741"/>
      <c r="M870" s="741"/>
      <c r="N870" s="741"/>
      <c r="O870" s="741"/>
      <c r="P870" s="741"/>
      <c r="Q870" s="741"/>
      <c r="R870" s="741"/>
      <c r="S870" s="741"/>
      <c r="T870" s="741"/>
      <c r="U870" s="741"/>
      <c r="V870" s="741"/>
      <c r="W870" s="741"/>
      <c r="X870" s="741"/>
      <c r="Y870" s="741"/>
      <c r="Z870" s="741"/>
      <c r="AA870" s="741"/>
      <c r="AB870" s="741"/>
      <c r="AC870" s="741"/>
      <c r="AD870" s="741"/>
      <c r="AE870" s="741"/>
      <c r="AF870" s="741"/>
      <c r="AG870" s="741"/>
      <c r="AH870" s="741"/>
      <c r="AI870" s="741"/>
      <c r="AJ870" s="741"/>
      <c r="AK870" s="741"/>
      <c r="AL870" s="741"/>
      <c r="AM870" s="741"/>
    </row>
    <row r="871" spans="1:39" ht="12.75" customHeight="1">
      <c r="A871" s="741"/>
      <c r="B871" s="741"/>
      <c r="C871" s="741"/>
      <c r="D871" s="741"/>
      <c r="E871" s="741"/>
      <c r="F871" s="741"/>
      <c r="G871" s="741"/>
      <c r="H871" s="741"/>
      <c r="I871" s="741"/>
      <c r="J871" s="741"/>
      <c r="K871" s="741"/>
      <c r="L871" s="741"/>
      <c r="M871" s="741"/>
      <c r="N871" s="741"/>
      <c r="O871" s="741"/>
      <c r="P871" s="741"/>
      <c r="Q871" s="741"/>
      <c r="R871" s="741"/>
      <c r="S871" s="741"/>
      <c r="T871" s="741"/>
      <c r="U871" s="741"/>
      <c r="V871" s="741"/>
      <c r="W871" s="741"/>
      <c r="X871" s="741"/>
      <c r="Y871" s="741"/>
      <c r="Z871" s="741"/>
      <c r="AA871" s="741"/>
      <c r="AB871" s="741"/>
      <c r="AC871" s="741"/>
      <c r="AD871" s="741"/>
      <c r="AE871" s="741"/>
      <c r="AF871" s="741"/>
      <c r="AG871" s="741"/>
      <c r="AH871" s="741"/>
      <c r="AI871" s="741"/>
      <c r="AJ871" s="741"/>
      <c r="AK871" s="741"/>
      <c r="AL871" s="741"/>
      <c r="AM871" s="741"/>
    </row>
    <row r="872" spans="1:39" ht="12.75" customHeight="1">
      <c r="A872" s="741"/>
      <c r="B872" s="741"/>
      <c r="C872" s="741"/>
      <c r="D872" s="741"/>
      <c r="E872" s="741"/>
      <c r="F872" s="741"/>
      <c r="G872" s="741"/>
      <c r="H872" s="741"/>
      <c r="I872" s="741"/>
      <c r="J872" s="741"/>
      <c r="K872" s="741"/>
      <c r="L872" s="741"/>
      <c r="M872" s="741"/>
      <c r="N872" s="741"/>
      <c r="O872" s="741"/>
      <c r="P872" s="741"/>
      <c r="Q872" s="741"/>
      <c r="R872" s="741"/>
      <c r="S872" s="741"/>
      <c r="T872" s="741"/>
      <c r="U872" s="741"/>
      <c r="V872" s="741"/>
      <c r="W872" s="741"/>
      <c r="X872" s="741"/>
      <c r="Y872" s="741"/>
      <c r="Z872" s="741"/>
      <c r="AA872" s="741"/>
      <c r="AB872" s="741"/>
      <c r="AC872" s="741"/>
      <c r="AD872" s="741"/>
      <c r="AE872" s="741"/>
      <c r="AF872" s="741"/>
      <c r="AG872" s="741"/>
      <c r="AH872" s="741"/>
      <c r="AI872" s="741"/>
      <c r="AJ872" s="741"/>
      <c r="AK872" s="741"/>
      <c r="AL872" s="741"/>
      <c r="AM872" s="741"/>
    </row>
    <row r="873" spans="1:39" ht="12.75" customHeight="1">
      <c r="A873" s="741"/>
      <c r="B873" s="741"/>
      <c r="C873" s="741"/>
      <c r="D873" s="741"/>
      <c r="E873" s="741"/>
      <c r="F873" s="741"/>
      <c r="G873" s="741"/>
      <c r="H873" s="741"/>
      <c r="I873" s="741"/>
      <c r="J873" s="741"/>
      <c r="K873" s="741"/>
      <c r="L873" s="741"/>
      <c r="M873" s="741"/>
      <c r="N873" s="741"/>
      <c r="O873" s="741"/>
      <c r="P873" s="741"/>
      <c r="Q873" s="741"/>
      <c r="R873" s="741"/>
      <c r="S873" s="741"/>
      <c r="T873" s="741"/>
      <c r="U873" s="741"/>
      <c r="V873" s="741"/>
      <c r="W873" s="741"/>
      <c r="X873" s="741"/>
      <c r="Y873" s="741"/>
      <c r="Z873" s="741"/>
      <c r="AA873" s="741"/>
      <c r="AB873" s="741"/>
      <c r="AC873" s="741"/>
      <c r="AD873" s="741"/>
      <c r="AE873" s="741"/>
      <c r="AF873" s="741"/>
      <c r="AG873" s="741"/>
      <c r="AH873" s="741"/>
      <c r="AI873" s="741"/>
      <c r="AJ873" s="741"/>
      <c r="AK873" s="741"/>
      <c r="AL873" s="741"/>
      <c r="AM873" s="741"/>
    </row>
    <row r="874" spans="1:39" ht="12.75" customHeight="1">
      <c r="A874" s="741"/>
      <c r="B874" s="741"/>
      <c r="C874" s="741"/>
      <c r="D874" s="741"/>
      <c r="E874" s="741"/>
      <c r="F874" s="741"/>
      <c r="G874" s="741"/>
      <c r="H874" s="741"/>
      <c r="I874" s="741"/>
      <c r="J874" s="741"/>
      <c r="K874" s="741"/>
      <c r="L874" s="741"/>
      <c r="M874" s="741"/>
      <c r="N874" s="741"/>
      <c r="O874" s="741"/>
      <c r="P874" s="741"/>
      <c r="Q874" s="741"/>
      <c r="R874" s="741"/>
      <c r="S874" s="741"/>
      <c r="T874" s="741"/>
      <c r="U874" s="741"/>
      <c r="V874" s="741"/>
      <c r="W874" s="741"/>
      <c r="X874" s="741"/>
      <c r="Y874" s="741"/>
      <c r="Z874" s="741"/>
      <c r="AA874" s="741"/>
      <c r="AB874" s="741"/>
      <c r="AC874" s="741"/>
      <c r="AD874" s="741"/>
      <c r="AE874" s="741"/>
      <c r="AF874" s="741"/>
      <c r="AG874" s="741"/>
      <c r="AH874" s="741"/>
      <c r="AI874" s="741"/>
      <c r="AJ874" s="741"/>
      <c r="AK874" s="741"/>
      <c r="AL874" s="741"/>
      <c r="AM874" s="741"/>
    </row>
    <row r="875" spans="1:39" ht="12.75" customHeight="1">
      <c r="A875" s="741"/>
      <c r="B875" s="741"/>
      <c r="C875" s="741"/>
      <c r="D875" s="741"/>
      <c r="E875" s="741"/>
      <c r="F875" s="741"/>
      <c r="G875" s="741"/>
      <c r="H875" s="741"/>
      <c r="I875" s="741"/>
      <c r="J875" s="741"/>
      <c r="K875" s="741"/>
      <c r="L875" s="741"/>
      <c r="M875" s="741"/>
      <c r="N875" s="741"/>
      <c r="O875" s="741"/>
      <c r="P875" s="741"/>
      <c r="Q875" s="741"/>
      <c r="R875" s="741"/>
      <c r="S875" s="741"/>
      <c r="T875" s="741"/>
      <c r="U875" s="741"/>
      <c r="V875" s="741"/>
      <c r="W875" s="741"/>
      <c r="X875" s="741"/>
      <c r="Y875" s="741"/>
      <c r="Z875" s="741"/>
      <c r="AA875" s="741"/>
      <c r="AB875" s="741"/>
      <c r="AC875" s="741"/>
      <c r="AD875" s="741"/>
      <c r="AE875" s="741"/>
      <c r="AF875" s="741"/>
      <c r="AG875" s="741"/>
      <c r="AH875" s="741"/>
      <c r="AI875" s="741"/>
      <c r="AJ875" s="741"/>
      <c r="AK875" s="741"/>
      <c r="AL875" s="741"/>
      <c r="AM875" s="741"/>
    </row>
    <row r="876" spans="1:39" ht="12.75" customHeight="1">
      <c r="A876" s="741"/>
      <c r="B876" s="741"/>
      <c r="C876" s="741"/>
      <c r="D876" s="741"/>
      <c r="E876" s="741"/>
      <c r="F876" s="741"/>
      <c r="G876" s="741"/>
      <c r="H876" s="741"/>
      <c r="I876" s="741"/>
      <c r="J876" s="741"/>
      <c r="K876" s="741"/>
      <c r="L876" s="741"/>
      <c r="M876" s="741"/>
      <c r="N876" s="741"/>
      <c r="O876" s="741"/>
      <c r="P876" s="741"/>
      <c r="Q876" s="741"/>
      <c r="R876" s="741"/>
      <c r="S876" s="741"/>
      <c r="T876" s="741"/>
      <c r="U876" s="741"/>
      <c r="V876" s="741"/>
      <c r="W876" s="741"/>
      <c r="X876" s="741"/>
      <c r="Y876" s="741"/>
      <c r="Z876" s="741"/>
      <c r="AA876" s="741"/>
      <c r="AB876" s="741"/>
      <c r="AC876" s="741"/>
      <c r="AD876" s="741"/>
      <c r="AE876" s="741"/>
      <c r="AF876" s="741"/>
      <c r="AG876" s="741"/>
      <c r="AH876" s="741"/>
      <c r="AI876" s="741"/>
      <c r="AJ876" s="741"/>
      <c r="AK876" s="741"/>
      <c r="AL876" s="741"/>
      <c r="AM876" s="741"/>
    </row>
    <row r="877" spans="1:39" ht="12.75" customHeight="1">
      <c r="A877" s="741"/>
      <c r="B877" s="741"/>
      <c r="C877" s="741"/>
      <c r="D877" s="741"/>
      <c r="E877" s="741"/>
      <c r="F877" s="741"/>
      <c r="G877" s="741"/>
      <c r="H877" s="741"/>
      <c r="I877" s="741"/>
      <c r="J877" s="741"/>
      <c r="K877" s="741"/>
      <c r="L877" s="741"/>
      <c r="M877" s="741"/>
      <c r="N877" s="741"/>
      <c r="O877" s="741"/>
      <c r="P877" s="741"/>
      <c r="Q877" s="741"/>
      <c r="R877" s="741"/>
      <c r="S877" s="741"/>
      <c r="T877" s="741"/>
      <c r="U877" s="741"/>
      <c r="V877" s="741"/>
      <c r="W877" s="741"/>
      <c r="X877" s="741"/>
      <c r="Y877" s="741"/>
      <c r="Z877" s="741"/>
      <c r="AA877" s="741"/>
      <c r="AB877" s="741"/>
      <c r="AC877" s="741"/>
      <c r="AD877" s="741"/>
      <c r="AE877" s="741"/>
      <c r="AF877" s="741"/>
      <c r="AG877" s="741"/>
      <c r="AH877" s="741"/>
      <c r="AI877" s="741"/>
      <c r="AJ877" s="741"/>
      <c r="AK877" s="741"/>
      <c r="AL877" s="741"/>
      <c r="AM877" s="741"/>
    </row>
    <row r="878" spans="1:39" ht="12.75" customHeight="1">
      <c r="A878" s="741"/>
      <c r="B878" s="741"/>
      <c r="C878" s="741"/>
      <c r="D878" s="741"/>
      <c r="E878" s="741"/>
      <c r="F878" s="741"/>
      <c r="G878" s="741"/>
      <c r="H878" s="741"/>
      <c r="I878" s="741"/>
      <c r="J878" s="741"/>
      <c r="K878" s="741"/>
      <c r="L878" s="741"/>
      <c r="M878" s="741"/>
      <c r="N878" s="741"/>
      <c r="O878" s="741"/>
      <c r="P878" s="741"/>
      <c r="Q878" s="741"/>
      <c r="R878" s="741"/>
      <c r="S878" s="741"/>
      <c r="T878" s="741"/>
      <c r="U878" s="741"/>
      <c r="V878" s="741"/>
      <c r="W878" s="741"/>
      <c r="X878" s="741"/>
      <c r="Y878" s="741"/>
      <c r="Z878" s="741"/>
      <c r="AA878" s="741"/>
      <c r="AB878" s="741"/>
      <c r="AC878" s="741"/>
      <c r="AD878" s="741"/>
      <c r="AE878" s="741"/>
      <c r="AF878" s="741"/>
      <c r="AG878" s="741"/>
      <c r="AH878" s="741"/>
      <c r="AI878" s="741"/>
      <c r="AJ878" s="741"/>
      <c r="AK878" s="741"/>
      <c r="AL878" s="741"/>
      <c r="AM878" s="741"/>
    </row>
    <row r="879" spans="1:39" ht="12.75" customHeight="1">
      <c r="A879" s="741"/>
      <c r="B879" s="741"/>
      <c r="C879" s="741"/>
      <c r="D879" s="741"/>
      <c r="E879" s="741"/>
      <c r="F879" s="741"/>
      <c r="G879" s="741"/>
      <c r="H879" s="741"/>
      <c r="I879" s="741"/>
      <c r="J879" s="741"/>
      <c r="K879" s="741"/>
      <c r="L879" s="741"/>
      <c r="M879" s="741"/>
      <c r="N879" s="741"/>
      <c r="O879" s="741"/>
      <c r="P879" s="741"/>
      <c r="Q879" s="741"/>
      <c r="R879" s="741"/>
      <c r="S879" s="741"/>
      <c r="T879" s="741"/>
      <c r="U879" s="741"/>
      <c r="V879" s="741"/>
      <c r="W879" s="741"/>
      <c r="X879" s="741"/>
      <c r="Y879" s="741"/>
      <c r="Z879" s="741"/>
      <c r="AA879" s="741"/>
      <c r="AB879" s="741"/>
      <c r="AC879" s="741"/>
      <c r="AD879" s="741"/>
      <c r="AE879" s="741"/>
      <c r="AF879" s="741"/>
      <c r="AG879" s="741"/>
      <c r="AH879" s="741"/>
      <c r="AI879" s="741"/>
      <c r="AJ879" s="741"/>
      <c r="AK879" s="741"/>
      <c r="AL879" s="741"/>
      <c r="AM879" s="741"/>
    </row>
    <row r="880" spans="1:39" ht="12.75" customHeight="1">
      <c r="A880" s="741"/>
      <c r="B880" s="741"/>
      <c r="C880" s="741"/>
      <c r="D880" s="741"/>
      <c r="E880" s="741"/>
      <c r="F880" s="741"/>
      <c r="G880" s="741"/>
      <c r="H880" s="741"/>
      <c r="I880" s="741"/>
      <c r="J880" s="741"/>
      <c r="K880" s="741"/>
      <c r="L880" s="741"/>
      <c r="M880" s="741"/>
      <c r="N880" s="741"/>
      <c r="O880" s="741"/>
      <c r="P880" s="741"/>
      <c r="Q880" s="741"/>
      <c r="R880" s="741"/>
      <c r="S880" s="741"/>
      <c r="T880" s="741"/>
      <c r="U880" s="741"/>
      <c r="V880" s="741"/>
      <c r="W880" s="741"/>
      <c r="X880" s="741"/>
      <c r="Y880" s="741"/>
      <c r="Z880" s="741"/>
      <c r="AA880" s="741"/>
      <c r="AB880" s="741"/>
      <c r="AC880" s="741"/>
      <c r="AD880" s="741"/>
      <c r="AE880" s="741"/>
      <c r="AF880" s="741"/>
      <c r="AG880" s="741"/>
      <c r="AH880" s="741"/>
      <c r="AI880" s="741"/>
      <c r="AJ880" s="741"/>
      <c r="AK880" s="741"/>
      <c r="AL880" s="741"/>
      <c r="AM880" s="741"/>
    </row>
    <row r="881" spans="1:39" ht="12.75" customHeight="1">
      <c r="A881" s="741"/>
      <c r="B881" s="741"/>
      <c r="C881" s="741"/>
      <c r="D881" s="741"/>
      <c r="E881" s="741"/>
      <c r="F881" s="741"/>
      <c r="G881" s="741"/>
      <c r="H881" s="741"/>
      <c r="I881" s="741"/>
      <c r="J881" s="741"/>
      <c r="K881" s="741"/>
      <c r="L881" s="741"/>
      <c r="M881" s="741"/>
      <c r="N881" s="741"/>
      <c r="O881" s="741"/>
      <c r="P881" s="741"/>
      <c r="Q881" s="741"/>
      <c r="R881" s="741"/>
      <c r="S881" s="741"/>
      <c r="T881" s="741"/>
      <c r="U881" s="741"/>
      <c r="V881" s="741"/>
      <c r="W881" s="741"/>
      <c r="X881" s="741"/>
      <c r="Y881" s="741"/>
      <c r="Z881" s="741"/>
      <c r="AA881" s="741"/>
      <c r="AB881" s="741"/>
      <c r="AC881" s="741"/>
      <c r="AD881" s="741"/>
      <c r="AE881" s="741"/>
      <c r="AF881" s="741"/>
      <c r="AG881" s="741"/>
      <c r="AH881" s="741"/>
      <c r="AI881" s="741"/>
      <c r="AJ881" s="741"/>
      <c r="AK881" s="741"/>
      <c r="AL881" s="741"/>
      <c r="AM881" s="741"/>
    </row>
    <row r="882" spans="1:39" ht="12.75" customHeight="1">
      <c r="A882" s="741"/>
      <c r="B882" s="741"/>
      <c r="C882" s="741"/>
      <c r="D882" s="741"/>
      <c r="E882" s="741"/>
      <c r="F882" s="741"/>
      <c r="G882" s="741"/>
      <c r="H882" s="741"/>
      <c r="I882" s="741"/>
      <c r="J882" s="741"/>
      <c r="K882" s="741"/>
      <c r="L882" s="741"/>
      <c r="M882" s="741"/>
      <c r="N882" s="741"/>
      <c r="O882" s="741"/>
      <c r="P882" s="741"/>
      <c r="Q882" s="741"/>
      <c r="R882" s="741"/>
      <c r="S882" s="741"/>
      <c r="T882" s="741"/>
      <c r="U882" s="741"/>
      <c r="V882" s="741"/>
      <c r="W882" s="741"/>
      <c r="X882" s="741"/>
      <c r="Y882" s="741"/>
      <c r="Z882" s="741"/>
      <c r="AA882" s="741"/>
      <c r="AB882" s="741"/>
      <c r="AC882" s="741"/>
      <c r="AD882" s="741"/>
      <c r="AE882" s="741"/>
      <c r="AF882" s="741"/>
      <c r="AG882" s="741"/>
      <c r="AH882" s="741"/>
      <c r="AI882" s="741"/>
      <c r="AJ882" s="741"/>
      <c r="AK882" s="741"/>
      <c r="AL882" s="741"/>
      <c r="AM882" s="741"/>
    </row>
    <row r="883" spans="1:39" ht="12.75" customHeight="1">
      <c r="A883" s="741"/>
      <c r="B883" s="741"/>
      <c r="C883" s="741"/>
      <c r="D883" s="741"/>
      <c r="E883" s="741"/>
      <c r="F883" s="741"/>
      <c r="G883" s="741"/>
      <c r="H883" s="741"/>
      <c r="I883" s="741"/>
      <c r="J883" s="741"/>
      <c r="K883" s="741"/>
      <c r="L883" s="741"/>
      <c r="M883" s="741"/>
      <c r="N883" s="741"/>
      <c r="O883" s="741"/>
      <c r="P883" s="741"/>
      <c r="Q883" s="741"/>
      <c r="R883" s="741"/>
      <c r="S883" s="741"/>
      <c r="T883" s="741"/>
      <c r="U883" s="741"/>
      <c r="V883" s="741"/>
      <c r="W883" s="741"/>
      <c r="X883" s="741"/>
      <c r="Y883" s="741"/>
      <c r="Z883" s="741"/>
      <c r="AA883" s="741"/>
      <c r="AB883" s="741"/>
      <c r="AC883" s="741"/>
      <c r="AD883" s="741"/>
      <c r="AE883" s="741"/>
      <c r="AF883" s="741"/>
      <c r="AG883" s="741"/>
      <c r="AH883" s="741"/>
      <c r="AI883" s="741"/>
      <c r="AJ883" s="741"/>
      <c r="AK883" s="741"/>
      <c r="AL883" s="741"/>
      <c r="AM883" s="741"/>
    </row>
    <row r="884" spans="1:39" ht="12.75" customHeight="1">
      <c r="A884" s="741"/>
      <c r="B884" s="741"/>
      <c r="C884" s="741"/>
      <c r="D884" s="741"/>
      <c r="E884" s="741"/>
      <c r="F884" s="741"/>
      <c r="G884" s="741"/>
      <c r="H884" s="741"/>
      <c r="I884" s="741"/>
      <c r="J884" s="741"/>
      <c r="K884" s="741"/>
      <c r="L884" s="741"/>
      <c r="M884" s="741"/>
      <c r="N884" s="741"/>
      <c r="O884" s="741"/>
      <c r="P884" s="741"/>
      <c r="Q884" s="741"/>
      <c r="R884" s="741"/>
      <c r="S884" s="741"/>
      <c r="T884" s="741"/>
      <c r="U884" s="741"/>
      <c r="V884" s="741"/>
      <c r="W884" s="741"/>
      <c r="X884" s="741"/>
      <c r="Y884" s="741"/>
      <c r="Z884" s="741"/>
      <c r="AA884" s="741"/>
      <c r="AB884" s="741"/>
      <c r="AC884" s="741"/>
      <c r="AD884" s="741"/>
      <c r="AE884" s="741"/>
      <c r="AF884" s="741"/>
      <c r="AG884" s="741"/>
      <c r="AH884" s="741"/>
      <c r="AI884" s="741"/>
      <c r="AJ884" s="741"/>
      <c r="AK884" s="741"/>
      <c r="AL884" s="741"/>
      <c r="AM884" s="741"/>
    </row>
    <row r="885" spans="1:39" ht="12.75" customHeight="1">
      <c r="A885" s="741"/>
      <c r="B885" s="741"/>
      <c r="C885" s="741"/>
      <c r="D885" s="741"/>
      <c r="E885" s="741"/>
      <c r="F885" s="741"/>
      <c r="G885" s="741"/>
      <c r="H885" s="741"/>
      <c r="I885" s="741"/>
      <c r="J885" s="741"/>
      <c r="K885" s="741"/>
      <c r="L885" s="741"/>
      <c r="M885" s="741"/>
      <c r="N885" s="741"/>
      <c r="O885" s="741"/>
      <c r="P885" s="741"/>
      <c r="Q885" s="741"/>
      <c r="R885" s="741"/>
      <c r="S885" s="741"/>
      <c r="T885" s="741"/>
      <c r="U885" s="741"/>
      <c r="V885" s="741"/>
      <c r="W885" s="741"/>
      <c r="X885" s="741"/>
      <c r="Y885" s="741"/>
      <c r="Z885" s="741"/>
      <c r="AA885" s="741"/>
      <c r="AB885" s="741"/>
      <c r="AC885" s="741"/>
      <c r="AD885" s="741"/>
      <c r="AE885" s="741"/>
      <c r="AF885" s="741"/>
      <c r="AG885" s="741"/>
      <c r="AH885" s="741"/>
      <c r="AI885" s="741"/>
      <c r="AJ885" s="741"/>
      <c r="AK885" s="741"/>
      <c r="AL885" s="741"/>
      <c r="AM885" s="741"/>
    </row>
    <row r="886" spans="1:39" ht="12.75" customHeight="1">
      <c r="A886" s="741"/>
      <c r="B886" s="741"/>
      <c r="C886" s="741"/>
      <c r="D886" s="741"/>
      <c r="E886" s="741"/>
      <c r="F886" s="741"/>
      <c r="G886" s="741"/>
      <c r="H886" s="741"/>
      <c r="I886" s="741"/>
      <c r="J886" s="741"/>
      <c r="K886" s="741"/>
      <c r="L886" s="741"/>
      <c r="M886" s="741"/>
      <c r="N886" s="741"/>
      <c r="O886" s="741"/>
      <c r="P886" s="741"/>
      <c r="Q886" s="741"/>
      <c r="R886" s="741"/>
      <c r="S886" s="741"/>
      <c r="T886" s="741"/>
      <c r="U886" s="741"/>
      <c r="V886" s="741"/>
      <c r="W886" s="741"/>
      <c r="X886" s="741"/>
      <c r="Y886" s="741"/>
      <c r="Z886" s="741"/>
      <c r="AA886" s="741"/>
      <c r="AB886" s="741"/>
      <c r="AC886" s="741"/>
      <c r="AD886" s="741"/>
      <c r="AE886" s="741"/>
      <c r="AF886" s="741"/>
      <c r="AG886" s="741"/>
      <c r="AH886" s="741"/>
      <c r="AI886" s="741"/>
      <c r="AJ886" s="741"/>
      <c r="AK886" s="741"/>
      <c r="AL886" s="741"/>
      <c r="AM886" s="741"/>
    </row>
    <row r="887" spans="1:39" ht="12.75" customHeight="1">
      <c r="A887" s="741"/>
      <c r="B887" s="741"/>
      <c r="C887" s="741"/>
      <c r="D887" s="741"/>
      <c r="E887" s="741"/>
      <c r="F887" s="741"/>
      <c r="G887" s="741"/>
      <c r="H887" s="741"/>
      <c r="I887" s="741"/>
      <c r="J887" s="741"/>
      <c r="K887" s="741"/>
      <c r="L887" s="741"/>
      <c r="M887" s="741"/>
      <c r="N887" s="741"/>
      <c r="O887" s="741"/>
      <c r="P887" s="741"/>
      <c r="Q887" s="741"/>
      <c r="R887" s="741"/>
      <c r="S887" s="741"/>
      <c r="T887" s="741"/>
      <c r="U887" s="741"/>
      <c r="V887" s="741"/>
      <c r="W887" s="741"/>
      <c r="X887" s="741"/>
      <c r="Y887" s="741"/>
      <c r="Z887" s="741"/>
      <c r="AA887" s="741"/>
      <c r="AB887" s="741"/>
      <c r="AC887" s="741"/>
      <c r="AD887" s="741"/>
      <c r="AE887" s="741"/>
      <c r="AF887" s="741"/>
      <c r="AG887" s="741"/>
      <c r="AH887" s="741"/>
      <c r="AI887" s="741"/>
      <c r="AJ887" s="741"/>
      <c r="AK887" s="741"/>
      <c r="AL887" s="741"/>
      <c r="AM887" s="741"/>
    </row>
    <row r="888" spans="1:39" ht="12.75" customHeight="1">
      <c r="A888" s="741"/>
      <c r="B888" s="741"/>
      <c r="C888" s="741"/>
      <c r="D888" s="741"/>
      <c r="E888" s="741"/>
      <c r="F888" s="741"/>
      <c r="G888" s="741"/>
      <c r="H888" s="741"/>
      <c r="I888" s="741"/>
      <c r="J888" s="741"/>
      <c r="K888" s="741"/>
      <c r="L888" s="741"/>
      <c r="M888" s="741"/>
      <c r="N888" s="741"/>
      <c r="O888" s="741"/>
      <c r="P888" s="741"/>
      <c r="Q888" s="741"/>
      <c r="R888" s="741"/>
      <c r="S888" s="741"/>
      <c r="T888" s="741"/>
      <c r="U888" s="741"/>
      <c r="V888" s="741"/>
      <c r="W888" s="741"/>
      <c r="X888" s="741"/>
      <c r="Y888" s="741"/>
      <c r="Z888" s="741"/>
      <c r="AA888" s="741"/>
      <c r="AB888" s="741"/>
      <c r="AC888" s="741"/>
      <c r="AD888" s="741"/>
      <c r="AE888" s="741"/>
      <c r="AF888" s="741"/>
      <c r="AG888" s="741"/>
      <c r="AH888" s="741"/>
      <c r="AI888" s="741"/>
      <c r="AJ888" s="741"/>
      <c r="AK888" s="741"/>
      <c r="AL888" s="741"/>
      <c r="AM888" s="741"/>
    </row>
    <row r="889" spans="1:39" ht="12.75" customHeight="1">
      <c r="A889" s="741"/>
      <c r="B889" s="741"/>
      <c r="C889" s="741"/>
      <c r="D889" s="741"/>
      <c r="E889" s="741"/>
      <c r="F889" s="741"/>
      <c r="G889" s="741"/>
      <c r="H889" s="741"/>
      <c r="I889" s="741"/>
      <c r="J889" s="741"/>
      <c r="K889" s="741"/>
      <c r="L889" s="741"/>
      <c r="M889" s="741"/>
      <c r="N889" s="741"/>
      <c r="O889" s="741"/>
      <c r="P889" s="741"/>
      <c r="Q889" s="741"/>
      <c r="R889" s="741"/>
      <c r="S889" s="741"/>
      <c r="T889" s="741"/>
      <c r="U889" s="741"/>
      <c r="V889" s="741"/>
      <c r="W889" s="741"/>
      <c r="X889" s="741"/>
      <c r="Y889" s="741"/>
      <c r="Z889" s="741"/>
      <c r="AA889" s="741"/>
      <c r="AB889" s="741"/>
      <c r="AC889" s="741"/>
      <c r="AD889" s="741"/>
      <c r="AE889" s="741"/>
      <c r="AF889" s="741"/>
      <c r="AG889" s="741"/>
      <c r="AH889" s="741"/>
      <c r="AI889" s="741"/>
      <c r="AJ889" s="741"/>
      <c r="AK889" s="741"/>
      <c r="AL889" s="741"/>
      <c r="AM889" s="741"/>
    </row>
    <row r="890" spans="1:39" ht="12.75" customHeight="1">
      <c r="A890" s="741"/>
      <c r="B890" s="741"/>
      <c r="C890" s="741"/>
      <c r="D890" s="741"/>
      <c r="E890" s="741"/>
      <c r="F890" s="741"/>
      <c r="G890" s="741"/>
      <c r="H890" s="741"/>
      <c r="I890" s="741"/>
      <c r="J890" s="741"/>
      <c r="K890" s="741"/>
      <c r="L890" s="741"/>
      <c r="M890" s="741"/>
      <c r="N890" s="741"/>
      <c r="O890" s="741"/>
      <c r="P890" s="741"/>
      <c r="Q890" s="741"/>
      <c r="R890" s="741"/>
      <c r="S890" s="741"/>
      <c r="T890" s="741"/>
      <c r="U890" s="741"/>
      <c r="V890" s="741"/>
      <c r="W890" s="741"/>
      <c r="X890" s="741"/>
      <c r="Y890" s="741"/>
      <c r="Z890" s="741"/>
      <c r="AA890" s="741"/>
      <c r="AB890" s="741"/>
      <c r="AC890" s="741"/>
      <c r="AD890" s="741"/>
      <c r="AE890" s="741"/>
      <c r="AF890" s="741"/>
      <c r="AG890" s="741"/>
      <c r="AH890" s="741"/>
      <c r="AI890" s="741"/>
      <c r="AJ890" s="741"/>
      <c r="AK890" s="741"/>
      <c r="AL890" s="741"/>
      <c r="AM890" s="741"/>
    </row>
    <row r="891" spans="1:39" ht="12.75" customHeight="1">
      <c r="A891" s="741"/>
      <c r="B891" s="741"/>
      <c r="C891" s="741"/>
      <c r="D891" s="741"/>
      <c r="E891" s="741"/>
      <c r="F891" s="741"/>
      <c r="G891" s="741"/>
      <c r="H891" s="741"/>
      <c r="I891" s="741"/>
      <c r="J891" s="741"/>
      <c r="K891" s="741"/>
      <c r="L891" s="741"/>
      <c r="M891" s="741"/>
      <c r="N891" s="741"/>
      <c r="O891" s="741"/>
      <c r="P891" s="741"/>
      <c r="Q891" s="741"/>
      <c r="R891" s="741"/>
      <c r="S891" s="741"/>
      <c r="T891" s="741"/>
      <c r="U891" s="741"/>
      <c r="V891" s="741"/>
      <c r="W891" s="741"/>
      <c r="X891" s="741"/>
      <c r="Y891" s="741"/>
      <c r="Z891" s="741"/>
      <c r="AA891" s="741"/>
      <c r="AB891" s="741"/>
      <c r="AC891" s="741"/>
      <c r="AD891" s="741"/>
      <c r="AE891" s="741"/>
      <c r="AF891" s="741"/>
      <c r="AG891" s="741"/>
      <c r="AH891" s="741"/>
      <c r="AI891" s="741"/>
      <c r="AJ891" s="741"/>
      <c r="AK891" s="741"/>
      <c r="AL891" s="741"/>
      <c r="AM891" s="741"/>
    </row>
    <row r="892" spans="1:39" ht="12.75" customHeight="1">
      <c r="A892" s="741"/>
      <c r="B892" s="741"/>
      <c r="C892" s="741"/>
      <c r="D892" s="741"/>
      <c r="E892" s="741"/>
      <c r="F892" s="741"/>
      <c r="G892" s="741"/>
      <c r="H892" s="741"/>
      <c r="I892" s="741"/>
      <c r="J892" s="741"/>
      <c r="K892" s="741"/>
      <c r="L892" s="741"/>
      <c r="M892" s="741"/>
      <c r="N892" s="741"/>
      <c r="O892" s="741"/>
      <c r="P892" s="741"/>
      <c r="Q892" s="741"/>
      <c r="R892" s="741"/>
      <c r="S892" s="741"/>
      <c r="T892" s="741"/>
      <c r="U892" s="741"/>
      <c r="V892" s="741"/>
      <c r="W892" s="741"/>
      <c r="X892" s="741"/>
      <c r="Y892" s="741"/>
      <c r="Z892" s="741"/>
      <c r="AA892" s="741"/>
      <c r="AB892" s="741"/>
      <c r="AC892" s="741"/>
      <c r="AD892" s="741"/>
      <c r="AE892" s="741"/>
      <c r="AF892" s="741"/>
      <c r="AG892" s="741"/>
      <c r="AH892" s="741"/>
      <c r="AI892" s="741"/>
      <c r="AJ892" s="741"/>
      <c r="AK892" s="741"/>
      <c r="AL892" s="741"/>
      <c r="AM892" s="741"/>
    </row>
    <row r="893" spans="1:39" ht="12.75" customHeight="1">
      <c r="A893" s="741"/>
      <c r="B893" s="741"/>
      <c r="C893" s="741"/>
      <c r="D893" s="741"/>
      <c r="E893" s="741"/>
      <c r="F893" s="741"/>
      <c r="G893" s="741"/>
      <c r="H893" s="741"/>
      <c r="I893" s="741"/>
      <c r="J893" s="741"/>
      <c r="K893" s="741"/>
      <c r="L893" s="741"/>
      <c r="M893" s="741"/>
      <c r="N893" s="741"/>
      <c r="O893" s="741"/>
      <c r="P893" s="741"/>
      <c r="Q893" s="741"/>
      <c r="R893" s="741"/>
      <c r="S893" s="741"/>
      <c r="T893" s="741"/>
      <c r="U893" s="741"/>
      <c r="V893" s="741"/>
      <c r="W893" s="741"/>
      <c r="X893" s="741"/>
      <c r="Y893" s="741"/>
      <c r="Z893" s="741"/>
      <c r="AA893" s="741"/>
      <c r="AB893" s="741"/>
      <c r="AC893" s="741"/>
      <c r="AD893" s="741"/>
      <c r="AE893" s="741"/>
      <c r="AF893" s="741"/>
      <c r="AG893" s="741"/>
      <c r="AH893" s="741"/>
      <c r="AI893" s="741"/>
      <c r="AJ893" s="741"/>
      <c r="AK893" s="741"/>
      <c r="AL893" s="741"/>
      <c r="AM893" s="741"/>
    </row>
    <row r="894" spans="1:39" ht="12.75" customHeight="1">
      <c r="A894" s="741"/>
      <c r="B894" s="741"/>
      <c r="C894" s="741"/>
      <c r="D894" s="741"/>
      <c r="E894" s="741"/>
      <c r="F894" s="741"/>
      <c r="G894" s="741"/>
      <c r="H894" s="741"/>
      <c r="I894" s="741"/>
      <c r="J894" s="741"/>
      <c r="K894" s="741"/>
      <c r="L894" s="741"/>
      <c r="M894" s="741"/>
      <c r="N894" s="741"/>
      <c r="O894" s="741"/>
      <c r="P894" s="741"/>
      <c r="Q894" s="741"/>
      <c r="R894" s="741"/>
      <c r="S894" s="741"/>
      <c r="T894" s="741"/>
      <c r="U894" s="741"/>
      <c r="V894" s="741"/>
      <c r="W894" s="741"/>
      <c r="X894" s="741"/>
      <c r="Y894" s="741"/>
      <c r="Z894" s="741"/>
      <c r="AA894" s="741"/>
      <c r="AB894" s="741"/>
      <c r="AC894" s="741"/>
      <c r="AD894" s="741"/>
      <c r="AE894" s="741"/>
      <c r="AF894" s="741"/>
      <c r="AG894" s="741"/>
      <c r="AH894" s="741"/>
      <c r="AI894" s="741"/>
      <c r="AJ894" s="741"/>
      <c r="AK894" s="741"/>
      <c r="AL894" s="741"/>
      <c r="AM894" s="741"/>
    </row>
    <row r="895" spans="1:39" ht="12.75" customHeight="1">
      <c r="A895" s="741"/>
      <c r="B895" s="741"/>
      <c r="C895" s="741"/>
      <c r="D895" s="741"/>
      <c r="E895" s="741"/>
      <c r="F895" s="741"/>
      <c r="G895" s="741"/>
      <c r="H895" s="741"/>
      <c r="I895" s="741"/>
      <c r="J895" s="741"/>
      <c r="K895" s="741"/>
      <c r="L895" s="741"/>
      <c r="M895" s="741"/>
      <c r="N895" s="741"/>
      <c r="O895" s="741"/>
      <c r="P895" s="741"/>
      <c r="Q895" s="741"/>
      <c r="R895" s="741"/>
      <c r="S895" s="741"/>
      <c r="T895" s="741"/>
      <c r="U895" s="741"/>
      <c r="V895" s="741"/>
      <c r="W895" s="741"/>
      <c r="X895" s="741"/>
      <c r="Y895" s="741"/>
      <c r="Z895" s="741"/>
      <c r="AA895" s="741"/>
      <c r="AB895" s="741"/>
      <c r="AC895" s="741"/>
      <c r="AD895" s="741"/>
      <c r="AE895" s="741"/>
      <c r="AF895" s="741"/>
      <c r="AG895" s="741"/>
      <c r="AH895" s="741"/>
      <c r="AI895" s="741"/>
      <c r="AJ895" s="741"/>
      <c r="AK895" s="741"/>
      <c r="AL895" s="741"/>
      <c r="AM895" s="741"/>
    </row>
    <row r="896" spans="1:39" ht="12.75" customHeight="1">
      <c r="A896" s="741"/>
      <c r="B896" s="741"/>
      <c r="C896" s="741"/>
      <c r="D896" s="741"/>
      <c r="E896" s="741"/>
      <c r="F896" s="741"/>
      <c r="G896" s="741"/>
      <c r="H896" s="741"/>
      <c r="I896" s="741"/>
      <c r="J896" s="741"/>
      <c r="K896" s="741"/>
      <c r="L896" s="741"/>
      <c r="M896" s="741"/>
      <c r="N896" s="741"/>
      <c r="O896" s="741"/>
      <c r="P896" s="741"/>
      <c r="Q896" s="741"/>
      <c r="R896" s="741"/>
      <c r="S896" s="741"/>
      <c r="T896" s="741"/>
      <c r="U896" s="741"/>
      <c r="V896" s="741"/>
      <c r="W896" s="741"/>
      <c r="X896" s="741"/>
      <c r="Y896" s="741"/>
      <c r="Z896" s="741"/>
      <c r="AA896" s="741"/>
      <c r="AB896" s="741"/>
      <c r="AC896" s="741"/>
      <c r="AD896" s="741"/>
      <c r="AE896" s="741"/>
      <c r="AF896" s="741"/>
      <c r="AG896" s="741"/>
      <c r="AH896" s="741"/>
      <c r="AI896" s="741"/>
      <c r="AJ896" s="741"/>
      <c r="AK896" s="741"/>
      <c r="AL896" s="741"/>
      <c r="AM896" s="741"/>
    </row>
    <row r="897" spans="1:39" ht="12.75" customHeight="1">
      <c r="A897" s="741"/>
      <c r="B897" s="741"/>
      <c r="C897" s="741"/>
      <c r="D897" s="741"/>
      <c r="E897" s="741"/>
      <c r="F897" s="741"/>
      <c r="G897" s="741"/>
      <c r="H897" s="741"/>
      <c r="I897" s="741"/>
      <c r="J897" s="741"/>
      <c r="K897" s="741"/>
      <c r="L897" s="741"/>
      <c r="M897" s="741"/>
      <c r="N897" s="741"/>
      <c r="O897" s="741"/>
      <c r="P897" s="741"/>
      <c r="Q897" s="741"/>
      <c r="R897" s="741"/>
      <c r="S897" s="741"/>
      <c r="T897" s="741"/>
      <c r="U897" s="741"/>
      <c r="V897" s="741"/>
      <c r="W897" s="741"/>
      <c r="X897" s="741"/>
      <c r="Y897" s="741"/>
      <c r="Z897" s="741"/>
      <c r="AA897" s="741"/>
      <c r="AB897" s="741"/>
      <c r="AC897" s="741"/>
      <c r="AD897" s="741"/>
      <c r="AE897" s="741"/>
      <c r="AF897" s="741"/>
      <c r="AG897" s="741"/>
      <c r="AH897" s="741"/>
      <c r="AI897" s="741"/>
      <c r="AJ897" s="741"/>
      <c r="AK897" s="741"/>
      <c r="AL897" s="741"/>
      <c r="AM897" s="741"/>
    </row>
    <row r="898" spans="1:39" ht="12.75" customHeight="1">
      <c r="A898" s="741"/>
      <c r="B898" s="741"/>
      <c r="C898" s="741"/>
      <c r="D898" s="741"/>
      <c r="E898" s="741"/>
      <c r="F898" s="741"/>
      <c r="G898" s="741"/>
      <c r="H898" s="741"/>
      <c r="I898" s="741"/>
      <c r="J898" s="741"/>
      <c r="K898" s="741"/>
      <c r="L898" s="741"/>
      <c r="M898" s="741"/>
      <c r="N898" s="741"/>
      <c r="O898" s="741"/>
      <c r="P898" s="741"/>
      <c r="Q898" s="741"/>
      <c r="R898" s="741"/>
      <c r="S898" s="741"/>
      <c r="T898" s="741"/>
      <c r="U898" s="741"/>
      <c r="V898" s="741"/>
      <c r="W898" s="741"/>
      <c r="X898" s="741"/>
      <c r="Y898" s="741"/>
      <c r="Z898" s="741"/>
      <c r="AA898" s="741"/>
      <c r="AB898" s="741"/>
      <c r="AC898" s="741"/>
      <c r="AD898" s="741"/>
      <c r="AE898" s="741"/>
      <c r="AF898" s="741"/>
      <c r="AG898" s="741"/>
      <c r="AH898" s="741"/>
      <c r="AI898" s="741"/>
      <c r="AJ898" s="741"/>
      <c r="AK898" s="741"/>
      <c r="AL898" s="741"/>
      <c r="AM898" s="741"/>
    </row>
    <row r="899" spans="1:39" ht="12.75" customHeight="1">
      <c r="A899" s="741"/>
      <c r="B899" s="741"/>
      <c r="C899" s="741"/>
      <c r="D899" s="741"/>
      <c r="E899" s="741"/>
      <c r="F899" s="741"/>
      <c r="G899" s="741"/>
      <c r="H899" s="741"/>
      <c r="I899" s="741"/>
      <c r="J899" s="741"/>
      <c r="K899" s="741"/>
      <c r="L899" s="741"/>
      <c r="M899" s="741"/>
      <c r="N899" s="741"/>
      <c r="O899" s="741"/>
      <c r="P899" s="741"/>
      <c r="Q899" s="741"/>
      <c r="R899" s="741"/>
      <c r="S899" s="741"/>
      <c r="T899" s="741"/>
      <c r="U899" s="741"/>
      <c r="V899" s="741"/>
      <c r="W899" s="741"/>
      <c r="X899" s="741"/>
      <c r="Y899" s="741"/>
      <c r="Z899" s="741"/>
      <c r="AA899" s="741"/>
      <c r="AB899" s="741"/>
      <c r="AC899" s="741"/>
      <c r="AD899" s="741"/>
      <c r="AE899" s="741"/>
      <c r="AF899" s="741"/>
      <c r="AG899" s="741"/>
      <c r="AH899" s="741"/>
      <c r="AI899" s="741"/>
      <c r="AJ899" s="741"/>
      <c r="AK899" s="741"/>
      <c r="AL899" s="741"/>
      <c r="AM899" s="741"/>
    </row>
    <row r="900" spans="1:39" ht="12.75" customHeight="1">
      <c r="A900" s="741"/>
      <c r="B900" s="741"/>
      <c r="C900" s="741"/>
      <c r="D900" s="741"/>
      <c r="E900" s="741"/>
      <c r="F900" s="741"/>
      <c r="G900" s="741"/>
      <c r="H900" s="741"/>
      <c r="I900" s="741"/>
      <c r="J900" s="741"/>
      <c r="K900" s="741"/>
      <c r="L900" s="741"/>
      <c r="M900" s="741"/>
      <c r="N900" s="741"/>
      <c r="O900" s="741"/>
      <c r="P900" s="741"/>
      <c r="Q900" s="741"/>
      <c r="R900" s="741"/>
      <c r="S900" s="741"/>
      <c r="T900" s="741"/>
      <c r="U900" s="741"/>
      <c r="V900" s="741"/>
      <c r="W900" s="741"/>
      <c r="X900" s="741"/>
      <c r="Y900" s="741"/>
      <c r="Z900" s="741"/>
      <c r="AA900" s="741"/>
      <c r="AB900" s="741"/>
      <c r="AC900" s="741"/>
      <c r="AD900" s="741"/>
      <c r="AE900" s="741"/>
      <c r="AF900" s="741"/>
      <c r="AG900" s="741"/>
      <c r="AH900" s="741"/>
      <c r="AI900" s="741"/>
      <c r="AJ900" s="741"/>
      <c r="AK900" s="741"/>
      <c r="AL900" s="741"/>
      <c r="AM900" s="741"/>
    </row>
    <row r="901" spans="1:39" ht="12.75" customHeight="1">
      <c r="A901" s="741"/>
      <c r="B901" s="741"/>
      <c r="C901" s="741"/>
      <c r="D901" s="741"/>
      <c r="E901" s="741"/>
      <c r="F901" s="741"/>
      <c r="G901" s="741"/>
      <c r="H901" s="741"/>
      <c r="I901" s="741"/>
      <c r="J901" s="741"/>
      <c r="K901" s="741"/>
      <c r="L901" s="741"/>
      <c r="M901" s="741"/>
      <c r="N901" s="741"/>
      <c r="O901" s="741"/>
      <c r="P901" s="741"/>
      <c r="Q901" s="741"/>
      <c r="R901" s="741"/>
      <c r="S901" s="741"/>
      <c r="T901" s="741"/>
      <c r="U901" s="741"/>
      <c r="V901" s="741"/>
      <c r="W901" s="741"/>
      <c r="X901" s="741"/>
      <c r="Y901" s="741"/>
      <c r="Z901" s="741"/>
      <c r="AA901" s="741"/>
      <c r="AB901" s="741"/>
      <c r="AC901" s="741"/>
      <c r="AD901" s="741"/>
      <c r="AE901" s="741"/>
      <c r="AF901" s="741"/>
      <c r="AG901" s="741"/>
      <c r="AH901" s="741"/>
      <c r="AI901" s="741"/>
      <c r="AJ901" s="741"/>
      <c r="AK901" s="741"/>
      <c r="AL901" s="741"/>
      <c r="AM901" s="741"/>
    </row>
    <row r="902" spans="1:39" ht="12.75" customHeight="1">
      <c r="A902" s="741"/>
      <c r="B902" s="741"/>
      <c r="C902" s="741"/>
      <c r="D902" s="741"/>
      <c r="E902" s="741"/>
      <c r="F902" s="741"/>
      <c r="G902" s="741"/>
      <c r="H902" s="741"/>
      <c r="I902" s="741"/>
      <c r="J902" s="741"/>
      <c r="K902" s="741"/>
      <c r="L902" s="741"/>
      <c r="M902" s="741"/>
      <c r="N902" s="741"/>
      <c r="O902" s="741"/>
      <c r="P902" s="741"/>
      <c r="Q902" s="741"/>
      <c r="R902" s="741"/>
      <c r="S902" s="741"/>
      <c r="T902" s="741"/>
      <c r="U902" s="741"/>
      <c r="V902" s="741"/>
      <c r="W902" s="741"/>
      <c r="X902" s="741"/>
      <c r="Y902" s="741"/>
      <c r="Z902" s="741"/>
      <c r="AA902" s="741"/>
      <c r="AB902" s="741"/>
      <c r="AC902" s="741"/>
      <c r="AD902" s="741"/>
      <c r="AE902" s="741"/>
      <c r="AF902" s="741"/>
      <c r="AG902" s="741"/>
      <c r="AH902" s="741"/>
      <c r="AI902" s="741"/>
      <c r="AJ902" s="741"/>
      <c r="AK902" s="741"/>
      <c r="AL902" s="741"/>
      <c r="AM902" s="741"/>
    </row>
    <row r="903" spans="1:39" ht="12.75" customHeight="1">
      <c r="A903" s="741"/>
      <c r="B903" s="741"/>
      <c r="C903" s="741"/>
      <c r="D903" s="741"/>
      <c r="E903" s="741"/>
      <c r="F903" s="741"/>
      <c r="G903" s="741"/>
      <c r="H903" s="741"/>
      <c r="I903" s="741"/>
      <c r="J903" s="741"/>
      <c r="K903" s="741"/>
      <c r="L903" s="741"/>
      <c r="M903" s="741"/>
      <c r="N903" s="741"/>
      <c r="O903" s="741"/>
      <c r="P903" s="741"/>
      <c r="Q903" s="741"/>
      <c r="R903" s="741"/>
      <c r="S903" s="741"/>
      <c r="T903" s="741"/>
      <c r="U903" s="741"/>
      <c r="V903" s="741"/>
      <c r="W903" s="741"/>
      <c r="X903" s="741"/>
      <c r="Y903" s="741"/>
      <c r="Z903" s="741"/>
      <c r="AA903" s="741"/>
      <c r="AB903" s="741"/>
      <c r="AC903" s="741"/>
      <c r="AD903" s="741"/>
      <c r="AE903" s="741"/>
      <c r="AF903" s="741"/>
      <c r="AG903" s="741"/>
      <c r="AH903" s="741"/>
      <c r="AI903" s="741"/>
      <c r="AJ903" s="741"/>
      <c r="AK903" s="741"/>
      <c r="AL903" s="741"/>
      <c r="AM903" s="741"/>
    </row>
    <row r="904" spans="1:39" ht="12.75" customHeight="1">
      <c r="A904" s="741"/>
      <c r="B904" s="741"/>
      <c r="C904" s="741"/>
      <c r="D904" s="741"/>
      <c r="E904" s="741"/>
      <c r="F904" s="741"/>
      <c r="G904" s="741"/>
      <c r="H904" s="741"/>
      <c r="I904" s="741"/>
      <c r="J904" s="741"/>
      <c r="K904" s="741"/>
      <c r="L904" s="741"/>
      <c r="M904" s="741"/>
      <c r="N904" s="741"/>
      <c r="O904" s="741"/>
      <c r="P904" s="741"/>
      <c r="Q904" s="741"/>
      <c r="R904" s="741"/>
      <c r="S904" s="741"/>
      <c r="T904" s="741"/>
      <c r="U904" s="741"/>
      <c r="V904" s="741"/>
      <c r="W904" s="741"/>
      <c r="X904" s="741"/>
      <c r="Y904" s="741"/>
      <c r="Z904" s="741"/>
      <c r="AA904" s="741"/>
      <c r="AB904" s="741"/>
      <c r="AC904" s="741"/>
      <c r="AD904" s="741"/>
      <c r="AE904" s="741"/>
      <c r="AF904" s="741"/>
      <c r="AG904" s="741"/>
      <c r="AH904" s="741"/>
      <c r="AI904" s="741"/>
      <c r="AJ904" s="741"/>
      <c r="AK904" s="741"/>
      <c r="AL904" s="741"/>
      <c r="AM904" s="741"/>
    </row>
    <row r="905" spans="1:39" ht="12.75" customHeight="1">
      <c r="A905" s="741"/>
      <c r="B905" s="741"/>
      <c r="C905" s="741"/>
      <c r="D905" s="741"/>
      <c r="E905" s="741"/>
      <c r="F905" s="741"/>
      <c r="G905" s="741"/>
      <c r="H905" s="741"/>
      <c r="I905" s="741"/>
      <c r="J905" s="741"/>
      <c r="K905" s="741"/>
      <c r="L905" s="741"/>
      <c r="M905" s="741"/>
      <c r="N905" s="741"/>
      <c r="O905" s="741"/>
      <c r="P905" s="741"/>
      <c r="Q905" s="741"/>
      <c r="R905" s="741"/>
      <c r="S905" s="741"/>
      <c r="T905" s="741"/>
      <c r="U905" s="741"/>
      <c r="V905" s="741"/>
      <c r="W905" s="741"/>
      <c r="X905" s="741"/>
      <c r="Y905" s="741"/>
      <c r="Z905" s="741"/>
      <c r="AA905" s="741"/>
      <c r="AB905" s="741"/>
      <c r="AC905" s="741"/>
      <c r="AD905" s="741"/>
      <c r="AE905" s="741"/>
      <c r="AF905" s="741"/>
      <c r="AG905" s="741"/>
      <c r="AH905" s="741"/>
      <c r="AI905" s="741"/>
      <c r="AJ905" s="741"/>
      <c r="AK905" s="741"/>
      <c r="AL905" s="741"/>
      <c r="AM905" s="741"/>
    </row>
    <row r="906" spans="1:39" ht="12.75" customHeight="1">
      <c r="A906" s="741"/>
      <c r="B906" s="741"/>
      <c r="C906" s="741"/>
      <c r="D906" s="741"/>
      <c r="E906" s="741"/>
      <c r="F906" s="741"/>
      <c r="G906" s="741"/>
      <c r="H906" s="741"/>
      <c r="I906" s="741"/>
      <c r="J906" s="741"/>
      <c r="K906" s="741"/>
      <c r="L906" s="741"/>
      <c r="M906" s="741"/>
      <c r="N906" s="741"/>
      <c r="O906" s="741"/>
      <c r="P906" s="741"/>
      <c r="Q906" s="741"/>
      <c r="R906" s="741"/>
      <c r="S906" s="741"/>
      <c r="T906" s="741"/>
      <c r="U906" s="741"/>
      <c r="V906" s="741"/>
      <c r="W906" s="741"/>
      <c r="X906" s="741"/>
      <c r="Y906" s="741"/>
      <c r="Z906" s="741"/>
      <c r="AA906" s="741"/>
      <c r="AB906" s="741"/>
      <c r="AC906" s="741"/>
      <c r="AD906" s="741"/>
      <c r="AE906" s="741"/>
      <c r="AF906" s="741"/>
      <c r="AG906" s="741"/>
      <c r="AH906" s="741"/>
      <c r="AI906" s="741"/>
      <c r="AJ906" s="741"/>
      <c r="AK906" s="741"/>
      <c r="AL906" s="741"/>
      <c r="AM906" s="741"/>
    </row>
    <row r="907" spans="1:39" ht="12.75" customHeight="1">
      <c r="A907" s="741"/>
      <c r="B907" s="741"/>
      <c r="C907" s="741"/>
      <c r="D907" s="741"/>
      <c r="E907" s="741"/>
      <c r="F907" s="741"/>
      <c r="G907" s="741"/>
      <c r="H907" s="741"/>
      <c r="I907" s="741"/>
      <c r="J907" s="741"/>
      <c r="K907" s="741"/>
      <c r="L907" s="741"/>
      <c r="M907" s="741"/>
      <c r="N907" s="741"/>
      <c r="O907" s="741"/>
      <c r="P907" s="741"/>
      <c r="Q907" s="741"/>
      <c r="R907" s="741"/>
      <c r="S907" s="741"/>
      <c r="T907" s="741"/>
      <c r="U907" s="741"/>
      <c r="V907" s="741"/>
      <c r="W907" s="741"/>
      <c r="X907" s="741"/>
      <c r="Y907" s="741"/>
      <c r="Z907" s="741"/>
      <c r="AA907" s="741"/>
      <c r="AB907" s="741"/>
      <c r="AC907" s="741"/>
      <c r="AD907" s="741"/>
      <c r="AE907" s="741"/>
      <c r="AF907" s="741"/>
      <c r="AG907" s="741"/>
      <c r="AH907" s="741"/>
      <c r="AI907" s="741"/>
      <c r="AJ907" s="741"/>
      <c r="AK907" s="741"/>
      <c r="AL907" s="741"/>
      <c r="AM907" s="741"/>
    </row>
    <row r="908" spans="1:39" ht="12.75" customHeight="1">
      <c r="A908" s="741"/>
      <c r="B908" s="741"/>
      <c r="C908" s="741"/>
      <c r="D908" s="741"/>
      <c r="E908" s="741"/>
      <c r="F908" s="741"/>
      <c r="G908" s="741"/>
      <c r="H908" s="741"/>
      <c r="I908" s="741"/>
      <c r="J908" s="741"/>
      <c r="K908" s="741"/>
      <c r="L908" s="741"/>
      <c r="M908" s="741"/>
      <c r="N908" s="741"/>
      <c r="O908" s="741"/>
      <c r="P908" s="741"/>
      <c r="Q908" s="741"/>
      <c r="R908" s="741"/>
      <c r="S908" s="741"/>
      <c r="T908" s="741"/>
      <c r="U908" s="741"/>
      <c r="V908" s="741"/>
      <c r="W908" s="741"/>
      <c r="X908" s="741"/>
      <c r="Y908" s="741"/>
      <c r="Z908" s="741"/>
      <c r="AA908" s="741"/>
      <c r="AB908" s="741"/>
      <c r="AC908" s="741"/>
      <c r="AD908" s="741"/>
      <c r="AE908" s="741"/>
      <c r="AF908" s="741"/>
      <c r="AG908" s="741"/>
      <c r="AH908" s="741"/>
      <c r="AI908" s="741"/>
      <c r="AJ908" s="741"/>
      <c r="AK908" s="741"/>
      <c r="AL908" s="741"/>
      <c r="AM908" s="741"/>
    </row>
    <row r="909" spans="1:39" ht="12.75" customHeight="1">
      <c r="A909" s="741"/>
      <c r="B909" s="741"/>
      <c r="C909" s="741"/>
      <c r="D909" s="741"/>
      <c r="E909" s="741"/>
      <c r="F909" s="741"/>
      <c r="G909" s="741"/>
      <c r="H909" s="741"/>
      <c r="I909" s="741"/>
      <c r="J909" s="741"/>
      <c r="K909" s="741"/>
      <c r="L909" s="741"/>
      <c r="M909" s="741"/>
      <c r="N909" s="741"/>
      <c r="O909" s="741"/>
      <c r="P909" s="741"/>
      <c r="Q909" s="741"/>
      <c r="R909" s="741"/>
      <c r="S909" s="741"/>
      <c r="T909" s="741"/>
      <c r="U909" s="741"/>
      <c r="V909" s="741"/>
      <c r="W909" s="741"/>
      <c r="X909" s="741"/>
      <c r="Y909" s="741"/>
      <c r="Z909" s="741"/>
      <c r="AA909" s="741"/>
      <c r="AB909" s="741"/>
      <c r="AC909" s="741"/>
      <c r="AD909" s="741"/>
      <c r="AE909" s="741"/>
      <c r="AF909" s="741"/>
      <c r="AG909" s="741"/>
      <c r="AH909" s="741"/>
      <c r="AI909" s="741"/>
      <c r="AJ909" s="741"/>
      <c r="AK909" s="741"/>
      <c r="AL909" s="741"/>
      <c r="AM909" s="741"/>
    </row>
    <row r="910" spans="1:39" ht="12.75" customHeight="1">
      <c r="A910" s="741"/>
      <c r="B910" s="741"/>
      <c r="C910" s="741"/>
      <c r="D910" s="741"/>
      <c r="E910" s="741"/>
      <c r="F910" s="741"/>
      <c r="G910" s="741"/>
      <c r="H910" s="741"/>
      <c r="I910" s="741"/>
      <c r="J910" s="741"/>
      <c r="K910" s="741"/>
      <c r="L910" s="741"/>
      <c r="M910" s="741"/>
      <c r="N910" s="741"/>
      <c r="O910" s="741"/>
      <c r="P910" s="741"/>
      <c r="Q910" s="741"/>
      <c r="R910" s="741"/>
      <c r="S910" s="741"/>
      <c r="T910" s="741"/>
      <c r="U910" s="741"/>
      <c r="V910" s="741"/>
      <c r="W910" s="741"/>
      <c r="X910" s="741"/>
      <c r="Y910" s="741"/>
      <c r="Z910" s="741"/>
      <c r="AA910" s="741"/>
      <c r="AB910" s="741"/>
      <c r="AC910" s="741"/>
      <c r="AD910" s="741"/>
      <c r="AE910" s="741"/>
      <c r="AF910" s="741"/>
      <c r="AG910" s="741"/>
      <c r="AH910" s="741"/>
      <c r="AI910" s="741"/>
      <c r="AJ910" s="741"/>
      <c r="AK910" s="741"/>
      <c r="AL910" s="741"/>
      <c r="AM910" s="741"/>
    </row>
    <row r="911" spans="1:39" ht="12.75" customHeight="1">
      <c r="A911" s="741"/>
      <c r="B911" s="741"/>
      <c r="C911" s="741"/>
      <c r="D911" s="741"/>
      <c r="E911" s="741"/>
      <c r="F911" s="741"/>
      <c r="G911" s="741"/>
      <c r="H911" s="741"/>
      <c r="I911" s="741"/>
      <c r="J911" s="741"/>
      <c r="K911" s="741"/>
      <c r="L911" s="741"/>
      <c r="M911" s="741"/>
      <c r="N911" s="741"/>
      <c r="O911" s="741"/>
      <c r="P911" s="741"/>
      <c r="Q911" s="741"/>
      <c r="R911" s="741"/>
      <c r="S911" s="741"/>
      <c r="T911" s="741"/>
      <c r="U911" s="741"/>
      <c r="V911" s="741"/>
      <c r="W911" s="741"/>
      <c r="X911" s="741"/>
      <c r="Y911" s="741"/>
      <c r="Z911" s="741"/>
      <c r="AA911" s="741"/>
      <c r="AB911" s="741"/>
      <c r="AC911" s="741"/>
      <c r="AD911" s="741"/>
      <c r="AE911" s="741"/>
      <c r="AF911" s="741"/>
      <c r="AG911" s="741"/>
      <c r="AH911" s="741"/>
      <c r="AI911" s="741"/>
      <c r="AJ911" s="741"/>
      <c r="AK911" s="741"/>
      <c r="AL911" s="741"/>
      <c r="AM911" s="741"/>
    </row>
    <row r="912" spans="1:39" ht="12.75" customHeight="1">
      <c r="A912" s="741"/>
      <c r="B912" s="741"/>
      <c r="C912" s="741"/>
      <c r="D912" s="741"/>
      <c r="E912" s="741"/>
      <c r="F912" s="741"/>
      <c r="G912" s="741"/>
      <c r="H912" s="741"/>
      <c r="I912" s="741"/>
      <c r="J912" s="741"/>
      <c r="K912" s="741"/>
      <c r="L912" s="741"/>
      <c r="M912" s="741"/>
      <c r="N912" s="741"/>
      <c r="O912" s="741"/>
      <c r="P912" s="741"/>
      <c r="Q912" s="741"/>
      <c r="R912" s="741"/>
      <c r="S912" s="741"/>
      <c r="T912" s="741"/>
      <c r="U912" s="741"/>
      <c r="V912" s="741"/>
      <c r="W912" s="741"/>
      <c r="X912" s="741"/>
      <c r="Y912" s="741"/>
      <c r="Z912" s="741"/>
      <c r="AA912" s="741"/>
      <c r="AB912" s="741"/>
      <c r="AC912" s="741"/>
      <c r="AD912" s="741"/>
      <c r="AE912" s="741"/>
      <c r="AF912" s="741"/>
      <c r="AG912" s="741"/>
      <c r="AH912" s="741"/>
      <c r="AI912" s="741"/>
      <c r="AJ912" s="741"/>
      <c r="AK912" s="741"/>
      <c r="AL912" s="741"/>
      <c r="AM912" s="741"/>
    </row>
    <row r="913" spans="1:39" ht="12.75" customHeight="1">
      <c r="A913" s="741"/>
      <c r="B913" s="741"/>
      <c r="C913" s="741"/>
      <c r="D913" s="741"/>
      <c r="E913" s="741"/>
      <c r="F913" s="741"/>
      <c r="G913" s="741"/>
      <c r="H913" s="741"/>
      <c r="I913" s="741"/>
      <c r="J913" s="741"/>
      <c r="K913" s="741"/>
      <c r="L913" s="741"/>
      <c r="M913" s="741"/>
      <c r="N913" s="741"/>
      <c r="O913" s="741"/>
      <c r="P913" s="741"/>
      <c r="Q913" s="741"/>
      <c r="R913" s="741"/>
      <c r="S913" s="741"/>
      <c r="T913" s="741"/>
      <c r="U913" s="741"/>
      <c r="V913" s="741"/>
      <c r="W913" s="741"/>
      <c r="X913" s="741"/>
      <c r="Y913" s="741"/>
      <c r="Z913" s="741"/>
      <c r="AA913" s="741"/>
      <c r="AB913" s="741"/>
      <c r="AC913" s="741"/>
      <c r="AD913" s="741"/>
      <c r="AE913" s="741"/>
      <c r="AF913" s="741"/>
      <c r="AG913" s="741"/>
      <c r="AH913" s="741"/>
      <c r="AI913" s="741"/>
      <c r="AJ913" s="741"/>
      <c r="AK913" s="741"/>
      <c r="AL913" s="741"/>
      <c r="AM913" s="741"/>
    </row>
    <row r="914" spans="1:39" ht="12.75" customHeight="1">
      <c r="A914" s="741"/>
      <c r="B914" s="741"/>
      <c r="C914" s="741"/>
      <c r="D914" s="741"/>
      <c r="E914" s="741"/>
      <c r="F914" s="741"/>
      <c r="G914" s="741"/>
      <c r="H914" s="741"/>
      <c r="I914" s="741"/>
      <c r="J914" s="741"/>
      <c r="K914" s="741"/>
      <c r="L914" s="741"/>
      <c r="M914" s="741"/>
      <c r="N914" s="741"/>
      <c r="O914" s="741"/>
      <c r="P914" s="741"/>
      <c r="Q914" s="741"/>
      <c r="R914" s="741"/>
      <c r="S914" s="741"/>
      <c r="T914" s="741"/>
      <c r="U914" s="741"/>
      <c r="V914" s="741"/>
      <c r="W914" s="741"/>
      <c r="X914" s="741"/>
      <c r="Y914" s="741"/>
      <c r="Z914" s="741"/>
      <c r="AA914" s="741"/>
      <c r="AB914" s="741"/>
      <c r="AC914" s="741"/>
      <c r="AD914" s="741"/>
      <c r="AE914" s="741"/>
      <c r="AF914" s="741"/>
      <c r="AG914" s="741"/>
      <c r="AH914" s="741"/>
      <c r="AI914" s="741"/>
      <c r="AJ914" s="741"/>
      <c r="AK914" s="741"/>
      <c r="AL914" s="741"/>
      <c r="AM914" s="741"/>
    </row>
    <row r="915" spans="1:39" ht="12.75" customHeight="1">
      <c r="A915" s="741"/>
      <c r="B915" s="741"/>
      <c r="C915" s="741"/>
      <c r="D915" s="741"/>
      <c r="E915" s="741"/>
      <c r="F915" s="741"/>
      <c r="G915" s="741"/>
      <c r="H915" s="741"/>
      <c r="I915" s="741"/>
      <c r="J915" s="741"/>
      <c r="K915" s="741"/>
      <c r="L915" s="741"/>
      <c r="M915" s="741"/>
      <c r="N915" s="741"/>
      <c r="O915" s="741"/>
      <c r="P915" s="741"/>
      <c r="Q915" s="741"/>
      <c r="R915" s="741"/>
      <c r="S915" s="741"/>
      <c r="T915" s="741"/>
      <c r="U915" s="741"/>
      <c r="V915" s="741"/>
      <c r="W915" s="741"/>
      <c r="X915" s="741"/>
      <c r="Y915" s="741"/>
      <c r="Z915" s="741"/>
      <c r="AA915" s="741"/>
      <c r="AB915" s="741"/>
      <c r="AC915" s="741"/>
      <c r="AD915" s="741"/>
      <c r="AE915" s="741"/>
      <c r="AF915" s="741"/>
      <c r="AG915" s="741"/>
      <c r="AH915" s="741"/>
      <c r="AI915" s="741"/>
      <c r="AJ915" s="741"/>
      <c r="AK915" s="741"/>
      <c r="AL915" s="741"/>
      <c r="AM915" s="741"/>
    </row>
    <row r="916" spans="1:39" ht="12.75" customHeight="1">
      <c r="A916" s="741"/>
      <c r="B916" s="741"/>
      <c r="C916" s="741"/>
      <c r="D916" s="741"/>
      <c r="E916" s="741"/>
      <c r="F916" s="741"/>
      <c r="G916" s="741"/>
      <c r="H916" s="741"/>
      <c r="I916" s="741"/>
      <c r="J916" s="741"/>
      <c r="K916" s="741"/>
      <c r="L916" s="741"/>
      <c r="M916" s="741"/>
      <c r="N916" s="741"/>
      <c r="O916" s="741"/>
      <c r="P916" s="741"/>
      <c r="Q916" s="741"/>
      <c r="R916" s="741"/>
      <c r="S916" s="741"/>
      <c r="T916" s="741"/>
      <c r="U916" s="741"/>
      <c r="V916" s="741"/>
      <c r="W916" s="741"/>
      <c r="X916" s="741"/>
      <c r="Y916" s="741"/>
      <c r="Z916" s="741"/>
      <c r="AA916" s="741"/>
      <c r="AB916" s="741"/>
      <c r="AC916" s="741"/>
      <c r="AD916" s="741"/>
      <c r="AE916" s="741"/>
      <c r="AF916" s="741"/>
      <c r="AG916" s="741"/>
      <c r="AH916" s="741"/>
      <c r="AI916" s="741"/>
      <c r="AJ916" s="741"/>
      <c r="AK916" s="741"/>
      <c r="AL916" s="741"/>
      <c r="AM916" s="741"/>
    </row>
    <row r="917" spans="1:39" ht="12.75" customHeight="1">
      <c r="A917" s="741"/>
      <c r="B917" s="741"/>
      <c r="C917" s="741"/>
      <c r="D917" s="741"/>
      <c r="E917" s="741"/>
      <c r="F917" s="741"/>
      <c r="G917" s="741"/>
      <c r="H917" s="741"/>
      <c r="I917" s="741"/>
      <c r="J917" s="741"/>
      <c r="K917" s="741"/>
      <c r="L917" s="741"/>
      <c r="M917" s="741"/>
      <c r="N917" s="741"/>
      <c r="O917" s="741"/>
      <c r="P917" s="741"/>
      <c r="Q917" s="741"/>
      <c r="R917" s="741"/>
      <c r="S917" s="741"/>
      <c r="T917" s="741"/>
      <c r="U917" s="741"/>
      <c r="V917" s="741"/>
      <c r="W917" s="741"/>
      <c r="X917" s="741"/>
      <c r="Y917" s="741"/>
      <c r="Z917" s="741"/>
      <c r="AA917" s="741"/>
      <c r="AB917" s="741"/>
      <c r="AC917" s="741"/>
      <c r="AD917" s="741"/>
      <c r="AE917" s="741"/>
      <c r="AF917" s="741"/>
      <c r="AG917" s="741"/>
      <c r="AH917" s="741"/>
      <c r="AI917" s="741"/>
      <c r="AJ917" s="741"/>
      <c r="AK917" s="741"/>
      <c r="AL917" s="741"/>
      <c r="AM917" s="741"/>
    </row>
    <row r="918" spans="1:39" ht="12.75" customHeight="1">
      <c r="A918" s="741"/>
      <c r="B918" s="741"/>
      <c r="C918" s="741"/>
      <c r="D918" s="741"/>
      <c r="E918" s="741"/>
      <c r="F918" s="741"/>
      <c r="G918" s="741"/>
      <c r="H918" s="741"/>
      <c r="I918" s="741"/>
      <c r="J918" s="741"/>
      <c r="K918" s="741"/>
      <c r="L918" s="741"/>
      <c r="M918" s="741"/>
      <c r="N918" s="741"/>
      <c r="O918" s="741"/>
      <c r="P918" s="741"/>
      <c r="Q918" s="741"/>
      <c r="R918" s="741"/>
      <c r="S918" s="741"/>
      <c r="T918" s="741"/>
      <c r="U918" s="741"/>
      <c r="V918" s="741"/>
      <c r="W918" s="741"/>
      <c r="X918" s="741"/>
      <c r="Y918" s="741"/>
      <c r="Z918" s="741"/>
      <c r="AA918" s="741"/>
      <c r="AB918" s="741"/>
      <c r="AC918" s="741"/>
      <c r="AD918" s="741"/>
      <c r="AE918" s="741"/>
      <c r="AF918" s="741"/>
      <c r="AG918" s="741"/>
      <c r="AH918" s="741"/>
      <c r="AI918" s="741"/>
      <c r="AJ918" s="741"/>
      <c r="AK918" s="741"/>
      <c r="AL918" s="741"/>
      <c r="AM918" s="741"/>
    </row>
    <row r="919" spans="1:39" ht="12.75" customHeight="1">
      <c r="A919" s="741"/>
      <c r="B919" s="741"/>
      <c r="C919" s="741"/>
      <c r="D919" s="741"/>
      <c r="E919" s="741"/>
      <c r="F919" s="741"/>
      <c r="G919" s="741"/>
      <c r="H919" s="741"/>
      <c r="I919" s="741"/>
      <c r="J919" s="741"/>
      <c r="K919" s="741"/>
      <c r="L919" s="741"/>
      <c r="M919" s="741"/>
      <c r="N919" s="741"/>
      <c r="O919" s="741"/>
      <c r="P919" s="741"/>
      <c r="Q919" s="741"/>
      <c r="R919" s="741"/>
      <c r="S919" s="741"/>
      <c r="T919" s="741"/>
      <c r="U919" s="741"/>
      <c r="V919" s="741"/>
      <c r="W919" s="741"/>
      <c r="X919" s="741"/>
      <c r="Y919" s="741"/>
      <c r="Z919" s="741"/>
      <c r="AA919" s="741"/>
      <c r="AB919" s="741"/>
      <c r="AC919" s="741"/>
      <c r="AD919" s="741"/>
      <c r="AE919" s="741"/>
      <c r="AF919" s="741"/>
      <c r="AG919" s="741"/>
      <c r="AH919" s="741"/>
      <c r="AI919" s="741"/>
      <c r="AJ919" s="741"/>
      <c r="AK919" s="741"/>
      <c r="AL919" s="741"/>
      <c r="AM919" s="741"/>
    </row>
    <row r="920" spans="1:39" ht="12.75" customHeight="1">
      <c r="A920" s="741"/>
      <c r="B920" s="741"/>
      <c r="C920" s="741"/>
      <c r="D920" s="741"/>
      <c r="E920" s="741"/>
      <c r="F920" s="741"/>
      <c r="G920" s="741"/>
      <c r="H920" s="741"/>
      <c r="I920" s="741"/>
      <c r="J920" s="741"/>
      <c r="K920" s="741"/>
      <c r="L920" s="741"/>
      <c r="M920" s="741"/>
      <c r="N920" s="741"/>
      <c r="O920" s="741"/>
      <c r="P920" s="741"/>
      <c r="Q920" s="741"/>
      <c r="R920" s="741"/>
      <c r="S920" s="741"/>
      <c r="T920" s="741"/>
      <c r="U920" s="741"/>
      <c r="V920" s="741"/>
      <c r="W920" s="741"/>
      <c r="X920" s="741"/>
      <c r="Y920" s="741"/>
      <c r="Z920" s="741"/>
      <c r="AA920" s="741"/>
      <c r="AB920" s="741"/>
      <c r="AC920" s="741"/>
      <c r="AD920" s="741"/>
      <c r="AE920" s="741"/>
      <c r="AF920" s="741"/>
      <c r="AG920" s="741"/>
      <c r="AH920" s="741"/>
      <c r="AI920" s="741"/>
      <c r="AJ920" s="741"/>
      <c r="AK920" s="741"/>
      <c r="AL920" s="741"/>
      <c r="AM920" s="741"/>
    </row>
    <row r="921" spans="1:39" ht="12.75" customHeight="1">
      <c r="A921" s="741"/>
      <c r="B921" s="741"/>
      <c r="C921" s="741"/>
      <c r="D921" s="741"/>
      <c r="E921" s="741"/>
      <c r="F921" s="741"/>
      <c r="G921" s="741"/>
      <c r="H921" s="741"/>
      <c r="I921" s="741"/>
      <c r="J921" s="741"/>
      <c r="K921" s="741"/>
      <c r="L921" s="741"/>
      <c r="M921" s="741"/>
      <c r="N921" s="741"/>
      <c r="O921" s="741"/>
      <c r="P921" s="741"/>
      <c r="Q921" s="741"/>
      <c r="R921" s="741"/>
      <c r="S921" s="741"/>
      <c r="T921" s="741"/>
      <c r="U921" s="741"/>
      <c r="V921" s="741"/>
      <c r="W921" s="741"/>
      <c r="X921" s="741"/>
      <c r="Y921" s="741"/>
      <c r="Z921" s="741"/>
      <c r="AA921" s="741"/>
      <c r="AB921" s="741"/>
      <c r="AC921" s="741"/>
      <c r="AD921" s="741"/>
      <c r="AE921" s="741"/>
      <c r="AF921" s="741"/>
      <c r="AG921" s="741"/>
      <c r="AH921" s="741"/>
      <c r="AI921" s="741"/>
      <c r="AJ921" s="741"/>
      <c r="AK921" s="741"/>
      <c r="AL921" s="741"/>
      <c r="AM921" s="741"/>
    </row>
    <row r="922" spans="1:39" ht="12.75" customHeight="1">
      <c r="A922" s="741"/>
      <c r="B922" s="741"/>
      <c r="C922" s="741"/>
      <c r="D922" s="741"/>
      <c r="E922" s="741"/>
      <c r="F922" s="741"/>
      <c r="G922" s="741"/>
      <c r="H922" s="741"/>
      <c r="I922" s="741"/>
      <c r="J922" s="741"/>
      <c r="K922" s="741"/>
      <c r="L922" s="741"/>
      <c r="M922" s="741"/>
      <c r="N922" s="741"/>
      <c r="O922" s="741"/>
      <c r="P922" s="741"/>
      <c r="Q922" s="741"/>
      <c r="R922" s="741"/>
      <c r="S922" s="741"/>
      <c r="T922" s="741"/>
      <c r="U922" s="741"/>
      <c r="V922" s="741"/>
      <c r="W922" s="741"/>
      <c r="X922" s="741"/>
      <c r="Y922" s="741"/>
      <c r="Z922" s="741"/>
      <c r="AA922" s="741"/>
      <c r="AB922" s="741"/>
      <c r="AC922" s="741"/>
      <c r="AD922" s="741"/>
      <c r="AE922" s="741"/>
      <c r="AF922" s="741"/>
      <c r="AG922" s="741"/>
      <c r="AH922" s="741"/>
      <c r="AI922" s="741"/>
      <c r="AJ922" s="741"/>
      <c r="AK922" s="741"/>
      <c r="AL922" s="741"/>
      <c r="AM922" s="741"/>
    </row>
    <row r="923" spans="1:39" ht="12.75" customHeight="1">
      <c r="A923" s="741"/>
      <c r="B923" s="741"/>
      <c r="C923" s="741"/>
      <c r="D923" s="741"/>
      <c r="E923" s="741"/>
      <c r="F923" s="741"/>
      <c r="G923" s="741"/>
      <c r="H923" s="741"/>
      <c r="I923" s="741"/>
      <c r="J923" s="741"/>
      <c r="K923" s="741"/>
      <c r="L923" s="741"/>
      <c r="M923" s="741"/>
      <c r="N923" s="741"/>
      <c r="O923" s="741"/>
      <c r="P923" s="741"/>
      <c r="Q923" s="741"/>
      <c r="R923" s="741"/>
      <c r="S923" s="741"/>
      <c r="T923" s="741"/>
      <c r="U923" s="741"/>
      <c r="V923" s="741"/>
      <c r="W923" s="741"/>
      <c r="X923" s="741"/>
      <c r="Y923" s="741"/>
      <c r="Z923" s="741"/>
      <c r="AA923" s="741"/>
      <c r="AB923" s="741"/>
      <c r="AC923" s="741"/>
      <c r="AD923" s="741"/>
      <c r="AE923" s="741"/>
      <c r="AF923" s="741"/>
      <c r="AG923" s="741"/>
      <c r="AH923" s="741"/>
      <c r="AI923" s="741"/>
      <c r="AJ923" s="741"/>
      <c r="AK923" s="741"/>
      <c r="AL923" s="741"/>
      <c r="AM923" s="741"/>
    </row>
    <row r="924" spans="1:39" ht="12.75" customHeight="1">
      <c r="A924" s="741"/>
      <c r="B924" s="741"/>
      <c r="C924" s="741"/>
      <c r="D924" s="741"/>
      <c r="E924" s="741"/>
      <c r="F924" s="741"/>
      <c r="G924" s="741"/>
      <c r="H924" s="741"/>
      <c r="I924" s="741"/>
      <c r="J924" s="741"/>
      <c r="K924" s="741"/>
      <c r="L924" s="741"/>
      <c r="M924" s="741"/>
      <c r="N924" s="741"/>
      <c r="O924" s="741"/>
      <c r="P924" s="741"/>
      <c r="Q924" s="741"/>
      <c r="R924" s="741"/>
      <c r="S924" s="741"/>
      <c r="T924" s="741"/>
      <c r="U924" s="741"/>
      <c r="V924" s="741"/>
      <c r="W924" s="741"/>
      <c r="X924" s="741"/>
      <c r="Y924" s="741"/>
      <c r="Z924" s="741"/>
      <c r="AA924" s="741"/>
      <c r="AB924" s="741"/>
      <c r="AC924" s="741"/>
      <c r="AD924" s="741"/>
      <c r="AE924" s="741"/>
      <c r="AF924" s="741"/>
      <c r="AG924" s="741"/>
      <c r="AH924" s="741"/>
      <c r="AI924" s="741"/>
      <c r="AJ924" s="741"/>
      <c r="AK924" s="741"/>
      <c r="AL924" s="741"/>
      <c r="AM924" s="741"/>
    </row>
    <row r="925" spans="1:39" ht="12.75" customHeight="1">
      <c r="A925" s="741"/>
      <c r="B925" s="741"/>
      <c r="C925" s="741"/>
      <c r="D925" s="741"/>
      <c r="E925" s="741"/>
      <c r="F925" s="741"/>
      <c r="G925" s="741"/>
      <c r="H925" s="741"/>
      <c r="I925" s="741"/>
      <c r="J925" s="741"/>
      <c r="K925" s="741"/>
      <c r="L925" s="741"/>
      <c r="M925" s="741"/>
      <c r="N925" s="741"/>
      <c r="O925" s="741"/>
      <c r="P925" s="741"/>
      <c r="Q925" s="741"/>
      <c r="R925" s="741"/>
      <c r="S925" s="741"/>
      <c r="T925" s="741"/>
      <c r="U925" s="741"/>
      <c r="V925" s="741"/>
      <c r="W925" s="741"/>
      <c r="X925" s="741"/>
      <c r="Y925" s="741"/>
      <c r="Z925" s="741"/>
      <c r="AA925" s="741"/>
      <c r="AB925" s="741"/>
      <c r="AC925" s="741"/>
      <c r="AD925" s="741"/>
      <c r="AE925" s="741"/>
      <c r="AF925" s="741"/>
      <c r="AG925" s="741"/>
      <c r="AH925" s="741"/>
      <c r="AI925" s="741"/>
      <c r="AJ925" s="741"/>
      <c r="AK925" s="741"/>
      <c r="AL925" s="741"/>
      <c r="AM925" s="741"/>
    </row>
    <row r="926" spans="1:39" ht="12.75" customHeight="1">
      <c r="A926" s="741"/>
      <c r="B926" s="741"/>
      <c r="C926" s="741"/>
      <c r="D926" s="741"/>
      <c r="E926" s="741"/>
      <c r="F926" s="741"/>
      <c r="G926" s="741"/>
      <c r="H926" s="741"/>
      <c r="I926" s="741"/>
      <c r="J926" s="741"/>
      <c r="K926" s="741"/>
      <c r="L926" s="741"/>
      <c r="M926" s="741"/>
      <c r="N926" s="741"/>
      <c r="O926" s="741"/>
      <c r="P926" s="741"/>
      <c r="Q926" s="741"/>
      <c r="R926" s="741"/>
      <c r="S926" s="741"/>
      <c r="T926" s="741"/>
      <c r="U926" s="741"/>
      <c r="V926" s="741"/>
      <c r="W926" s="741"/>
      <c r="X926" s="741"/>
      <c r="Y926" s="741"/>
      <c r="Z926" s="741"/>
      <c r="AA926" s="741"/>
      <c r="AB926" s="741"/>
      <c r="AC926" s="741"/>
      <c r="AD926" s="741"/>
      <c r="AE926" s="741"/>
      <c r="AF926" s="741"/>
      <c r="AG926" s="741"/>
      <c r="AH926" s="741"/>
      <c r="AI926" s="741"/>
      <c r="AJ926" s="741"/>
      <c r="AK926" s="741"/>
      <c r="AL926" s="741"/>
      <c r="AM926" s="741"/>
    </row>
    <row r="927" spans="1:39" ht="12.75" customHeight="1">
      <c r="A927" s="741"/>
      <c r="B927" s="741"/>
      <c r="C927" s="741"/>
      <c r="D927" s="741"/>
      <c r="E927" s="741"/>
      <c r="F927" s="741"/>
      <c r="G927" s="741"/>
      <c r="H927" s="741"/>
      <c r="I927" s="741"/>
      <c r="J927" s="741"/>
      <c r="K927" s="741"/>
      <c r="L927" s="741"/>
      <c r="M927" s="741"/>
      <c r="N927" s="741"/>
      <c r="O927" s="741"/>
      <c r="P927" s="741"/>
      <c r="Q927" s="741"/>
      <c r="R927" s="741"/>
      <c r="S927" s="741"/>
      <c r="T927" s="741"/>
      <c r="U927" s="741"/>
      <c r="V927" s="741"/>
      <c r="W927" s="741"/>
      <c r="X927" s="741"/>
      <c r="Y927" s="741"/>
      <c r="Z927" s="741"/>
      <c r="AA927" s="741"/>
      <c r="AB927" s="741"/>
      <c r="AC927" s="741"/>
      <c r="AD927" s="741"/>
      <c r="AE927" s="741"/>
      <c r="AF927" s="741"/>
      <c r="AG927" s="741"/>
      <c r="AH927" s="741"/>
      <c r="AI927" s="741"/>
      <c r="AJ927" s="741"/>
      <c r="AK927" s="741"/>
      <c r="AL927" s="741"/>
      <c r="AM927" s="741"/>
    </row>
    <row r="928" spans="1:39" ht="12.75" customHeight="1">
      <c r="A928" s="741"/>
      <c r="B928" s="741"/>
      <c r="C928" s="741"/>
      <c r="D928" s="741"/>
      <c r="E928" s="741"/>
      <c r="F928" s="741"/>
      <c r="G928" s="741"/>
      <c r="H928" s="741"/>
      <c r="I928" s="741"/>
      <c r="J928" s="741"/>
      <c r="K928" s="741"/>
      <c r="L928" s="741"/>
      <c r="M928" s="741"/>
      <c r="N928" s="741"/>
      <c r="O928" s="741"/>
      <c r="P928" s="741"/>
      <c r="Q928" s="741"/>
      <c r="R928" s="741"/>
      <c r="S928" s="741"/>
      <c r="T928" s="741"/>
      <c r="U928" s="741"/>
      <c r="V928" s="741"/>
      <c r="W928" s="741"/>
      <c r="X928" s="741"/>
      <c r="Y928" s="741"/>
      <c r="Z928" s="741"/>
      <c r="AA928" s="741"/>
      <c r="AB928" s="741"/>
      <c r="AC928" s="741"/>
      <c r="AD928" s="741"/>
      <c r="AE928" s="741"/>
      <c r="AF928" s="741"/>
      <c r="AG928" s="741"/>
      <c r="AH928" s="741"/>
      <c r="AI928" s="741"/>
      <c r="AJ928" s="741"/>
      <c r="AK928" s="741"/>
      <c r="AL928" s="741"/>
      <c r="AM928" s="741"/>
    </row>
    <row r="929" spans="1:39" ht="12.75" customHeight="1">
      <c r="A929" s="741"/>
      <c r="B929" s="741"/>
      <c r="C929" s="741"/>
      <c r="D929" s="741"/>
      <c r="E929" s="741"/>
      <c r="F929" s="741"/>
      <c r="G929" s="741"/>
      <c r="H929" s="741"/>
      <c r="I929" s="741"/>
      <c r="J929" s="741"/>
      <c r="K929" s="741"/>
      <c r="L929" s="741"/>
      <c r="M929" s="741"/>
      <c r="N929" s="741"/>
      <c r="O929" s="741"/>
      <c r="P929" s="741"/>
      <c r="Q929" s="741"/>
      <c r="R929" s="741"/>
      <c r="S929" s="741"/>
      <c r="T929" s="741"/>
      <c r="U929" s="741"/>
      <c r="V929" s="741"/>
      <c r="W929" s="741"/>
      <c r="X929" s="741"/>
      <c r="Y929" s="741"/>
      <c r="Z929" s="741"/>
      <c r="AA929" s="741"/>
      <c r="AB929" s="741"/>
      <c r="AC929" s="741"/>
      <c r="AD929" s="741"/>
      <c r="AE929" s="741"/>
      <c r="AF929" s="741"/>
      <c r="AG929" s="741"/>
      <c r="AH929" s="741"/>
      <c r="AI929" s="741"/>
      <c r="AJ929" s="741"/>
      <c r="AK929" s="741"/>
      <c r="AL929" s="741"/>
      <c r="AM929" s="741"/>
    </row>
    <row r="930" spans="1:39" ht="12.75" customHeight="1">
      <c r="A930" s="741"/>
      <c r="B930" s="741"/>
      <c r="C930" s="741"/>
      <c r="D930" s="741"/>
      <c r="E930" s="741"/>
      <c r="F930" s="741"/>
      <c r="G930" s="741"/>
      <c r="H930" s="741"/>
      <c r="I930" s="741"/>
      <c r="J930" s="741"/>
      <c r="K930" s="741"/>
      <c r="L930" s="741"/>
      <c r="M930" s="741"/>
      <c r="N930" s="741"/>
      <c r="O930" s="741"/>
      <c r="P930" s="741"/>
      <c r="Q930" s="741"/>
      <c r="R930" s="741"/>
      <c r="S930" s="741"/>
      <c r="T930" s="741"/>
      <c r="U930" s="741"/>
      <c r="V930" s="741"/>
      <c r="W930" s="741"/>
      <c r="X930" s="741"/>
      <c r="Y930" s="741"/>
      <c r="Z930" s="741"/>
      <c r="AA930" s="741"/>
      <c r="AB930" s="741"/>
      <c r="AC930" s="741"/>
      <c r="AD930" s="741"/>
      <c r="AE930" s="741"/>
      <c r="AF930" s="741"/>
      <c r="AG930" s="741"/>
      <c r="AH930" s="741"/>
      <c r="AI930" s="741"/>
      <c r="AJ930" s="741"/>
      <c r="AK930" s="741"/>
      <c r="AL930" s="741"/>
      <c r="AM930" s="741"/>
    </row>
    <row r="931" spans="1:39" ht="12.75" customHeight="1">
      <c r="A931" s="741"/>
      <c r="B931" s="741"/>
      <c r="C931" s="741"/>
      <c r="D931" s="741"/>
      <c r="E931" s="741"/>
      <c r="F931" s="741"/>
      <c r="G931" s="741"/>
      <c r="H931" s="741"/>
      <c r="I931" s="741"/>
      <c r="J931" s="741"/>
      <c r="K931" s="741"/>
      <c r="L931" s="741"/>
      <c r="M931" s="741"/>
      <c r="N931" s="741"/>
      <c r="O931" s="741"/>
      <c r="P931" s="741"/>
      <c r="Q931" s="741"/>
      <c r="R931" s="741"/>
      <c r="S931" s="741"/>
      <c r="T931" s="741"/>
      <c r="U931" s="741"/>
      <c r="V931" s="741"/>
      <c r="W931" s="741"/>
      <c r="X931" s="741"/>
      <c r="Y931" s="741"/>
      <c r="Z931" s="741"/>
      <c r="AA931" s="741"/>
      <c r="AB931" s="741"/>
      <c r="AC931" s="741"/>
      <c r="AD931" s="741"/>
      <c r="AE931" s="741"/>
      <c r="AF931" s="741"/>
      <c r="AG931" s="741"/>
      <c r="AH931" s="741"/>
      <c r="AI931" s="741"/>
      <c r="AJ931" s="741"/>
      <c r="AK931" s="741"/>
      <c r="AL931" s="741"/>
      <c r="AM931" s="741"/>
    </row>
    <row r="932" spans="1:39" ht="12.75" customHeight="1">
      <c r="A932" s="741"/>
      <c r="B932" s="741"/>
      <c r="C932" s="741"/>
      <c r="D932" s="741"/>
      <c r="E932" s="741"/>
      <c r="F932" s="741"/>
      <c r="G932" s="741"/>
      <c r="H932" s="741"/>
      <c r="I932" s="741"/>
      <c r="J932" s="741"/>
      <c r="K932" s="741"/>
      <c r="L932" s="741"/>
      <c r="M932" s="741"/>
      <c r="N932" s="741"/>
      <c r="O932" s="741"/>
      <c r="P932" s="741"/>
      <c r="Q932" s="741"/>
      <c r="R932" s="741"/>
      <c r="S932" s="741"/>
      <c r="T932" s="741"/>
      <c r="U932" s="741"/>
      <c r="V932" s="741"/>
      <c r="W932" s="741"/>
      <c r="X932" s="741"/>
      <c r="Y932" s="741"/>
      <c r="Z932" s="741"/>
      <c r="AA932" s="741"/>
      <c r="AB932" s="741"/>
      <c r="AC932" s="741"/>
      <c r="AD932" s="741"/>
      <c r="AE932" s="741"/>
      <c r="AF932" s="741"/>
      <c r="AG932" s="741"/>
      <c r="AH932" s="741"/>
      <c r="AI932" s="741"/>
      <c r="AJ932" s="741"/>
      <c r="AK932" s="741"/>
      <c r="AL932" s="741"/>
      <c r="AM932" s="741"/>
    </row>
    <row r="933" spans="1:39" ht="12.75" customHeight="1">
      <c r="A933" s="741"/>
      <c r="B933" s="741"/>
      <c r="C933" s="741"/>
      <c r="D933" s="741"/>
      <c r="E933" s="741"/>
      <c r="F933" s="741"/>
      <c r="G933" s="741"/>
      <c r="H933" s="741"/>
      <c r="I933" s="741"/>
      <c r="J933" s="741"/>
      <c r="K933" s="741"/>
      <c r="L933" s="741"/>
      <c r="M933" s="741"/>
      <c r="N933" s="741"/>
      <c r="O933" s="741"/>
      <c r="P933" s="741"/>
      <c r="Q933" s="741"/>
      <c r="R933" s="741"/>
      <c r="S933" s="741"/>
      <c r="T933" s="741"/>
      <c r="U933" s="741"/>
      <c r="V933" s="741"/>
      <c r="W933" s="741"/>
      <c r="X933" s="741"/>
      <c r="Y933" s="741"/>
      <c r="Z933" s="741"/>
      <c r="AA933" s="741"/>
      <c r="AB933" s="741"/>
      <c r="AC933" s="741"/>
      <c r="AD933" s="741"/>
      <c r="AE933" s="741"/>
      <c r="AF933" s="741"/>
      <c r="AG933" s="741"/>
      <c r="AH933" s="741"/>
      <c r="AI933" s="741"/>
      <c r="AJ933" s="741"/>
      <c r="AK933" s="741"/>
      <c r="AL933" s="741"/>
      <c r="AM933" s="741"/>
    </row>
    <row r="934" spans="1:39" ht="12.75" customHeight="1">
      <c r="A934" s="741"/>
      <c r="B934" s="741"/>
      <c r="C934" s="741"/>
      <c r="D934" s="741"/>
      <c r="E934" s="741"/>
      <c r="F934" s="741"/>
      <c r="G934" s="741"/>
      <c r="H934" s="741"/>
      <c r="I934" s="741"/>
      <c r="J934" s="741"/>
      <c r="K934" s="741"/>
      <c r="L934" s="741"/>
      <c r="M934" s="741"/>
      <c r="N934" s="741"/>
      <c r="O934" s="741"/>
      <c r="P934" s="741"/>
      <c r="Q934" s="741"/>
      <c r="R934" s="741"/>
      <c r="S934" s="741"/>
      <c r="T934" s="741"/>
      <c r="U934" s="741"/>
      <c r="V934" s="741"/>
      <c r="W934" s="741"/>
      <c r="X934" s="741"/>
      <c r="Y934" s="741"/>
      <c r="Z934" s="741"/>
      <c r="AA934" s="741"/>
      <c r="AB934" s="741"/>
      <c r="AC934" s="741"/>
      <c r="AD934" s="741"/>
      <c r="AE934" s="741"/>
      <c r="AF934" s="741"/>
      <c r="AG934" s="741"/>
      <c r="AH934" s="741"/>
      <c r="AI934" s="741"/>
      <c r="AJ934" s="741"/>
      <c r="AK934" s="741"/>
      <c r="AL934" s="741"/>
      <c r="AM934" s="741"/>
    </row>
    <row r="935" spans="1:39" ht="12.75" customHeight="1">
      <c r="A935" s="741"/>
      <c r="B935" s="741"/>
      <c r="C935" s="741"/>
      <c r="D935" s="741"/>
      <c r="E935" s="741"/>
      <c r="F935" s="741"/>
      <c r="G935" s="741"/>
      <c r="H935" s="741"/>
      <c r="I935" s="741"/>
      <c r="J935" s="741"/>
      <c r="K935" s="741"/>
      <c r="L935" s="741"/>
      <c r="M935" s="741"/>
      <c r="N935" s="741"/>
      <c r="O935" s="741"/>
      <c r="P935" s="741"/>
      <c r="Q935" s="741"/>
      <c r="R935" s="741"/>
      <c r="S935" s="741"/>
      <c r="T935" s="741"/>
      <c r="U935" s="741"/>
      <c r="V935" s="741"/>
      <c r="W935" s="741"/>
      <c r="X935" s="741"/>
      <c r="Y935" s="741"/>
      <c r="Z935" s="741"/>
      <c r="AA935" s="741"/>
      <c r="AB935" s="741"/>
      <c r="AC935" s="741"/>
      <c r="AD935" s="741"/>
      <c r="AE935" s="741"/>
      <c r="AF935" s="741"/>
      <c r="AG935" s="741"/>
      <c r="AH935" s="741"/>
      <c r="AI935" s="741"/>
      <c r="AJ935" s="741"/>
      <c r="AK935" s="741"/>
      <c r="AL935" s="741"/>
      <c r="AM935" s="741"/>
    </row>
    <row r="936" spans="1:39" ht="12.75" customHeight="1">
      <c r="A936" s="741"/>
      <c r="B936" s="741"/>
      <c r="C936" s="741"/>
      <c r="D936" s="741"/>
      <c r="E936" s="741"/>
      <c r="F936" s="741"/>
      <c r="G936" s="741"/>
      <c r="H936" s="741"/>
      <c r="I936" s="741"/>
      <c r="J936" s="741"/>
      <c r="K936" s="741"/>
      <c r="L936" s="741"/>
      <c r="M936" s="741"/>
      <c r="N936" s="741"/>
      <c r="O936" s="741"/>
      <c r="P936" s="741"/>
      <c r="Q936" s="741"/>
      <c r="R936" s="741"/>
      <c r="S936" s="741"/>
      <c r="T936" s="741"/>
      <c r="U936" s="741"/>
      <c r="V936" s="741"/>
      <c r="W936" s="741"/>
      <c r="X936" s="741"/>
      <c r="Y936" s="741"/>
      <c r="Z936" s="741"/>
      <c r="AA936" s="741"/>
      <c r="AB936" s="741"/>
      <c r="AC936" s="741"/>
      <c r="AD936" s="741"/>
      <c r="AE936" s="741"/>
      <c r="AF936" s="741"/>
      <c r="AG936" s="741"/>
      <c r="AH936" s="741"/>
      <c r="AI936" s="741"/>
      <c r="AJ936" s="741"/>
      <c r="AK936" s="741"/>
      <c r="AL936" s="741"/>
      <c r="AM936" s="741"/>
    </row>
    <row r="937" spans="1:39" ht="12.75" customHeight="1">
      <c r="A937" s="741"/>
      <c r="B937" s="741"/>
      <c r="C937" s="741"/>
      <c r="D937" s="741"/>
      <c r="E937" s="741"/>
      <c r="F937" s="741"/>
      <c r="G937" s="741"/>
      <c r="H937" s="741"/>
      <c r="I937" s="741"/>
      <c r="J937" s="741"/>
      <c r="K937" s="741"/>
      <c r="L937" s="741"/>
      <c r="M937" s="741"/>
      <c r="N937" s="741"/>
      <c r="O937" s="741"/>
      <c r="P937" s="741"/>
      <c r="Q937" s="741"/>
      <c r="R937" s="741"/>
      <c r="S937" s="741"/>
      <c r="T937" s="741"/>
      <c r="U937" s="741"/>
      <c r="V937" s="741"/>
      <c r="W937" s="741"/>
      <c r="X937" s="741"/>
      <c r="Y937" s="741"/>
      <c r="Z937" s="741"/>
      <c r="AA937" s="741"/>
      <c r="AB937" s="741"/>
      <c r="AC937" s="741"/>
      <c r="AD937" s="741"/>
      <c r="AE937" s="741"/>
      <c r="AF937" s="741"/>
      <c r="AG937" s="741"/>
      <c r="AH937" s="741"/>
      <c r="AI937" s="741"/>
      <c r="AJ937" s="741"/>
      <c r="AK937" s="741"/>
      <c r="AL937" s="741"/>
      <c r="AM937" s="741"/>
    </row>
    <row r="938" spans="1:39" ht="12.75" customHeight="1">
      <c r="A938" s="741"/>
      <c r="B938" s="741"/>
      <c r="C938" s="741"/>
      <c r="D938" s="741"/>
      <c r="E938" s="741"/>
      <c r="F938" s="741"/>
      <c r="G938" s="741"/>
      <c r="H938" s="741"/>
      <c r="I938" s="741"/>
      <c r="J938" s="741"/>
      <c r="K938" s="741"/>
      <c r="L938" s="741"/>
      <c r="M938" s="741"/>
      <c r="N938" s="741"/>
      <c r="O938" s="741"/>
      <c r="P938" s="741"/>
      <c r="Q938" s="741"/>
      <c r="R938" s="741"/>
      <c r="S938" s="741"/>
      <c r="T938" s="741"/>
      <c r="U938" s="741"/>
      <c r="V938" s="741"/>
      <c r="W938" s="741"/>
      <c r="X938" s="741"/>
      <c r="Y938" s="741"/>
      <c r="Z938" s="741"/>
      <c r="AA938" s="741"/>
      <c r="AB938" s="741"/>
      <c r="AC938" s="741"/>
      <c r="AD938" s="741"/>
      <c r="AE938" s="741"/>
      <c r="AF938" s="741"/>
      <c r="AG938" s="741"/>
      <c r="AH938" s="741"/>
      <c r="AI938" s="741"/>
      <c r="AJ938" s="741"/>
      <c r="AK938" s="741"/>
      <c r="AL938" s="741"/>
      <c r="AM938" s="741"/>
    </row>
    <row r="939" spans="1:39" ht="12.75" customHeight="1">
      <c r="A939" s="741"/>
      <c r="B939" s="741"/>
      <c r="C939" s="741"/>
      <c r="D939" s="741"/>
      <c r="E939" s="741"/>
      <c r="F939" s="741"/>
      <c r="G939" s="741"/>
      <c r="H939" s="741"/>
      <c r="I939" s="741"/>
      <c r="J939" s="741"/>
      <c r="K939" s="741"/>
      <c r="L939" s="741"/>
      <c r="M939" s="741"/>
      <c r="N939" s="741"/>
      <c r="O939" s="741"/>
      <c r="P939" s="741"/>
      <c r="Q939" s="741"/>
      <c r="R939" s="741"/>
      <c r="S939" s="741"/>
      <c r="T939" s="741"/>
      <c r="U939" s="741"/>
      <c r="V939" s="741"/>
      <c r="W939" s="741"/>
      <c r="X939" s="741"/>
      <c r="Y939" s="741"/>
      <c r="Z939" s="741"/>
      <c r="AA939" s="741"/>
      <c r="AB939" s="741"/>
      <c r="AC939" s="741"/>
      <c r="AD939" s="741"/>
      <c r="AE939" s="741"/>
      <c r="AF939" s="741"/>
      <c r="AG939" s="741"/>
      <c r="AH939" s="741"/>
      <c r="AI939" s="741"/>
      <c r="AJ939" s="741"/>
      <c r="AK939" s="741"/>
      <c r="AL939" s="741"/>
      <c r="AM939" s="741"/>
    </row>
    <row r="940" spans="1:39" ht="12.75" customHeight="1">
      <c r="A940" s="741"/>
      <c r="B940" s="741"/>
      <c r="C940" s="741"/>
      <c r="D940" s="741"/>
      <c r="E940" s="741"/>
      <c r="F940" s="741"/>
      <c r="G940" s="741"/>
      <c r="H940" s="741"/>
      <c r="I940" s="741"/>
      <c r="J940" s="741"/>
      <c r="K940" s="741"/>
      <c r="L940" s="741"/>
      <c r="M940" s="741"/>
      <c r="N940" s="741"/>
      <c r="O940" s="741"/>
      <c r="P940" s="741"/>
      <c r="Q940" s="741"/>
      <c r="R940" s="741"/>
      <c r="S940" s="741"/>
      <c r="T940" s="741"/>
      <c r="U940" s="741"/>
      <c r="V940" s="741"/>
      <c r="W940" s="741"/>
      <c r="X940" s="741"/>
      <c r="Y940" s="741"/>
      <c r="Z940" s="741"/>
      <c r="AA940" s="741"/>
      <c r="AB940" s="741"/>
      <c r="AC940" s="741"/>
      <c r="AD940" s="741"/>
      <c r="AE940" s="741"/>
      <c r="AF940" s="741"/>
      <c r="AG940" s="741"/>
      <c r="AH940" s="741"/>
      <c r="AI940" s="741"/>
      <c r="AJ940" s="741"/>
      <c r="AK940" s="741"/>
      <c r="AL940" s="741"/>
      <c r="AM940" s="741"/>
    </row>
    <row r="941" spans="1:39" ht="12.75" customHeight="1">
      <c r="A941" s="741"/>
      <c r="B941" s="741"/>
      <c r="C941" s="741"/>
      <c r="D941" s="741"/>
      <c r="E941" s="741"/>
      <c r="F941" s="741"/>
      <c r="G941" s="741"/>
      <c r="H941" s="741"/>
      <c r="I941" s="741"/>
      <c r="J941" s="741"/>
      <c r="K941" s="741"/>
      <c r="L941" s="741"/>
      <c r="M941" s="741"/>
      <c r="N941" s="741"/>
      <c r="O941" s="741"/>
      <c r="P941" s="741"/>
      <c r="Q941" s="741"/>
      <c r="R941" s="741"/>
      <c r="S941" s="741"/>
      <c r="T941" s="741"/>
      <c r="U941" s="741"/>
      <c r="V941" s="741"/>
      <c r="W941" s="741"/>
      <c r="X941" s="741"/>
      <c r="Y941" s="741"/>
      <c r="Z941" s="741"/>
      <c r="AA941" s="741"/>
      <c r="AB941" s="741"/>
      <c r="AC941" s="741"/>
      <c r="AD941" s="741"/>
      <c r="AE941" s="741"/>
      <c r="AF941" s="741"/>
      <c r="AG941" s="741"/>
      <c r="AH941" s="741"/>
      <c r="AI941" s="741"/>
      <c r="AJ941" s="741"/>
      <c r="AK941" s="741"/>
      <c r="AL941" s="741"/>
      <c r="AM941" s="741"/>
    </row>
    <row r="942" spans="1:39" ht="12.75" customHeight="1">
      <c r="A942" s="741"/>
      <c r="B942" s="741"/>
      <c r="C942" s="741"/>
      <c r="D942" s="741"/>
      <c r="E942" s="741"/>
      <c r="F942" s="741"/>
      <c r="G942" s="741"/>
      <c r="H942" s="741"/>
      <c r="I942" s="741"/>
      <c r="J942" s="741"/>
      <c r="K942" s="741"/>
      <c r="L942" s="741"/>
      <c r="M942" s="741"/>
      <c r="N942" s="741"/>
      <c r="O942" s="741"/>
      <c r="P942" s="741"/>
      <c r="Q942" s="741"/>
      <c r="R942" s="741"/>
      <c r="S942" s="741"/>
      <c r="T942" s="741"/>
      <c r="U942" s="741"/>
      <c r="V942" s="741"/>
      <c r="W942" s="741"/>
      <c r="X942" s="741"/>
      <c r="Y942" s="741"/>
      <c r="Z942" s="741"/>
      <c r="AA942" s="741"/>
      <c r="AB942" s="741"/>
      <c r="AC942" s="741"/>
      <c r="AD942" s="741"/>
      <c r="AE942" s="741"/>
      <c r="AF942" s="741"/>
      <c r="AG942" s="741"/>
      <c r="AH942" s="741"/>
      <c r="AI942" s="741"/>
      <c r="AJ942" s="741"/>
      <c r="AK942" s="741"/>
      <c r="AL942" s="741"/>
      <c r="AM942" s="741"/>
    </row>
    <row r="943" spans="1:39" ht="12.75" customHeight="1">
      <c r="A943" s="741"/>
      <c r="B943" s="741"/>
      <c r="C943" s="741"/>
      <c r="D943" s="741"/>
      <c r="E943" s="741"/>
      <c r="F943" s="741"/>
      <c r="G943" s="741"/>
      <c r="H943" s="741"/>
      <c r="I943" s="741"/>
      <c r="J943" s="741"/>
      <c r="K943" s="741"/>
      <c r="L943" s="741"/>
      <c r="M943" s="741"/>
      <c r="N943" s="741"/>
      <c r="O943" s="741"/>
      <c r="P943" s="741"/>
      <c r="Q943" s="741"/>
      <c r="R943" s="741"/>
      <c r="S943" s="741"/>
      <c r="T943" s="741"/>
      <c r="U943" s="741"/>
      <c r="V943" s="741"/>
      <c r="W943" s="741"/>
      <c r="X943" s="741"/>
      <c r="Y943" s="741"/>
      <c r="Z943" s="741"/>
      <c r="AA943" s="741"/>
      <c r="AB943" s="741"/>
      <c r="AC943" s="741"/>
      <c r="AD943" s="741"/>
      <c r="AE943" s="741"/>
      <c r="AF943" s="741"/>
      <c r="AG943" s="741"/>
      <c r="AH943" s="741"/>
      <c r="AI943" s="741"/>
      <c r="AJ943" s="741"/>
      <c r="AK943" s="741"/>
      <c r="AL943" s="741"/>
      <c r="AM943" s="741"/>
    </row>
    <row r="944" spans="1:39" ht="12.75" customHeight="1">
      <c r="A944" s="741"/>
      <c r="B944" s="741"/>
      <c r="C944" s="741"/>
      <c r="D944" s="741"/>
      <c r="E944" s="741"/>
      <c r="F944" s="741"/>
      <c r="G944" s="741"/>
      <c r="H944" s="741"/>
      <c r="I944" s="741"/>
      <c r="J944" s="741"/>
      <c r="K944" s="741"/>
      <c r="L944" s="741"/>
      <c r="M944" s="741"/>
      <c r="N944" s="741"/>
      <c r="O944" s="741"/>
      <c r="P944" s="741"/>
      <c r="Q944" s="741"/>
      <c r="R944" s="741"/>
      <c r="S944" s="741"/>
      <c r="T944" s="741"/>
      <c r="U944" s="741"/>
      <c r="V944" s="741"/>
      <c r="W944" s="741"/>
      <c r="X944" s="741"/>
      <c r="Y944" s="741"/>
      <c r="Z944" s="741"/>
      <c r="AA944" s="741"/>
      <c r="AB944" s="741"/>
      <c r="AC944" s="741"/>
      <c r="AD944" s="741"/>
      <c r="AE944" s="741"/>
      <c r="AF944" s="741"/>
      <c r="AG944" s="741"/>
      <c r="AH944" s="741"/>
      <c r="AI944" s="741"/>
      <c r="AJ944" s="741"/>
      <c r="AK944" s="741"/>
      <c r="AL944" s="741"/>
      <c r="AM944" s="741"/>
    </row>
    <row r="945" spans="1:39" ht="12.75" customHeight="1">
      <c r="A945" s="741"/>
      <c r="B945" s="741"/>
      <c r="C945" s="741"/>
      <c r="D945" s="741"/>
      <c r="E945" s="741"/>
      <c r="F945" s="741"/>
      <c r="G945" s="741"/>
      <c r="H945" s="741"/>
      <c r="I945" s="741"/>
      <c r="J945" s="741"/>
      <c r="K945" s="741"/>
      <c r="L945" s="741"/>
      <c r="M945" s="741"/>
      <c r="N945" s="741"/>
      <c r="O945" s="741"/>
      <c r="P945" s="741"/>
      <c r="Q945" s="741"/>
      <c r="R945" s="741"/>
      <c r="S945" s="741"/>
      <c r="T945" s="741"/>
      <c r="U945" s="741"/>
      <c r="V945" s="741"/>
      <c r="W945" s="741"/>
      <c r="X945" s="741"/>
      <c r="Y945" s="741"/>
      <c r="Z945" s="741"/>
      <c r="AA945" s="741"/>
      <c r="AB945" s="741"/>
      <c r="AC945" s="741"/>
      <c r="AD945" s="741"/>
      <c r="AE945" s="741"/>
      <c r="AF945" s="741"/>
      <c r="AG945" s="741"/>
      <c r="AH945" s="741"/>
      <c r="AI945" s="741"/>
      <c r="AJ945" s="741"/>
      <c r="AK945" s="741"/>
      <c r="AL945" s="741"/>
      <c r="AM945" s="741"/>
    </row>
    <row r="946" spans="1:39" ht="12.75" customHeight="1">
      <c r="A946" s="741"/>
      <c r="B946" s="741"/>
      <c r="C946" s="741"/>
      <c r="D946" s="741"/>
      <c r="E946" s="741"/>
      <c r="F946" s="741"/>
      <c r="G946" s="741"/>
      <c r="H946" s="741"/>
      <c r="I946" s="741"/>
      <c r="J946" s="741"/>
      <c r="K946" s="741"/>
      <c r="L946" s="741"/>
      <c r="M946" s="741"/>
      <c r="N946" s="741"/>
      <c r="O946" s="741"/>
      <c r="P946" s="741"/>
      <c r="Q946" s="741"/>
      <c r="R946" s="741"/>
      <c r="S946" s="741"/>
      <c r="T946" s="741"/>
      <c r="U946" s="741"/>
      <c r="V946" s="741"/>
      <c r="W946" s="741"/>
      <c r="X946" s="741"/>
      <c r="Y946" s="741"/>
      <c r="Z946" s="741"/>
      <c r="AA946" s="741"/>
      <c r="AB946" s="741"/>
      <c r="AC946" s="741"/>
      <c r="AD946" s="741"/>
      <c r="AE946" s="741"/>
      <c r="AF946" s="741"/>
      <c r="AG946" s="741"/>
      <c r="AH946" s="741"/>
      <c r="AI946" s="741"/>
      <c r="AJ946" s="741"/>
      <c r="AK946" s="741"/>
      <c r="AL946" s="741"/>
      <c r="AM946" s="741"/>
    </row>
    <row r="947" spans="1:39" ht="12.75" customHeight="1">
      <c r="A947" s="741"/>
      <c r="B947" s="741"/>
      <c r="C947" s="741"/>
      <c r="D947" s="741"/>
      <c r="E947" s="741"/>
      <c r="F947" s="741"/>
      <c r="G947" s="741"/>
      <c r="H947" s="741"/>
      <c r="I947" s="741"/>
      <c r="J947" s="741"/>
      <c r="K947" s="741"/>
      <c r="L947" s="741"/>
      <c r="M947" s="741"/>
      <c r="N947" s="741"/>
      <c r="O947" s="741"/>
      <c r="P947" s="741"/>
      <c r="Q947" s="741"/>
      <c r="R947" s="741"/>
      <c r="S947" s="741"/>
      <c r="T947" s="741"/>
      <c r="U947" s="741"/>
      <c r="V947" s="741"/>
      <c r="W947" s="741"/>
      <c r="X947" s="741"/>
      <c r="Y947" s="741"/>
      <c r="Z947" s="741"/>
      <c r="AA947" s="741"/>
      <c r="AB947" s="741"/>
      <c r="AC947" s="741"/>
      <c r="AD947" s="741"/>
      <c r="AE947" s="741"/>
      <c r="AF947" s="741"/>
      <c r="AG947" s="741"/>
      <c r="AH947" s="741"/>
      <c r="AI947" s="741"/>
      <c r="AJ947" s="741"/>
      <c r="AK947" s="741"/>
      <c r="AL947" s="741"/>
      <c r="AM947" s="741"/>
    </row>
    <row r="948" spans="1:39" ht="12.75" customHeight="1">
      <c r="A948" s="741"/>
      <c r="B948" s="741"/>
      <c r="C948" s="741"/>
      <c r="D948" s="741"/>
      <c r="E948" s="741"/>
      <c r="F948" s="741"/>
      <c r="G948" s="741"/>
      <c r="H948" s="741"/>
      <c r="I948" s="741"/>
      <c r="J948" s="741"/>
      <c r="K948" s="741"/>
      <c r="L948" s="741"/>
      <c r="M948" s="741"/>
      <c r="N948" s="741"/>
      <c r="O948" s="741"/>
      <c r="P948" s="741"/>
      <c r="Q948" s="741"/>
      <c r="R948" s="741"/>
      <c r="S948" s="741"/>
      <c r="T948" s="741"/>
      <c r="U948" s="741"/>
      <c r="V948" s="741"/>
      <c r="W948" s="741"/>
      <c r="X948" s="741"/>
      <c r="Y948" s="741"/>
      <c r="Z948" s="741"/>
      <c r="AA948" s="741"/>
      <c r="AB948" s="741"/>
      <c r="AC948" s="741"/>
      <c r="AD948" s="741"/>
      <c r="AE948" s="741"/>
      <c r="AF948" s="741"/>
      <c r="AG948" s="741"/>
      <c r="AH948" s="741"/>
      <c r="AI948" s="741"/>
      <c r="AJ948" s="741"/>
      <c r="AK948" s="741"/>
      <c r="AL948" s="741"/>
      <c r="AM948" s="741"/>
    </row>
    <row r="949" spans="1:39" ht="12.75" customHeight="1">
      <c r="A949" s="741"/>
      <c r="B949" s="741"/>
      <c r="C949" s="741"/>
      <c r="D949" s="741"/>
      <c r="E949" s="741"/>
      <c r="F949" s="741"/>
      <c r="G949" s="741"/>
      <c r="H949" s="741"/>
      <c r="I949" s="741"/>
      <c r="J949" s="741"/>
      <c r="K949" s="741"/>
      <c r="L949" s="741"/>
      <c r="M949" s="741"/>
      <c r="N949" s="741"/>
      <c r="O949" s="741"/>
      <c r="P949" s="741"/>
      <c r="Q949" s="741"/>
      <c r="R949" s="741"/>
      <c r="S949" s="741"/>
      <c r="T949" s="741"/>
      <c r="U949" s="741"/>
      <c r="V949" s="741"/>
      <c r="W949" s="741"/>
      <c r="X949" s="741"/>
      <c r="Y949" s="741"/>
      <c r="Z949" s="741"/>
      <c r="AA949" s="741"/>
      <c r="AB949" s="741"/>
      <c r="AC949" s="741"/>
      <c r="AD949" s="741"/>
      <c r="AE949" s="741"/>
      <c r="AF949" s="741"/>
      <c r="AG949" s="741"/>
      <c r="AH949" s="741"/>
      <c r="AI949" s="741"/>
      <c r="AJ949" s="741"/>
      <c r="AK949" s="741"/>
      <c r="AL949" s="741"/>
      <c r="AM949" s="741"/>
    </row>
    <row r="950" spans="1:39" ht="12.75" customHeight="1">
      <c r="A950" s="741"/>
      <c r="B950" s="741"/>
      <c r="C950" s="741"/>
      <c r="D950" s="741"/>
      <c r="E950" s="741"/>
      <c r="F950" s="741"/>
      <c r="G950" s="741"/>
      <c r="H950" s="741"/>
      <c r="I950" s="741"/>
      <c r="J950" s="741"/>
      <c r="K950" s="741"/>
      <c r="L950" s="741"/>
      <c r="M950" s="741"/>
      <c r="N950" s="741"/>
      <c r="O950" s="741"/>
      <c r="P950" s="741"/>
      <c r="Q950" s="741"/>
      <c r="R950" s="741"/>
      <c r="S950" s="741"/>
      <c r="T950" s="741"/>
      <c r="U950" s="741"/>
      <c r="V950" s="741"/>
      <c r="W950" s="741"/>
      <c r="X950" s="741"/>
      <c r="Y950" s="741"/>
      <c r="Z950" s="741"/>
      <c r="AA950" s="741"/>
      <c r="AB950" s="741"/>
      <c r="AC950" s="741"/>
      <c r="AD950" s="741"/>
      <c r="AE950" s="741"/>
      <c r="AF950" s="741"/>
      <c r="AG950" s="741"/>
      <c r="AH950" s="741"/>
      <c r="AI950" s="741"/>
      <c r="AJ950" s="741"/>
      <c r="AK950" s="741"/>
      <c r="AL950" s="741"/>
      <c r="AM950" s="741"/>
    </row>
    <row r="951" spans="1:39" ht="12.75" customHeight="1">
      <c r="A951" s="741"/>
      <c r="B951" s="741"/>
      <c r="C951" s="741"/>
      <c r="D951" s="741"/>
      <c r="E951" s="741"/>
      <c r="F951" s="741"/>
      <c r="G951" s="741"/>
      <c r="H951" s="741"/>
      <c r="I951" s="741"/>
      <c r="J951" s="741"/>
      <c r="K951" s="741"/>
      <c r="L951" s="741"/>
      <c r="M951" s="741"/>
      <c r="N951" s="741"/>
      <c r="O951" s="741"/>
      <c r="P951" s="741"/>
      <c r="Q951" s="741"/>
      <c r="R951" s="741"/>
      <c r="S951" s="741"/>
      <c r="T951" s="741"/>
      <c r="U951" s="741"/>
      <c r="V951" s="741"/>
      <c r="W951" s="741"/>
      <c r="X951" s="741"/>
      <c r="Y951" s="741"/>
      <c r="Z951" s="741"/>
      <c r="AA951" s="741"/>
      <c r="AB951" s="741"/>
      <c r="AC951" s="741"/>
      <c r="AD951" s="741"/>
      <c r="AE951" s="741"/>
      <c r="AF951" s="741"/>
      <c r="AG951" s="741"/>
      <c r="AH951" s="741"/>
      <c r="AI951" s="741"/>
      <c r="AJ951" s="741"/>
      <c r="AK951" s="741"/>
      <c r="AL951" s="741"/>
      <c r="AM951" s="741"/>
    </row>
    <row r="952" spans="1:39" ht="12.75" customHeight="1">
      <c r="A952" s="741"/>
      <c r="B952" s="741"/>
      <c r="C952" s="741"/>
      <c r="D952" s="741"/>
      <c r="E952" s="741"/>
      <c r="F952" s="741"/>
      <c r="G952" s="741"/>
      <c r="H952" s="741"/>
      <c r="I952" s="741"/>
      <c r="J952" s="741"/>
      <c r="K952" s="741"/>
      <c r="L952" s="741"/>
      <c r="M952" s="741"/>
      <c r="N952" s="741"/>
      <c r="O952" s="741"/>
      <c r="P952" s="741"/>
      <c r="Q952" s="741"/>
      <c r="R952" s="741"/>
      <c r="S952" s="741"/>
      <c r="T952" s="741"/>
      <c r="U952" s="741"/>
      <c r="V952" s="741"/>
      <c r="W952" s="741"/>
      <c r="X952" s="741"/>
      <c r="Y952" s="741"/>
      <c r="Z952" s="741"/>
      <c r="AA952" s="741"/>
      <c r="AB952" s="741"/>
      <c r="AC952" s="741"/>
      <c r="AD952" s="741"/>
      <c r="AE952" s="741"/>
      <c r="AF952" s="741"/>
      <c r="AG952" s="741"/>
      <c r="AH952" s="741"/>
      <c r="AI952" s="741"/>
      <c r="AJ952" s="741"/>
      <c r="AK952" s="741"/>
      <c r="AL952" s="741"/>
      <c r="AM952" s="741"/>
    </row>
    <row r="953" spans="1:39" ht="12.75" customHeight="1">
      <c r="A953" s="741"/>
      <c r="B953" s="741"/>
      <c r="C953" s="741"/>
      <c r="D953" s="741"/>
      <c r="E953" s="741"/>
      <c r="F953" s="741"/>
      <c r="G953" s="741"/>
      <c r="H953" s="741"/>
      <c r="I953" s="741"/>
      <c r="J953" s="741"/>
      <c r="K953" s="741"/>
      <c r="L953" s="741"/>
      <c r="M953" s="741"/>
      <c r="N953" s="741"/>
      <c r="O953" s="741"/>
      <c r="P953" s="741"/>
      <c r="Q953" s="741"/>
      <c r="R953" s="741"/>
      <c r="S953" s="741"/>
      <c r="T953" s="741"/>
      <c r="U953" s="741"/>
      <c r="V953" s="741"/>
      <c r="W953" s="741"/>
      <c r="X953" s="741"/>
      <c r="Y953" s="741"/>
      <c r="Z953" s="741"/>
      <c r="AA953" s="741"/>
      <c r="AB953" s="741"/>
      <c r="AC953" s="741"/>
      <c r="AD953" s="741"/>
      <c r="AE953" s="741"/>
      <c r="AF953" s="741"/>
      <c r="AG953" s="741"/>
      <c r="AH953" s="741"/>
      <c r="AI953" s="741"/>
      <c r="AJ953" s="741"/>
      <c r="AK953" s="741"/>
      <c r="AL953" s="741"/>
      <c r="AM953" s="741"/>
    </row>
    <row r="954" spans="1:39" ht="12.75" customHeight="1">
      <c r="A954" s="741"/>
      <c r="B954" s="741"/>
      <c r="C954" s="741"/>
      <c r="D954" s="741"/>
      <c r="E954" s="741"/>
      <c r="F954" s="741"/>
      <c r="G954" s="741"/>
      <c r="H954" s="741"/>
      <c r="I954" s="741"/>
      <c r="J954" s="741"/>
      <c r="K954" s="741"/>
      <c r="L954" s="741"/>
      <c r="M954" s="741"/>
      <c r="N954" s="741"/>
      <c r="O954" s="741"/>
      <c r="P954" s="741"/>
      <c r="Q954" s="741"/>
      <c r="R954" s="741"/>
      <c r="S954" s="741"/>
      <c r="T954" s="741"/>
      <c r="U954" s="741"/>
      <c r="V954" s="741"/>
      <c r="W954" s="741"/>
      <c r="X954" s="741"/>
      <c r="Y954" s="741"/>
      <c r="Z954" s="741"/>
      <c r="AA954" s="741"/>
      <c r="AB954" s="741"/>
      <c r="AC954" s="741"/>
      <c r="AD954" s="741"/>
      <c r="AE954" s="741"/>
      <c r="AF954" s="741"/>
      <c r="AG954" s="741"/>
      <c r="AH954" s="741"/>
      <c r="AI954" s="741"/>
      <c r="AJ954" s="741"/>
      <c r="AK954" s="741"/>
      <c r="AL954" s="741"/>
      <c r="AM954" s="741"/>
    </row>
    <row r="955" spans="1:39" ht="12.75" customHeight="1">
      <c r="A955" s="741"/>
      <c r="B955" s="741"/>
      <c r="C955" s="741"/>
      <c r="D955" s="741"/>
      <c r="E955" s="741"/>
      <c r="F955" s="741"/>
      <c r="G955" s="741"/>
      <c r="H955" s="741"/>
      <c r="I955" s="741"/>
      <c r="J955" s="741"/>
      <c r="K955" s="741"/>
      <c r="L955" s="741"/>
      <c r="M955" s="741"/>
      <c r="N955" s="741"/>
      <c r="O955" s="741"/>
      <c r="P955" s="741"/>
      <c r="Q955" s="741"/>
      <c r="R955" s="741"/>
      <c r="S955" s="741"/>
      <c r="T955" s="741"/>
      <c r="U955" s="741"/>
      <c r="V955" s="741"/>
      <c r="W955" s="741"/>
      <c r="X955" s="741"/>
      <c r="Y955" s="741"/>
      <c r="Z955" s="741"/>
      <c r="AA955" s="741"/>
      <c r="AB955" s="741"/>
      <c r="AC955" s="741"/>
      <c r="AD955" s="741"/>
      <c r="AE955" s="741"/>
      <c r="AF955" s="741"/>
      <c r="AG955" s="741"/>
      <c r="AH955" s="741"/>
      <c r="AI955" s="741"/>
      <c r="AJ955" s="741"/>
      <c r="AK955" s="741"/>
      <c r="AL955" s="741"/>
      <c r="AM955" s="741"/>
    </row>
    <row r="956" spans="1:39" ht="12.75" customHeight="1">
      <c r="A956" s="741"/>
      <c r="B956" s="741"/>
      <c r="C956" s="741"/>
      <c r="D956" s="741"/>
      <c r="E956" s="741"/>
      <c r="F956" s="741"/>
      <c r="G956" s="741"/>
      <c r="H956" s="741"/>
      <c r="I956" s="741"/>
      <c r="J956" s="741"/>
      <c r="K956" s="741"/>
      <c r="L956" s="741"/>
      <c r="M956" s="741"/>
      <c r="N956" s="741"/>
      <c r="O956" s="741"/>
      <c r="P956" s="741"/>
      <c r="Q956" s="741"/>
      <c r="R956" s="741"/>
      <c r="S956" s="741"/>
      <c r="T956" s="741"/>
      <c r="U956" s="741"/>
      <c r="V956" s="741"/>
      <c r="W956" s="741"/>
      <c r="X956" s="741"/>
      <c r="Y956" s="741"/>
      <c r="Z956" s="741"/>
      <c r="AA956" s="741"/>
      <c r="AB956" s="741"/>
      <c r="AC956" s="741"/>
      <c r="AD956" s="741"/>
      <c r="AE956" s="741"/>
      <c r="AF956" s="741"/>
      <c r="AG956" s="741"/>
      <c r="AH956" s="741"/>
      <c r="AI956" s="741"/>
      <c r="AJ956" s="741"/>
      <c r="AK956" s="741"/>
      <c r="AL956" s="741"/>
      <c r="AM956" s="741"/>
    </row>
    <row r="957" spans="1:39" ht="12.75" customHeight="1">
      <c r="A957" s="741"/>
      <c r="B957" s="741"/>
      <c r="C957" s="741"/>
      <c r="D957" s="741"/>
      <c r="E957" s="741"/>
      <c r="F957" s="741"/>
      <c r="G957" s="741"/>
      <c r="H957" s="741"/>
      <c r="I957" s="741"/>
      <c r="J957" s="741"/>
      <c r="K957" s="741"/>
      <c r="L957" s="741"/>
      <c r="M957" s="741"/>
      <c r="N957" s="741"/>
      <c r="O957" s="741"/>
      <c r="P957" s="741"/>
      <c r="Q957" s="741"/>
      <c r="R957" s="741"/>
      <c r="S957" s="741"/>
      <c r="T957" s="741"/>
      <c r="U957" s="741"/>
      <c r="V957" s="741"/>
      <c r="W957" s="741"/>
      <c r="X957" s="741"/>
      <c r="Y957" s="741"/>
      <c r="Z957" s="741"/>
      <c r="AA957" s="741"/>
      <c r="AB957" s="741"/>
      <c r="AC957" s="741"/>
      <c r="AD957" s="741"/>
      <c r="AE957" s="741"/>
      <c r="AF957" s="741"/>
      <c r="AG957" s="741"/>
      <c r="AH957" s="741"/>
      <c r="AI957" s="741"/>
      <c r="AJ957" s="741"/>
      <c r="AK957" s="741"/>
      <c r="AL957" s="741"/>
      <c r="AM957" s="741"/>
    </row>
    <row r="958" spans="1:39" ht="12.75" customHeight="1">
      <c r="A958" s="741"/>
      <c r="B958" s="741"/>
      <c r="C958" s="741"/>
      <c r="D958" s="741"/>
      <c r="E958" s="741"/>
      <c r="F958" s="741"/>
      <c r="G958" s="741"/>
      <c r="H958" s="741"/>
      <c r="I958" s="741"/>
      <c r="J958" s="741"/>
      <c r="K958" s="741"/>
      <c r="L958" s="741"/>
      <c r="M958" s="741"/>
      <c r="N958" s="741"/>
      <c r="O958" s="741"/>
      <c r="P958" s="741"/>
      <c r="Q958" s="741"/>
      <c r="R958" s="741"/>
      <c r="S958" s="741"/>
      <c r="T958" s="741"/>
      <c r="U958" s="741"/>
      <c r="V958" s="741"/>
      <c r="W958" s="741"/>
      <c r="X958" s="741"/>
      <c r="Y958" s="741"/>
      <c r="Z958" s="741"/>
      <c r="AA958" s="741"/>
      <c r="AB958" s="741"/>
      <c r="AC958" s="741"/>
      <c r="AD958" s="741"/>
      <c r="AE958" s="741"/>
      <c r="AF958" s="741"/>
      <c r="AG958" s="741"/>
      <c r="AH958" s="741"/>
      <c r="AI958" s="741"/>
      <c r="AJ958" s="741"/>
      <c r="AK958" s="741"/>
      <c r="AL958" s="741"/>
      <c r="AM958" s="741"/>
    </row>
    <row r="959" spans="1:39" ht="12.75" customHeight="1">
      <c r="A959" s="741"/>
      <c r="B959" s="741"/>
      <c r="C959" s="741"/>
      <c r="D959" s="741"/>
      <c r="E959" s="741"/>
      <c r="F959" s="741"/>
      <c r="G959" s="741"/>
      <c r="H959" s="741"/>
      <c r="I959" s="741"/>
      <c r="J959" s="741"/>
      <c r="K959" s="741"/>
      <c r="L959" s="741"/>
      <c r="M959" s="741"/>
      <c r="N959" s="741"/>
      <c r="O959" s="741"/>
      <c r="P959" s="741"/>
      <c r="Q959" s="741"/>
      <c r="R959" s="741"/>
      <c r="S959" s="741"/>
      <c r="T959" s="741"/>
      <c r="U959" s="741"/>
      <c r="V959" s="741"/>
      <c r="W959" s="741"/>
      <c r="X959" s="741"/>
      <c r="Y959" s="741"/>
      <c r="Z959" s="741"/>
      <c r="AA959" s="741"/>
      <c r="AB959" s="741"/>
      <c r="AC959" s="741"/>
      <c r="AD959" s="741"/>
      <c r="AE959" s="741"/>
      <c r="AF959" s="741"/>
      <c r="AG959" s="741"/>
      <c r="AH959" s="741"/>
      <c r="AI959" s="741"/>
      <c r="AJ959" s="741"/>
      <c r="AK959" s="741"/>
      <c r="AL959" s="741"/>
      <c r="AM959" s="741"/>
    </row>
    <row r="960" spans="1:39" ht="12.75" customHeight="1">
      <c r="A960" s="741"/>
      <c r="B960" s="741"/>
      <c r="C960" s="741"/>
      <c r="D960" s="741"/>
      <c r="E960" s="741"/>
      <c r="F960" s="741"/>
      <c r="G960" s="741"/>
      <c r="H960" s="741"/>
      <c r="I960" s="741"/>
      <c r="J960" s="741"/>
      <c r="K960" s="741"/>
      <c r="L960" s="741"/>
      <c r="M960" s="741"/>
      <c r="N960" s="741"/>
      <c r="O960" s="741"/>
      <c r="P960" s="741"/>
      <c r="Q960" s="741"/>
      <c r="R960" s="741"/>
      <c r="S960" s="741"/>
      <c r="T960" s="741"/>
      <c r="U960" s="741"/>
      <c r="V960" s="741"/>
      <c r="W960" s="741"/>
      <c r="X960" s="741"/>
      <c r="Y960" s="741"/>
      <c r="Z960" s="741"/>
      <c r="AA960" s="741"/>
      <c r="AB960" s="741"/>
      <c r="AC960" s="741"/>
      <c r="AD960" s="741"/>
      <c r="AE960" s="741"/>
      <c r="AF960" s="741"/>
      <c r="AG960" s="741"/>
      <c r="AH960" s="741"/>
      <c r="AI960" s="741"/>
      <c r="AJ960" s="741"/>
      <c r="AK960" s="741"/>
      <c r="AL960" s="741"/>
      <c r="AM960" s="741"/>
    </row>
    <row r="961" spans="1:39" ht="12.75" customHeight="1">
      <c r="A961" s="741"/>
      <c r="B961" s="741"/>
      <c r="C961" s="741"/>
      <c r="D961" s="741"/>
      <c r="E961" s="741"/>
      <c r="F961" s="741"/>
      <c r="G961" s="741"/>
      <c r="H961" s="741"/>
      <c r="I961" s="741"/>
      <c r="J961" s="741"/>
      <c r="K961" s="741"/>
      <c r="L961" s="741"/>
      <c r="M961" s="741"/>
      <c r="N961" s="741"/>
      <c r="O961" s="741"/>
      <c r="P961" s="741"/>
      <c r="Q961" s="741"/>
      <c r="R961" s="741"/>
      <c r="S961" s="741"/>
      <c r="T961" s="741"/>
      <c r="U961" s="741"/>
      <c r="V961" s="741"/>
      <c r="W961" s="741"/>
      <c r="X961" s="741"/>
      <c r="Y961" s="741"/>
      <c r="Z961" s="741"/>
      <c r="AA961" s="741"/>
      <c r="AB961" s="741"/>
      <c r="AC961" s="741"/>
      <c r="AD961" s="741"/>
      <c r="AE961" s="741"/>
      <c r="AF961" s="741"/>
      <c r="AG961" s="741"/>
      <c r="AH961" s="741"/>
      <c r="AI961" s="741"/>
      <c r="AJ961" s="741"/>
      <c r="AK961" s="741"/>
      <c r="AL961" s="741"/>
      <c r="AM961" s="741"/>
    </row>
    <row r="962" spans="1:39" ht="12.75" customHeight="1">
      <c r="A962" s="741"/>
      <c r="B962" s="741"/>
      <c r="C962" s="741"/>
      <c r="D962" s="741"/>
      <c r="E962" s="741"/>
      <c r="F962" s="741"/>
      <c r="G962" s="741"/>
      <c r="H962" s="741"/>
      <c r="I962" s="741"/>
      <c r="J962" s="741"/>
      <c r="K962" s="741"/>
      <c r="L962" s="741"/>
      <c r="M962" s="741"/>
      <c r="N962" s="741"/>
      <c r="O962" s="741"/>
      <c r="P962" s="741"/>
      <c r="Q962" s="741"/>
      <c r="R962" s="741"/>
      <c r="S962" s="741"/>
      <c r="T962" s="741"/>
      <c r="U962" s="741"/>
      <c r="V962" s="741"/>
      <c r="W962" s="741"/>
      <c r="X962" s="741"/>
      <c r="Y962" s="741"/>
      <c r="Z962" s="741"/>
      <c r="AA962" s="741"/>
      <c r="AB962" s="741"/>
      <c r="AC962" s="741"/>
      <c r="AD962" s="741"/>
      <c r="AE962" s="741"/>
      <c r="AF962" s="741"/>
      <c r="AG962" s="741"/>
      <c r="AH962" s="741"/>
      <c r="AI962" s="741"/>
      <c r="AJ962" s="741"/>
      <c r="AK962" s="741"/>
      <c r="AL962" s="741"/>
      <c r="AM962" s="741"/>
    </row>
    <row r="963" spans="1:39" ht="12.75" customHeight="1">
      <c r="A963" s="741"/>
      <c r="B963" s="741"/>
      <c r="C963" s="741"/>
      <c r="D963" s="741"/>
      <c r="E963" s="741"/>
      <c r="F963" s="741"/>
      <c r="G963" s="741"/>
      <c r="H963" s="741"/>
      <c r="I963" s="741"/>
      <c r="J963" s="741"/>
      <c r="K963" s="741"/>
      <c r="L963" s="741"/>
      <c r="M963" s="741"/>
      <c r="N963" s="741"/>
      <c r="O963" s="741"/>
      <c r="P963" s="741"/>
      <c r="Q963" s="741"/>
      <c r="R963" s="741"/>
      <c r="S963" s="741"/>
      <c r="T963" s="741"/>
      <c r="U963" s="741"/>
      <c r="V963" s="741"/>
      <c r="W963" s="741"/>
      <c r="X963" s="741"/>
      <c r="Y963" s="741"/>
      <c r="Z963" s="741"/>
      <c r="AA963" s="741"/>
      <c r="AB963" s="741"/>
      <c r="AC963" s="741"/>
      <c r="AD963" s="741"/>
      <c r="AE963" s="741"/>
      <c r="AF963" s="741"/>
      <c r="AG963" s="741"/>
      <c r="AH963" s="741"/>
      <c r="AI963" s="741"/>
      <c r="AJ963" s="741"/>
      <c r="AK963" s="741"/>
      <c r="AL963" s="741"/>
      <c r="AM963" s="741"/>
    </row>
    <row r="964" spans="1:39" ht="12.75" customHeight="1">
      <c r="A964" s="741"/>
      <c r="B964" s="741"/>
      <c r="C964" s="741"/>
      <c r="D964" s="741"/>
      <c r="E964" s="741"/>
      <c r="F964" s="741"/>
      <c r="G964" s="741"/>
      <c r="H964" s="741"/>
      <c r="I964" s="741"/>
      <c r="J964" s="741"/>
      <c r="K964" s="741"/>
      <c r="L964" s="741"/>
      <c r="M964" s="741"/>
      <c r="N964" s="741"/>
      <c r="O964" s="741"/>
      <c r="P964" s="741"/>
      <c r="Q964" s="741"/>
      <c r="R964" s="741"/>
      <c r="S964" s="741"/>
      <c r="T964" s="741"/>
      <c r="U964" s="741"/>
      <c r="V964" s="741"/>
      <c r="W964" s="741"/>
      <c r="X964" s="741"/>
      <c r="Y964" s="741"/>
      <c r="Z964" s="741"/>
      <c r="AA964" s="741"/>
      <c r="AB964" s="741"/>
      <c r="AC964" s="741"/>
      <c r="AD964" s="741"/>
      <c r="AE964" s="741"/>
      <c r="AF964" s="741"/>
      <c r="AG964" s="741"/>
      <c r="AH964" s="741"/>
      <c r="AI964" s="741"/>
      <c r="AJ964" s="741"/>
      <c r="AK964" s="741"/>
      <c r="AL964" s="741"/>
      <c r="AM964" s="741"/>
    </row>
    <row r="965" spans="1:39" ht="12.75" customHeight="1">
      <c r="A965" s="741"/>
      <c r="B965" s="741"/>
      <c r="C965" s="741"/>
      <c r="D965" s="741"/>
      <c r="E965" s="741"/>
      <c r="F965" s="741"/>
      <c r="G965" s="741"/>
      <c r="H965" s="741"/>
      <c r="I965" s="741"/>
      <c r="J965" s="741"/>
      <c r="K965" s="741"/>
      <c r="L965" s="741"/>
      <c r="M965" s="741"/>
      <c r="N965" s="741"/>
      <c r="O965" s="741"/>
      <c r="P965" s="741"/>
      <c r="Q965" s="741"/>
      <c r="R965" s="741"/>
      <c r="S965" s="741"/>
      <c r="T965" s="741"/>
      <c r="U965" s="741"/>
      <c r="V965" s="741"/>
      <c r="W965" s="741"/>
      <c r="X965" s="741"/>
      <c r="Y965" s="741"/>
      <c r="Z965" s="741"/>
      <c r="AA965" s="741"/>
      <c r="AB965" s="741"/>
      <c r="AC965" s="741"/>
      <c r="AD965" s="741"/>
      <c r="AE965" s="741"/>
      <c r="AF965" s="741"/>
      <c r="AG965" s="741"/>
      <c r="AH965" s="741"/>
      <c r="AI965" s="741"/>
      <c r="AJ965" s="741"/>
      <c r="AK965" s="741"/>
      <c r="AL965" s="741"/>
      <c r="AM965" s="741"/>
    </row>
    <row r="966" spans="1:39" ht="12.75" customHeight="1">
      <c r="A966" s="741"/>
      <c r="B966" s="741"/>
      <c r="C966" s="741"/>
      <c r="D966" s="741"/>
      <c r="E966" s="741"/>
      <c r="F966" s="741"/>
      <c r="G966" s="741"/>
      <c r="H966" s="741"/>
      <c r="I966" s="741"/>
      <c r="J966" s="741"/>
      <c r="K966" s="741"/>
      <c r="L966" s="741"/>
      <c r="M966" s="741"/>
      <c r="N966" s="741"/>
      <c r="O966" s="741"/>
      <c r="P966" s="741"/>
      <c r="Q966" s="741"/>
      <c r="R966" s="741"/>
      <c r="S966" s="741"/>
      <c r="T966" s="741"/>
      <c r="U966" s="741"/>
      <c r="V966" s="741"/>
      <c r="W966" s="741"/>
      <c r="X966" s="741"/>
      <c r="Y966" s="741"/>
      <c r="Z966" s="741"/>
      <c r="AA966" s="741"/>
      <c r="AB966" s="741"/>
      <c r="AC966" s="741"/>
      <c r="AD966" s="741"/>
      <c r="AE966" s="741"/>
      <c r="AF966" s="741"/>
      <c r="AG966" s="741"/>
      <c r="AH966" s="741"/>
      <c r="AI966" s="741"/>
      <c r="AJ966" s="741"/>
      <c r="AK966" s="741"/>
      <c r="AL966" s="741"/>
      <c r="AM966" s="741"/>
    </row>
    <row r="967" spans="1:39" ht="12.75" customHeight="1">
      <c r="A967" s="741"/>
      <c r="B967" s="741"/>
      <c r="C967" s="741"/>
      <c r="D967" s="741"/>
      <c r="E967" s="741"/>
      <c r="F967" s="741"/>
      <c r="G967" s="741"/>
      <c r="H967" s="741"/>
      <c r="I967" s="741"/>
      <c r="J967" s="741"/>
      <c r="K967" s="741"/>
      <c r="L967" s="741"/>
      <c r="M967" s="741"/>
      <c r="N967" s="741"/>
      <c r="O967" s="741"/>
      <c r="P967" s="741"/>
      <c r="Q967" s="741"/>
      <c r="R967" s="741"/>
      <c r="S967" s="741"/>
      <c r="T967" s="741"/>
      <c r="U967" s="741"/>
      <c r="V967" s="741"/>
      <c r="W967" s="741"/>
      <c r="X967" s="741"/>
      <c r="Y967" s="741"/>
      <c r="Z967" s="741"/>
      <c r="AA967" s="741"/>
      <c r="AB967" s="741"/>
      <c r="AC967" s="741"/>
      <c r="AD967" s="741"/>
      <c r="AE967" s="741"/>
      <c r="AF967" s="741"/>
      <c r="AG967" s="741"/>
      <c r="AH967" s="741"/>
      <c r="AI967" s="741"/>
      <c r="AJ967" s="741"/>
      <c r="AK967" s="741"/>
      <c r="AL967" s="741"/>
      <c r="AM967" s="741"/>
    </row>
    <row r="968" spans="1:39" ht="12.75" customHeight="1">
      <c r="A968" s="741"/>
      <c r="B968" s="741"/>
      <c r="C968" s="741"/>
      <c r="D968" s="741"/>
      <c r="E968" s="741"/>
      <c r="F968" s="741"/>
      <c r="G968" s="741"/>
      <c r="H968" s="741"/>
      <c r="I968" s="741"/>
      <c r="J968" s="741"/>
      <c r="K968" s="741"/>
      <c r="L968" s="741"/>
      <c r="M968" s="741"/>
      <c r="N968" s="741"/>
      <c r="O968" s="741"/>
      <c r="P968" s="741"/>
      <c r="Q968" s="741"/>
      <c r="R968" s="741"/>
      <c r="S968" s="741"/>
      <c r="T968" s="741"/>
      <c r="U968" s="741"/>
      <c r="V968" s="741"/>
      <c r="W968" s="741"/>
      <c r="X968" s="741"/>
      <c r="Y968" s="741"/>
      <c r="Z968" s="741"/>
      <c r="AA968" s="741"/>
      <c r="AB968" s="741"/>
      <c r="AC968" s="741"/>
      <c r="AD968" s="741"/>
      <c r="AE968" s="741"/>
      <c r="AF968" s="741"/>
      <c r="AG968" s="741"/>
      <c r="AH968" s="741"/>
      <c r="AI968" s="741"/>
      <c r="AJ968" s="741"/>
      <c r="AK968" s="741"/>
      <c r="AL968" s="741"/>
      <c r="AM968" s="741"/>
    </row>
    <row r="969" spans="1:39" ht="12.75" customHeight="1">
      <c r="A969" s="741"/>
      <c r="B969" s="741"/>
      <c r="C969" s="741"/>
      <c r="D969" s="741"/>
      <c r="E969" s="741"/>
      <c r="F969" s="741"/>
      <c r="G969" s="741"/>
      <c r="H969" s="741"/>
      <c r="I969" s="741"/>
      <c r="J969" s="741"/>
      <c r="K969" s="741"/>
      <c r="L969" s="741"/>
      <c r="M969" s="741"/>
      <c r="N969" s="741"/>
      <c r="O969" s="741"/>
      <c r="P969" s="741"/>
      <c r="Q969" s="741"/>
      <c r="R969" s="741"/>
      <c r="S969" s="741"/>
      <c r="T969" s="741"/>
      <c r="U969" s="741"/>
      <c r="V969" s="741"/>
      <c r="W969" s="741"/>
      <c r="X969" s="741"/>
      <c r="Y969" s="741"/>
      <c r="Z969" s="741"/>
      <c r="AA969" s="741"/>
      <c r="AB969" s="741"/>
      <c r="AC969" s="741"/>
      <c r="AD969" s="741"/>
      <c r="AE969" s="741"/>
      <c r="AF969" s="741"/>
      <c r="AG969" s="741"/>
      <c r="AH969" s="741"/>
      <c r="AI969" s="741"/>
      <c r="AJ969" s="741"/>
      <c r="AK969" s="741"/>
      <c r="AL969" s="741"/>
      <c r="AM969" s="741"/>
    </row>
    <row r="970" spans="1:39" ht="12.75" customHeight="1">
      <c r="A970" s="741"/>
      <c r="B970" s="741"/>
      <c r="C970" s="741"/>
      <c r="D970" s="741"/>
      <c r="E970" s="741"/>
      <c r="F970" s="741"/>
      <c r="G970" s="741"/>
      <c r="H970" s="741"/>
      <c r="I970" s="741"/>
      <c r="J970" s="741"/>
      <c r="K970" s="741"/>
      <c r="L970" s="741"/>
      <c r="M970" s="741"/>
      <c r="N970" s="741"/>
      <c r="O970" s="741"/>
      <c r="P970" s="741"/>
      <c r="Q970" s="741"/>
      <c r="R970" s="741"/>
      <c r="S970" s="741"/>
      <c r="T970" s="741"/>
      <c r="U970" s="741"/>
      <c r="V970" s="741"/>
      <c r="W970" s="741"/>
      <c r="X970" s="741"/>
      <c r="Y970" s="741"/>
      <c r="Z970" s="741"/>
      <c r="AA970" s="741"/>
      <c r="AB970" s="741"/>
      <c r="AC970" s="741"/>
      <c r="AD970" s="741"/>
      <c r="AE970" s="741"/>
      <c r="AF970" s="741"/>
      <c r="AG970" s="741"/>
      <c r="AH970" s="741"/>
      <c r="AI970" s="741"/>
      <c r="AJ970" s="741"/>
      <c r="AK970" s="741"/>
      <c r="AL970" s="741"/>
      <c r="AM970" s="741"/>
    </row>
    <row r="971" spans="1:39" ht="12.75" customHeight="1">
      <c r="A971" s="741"/>
      <c r="B971" s="741"/>
      <c r="C971" s="741"/>
      <c r="D971" s="741"/>
      <c r="E971" s="741"/>
      <c r="F971" s="741"/>
      <c r="G971" s="741"/>
      <c r="H971" s="741"/>
      <c r="I971" s="741"/>
      <c r="J971" s="741"/>
      <c r="K971" s="741"/>
      <c r="L971" s="741"/>
      <c r="M971" s="741"/>
      <c r="N971" s="741"/>
      <c r="O971" s="741"/>
      <c r="P971" s="741"/>
      <c r="Q971" s="741"/>
      <c r="R971" s="741"/>
      <c r="S971" s="741"/>
      <c r="T971" s="741"/>
      <c r="U971" s="741"/>
      <c r="V971" s="741"/>
      <c r="W971" s="741"/>
      <c r="X971" s="741"/>
      <c r="Y971" s="741"/>
      <c r="Z971" s="741"/>
      <c r="AA971" s="741"/>
      <c r="AB971" s="741"/>
      <c r="AC971" s="741"/>
      <c r="AD971" s="741"/>
      <c r="AE971" s="741"/>
      <c r="AF971" s="741"/>
      <c r="AG971" s="741"/>
      <c r="AH971" s="741"/>
      <c r="AI971" s="741"/>
      <c r="AJ971" s="741"/>
      <c r="AK971" s="741"/>
      <c r="AL971" s="741"/>
      <c r="AM971" s="741"/>
    </row>
    <row r="972" spans="1:39" ht="12.75" customHeight="1">
      <c r="A972" s="741"/>
      <c r="B972" s="741"/>
      <c r="C972" s="741"/>
      <c r="D972" s="741"/>
      <c r="E972" s="741"/>
      <c r="F972" s="741"/>
      <c r="G972" s="741"/>
      <c r="H972" s="741"/>
      <c r="I972" s="741"/>
      <c r="J972" s="741"/>
      <c r="K972" s="741"/>
      <c r="L972" s="741"/>
      <c r="M972" s="741"/>
      <c r="N972" s="741"/>
      <c r="O972" s="741"/>
      <c r="P972" s="741"/>
      <c r="Q972" s="741"/>
      <c r="R972" s="741"/>
      <c r="S972" s="741"/>
      <c r="T972" s="741"/>
      <c r="U972" s="741"/>
      <c r="V972" s="741"/>
      <c r="W972" s="741"/>
      <c r="X972" s="741"/>
      <c r="Y972" s="741"/>
      <c r="Z972" s="741"/>
      <c r="AA972" s="741"/>
      <c r="AB972" s="741"/>
      <c r="AC972" s="741"/>
      <c r="AD972" s="741"/>
      <c r="AE972" s="741"/>
      <c r="AF972" s="741"/>
      <c r="AG972" s="741"/>
      <c r="AH972" s="741"/>
      <c r="AI972" s="741"/>
      <c r="AJ972" s="741"/>
      <c r="AK972" s="741"/>
      <c r="AL972" s="741"/>
      <c r="AM972" s="741"/>
    </row>
    <row r="973" spans="1:39" ht="12.75" customHeight="1">
      <c r="A973" s="741"/>
      <c r="B973" s="741"/>
      <c r="C973" s="741"/>
      <c r="D973" s="741"/>
      <c r="E973" s="741"/>
      <c r="F973" s="741"/>
      <c r="G973" s="741"/>
      <c r="H973" s="741"/>
      <c r="I973" s="741"/>
      <c r="J973" s="741"/>
      <c r="K973" s="741"/>
      <c r="L973" s="741"/>
      <c r="M973" s="741"/>
      <c r="N973" s="741"/>
      <c r="O973" s="741"/>
      <c r="P973" s="741"/>
      <c r="Q973" s="741"/>
      <c r="R973" s="741"/>
      <c r="S973" s="741"/>
      <c r="T973" s="741"/>
      <c r="U973" s="741"/>
      <c r="V973" s="741"/>
      <c r="W973" s="741"/>
      <c r="X973" s="741"/>
      <c r="Y973" s="741"/>
      <c r="Z973" s="741"/>
      <c r="AA973" s="741"/>
      <c r="AB973" s="741"/>
      <c r="AC973" s="741"/>
      <c r="AD973" s="741"/>
      <c r="AE973" s="741"/>
      <c r="AF973" s="741"/>
      <c r="AG973" s="741"/>
      <c r="AH973" s="741"/>
      <c r="AI973" s="741"/>
      <c r="AJ973" s="741"/>
      <c r="AK973" s="741"/>
      <c r="AL973" s="741"/>
      <c r="AM973" s="741"/>
    </row>
    <row r="974" spans="1:39" ht="12.75" customHeight="1">
      <c r="A974" s="741"/>
      <c r="B974" s="741"/>
      <c r="C974" s="741"/>
      <c r="D974" s="741"/>
      <c r="E974" s="741"/>
      <c r="F974" s="741"/>
      <c r="G974" s="741"/>
      <c r="H974" s="741"/>
      <c r="I974" s="741"/>
      <c r="J974" s="741"/>
      <c r="K974" s="741"/>
      <c r="L974" s="741"/>
      <c r="M974" s="741"/>
      <c r="N974" s="741"/>
      <c r="O974" s="741"/>
      <c r="P974" s="741"/>
      <c r="Q974" s="741"/>
      <c r="R974" s="741"/>
      <c r="S974" s="741"/>
      <c r="T974" s="741"/>
      <c r="U974" s="741"/>
      <c r="V974" s="741"/>
      <c r="W974" s="741"/>
      <c r="X974" s="741"/>
      <c r="Y974" s="741"/>
      <c r="Z974" s="741"/>
      <c r="AA974" s="741"/>
      <c r="AB974" s="741"/>
      <c r="AC974" s="741"/>
      <c r="AD974" s="741"/>
      <c r="AE974" s="741"/>
      <c r="AF974" s="741"/>
      <c r="AG974" s="741"/>
      <c r="AH974" s="741"/>
      <c r="AI974" s="741"/>
      <c r="AJ974" s="741"/>
      <c r="AK974" s="741"/>
      <c r="AL974" s="741"/>
      <c r="AM974" s="741"/>
    </row>
    <row r="975" spans="1:39" ht="12.75" customHeight="1">
      <c r="A975" s="741"/>
      <c r="B975" s="741"/>
      <c r="C975" s="741"/>
      <c r="D975" s="741"/>
      <c r="E975" s="741"/>
      <c r="F975" s="741"/>
      <c r="G975" s="741"/>
      <c r="H975" s="741"/>
      <c r="I975" s="741"/>
      <c r="J975" s="741"/>
      <c r="K975" s="741"/>
      <c r="L975" s="741"/>
      <c r="M975" s="741"/>
      <c r="N975" s="741"/>
      <c r="O975" s="741"/>
      <c r="P975" s="741"/>
      <c r="Q975" s="741"/>
      <c r="R975" s="741"/>
      <c r="S975" s="741"/>
      <c r="T975" s="741"/>
      <c r="U975" s="741"/>
      <c r="V975" s="741"/>
      <c r="W975" s="741"/>
      <c r="X975" s="741"/>
      <c r="Y975" s="741"/>
      <c r="Z975" s="741"/>
      <c r="AA975" s="741"/>
      <c r="AB975" s="741"/>
      <c r="AC975" s="741"/>
      <c r="AD975" s="741"/>
      <c r="AE975" s="741"/>
      <c r="AF975" s="741"/>
      <c r="AG975" s="741"/>
      <c r="AH975" s="741"/>
      <c r="AI975" s="741"/>
      <c r="AJ975" s="741"/>
      <c r="AK975" s="741"/>
      <c r="AL975" s="741"/>
      <c r="AM975" s="741"/>
    </row>
    <row r="976" spans="1:39" ht="12.75" customHeight="1">
      <c r="A976" s="741"/>
      <c r="B976" s="741"/>
      <c r="C976" s="741"/>
      <c r="D976" s="741"/>
      <c r="E976" s="741"/>
      <c r="F976" s="741"/>
      <c r="G976" s="741"/>
      <c r="H976" s="741"/>
      <c r="I976" s="741"/>
      <c r="J976" s="741"/>
      <c r="K976" s="741"/>
      <c r="L976" s="741"/>
      <c r="M976" s="741"/>
      <c r="N976" s="741"/>
      <c r="O976" s="741"/>
      <c r="P976" s="741"/>
      <c r="Q976" s="741"/>
      <c r="R976" s="741"/>
      <c r="S976" s="741"/>
      <c r="T976" s="741"/>
      <c r="U976" s="741"/>
      <c r="V976" s="741"/>
      <c r="W976" s="741"/>
      <c r="X976" s="741"/>
      <c r="Y976" s="741"/>
      <c r="Z976" s="741"/>
      <c r="AA976" s="741"/>
      <c r="AB976" s="741"/>
      <c r="AC976" s="741"/>
      <c r="AD976" s="741"/>
      <c r="AE976" s="741"/>
      <c r="AF976" s="741"/>
      <c r="AG976" s="741"/>
      <c r="AH976" s="741"/>
      <c r="AI976" s="741"/>
      <c r="AJ976" s="741"/>
      <c r="AK976" s="741"/>
      <c r="AL976" s="741"/>
      <c r="AM976" s="741"/>
    </row>
    <row r="977" spans="1:39" ht="12.75" customHeight="1">
      <c r="A977" s="741"/>
      <c r="B977" s="741"/>
      <c r="C977" s="741"/>
      <c r="D977" s="741"/>
      <c r="E977" s="741"/>
      <c r="F977" s="741"/>
      <c r="G977" s="741"/>
      <c r="H977" s="741"/>
      <c r="I977" s="741"/>
      <c r="J977" s="741"/>
      <c r="K977" s="741"/>
      <c r="L977" s="741"/>
      <c r="M977" s="741"/>
      <c r="N977" s="741"/>
      <c r="O977" s="741"/>
      <c r="P977" s="741"/>
      <c r="Q977" s="741"/>
      <c r="R977" s="741"/>
      <c r="S977" s="741"/>
      <c r="T977" s="741"/>
      <c r="U977" s="741"/>
      <c r="V977" s="741"/>
      <c r="W977" s="741"/>
      <c r="X977" s="741"/>
      <c r="Y977" s="741"/>
      <c r="Z977" s="741"/>
      <c r="AA977" s="741"/>
      <c r="AB977" s="741"/>
      <c r="AC977" s="741"/>
      <c r="AD977" s="741"/>
      <c r="AE977" s="741"/>
      <c r="AF977" s="741"/>
      <c r="AG977" s="741"/>
      <c r="AH977" s="741"/>
      <c r="AI977" s="741"/>
      <c r="AJ977" s="741"/>
      <c r="AK977" s="741"/>
      <c r="AL977" s="741"/>
      <c r="AM977" s="741"/>
    </row>
    <row r="978" spans="1:39" ht="12.75" customHeight="1">
      <c r="A978" s="741"/>
      <c r="B978" s="741"/>
      <c r="C978" s="741"/>
      <c r="D978" s="741"/>
      <c r="E978" s="741"/>
      <c r="F978" s="741"/>
      <c r="G978" s="741"/>
      <c r="H978" s="741"/>
      <c r="I978" s="741"/>
      <c r="J978" s="741"/>
      <c r="K978" s="741"/>
      <c r="L978" s="741"/>
      <c r="M978" s="741"/>
      <c r="N978" s="741"/>
      <c r="O978" s="741"/>
      <c r="P978" s="741"/>
      <c r="Q978" s="741"/>
      <c r="R978" s="741"/>
      <c r="S978" s="741"/>
      <c r="T978" s="741"/>
      <c r="U978" s="741"/>
      <c r="V978" s="741"/>
      <c r="W978" s="741"/>
      <c r="X978" s="741"/>
      <c r="Y978" s="741"/>
      <c r="Z978" s="741"/>
      <c r="AA978" s="741"/>
      <c r="AB978" s="741"/>
      <c r="AC978" s="741"/>
      <c r="AD978" s="741"/>
      <c r="AE978" s="741"/>
      <c r="AF978" s="741"/>
      <c r="AG978" s="741"/>
      <c r="AH978" s="741"/>
      <c r="AI978" s="741"/>
      <c r="AJ978" s="741"/>
      <c r="AK978" s="741"/>
      <c r="AL978" s="741"/>
      <c r="AM978" s="741"/>
    </row>
    <row r="979" spans="1:39" ht="12.75" customHeight="1">
      <c r="A979" s="741"/>
      <c r="B979" s="741"/>
      <c r="C979" s="741"/>
      <c r="D979" s="741"/>
      <c r="E979" s="741"/>
      <c r="F979" s="741"/>
      <c r="G979" s="741"/>
      <c r="H979" s="741"/>
      <c r="I979" s="741"/>
      <c r="J979" s="741"/>
      <c r="K979" s="741"/>
      <c r="L979" s="741"/>
      <c r="M979" s="741"/>
      <c r="N979" s="741"/>
      <c r="O979" s="741"/>
      <c r="P979" s="741"/>
      <c r="Q979" s="741"/>
      <c r="R979" s="741"/>
      <c r="S979" s="741"/>
      <c r="T979" s="741"/>
      <c r="U979" s="741"/>
      <c r="V979" s="741"/>
      <c r="W979" s="741"/>
      <c r="X979" s="741"/>
      <c r="Y979" s="741"/>
      <c r="Z979" s="741"/>
      <c r="AA979" s="741"/>
      <c r="AB979" s="741"/>
      <c r="AC979" s="741"/>
      <c r="AD979" s="741"/>
      <c r="AE979" s="741"/>
      <c r="AF979" s="741"/>
      <c r="AG979" s="741"/>
      <c r="AH979" s="741"/>
      <c r="AI979" s="741"/>
      <c r="AJ979" s="741"/>
      <c r="AK979" s="741"/>
      <c r="AL979" s="741"/>
      <c r="AM979" s="741"/>
    </row>
    <row r="980" spans="1:39" ht="12.75" customHeight="1">
      <c r="A980" s="741"/>
      <c r="B980" s="741"/>
      <c r="C980" s="741"/>
      <c r="D980" s="741"/>
      <c r="E980" s="741"/>
      <c r="F980" s="741"/>
      <c r="G980" s="741"/>
      <c r="H980" s="741"/>
      <c r="I980" s="741"/>
      <c r="J980" s="741"/>
      <c r="K980" s="741"/>
      <c r="L980" s="741"/>
      <c r="M980" s="741"/>
      <c r="N980" s="741"/>
      <c r="O980" s="741"/>
      <c r="P980" s="741"/>
      <c r="Q980" s="741"/>
      <c r="R980" s="741"/>
      <c r="S980" s="741"/>
      <c r="T980" s="741"/>
      <c r="U980" s="741"/>
      <c r="V980" s="741"/>
      <c r="W980" s="741"/>
      <c r="X980" s="741"/>
      <c r="Y980" s="741"/>
      <c r="Z980" s="741"/>
      <c r="AA980" s="741"/>
      <c r="AB980" s="741"/>
      <c r="AC980" s="741"/>
      <c r="AD980" s="741"/>
      <c r="AE980" s="741"/>
      <c r="AF980" s="741"/>
      <c r="AG980" s="741"/>
      <c r="AH980" s="741"/>
      <c r="AI980" s="741"/>
      <c r="AJ980" s="741"/>
      <c r="AK980" s="741"/>
      <c r="AL980" s="741"/>
      <c r="AM980" s="741"/>
    </row>
    <row r="981" spans="1:39" ht="12.75" customHeight="1">
      <c r="A981" s="741"/>
      <c r="B981" s="741"/>
      <c r="C981" s="741"/>
      <c r="D981" s="741"/>
      <c r="E981" s="741"/>
      <c r="F981" s="741"/>
      <c r="G981" s="741"/>
      <c r="H981" s="741"/>
      <c r="I981" s="741"/>
      <c r="J981" s="741"/>
      <c r="K981" s="741"/>
      <c r="L981" s="741"/>
      <c r="M981" s="741"/>
      <c r="N981" s="741"/>
      <c r="O981" s="741"/>
      <c r="P981" s="741"/>
      <c r="Q981" s="741"/>
      <c r="R981" s="741"/>
      <c r="S981" s="741"/>
      <c r="T981" s="741"/>
      <c r="U981" s="741"/>
      <c r="V981" s="741"/>
      <c r="W981" s="741"/>
      <c r="X981" s="741"/>
      <c r="Y981" s="741"/>
      <c r="Z981" s="741"/>
      <c r="AA981" s="741"/>
      <c r="AB981" s="741"/>
      <c r="AC981" s="741"/>
      <c r="AD981" s="741"/>
      <c r="AE981" s="741"/>
      <c r="AF981" s="741"/>
      <c r="AG981" s="741"/>
      <c r="AH981" s="741"/>
      <c r="AI981" s="741"/>
      <c r="AJ981" s="741"/>
      <c r="AK981" s="741"/>
      <c r="AL981" s="741"/>
      <c r="AM981" s="741"/>
    </row>
    <row r="982" spans="1:39" ht="12.75" customHeight="1">
      <c r="A982" s="741"/>
      <c r="B982" s="741"/>
      <c r="C982" s="741"/>
      <c r="D982" s="741"/>
      <c r="E982" s="741"/>
      <c r="F982" s="741"/>
      <c r="G982" s="741"/>
      <c r="H982" s="741"/>
      <c r="I982" s="741"/>
      <c r="J982" s="741"/>
      <c r="K982" s="741"/>
      <c r="L982" s="741"/>
      <c r="M982" s="741"/>
      <c r="N982" s="741"/>
      <c r="O982" s="741"/>
      <c r="P982" s="741"/>
      <c r="Q982" s="741"/>
      <c r="R982" s="741"/>
      <c r="S982" s="741"/>
      <c r="T982" s="741"/>
      <c r="U982" s="741"/>
      <c r="V982" s="741"/>
      <c r="W982" s="741"/>
      <c r="X982" s="741"/>
      <c r="Y982" s="741"/>
      <c r="Z982" s="741"/>
      <c r="AA982" s="741"/>
      <c r="AB982" s="741"/>
      <c r="AC982" s="741"/>
      <c r="AD982" s="741"/>
      <c r="AE982" s="741"/>
      <c r="AF982" s="741"/>
      <c r="AG982" s="741"/>
      <c r="AH982" s="741"/>
      <c r="AI982" s="741"/>
      <c r="AJ982" s="741"/>
      <c r="AK982" s="741"/>
      <c r="AL982" s="741"/>
      <c r="AM982" s="741"/>
    </row>
    <row r="983" spans="1:39" ht="12.75" customHeight="1">
      <c r="A983" s="741"/>
      <c r="B983" s="741"/>
      <c r="C983" s="741"/>
      <c r="D983" s="741"/>
      <c r="E983" s="741"/>
      <c r="F983" s="741"/>
      <c r="G983" s="741"/>
      <c r="H983" s="741"/>
      <c r="I983" s="741"/>
      <c r="J983" s="741"/>
      <c r="K983" s="741"/>
      <c r="L983" s="741"/>
      <c r="M983" s="741"/>
      <c r="N983" s="741"/>
      <c r="O983" s="741"/>
      <c r="P983" s="741"/>
      <c r="Q983" s="741"/>
      <c r="R983" s="741"/>
      <c r="S983" s="741"/>
      <c r="T983" s="741"/>
      <c r="U983" s="741"/>
      <c r="V983" s="741"/>
      <c r="W983" s="741"/>
      <c r="X983" s="741"/>
      <c r="Y983" s="741"/>
      <c r="Z983" s="741"/>
      <c r="AA983" s="741"/>
      <c r="AB983" s="741"/>
      <c r="AC983" s="741"/>
      <c r="AD983" s="741"/>
      <c r="AE983" s="741"/>
      <c r="AF983" s="741"/>
      <c r="AG983" s="741"/>
      <c r="AH983" s="741"/>
      <c r="AI983" s="741"/>
      <c r="AJ983" s="741"/>
      <c r="AK983" s="741"/>
      <c r="AL983" s="741"/>
      <c r="AM983" s="741"/>
    </row>
    <row r="984" spans="1:39" ht="12.75" customHeight="1">
      <c r="A984" s="741"/>
      <c r="B984" s="741"/>
      <c r="C984" s="741"/>
      <c r="D984" s="741"/>
      <c r="E984" s="741"/>
      <c r="F984" s="741"/>
      <c r="G984" s="741"/>
      <c r="H984" s="741"/>
      <c r="I984" s="741"/>
      <c r="J984" s="741"/>
      <c r="K984" s="741"/>
      <c r="L984" s="741"/>
      <c r="M984" s="741"/>
      <c r="N984" s="741"/>
      <c r="O984" s="741"/>
      <c r="P984" s="741"/>
      <c r="Q984" s="741"/>
      <c r="R984" s="741"/>
      <c r="S984" s="741"/>
      <c r="T984" s="741"/>
      <c r="U984" s="741"/>
      <c r="V984" s="741"/>
      <c r="W984" s="741"/>
      <c r="X984" s="741"/>
      <c r="Y984" s="741"/>
      <c r="Z984" s="741"/>
      <c r="AA984" s="741"/>
      <c r="AB984" s="741"/>
      <c r="AC984" s="741"/>
      <c r="AD984" s="741"/>
      <c r="AE984" s="741"/>
      <c r="AF984" s="741"/>
      <c r="AG984" s="741"/>
      <c r="AH984" s="741"/>
      <c r="AI984" s="741"/>
      <c r="AJ984" s="741"/>
      <c r="AK984" s="741"/>
      <c r="AL984" s="741"/>
      <c r="AM984" s="741"/>
    </row>
    <row r="985" spans="1:39" ht="12.75" customHeight="1">
      <c r="A985" s="741"/>
      <c r="B985" s="741"/>
      <c r="C985" s="741"/>
      <c r="D985" s="741"/>
      <c r="E985" s="741"/>
      <c r="F985" s="741"/>
      <c r="G985" s="741"/>
      <c r="H985" s="741"/>
      <c r="I985" s="741"/>
      <c r="J985" s="741"/>
      <c r="K985" s="741"/>
      <c r="L985" s="741"/>
      <c r="M985" s="741"/>
      <c r="N985" s="741"/>
      <c r="O985" s="741"/>
      <c r="P985" s="741"/>
      <c r="Q985" s="741"/>
      <c r="R985" s="741"/>
      <c r="S985" s="741"/>
      <c r="T985" s="741"/>
      <c r="U985" s="741"/>
      <c r="V985" s="741"/>
      <c r="W985" s="741"/>
      <c r="X985" s="741"/>
      <c r="Y985" s="741"/>
      <c r="Z985" s="741"/>
      <c r="AA985" s="741"/>
      <c r="AB985" s="741"/>
      <c r="AC985" s="741"/>
      <c r="AD985" s="741"/>
      <c r="AE985" s="741"/>
      <c r="AF985" s="741"/>
      <c r="AG985" s="741"/>
      <c r="AH985" s="741"/>
      <c r="AI985" s="741"/>
      <c r="AJ985" s="741"/>
      <c r="AK985" s="741"/>
      <c r="AL985" s="741"/>
      <c r="AM985" s="741"/>
    </row>
    <row r="986" spans="1:39" ht="12.75" customHeight="1">
      <c r="A986" s="741"/>
      <c r="B986" s="741"/>
      <c r="C986" s="741"/>
      <c r="D986" s="741"/>
      <c r="E986" s="741"/>
      <c r="F986" s="741"/>
      <c r="G986" s="741"/>
      <c r="H986" s="741"/>
      <c r="I986" s="741"/>
      <c r="J986" s="741"/>
      <c r="K986" s="741"/>
      <c r="L986" s="741"/>
      <c r="M986" s="741"/>
      <c r="N986" s="741"/>
      <c r="O986" s="741"/>
      <c r="P986" s="741"/>
      <c r="Q986" s="741"/>
      <c r="R986" s="741"/>
      <c r="S986" s="741"/>
      <c r="T986" s="741"/>
      <c r="U986" s="741"/>
      <c r="V986" s="741"/>
      <c r="W986" s="741"/>
      <c r="X986" s="741"/>
      <c r="Y986" s="741"/>
      <c r="Z986" s="741"/>
      <c r="AA986" s="741"/>
      <c r="AB986" s="741"/>
      <c r="AC986" s="741"/>
      <c r="AD986" s="741"/>
      <c r="AE986" s="741"/>
      <c r="AF986" s="741"/>
      <c r="AG986" s="741"/>
      <c r="AH986" s="741"/>
      <c r="AI986" s="741"/>
      <c r="AJ986" s="741"/>
      <c r="AK986" s="741"/>
      <c r="AL986" s="741"/>
      <c r="AM986" s="741"/>
    </row>
    <row r="987" spans="1:39" ht="12.75" customHeight="1">
      <c r="A987" s="741"/>
      <c r="B987" s="741"/>
      <c r="C987" s="741"/>
      <c r="D987" s="741"/>
      <c r="E987" s="741"/>
      <c r="F987" s="741"/>
      <c r="G987" s="741"/>
      <c r="H987" s="741"/>
      <c r="I987" s="741"/>
      <c r="J987" s="741"/>
      <c r="K987" s="741"/>
      <c r="L987" s="741"/>
      <c r="M987" s="741"/>
      <c r="N987" s="741"/>
      <c r="O987" s="741"/>
      <c r="P987" s="741"/>
      <c r="Q987" s="741"/>
      <c r="R987" s="741"/>
      <c r="S987" s="741"/>
      <c r="T987" s="741"/>
      <c r="U987" s="741"/>
      <c r="V987" s="741"/>
      <c r="W987" s="741"/>
      <c r="X987" s="741"/>
      <c r="Y987" s="741"/>
      <c r="Z987" s="741"/>
      <c r="AA987" s="741"/>
      <c r="AB987" s="741"/>
      <c r="AC987" s="741"/>
      <c r="AD987" s="741"/>
      <c r="AE987" s="741"/>
      <c r="AF987" s="741"/>
      <c r="AG987" s="741"/>
      <c r="AH987" s="741"/>
      <c r="AI987" s="741"/>
      <c r="AJ987" s="741"/>
      <c r="AK987" s="741"/>
      <c r="AL987" s="741"/>
      <c r="AM987" s="741"/>
    </row>
    <row r="988" spans="1:39" ht="12.75" customHeight="1">
      <c r="A988" s="741"/>
      <c r="B988" s="741"/>
      <c r="C988" s="741"/>
      <c r="D988" s="741"/>
      <c r="E988" s="741"/>
      <c r="F988" s="741"/>
      <c r="G988" s="741"/>
      <c r="H988" s="741"/>
      <c r="I988" s="741"/>
      <c r="J988" s="741"/>
      <c r="K988" s="741"/>
      <c r="L988" s="741"/>
      <c r="M988" s="741"/>
      <c r="N988" s="741"/>
      <c r="O988" s="741"/>
      <c r="P988" s="741"/>
      <c r="Q988" s="741"/>
      <c r="R988" s="741"/>
      <c r="S988" s="741"/>
      <c r="T988" s="741"/>
      <c r="U988" s="741"/>
      <c r="V988" s="741"/>
      <c r="W988" s="741"/>
      <c r="X988" s="741"/>
      <c r="Y988" s="741"/>
      <c r="Z988" s="741"/>
      <c r="AA988" s="741"/>
      <c r="AB988" s="741"/>
      <c r="AC988" s="741"/>
      <c r="AD988" s="741"/>
      <c r="AE988" s="741"/>
      <c r="AF988" s="741"/>
      <c r="AG988" s="741"/>
      <c r="AH988" s="741"/>
      <c r="AI988" s="741"/>
      <c r="AJ988" s="741"/>
      <c r="AK988" s="741"/>
      <c r="AL988" s="741"/>
      <c r="AM988" s="741"/>
    </row>
    <row r="989" spans="1:39" ht="12.75" customHeight="1">
      <c r="A989" s="741"/>
      <c r="B989" s="741"/>
      <c r="C989" s="741"/>
      <c r="D989" s="741"/>
      <c r="E989" s="741"/>
      <c r="F989" s="741"/>
      <c r="G989" s="741"/>
      <c r="H989" s="741"/>
      <c r="I989" s="741"/>
      <c r="J989" s="741"/>
      <c r="K989" s="741"/>
      <c r="L989" s="741"/>
      <c r="M989" s="741"/>
      <c r="N989" s="741"/>
      <c r="O989" s="741"/>
      <c r="P989" s="741"/>
      <c r="Q989" s="741"/>
      <c r="R989" s="741"/>
      <c r="S989" s="741"/>
      <c r="T989" s="741"/>
      <c r="U989" s="741"/>
      <c r="V989" s="741"/>
      <c r="W989" s="741"/>
      <c r="X989" s="741"/>
      <c r="Y989" s="741"/>
      <c r="Z989" s="741"/>
      <c r="AA989" s="741"/>
      <c r="AB989" s="741"/>
      <c r="AC989" s="741"/>
      <c r="AD989" s="741"/>
      <c r="AE989" s="741"/>
      <c r="AF989" s="741"/>
      <c r="AG989" s="741"/>
      <c r="AH989" s="741"/>
      <c r="AI989" s="741"/>
      <c r="AJ989" s="741"/>
      <c r="AK989" s="741"/>
      <c r="AL989" s="741"/>
      <c r="AM989" s="741"/>
    </row>
    <row r="990" spans="1:39" ht="12.75" customHeight="1">
      <c r="A990" s="741"/>
      <c r="B990" s="741"/>
      <c r="C990" s="741"/>
      <c r="D990" s="741"/>
      <c r="E990" s="741"/>
      <c r="F990" s="741"/>
      <c r="G990" s="741"/>
      <c r="H990" s="741"/>
      <c r="I990" s="741"/>
      <c r="J990" s="741"/>
      <c r="K990" s="741"/>
      <c r="L990" s="741"/>
      <c r="M990" s="741"/>
      <c r="N990" s="741"/>
      <c r="O990" s="741"/>
      <c r="P990" s="741"/>
      <c r="Q990" s="741"/>
      <c r="R990" s="741"/>
      <c r="S990" s="741"/>
      <c r="T990" s="741"/>
      <c r="U990" s="741"/>
      <c r="V990" s="741"/>
      <c r="W990" s="741"/>
      <c r="X990" s="741"/>
      <c r="Y990" s="741"/>
      <c r="Z990" s="741"/>
      <c r="AA990" s="741"/>
      <c r="AB990" s="741"/>
      <c r="AC990" s="741"/>
      <c r="AD990" s="741"/>
      <c r="AE990" s="741"/>
      <c r="AF990" s="741"/>
      <c r="AG990" s="741"/>
      <c r="AH990" s="741"/>
      <c r="AI990" s="741"/>
      <c r="AJ990" s="741"/>
      <c r="AK990" s="741"/>
      <c r="AL990" s="741"/>
      <c r="AM990" s="741"/>
    </row>
    <row r="991" spans="1:39" ht="12.75" customHeight="1">
      <c r="A991" s="741"/>
      <c r="B991" s="741"/>
      <c r="C991" s="741"/>
      <c r="D991" s="741"/>
      <c r="E991" s="741"/>
      <c r="F991" s="741"/>
      <c r="G991" s="741"/>
      <c r="H991" s="741"/>
      <c r="I991" s="741"/>
      <c r="J991" s="741"/>
      <c r="K991" s="741"/>
      <c r="L991" s="741"/>
      <c r="M991" s="741"/>
      <c r="N991" s="741"/>
      <c r="O991" s="741"/>
      <c r="P991" s="741"/>
      <c r="Q991" s="741"/>
      <c r="R991" s="741"/>
      <c r="S991" s="741"/>
      <c r="T991" s="741"/>
      <c r="U991" s="741"/>
      <c r="V991" s="741"/>
      <c r="W991" s="741"/>
      <c r="X991" s="741"/>
      <c r="Y991" s="741"/>
      <c r="Z991" s="741"/>
      <c r="AA991" s="741"/>
      <c r="AB991" s="741"/>
      <c r="AC991" s="741"/>
      <c r="AD991" s="741"/>
      <c r="AE991" s="741"/>
      <c r="AF991" s="741"/>
      <c r="AG991" s="741"/>
      <c r="AH991" s="741"/>
      <c r="AI991" s="741"/>
      <c r="AJ991" s="741"/>
      <c r="AK991" s="741"/>
      <c r="AL991" s="741"/>
      <c r="AM991" s="741"/>
    </row>
    <row r="992" spans="1:39" ht="12.75" customHeight="1">
      <c r="A992" s="741"/>
      <c r="B992" s="741"/>
      <c r="C992" s="741"/>
      <c r="D992" s="741"/>
      <c r="E992" s="741"/>
      <c r="F992" s="741"/>
      <c r="G992" s="741"/>
      <c r="H992" s="741"/>
      <c r="I992" s="741"/>
      <c r="J992" s="741"/>
      <c r="K992" s="741"/>
      <c r="L992" s="741"/>
      <c r="M992" s="741"/>
      <c r="N992" s="741"/>
      <c r="O992" s="741"/>
      <c r="P992" s="741"/>
      <c r="Q992" s="741"/>
      <c r="R992" s="741"/>
      <c r="S992" s="741"/>
      <c r="T992" s="741"/>
      <c r="U992" s="741"/>
      <c r="V992" s="741"/>
      <c r="W992" s="741"/>
      <c r="X992" s="741"/>
      <c r="Y992" s="741"/>
      <c r="Z992" s="741"/>
      <c r="AA992" s="741"/>
      <c r="AB992" s="741"/>
      <c r="AC992" s="741"/>
      <c r="AD992" s="741"/>
      <c r="AE992" s="741"/>
      <c r="AF992" s="741"/>
      <c r="AG992" s="741"/>
      <c r="AH992" s="741"/>
      <c r="AI992" s="741"/>
      <c r="AJ992" s="741"/>
      <c r="AK992" s="741"/>
      <c r="AL992" s="741"/>
      <c r="AM992" s="741"/>
    </row>
    <row r="993" spans="1:39" ht="12.75" customHeight="1">
      <c r="A993" s="741"/>
      <c r="B993" s="741"/>
      <c r="C993" s="741"/>
      <c r="D993" s="741"/>
      <c r="E993" s="741"/>
      <c r="F993" s="741"/>
      <c r="G993" s="741"/>
      <c r="H993" s="741"/>
      <c r="I993" s="741"/>
      <c r="J993" s="741"/>
      <c r="K993" s="741"/>
      <c r="L993" s="741"/>
      <c r="M993" s="741"/>
      <c r="N993" s="741"/>
      <c r="O993" s="741"/>
      <c r="P993" s="741"/>
      <c r="Q993" s="741"/>
      <c r="R993" s="741"/>
      <c r="S993" s="741"/>
      <c r="T993" s="741"/>
      <c r="U993" s="741"/>
      <c r="V993" s="741"/>
      <c r="W993" s="741"/>
      <c r="X993" s="741"/>
      <c r="Y993" s="741"/>
      <c r="Z993" s="741"/>
      <c r="AA993" s="741"/>
      <c r="AB993" s="741"/>
      <c r="AC993" s="741"/>
      <c r="AD993" s="741"/>
      <c r="AE993" s="741"/>
      <c r="AF993" s="741"/>
      <c r="AG993" s="741"/>
      <c r="AH993" s="741"/>
      <c r="AI993" s="741"/>
      <c r="AJ993" s="741"/>
      <c r="AK993" s="741"/>
      <c r="AL993" s="741"/>
      <c r="AM993" s="741"/>
    </row>
    <row r="994" spans="1:39" ht="12.75" customHeight="1">
      <c r="A994" s="741"/>
      <c r="B994" s="741"/>
      <c r="C994" s="741"/>
      <c r="D994" s="741"/>
      <c r="E994" s="741"/>
      <c r="F994" s="741"/>
      <c r="G994" s="741"/>
      <c r="H994" s="741"/>
      <c r="I994" s="741"/>
      <c r="J994" s="741"/>
      <c r="K994" s="741"/>
      <c r="L994" s="741"/>
      <c r="M994" s="741"/>
      <c r="N994" s="741"/>
      <c r="O994" s="741"/>
      <c r="P994" s="741"/>
      <c r="Q994" s="741"/>
      <c r="R994" s="741"/>
      <c r="S994" s="741"/>
      <c r="T994" s="741"/>
      <c r="U994" s="741"/>
      <c r="V994" s="741"/>
      <c r="W994" s="741"/>
      <c r="X994" s="741"/>
      <c r="Y994" s="741"/>
      <c r="Z994" s="741"/>
      <c r="AA994" s="741"/>
      <c r="AB994" s="741"/>
      <c r="AC994" s="741"/>
      <c r="AD994" s="741"/>
      <c r="AE994" s="741"/>
      <c r="AF994" s="741"/>
      <c r="AG994" s="741"/>
      <c r="AH994" s="741"/>
      <c r="AI994" s="741"/>
      <c r="AJ994" s="741"/>
      <c r="AK994" s="741"/>
      <c r="AL994" s="741"/>
      <c r="AM994" s="741"/>
    </row>
    <row r="995" spans="1:39" ht="12.75" customHeight="1">
      <c r="A995" s="741"/>
      <c r="B995" s="741"/>
      <c r="C995" s="741"/>
      <c r="D995" s="741"/>
      <c r="E995" s="741"/>
      <c r="F995" s="741"/>
      <c r="G995" s="741"/>
      <c r="H995" s="741"/>
      <c r="I995" s="741"/>
      <c r="J995" s="741"/>
      <c r="K995" s="741"/>
      <c r="L995" s="741"/>
      <c r="M995" s="741"/>
      <c r="N995" s="741"/>
      <c r="O995" s="741"/>
      <c r="P995" s="741"/>
      <c r="Q995" s="741"/>
      <c r="R995" s="741"/>
      <c r="S995" s="741"/>
      <c r="T995" s="741"/>
      <c r="U995" s="741"/>
      <c r="V995" s="741"/>
      <c r="W995" s="741"/>
      <c r="X995" s="741"/>
      <c r="Y995" s="741"/>
      <c r="Z995" s="741"/>
      <c r="AA995" s="741"/>
      <c r="AB995" s="741"/>
      <c r="AC995" s="741"/>
      <c r="AD995" s="741"/>
      <c r="AE995" s="741"/>
      <c r="AF995" s="741"/>
      <c r="AG995" s="741"/>
      <c r="AH995" s="741"/>
      <c r="AI995" s="741"/>
      <c r="AJ995" s="741"/>
      <c r="AK995" s="741"/>
      <c r="AL995" s="741"/>
      <c r="AM995" s="741"/>
    </row>
    <row r="996" spans="1:39" ht="12.75" customHeight="1">
      <c r="A996" s="741"/>
      <c r="B996" s="741"/>
      <c r="C996" s="741"/>
      <c r="D996" s="741"/>
      <c r="E996" s="741"/>
      <c r="F996" s="741"/>
      <c r="G996" s="741"/>
      <c r="H996" s="741"/>
      <c r="I996" s="741"/>
      <c r="J996" s="741"/>
      <c r="K996" s="741"/>
      <c r="L996" s="741"/>
      <c r="M996" s="741"/>
      <c r="N996" s="741"/>
      <c r="O996" s="741"/>
      <c r="P996" s="741"/>
      <c r="Q996" s="741"/>
      <c r="R996" s="741"/>
      <c r="S996" s="741"/>
      <c r="T996" s="741"/>
      <c r="U996" s="741"/>
      <c r="V996" s="741"/>
      <c r="W996" s="741"/>
      <c r="X996" s="741"/>
      <c r="Y996" s="741"/>
      <c r="Z996" s="741"/>
      <c r="AA996" s="741"/>
      <c r="AB996" s="741"/>
      <c r="AC996" s="741"/>
      <c r="AD996" s="741"/>
      <c r="AE996" s="741"/>
      <c r="AF996" s="741"/>
      <c r="AG996" s="741"/>
      <c r="AH996" s="741"/>
      <c r="AI996" s="741"/>
      <c r="AJ996" s="741"/>
      <c r="AK996" s="741"/>
      <c r="AL996" s="741"/>
      <c r="AM996" s="741"/>
    </row>
    <row r="997" spans="1:39" ht="12.75" customHeight="1">
      <c r="A997" s="741"/>
      <c r="B997" s="741"/>
      <c r="C997" s="741"/>
      <c r="D997" s="741"/>
      <c r="E997" s="741"/>
      <c r="F997" s="741"/>
      <c r="G997" s="741"/>
      <c r="H997" s="741"/>
      <c r="I997" s="741"/>
      <c r="J997" s="741"/>
      <c r="K997" s="741"/>
      <c r="L997" s="741"/>
      <c r="M997" s="741"/>
      <c r="N997" s="741"/>
      <c r="O997" s="741"/>
      <c r="P997" s="741"/>
      <c r="Q997" s="741"/>
      <c r="R997" s="741"/>
      <c r="S997" s="741"/>
      <c r="T997" s="741"/>
      <c r="U997" s="741"/>
      <c r="V997" s="741"/>
      <c r="W997" s="741"/>
      <c r="X997" s="741"/>
      <c r="Y997" s="741"/>
      <c r="Z997" s="741"/>
      <c r="AA997" s="741"/>
      <c r="AB997" s="741"/>
      <c r="AC997" s="741"/>
      <c r="AD997" s="741"/>
      <c r="AE997" s="741"/>
      <c r="AF997" s="741"/>
      <c r="AG997" s="741"/>
      <c r="AH997" s="741"/>
      <c r="AI997" s="741"/>
      <c r="AJ997" s="741"/>
      <c r="AK997" s="741"/>
      <c r="AL997" s="741"/>
      <c r="AM997" s="741"/>
    </row>
    <row r="998" spans="1:39" ht="12.75" customHeight="1">
      <c r="A998" s="741"/>
      <c r="B998" s="741"/>
      <c r="C998" s="741"/>
      <c r="D998" s="741"/>
      <c r="E998" s="741"/>
      <c r="F998" s="741"/>
      <c r="G998" s="741"/>
      <c r="H998" s="741"/>
      <c r="I998" s="741"/>
      <c r="J998" s="741"/>
      <c r="K998" s="741"/>
      <c r="L998" s="741"/>
      <c r="M998" s="741"/>
      <c r="N998" s="741"/>
      <c r="O998" s="741"/>
      <c r="P998" s="741"/>
      <c r="Q998" s="741"/>
      <c r="R998" s="741"/>
      <c r="S998" s="741"/>
      <c r="T998" s="741"/>
      <c r="U998" s="741"/>
      <c r="V998" s="741"/>
      <c r="W998" s="741"/>
      <c r="X998" s="741"/>
      <c r="Y998" s="741"/>
      <c r="Z998" s="741"/>
      <c r="AA998" s="741"/>
      <c r="AB998" s="741"/>
      <c r="AC998" s="741"/>
      <c r="AD998" s="741"/>
      <c r="AE998" s="741"/>
      <c r="AF998" s="741"/>
      <c r="AG998" s="741"/>
      <c r="AH998" s="741"/>
      <c r="AI998" s="741"/>
      <c r="AJ998" s="741"/>
      <c r="AK998" s="741"/>
      <c r="AL998" s="741"/>
      <c r="AM998" s="741"/>
    </row>
    <row r="999" spans="1:39" ht="12.75" customHeight="1">
      <c r="A999" s="741"/>
      <c r="B999" s="741"/>
      <c r="C999" s="741"/>
      <c r="D999" s="741"/>
      <c r="E999" s="741"/>
      <c r="F999" s="741"/>
      <c r="G999" s="741"/>
      <c r="H999" s="741"/>
      <c r="I999" s="741"/>
      <c r="J999" s="741"/>
      <c r="K999" s="741"/>
      <c r="L999" s="741"/>
      <c r="M999" s="741"/>
      <c r="N999" s="741"/>
      <c r="O999" s="741"/>
      <c r="P999" s="741"/>
      <c r="Q999" s="741"/>
      <c r="R999" s="741"/>
      <c r="S999" s="741"/>
      <c r="T999" s="741"/>
      <c r="U999" s="741"/>
      <c r="V999" s="741"/>
      <c r="W999" s="741"/>
      <c r="X999" s="741"/>
      <c r="Y999" s="741"/>
      <c r="Z999" s="741"/>
      <c r="AA999" s="741"/>
      <c r="AB999" s="741"/>
      <c r="AC999" s="741"/>
      <c r="AD999" s="741"/>
      <c r="AE999" s="741"/>
      <c r="AF999" s="741"/>
      <c r="AG999" s="741"/>
      <c r="AH999" s="741"/>
      <c r="AI999" s="741"/>
      <c r="AJ999" s="741"/>
      <c r="AK999" s="741"/>
      <c r="AL999" s="741"/>
      <c r="AM999" s="741"/>
    </row>
    <row r="1000" spans="1:39" ht="12.75" customHeight="1">
      <c r="A1000" s="741"/>
      <c r="B1000" s="741"/>
      <c r="C1000" s="741"/>
      <c r="D1000" s="741"/>
      <c r="E1000" s="741"/>
      <c r="F1000" s="741"/>
      <c r="G1000" s="741"/>
      <c r="H1000" s="741"/>
      <c r="I1000" s="741"/>
      <c r="J1000" s="741"/>
      <c r="K1000" s="741"/>
      <c r="L1000" s="741"/>
      <c r="M1000" s="741"/>
      <c r="N1000" s="741"/>
      <c r="O1000" s="741"/>
      <c r="P1000" s="741"/>
      <c r="Q1000" s="741"/>
      <c r="R1000" s="741"/>
      <c r="S1000" s="741"/>
      <c r="T1000" s="741"/>
      <c r="U1000" s="741"/>
      <c r="V1000" s="741"/>
      <c r="W1000" s="741"/>
      <c r="X1000" s="741"/>
      <c r="Y1000" s="741"/>
      <c r="Z1000" s="741"/>
      <c r="AA1000" s="741"/>
      <c r="AB1000" s="741"/>
      <c r="AC1000" s="741"/>
      <c r="AD1000" s="741"/>
      <c r="AE1000" s="741"/>
      <c r="AF1000" s="741"/>
      <c r="AG1000" s="741"/>
      <c r="AH1000" s="741"/>
      <c r="AI1000" s="741"/>
      <c r="AJ1000" s="741"/>
      <c r="AK1000" s="741"/>
      <c r="AL1000" s="741"/>
      <c r="AM1000" s="741"/>
    </row>
    <row r="1001" spans="1:39" ht="12.75" customHeight="1">
      <c r="A1001" s="741"/>
      <c r="B1001" s="741"/>
      <c r="C1001" s="741"/>
      <c r="D1001" s="741"/>
      <c r="E1001" s="741"/>
      <c r="F1001" s="741"/>
      <c r="G1001" s="741"/>
      <c r="H1001" s="741"/>
      <c r="I1001" s="741"/>
      <c r="J1001" s="741"/>
      <c r="K1001" s="741"/>
      <c r="L1001" s="741"/>
      <c r="M1001" s="741"/>
      <c r="N1001" s="741"/>
      <c r="O1001" s="741"/>
      <c r="P1001" s="741"/>
      <c r="Q1001" s="741"/>
      <c r="R1001" s="741"/>
      <c r="S1001" s="741"/>
      <c r="T1001" s="741"/>
      <c r="U1001" s="741"/>
      <c r="V1001" s="741"/>
      <c r="W1001" s="741"/>
      <c r="X1001" s="741"/>
      <c r="Y1001" s="741"/>
      <c r="Z1001" s="741"/>
      <c r="AA1001" s="741"/>
      <c r="AB1001" s="741"/>
      <c r="AC1001" s="741"/>
      <c r="AD1001" s="741"/>
      <c r="AE1001" s="741"/>
      <c r="AF1001" s="741"/>
      <c r="AG1001" s="741"/>
      <c r="AH1001" s="741"/>
      <c r="AI1001" s="741"/>
      <c r="AJ1001" s="741"/>
      <c r="AK1001" s="741"/>
      <c r="AL1001" s="741"/>
      <c r="AM1001" s="741"/>
    </row>
    <row r="1002" spans="1:39" ht="12.75" customHeight="1">
      <c r="A1002" s="741"/>
      <c r="B1002" s="741"/>
      <c r="C1002" s="741"/>
      <c r="D1002" s="741"/>
      <c r="E1002" s="741"/>
      <c r="F1002" s="741"/>
      <c r="G1002" s="741"/>
      <c r="H1002" s="741"/>
      <c r="I1002" s="741"/>
      <c r="J1002" s="741"/>
      <c r="K1002" s="741"/>
      <c r="L1002" s="741"/>
      <c r="M1002" s="741"/>
      <c r="N1002" s="741"/>
      <c r="O1002" s="741"/>
      <c r="P1002" s="741"/>
      <c r="Q1002" s="741"/>
      <c r="R1002" s="741"/>
      <c r="S1002" s="741"/>
      <c r="T1002" s="741"/>
      <c r="U1002" s="741"/>
      <c r="V1002" s="741"/>
      <c r="W1002" s="741"/>
      <c r="X1002" s="741"/>
      <c r="Y1002" s="741"/>
      <c r="Z1002" s="741"/>
      <c r="AA1002" s="741"/>
      <c r="AB1002" s="741"/>
      <c r="AC1002" s="741"/>
      <c r="AD1002" s="741"/>
      <c r="AE1002" s="741"/>
      <c r="AF1002" s="741"/>
      <c r="AG1002" s="741"/>
      <c r="AH1002" s="741"/>
      <c r="AI1002" s="741"/>
      <c r="AJ1002" s="741"/>
      <c r="AK1002" s="741"/>
      <c r="AL1002" s="741"/>
      <c r="AM1002" s="741"/>
    </row>
    <row r="1003" spans="1:39" ht="12.75" customHeight="1">
      <c r="A1003" s="741"/>
      <c r="B1003" s="741"/>
      <c r="C1003" s="741"/>
      <c r="D1003" s="741"/>
      <c r="E1003" s="741"/>
      <c r="F1003" s="741"/>
      <c r="G1003" s="741"/>
      <c r="H1003" s="741"/>
      <c r="I1003" s="741"/>
      <c r="J1003" s="741"/>
      <c r="K1003" s="741"/>
      <c r="L1003" s="741"/>
      <c r="M1003" s="741"/>
      <c r="N1003" s="741"/>
      <c r="O1003" s="741"/>
      <c r="P1003" s="741"/>
      <c r="Q1003" s="741"/>
      <c r="R1003" s="741"/>
      <c r="S1003" s="741"/>
      <c r="T1003" s="741"/>
      <c r="U1003" s="741"/>
      <c r="V1003" s="741"/>
      <c r="W1003" s="741"/>
      <c r="X1003" s="741"/>
      <c r="Y1003" s="741"/>
      <c r="Z1003" s="741"/>
      <c r="AA1003" s="741"/>
      <c r="AB1003" s="741"/>
      <c r="AC1003" s="741"/>
      <c r="AD1003" s="741"/>
      <c r="AE1003" s="741"/>
      <c r="AF1003" s="741"/>
      <c r="AG1003" s="741"/>
      <c r="AH1003" s="741"/>
      <c r="AI1003" s="741"/>
      <c r="AJ1003" s="741"/>
      <c r="AK1003" s="741"/>
      <c r="AL1003" s="741"/>
      <c r="AM1003" s="741"/>
    </row>
    <row r="1004" spans="1:39" ht="12.75" customHeight="1">
      <c r="A1004" s="741"/>
      <c r="B1004" s="741"/>
      <c r="C1004" s="741"/>
      <c r="D1004" s="741"/>
      <c r="E1004" s="741"/>
      <c r="F1004" s="741"/>
      <c r="G1004" s="741"/>
      <c r="H1004" s="741"/>
      <c r="I1004" s="741"/>
      <c r="J1004" s="741"/>
      <c r="K1004" s="741"/>
      <c r="L1004" s="741"/>
      <c r="M1004" s="741"/>
      <c r="N1004" s="741"/>
      <c r="O1004" s="741"/>
      <c r="P1004" s="741"/>
      <c r="Q1004" s="741"/>
      <c r="R1004" s="741"/>
      <c r="S1004" s="741"/>
      <c r="T1004" s="741"/>
      <c r="U1004" s="741"/>
      <c r="V1004" s="741"/>
      <c r="W1004" s="741"/>
      <c r="X1004" s="741"/>
      <c r="Y1004" s="741"/>
      <c r="Z1004" s="741"/>
      <c r="AA1004" s="741"/>
      <c r="AB1004" s="741"/>
      <c r="AC1004" s="741"/>
      <c r="AD1004" s="741"/>
      <c r="AE1004" s="741"/>
      <c r="AF1004" s="741"/>
      <c r="AG1004" s="741"/>
      <c r="AH1004" s="741"/>
      <c r="AI1004" s="741"/>
      <c r="AJ1004" s="741"/>
      <c r="AK1004" s="741"/>
      <c r="AL1004" s="741"/>
      <c r="AM1004" s="741"/>
    </row>
  </sheetData>
  <mergeCells count="34">
    <mergeCell ref="AG4:AG5"/>
    <mergeCell ref="AH4:AH5"/>
    <mergeCell ref="AI4:AI5"/>
    <mergeCell ref="AJ4:AJ5"/>
    <mergeCell ref="AA4:AA5"/>
    <mergeCell ref="AB4:AB5"/>
    <mergeCell ref="AC4:AC5"/>
    <mergeCell ref="AD4:AD5"/>
    <mergeCell ref="AE4:AE5"/>
    <mergeCell ref="AF4:AF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N4:N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6352-37E2-4036-8E24-D9620CB3EA16}">
  <dimension ref="A2:AA61"/>
  <sheetViews>
    <sheetView showGridLines="0" zoomScale="76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G58" sqref="G58"/>
    </sheetView>
  </sheetViews>
  <sheetFormatPr defaultRowHeight="14.5"/>
  <cols>
    <col min="3" max="3" width="39.1796875" bestFit="1" customWidth="1"/>
    <col min="4" max="4" width="3.453125" customWidth="1"/>
    <col min="5" max="5" width="20.7265625" bestFit="1" customWidth="1"/>
    <col min="6" max="6" width="3.453125" customWidth="1"/>
    <col min="7" max="7" width="20.7265625" bestFit="1" customWidth="1"/>
    <col min="8" max="8" width="1.54296875" customWidth="1"/>
    <col min="9" max="9" width="20.7265625" customWidth="1"/>
    <col min="10" max="10" width="2" customWidth="1"/>
    <col min="11" max="11" width="20" bestFit="1" customWidth="1"/>
    <col min="12" max="12" width="2.453125" customWidth="1"/>
    <col min="18" max="18" width="2.1796875" customWidth="1"/>
    <col min="20" max="20" width="1.81640625" customWidth="1"/>
    <col min="21" max="21" width="16.7265625" bestFit="1" customWidth="1"/>
    <col min="22" max="22" width="1.81640625" customWidth="1"/>
    <col min="23" max="23" width="16.7265625" bestFit="1" customWidth="1"/>
    <col min="24" max="24" width="2.453125" customWidth="1"/>
    <col min="25" max="25" width="17.81640625" bestFit="1" customWidth="1"/>
    <col min="26" max="26" width="3.54296875" customWidth="1"/>
  </cols>
  <sheetData>
    <row r="2" spans="1:27">
      <c r="A2" s="465" t="s">
        <v>873</v>
      </c>
    </row>
    <row r="6" spans="1:27">
      <c r="S6" s="465" t="s">
        <v>912</v>
      </c>
    </row>
    <row r="7" spans="1:27">
      <c r="D7" s="480"/>
      <c r="E7" s="480" t="s">
        <v>1059</v>
      </c>
      <c r="F7" s="480"/>
      <c r="G7" s="480" t="s">
        <v>717</v>
      </c>
      <c r="H7" s="480"/>
      <c r="I7" s="480" t="s">
        <v>915</v>
      </c>
      <c r="K7" s="480" t="s">
        <v>716</v>
      </c>
    </row>
    <row r="8" spans="1:27">
      <c r="D8" s="481"/>
      <c r="E8" s="481" t="s">
        <v>1060</v>
      </c>
      <c r="F8" s="481"/>
      <c r="G8" s="481" t="s">
        <v>715</v>
      </c>
      <c r="H8" s="493"/>
      <c r="I8" s="481" t="s">
        <v>916</v>
      </c>
      <c r="K8" s="481" t="s">
        <v>718</v>
      </c>
      <c r="U8" s="521">
        <v>45627</v>
      </c>
      <c r="W8" s="521">
        <v>45536</v>
      </c>
      <c r="X8" s="465"/>
      <c r="Y8" s="521">
        <v>45170</v>
      </c>
      <c r="Z8" s="465"/>
      <c r="AA8" s="521">
        <v>45261</v>
      </c>
    </row>
    <row r="9" spans="1:27">
      <c r="C9" s="465" t="s">
        <v>874</v>
      </c>
      <c r="E9" s="496"/>
      <c r="G9" s="496"/>
      <c r="H9" s="496"/>
      <c r="I9" s="496"/>
      <c r="K9" s="364"/>
      <c r="N9" s="469" t="s">
        <v>890</v>
      </c>
    </row>
    <row r="10" spans="1:27">
      <c r="C10" t="str">
        <f>WS!B341</f>
        <v xml:space="preserve">Saldo Awal Udang </v>
      </c>
      <c r="E10" s="364">
        <f>WS!J341</f>
        <v>88132546606</v>
      </c>
      <c r="G10" s="364">
        <f>WS!U341</f>
        <v>88132546606</v>
      </c>
      <c r="H10" s="364"/>
      <c r="I10" s="364">
        <f>WS!AH341</f>
        <v>50061246940</v>
      </c>
      <c r="K10" s="364">
        <f>WS!W341</f>
        <v>50061246940</v>
      </c>
      <c r="N10" s="468" t="s">
        <v>891</v>
      </c>
      <c r="S10" t="s">
        <v>273</v>
      </c>
      <c r="U10" s="364">
        <f>E10-WS!W94</f>
        <v>0</v>
      </c>
      <c r="W10" s="364">
        <f>G10-WS!W94</f>
        <v>0</v>
      </c>
      <c r="Y10" s="364">
        <f>I10-WS!AJ94</f>
        <v>0</v>
      </c>
      <c r="AA10" s="364">
        <f>K10-WS!AJ94</f>
        <v>0</v>
      </c>
    </row>
    <row r="11" spans="1:27">
      <c r="C11" t="str">
        <f>'AJE CAJE Sept 24'!D67</f>
        <v xml:space="preserve">Pembelian Udang </v>
      </c>
      <c r="E11" s="512">
        <f>WS!J342</f>
        <v>124513995141.37999</v>
      </c>
      <c r="G11" s="512">
        <f>WS!U342</f>
        <v>79684645960.440002</v>
      </c>
      <c r="H11" s="364"/>
      <c r="I11" s="512">
        <f>WS!AH342</f>
        <v>140612836909</v>
      </c>
      <c r="K11" s="512">
        <f>WS!W342</f>
        <v>170720757691</v>
      </c>
      <c r="N11" s="468" t="s">
        <v>892</v>
      </c>
      <c r="U11" s="364">
        <f>WS!J342-E11</f>
        <v>0</v>
      </c>
      <c r="W11" s="364">
        <f>WS!U342-G11</f>
        <v>0</v>
      </c>
      <c r="Y11" s="364">
        <f>WS!AH342-I11</f>
        <v>0</v>
      </c>
    </row>
    <row r="12" spans="1:27" ht="8.25" customHeight="1">
      <c r="K12" s="364"/>
      <c r="N12" s="468"/>
    </row>
    <row r="13" spans="1:27">
      <c r="C13" s="465" t="s">
        <v>875</v>
      </c>
      <c r="E13" s="505">
        <f>SUM(E10:E11)-E14</f>
        <v>212646541747.38</v>
      </c>
      <c r="G13" s="505">
        <f>SUM(G10:G11)-G14</f>
        <v>157107977094.54001</v>
      </c>
      <c r="H13" s="505"/>
      <c r="I13" s="505">
        <f>SUM(I10:I11)-I14</f>
        <v>182710412926</v>
      </c>
      <c r="K13" s="505">
        <f>SUM(K10:K11)-K14</f>
        <v>214800452636</v>
      </c>
      <c r="N13" s="469" t="s">
        <v>893</v>
      </c>
      <c r="U13" s="364"/>
      <c r="W13" s="364"/>
      <c r="Y13" s="364"/>
    </row>
    <row r="14" spans="1:27">
      <c r="C14" t="s">
        <v>876</v>
      </c>
      <c r="E14" s="512">
        <f>WS!J344</f>
        <v>0</v>
      </c>
      <c r="G14" s="512">
        <f>WS!U344</f>
        <v>10709215471.9</v>
      </c>
      <c r="H14" s="364"/>
      <c r="I14" s="512">
        <f>WS!AH344</f>
        <v>7963670923</v>
      </c>
      <c r="K14" s="512">
        <f>WS!W344</f>
        <v>5981551995</v>
      </c>
      <c r="N14" s="468" t="s">
        <v>894</v>
      </c>
      <c r="U14" s="364"/>
      <c r="W14" s="364"/>
      <c r="Y14" s="364"/>
    </row>
    <row r="15" spans="1:27" ht="8.25" customHeight="1">
      <c r="N15" s="468"/>
    </row>
    <row r="16" spans="1:27">
      <c r="C16" s="465" t="s">
        <v>534</v>
      </c>
      <c r="E16" s="505">
        <f>SUM(E13:E14)</f>
        <v>212646541747.38</v>
      </c>
      <c r="G16" s="505">
        <f>SUM(G13:G14)</f>
        <v>167817192566.44</v>
      </c>
      <c r="H16" s="505"/>
      <c r="I16" s="505">
        <f>SUM(I13:I14)</f>
        <v>190674083849</v>
      </c>
      <c r="K16" s="505">
        <f>SUM(K13:K14)</f>
        <v>220782004631</v>
      </c>
      <c r="N16" s="469" t="s">
        <v>535</v>
      </c>
      <c r="U16" s="364"/>
      <c r="W16" s="364"/>
      <c r="Y16" s="364"/>
    </row>
    <row r="17" spans="3:27" ht="8.25" customHeight="1">
      <c r="N17" s="468"/>
    </row>
    <row r="18" spans="3:27">
      <c r="C18" t="s">
        <v>877</v>
      </c>
      <c r="E18" s="512">
        <f>WS!J346</f>
        <v>-97064513093</v>
      </c>
      <c r="G18" s="512">
        <f>WS!U346</f>
        <v>-108490508463.89999</v>
      </c>
      <c r="H18" s="364"/>
      <c r="I18" s="512">
        <f>WS!AH346</f>
        <v>-87174436355</v>
      </c>
      <c r="K18" s="512">
        <f>WS!W346</f>
        <v>-88132546606</v>
      </c>
      <c r="N18" s="468" t="s">
        <v>895</v>
      </c>
      <c r="S18" t="s">
        <v>274</v>
      </c>
      <c r="U18" s="364">
        <f>E18+WS!J94</f>
        <v>0</v>
      </c>
      <c r="W18" s="364">
        <f>G18+WS!U94</f>
        <v>0</v>
      </c>
      <c r="Y18" s="364">
        <f>I18+WS!AH94</f>
        <v>0</v>
      </c>
      <c r="AA18" s="364">
        <f>K18+WS!W94</f>
        <v>0</v>
      </c>
    </row>
    <row r="19" spans="3:27" ht="6.75" customHeight="1">
      <c r="N19" s="468"/>
    </row>
    <row r="20" spans="3:27">
      <c r="C20" s="465" t="s">
        <v>878</v>
      </c>
      <c r="E20" s="505">
        <f>SUM(E16:E18)</f>
        <v>115582028654.38</v>
      </c>
      <c r="G20" s="505">
        <f>SUM(G16:G18)</f>
        <v>59326684102.540009</v>
      </c>
      <c r="H20" s="505"/>
      <c r="I20" s="505">
        <f>SUM(I16:I18)</f>
        <v>103499647494</v>
      </c>
      <c r="K20" s="505">
        <f>SUM(K16:K18)</f>
        <v>132649458025</v>
      </c>
      <c r="N20" s="469" t="s">
        <v>896</v>
      </c>
    </row>
    <row r="21" spans="3:27" ht="7.5" customHeight="1">
      <c r="N21" s="468"/>
    </row>
    <row r="22" spans="3:27">
      <c r="C22" t="s">
        <v>879</v>
      </c>
      <c r="E22" s="512">
        <f>WS!J348</f>
        <v>0</v>
      </c>
      <c r="G22" s="512">
        <f>WS!U348</f>
        <v>-10709215471.9</v>
      </c>
      <c r="H22" s="364"/>
      <c r="I22" s="512">
        <f>WS!AH348</f>
        <v>-7963670923</v>
      </c>
      <c r="K22" s="512">
        <f>WS!W348</f>
        <v>-5981551995</v>
      </c>
      <c r="N22" s="468" t="s">
        <v>897</v>
      </c>
      <c r="U22" s="364"/>
      <c r="W22" s="364"/>
      <c r="Y22" s="364"/>
    </row>
    <row r="23" spans="3:27" ht="6.75" customHeight="1">
      <c r="N23" s="468"/>
    </row>
    <row r="24" spans="3:27">
      <c r="C24" s="522" t="s">
        <v>880</v>
      </c>
      <c r="D24" s="94"/>
      <c r="E24" s="527">
        <f>SUM(E20:E22)</f>
        <v>115582028654.38</v>
      </c>
      <c r="F24" s="94"/>
      <c r="G24" s="527">
        <f>SUM(G20:G22)</f>
        <v>48617468630.640007</v>
      </c>
      <c r="H24" s="527"/>
      <c r="I24" s="527">
        <f>SUM(I20:I22)</f>
        <v>95535976571</v>
      </c>
      <c r="J24" s="94"/>
      <c r="K24" s="527">
        <f>SUM(K20:K22)</f>
        <v>126667906030</v>
      </c>
      <c r="L24" s="94"/>
      <c r="M24" s="94"/>
      <c r="N24" s="526" t="s">
        <v>898</v>
      </c>
      <c r="O24" s="94"/>
      <c r="P24" s="94"/>
      <c r="Q24" s="94"/>
      <c r="R24" s="94"/>
      <c r="S24" s="524"/>
      <c r="T24" s="364"/>
      <c r="U24" s="364">
        <f>E24-WS!J349</f>
        <v>0</v>
      </c>
      <c r="V24" s="364"/>
      <c r="W24" s="364">
        <f>G24-WS!U349</f>
        <v>0</v>
      </c>
      <c r="Y24" s="364">
        <f>I24-WS!AH349</f>
        <v>0</v>
      </c>
      <c r="AA24" s="364">
        <f>K24-WS!W349</f>
        <v>0</v>
      </c>
    </row>
    <row r="25" spans="3:27" ht="6" customHeight="1">
      <c r="N25" s="468"/>
    </row>
    <row r="26" spans="3:27">
      <c r="C26" s="465" t="s">
        <v>881</v>
      </c>
      <c r="N26" s="468" t="s">
        <v>263</v>
      </c>
    </row>
    <row r="27" spans="3:27">
      <c r="C27" t="s">
        <v>882</v>
      </c>
      <c r="E27" s="364">
        <f>WS!J352</f>
        <v>3808188569</v>
      </c>
      <c r="G27" s="364">
        <f>WS!U352</f>
        <v>3808188569</v>
      </c>
      <c r="H27" s="364"/>
      <c r="I27" s="364">
        <f>WS!AH352</f>
        <v>4118553810</v>
      </c>
      <c r="K27" s="364">
        <f>WS!W352</f>
        <v>4118553810</v>
      </c>
      <c r="N27" s="468" t="s">
        <v>891</v>
      </c>
      <c r="S27" t="s">
        <v>882</v>
      </c>
      <c r="U27" s="364">
        <f>E27-WS!W95</f>
        <v>0</v>
      </c>
      <c r="W27" s="364">
        <f>G27-WS!W95</f>
        <v>0</v>
      </c>
      <c r="Y27" s="364">
        <f>I27-WS!AJ95</f>
        <v>0</v>
      </c>
    </row>
    <row r="28" spans="3:27">
      <c r="C28" t="s">
        <v>883</v>
      </c>
      <c r="E28" s="512">
        <f>WS!J353</f>
        <v>0</v>
      </c>
      <c r="G28" s="512">
        <f>WS!U353</f>
        <v>10709215471.9</v>
      </c>
      <c r="H28" s="364"/>
      <c r="I28" s="512">
        <f>WS!AH353</f>
        <v>7963670923</v>
      </c>
      <c r="K28" s="512">
        <f>WS!W353</f>
        <v>5981551995</v>
      </c>
      <c r="N28" s="468" t="s">
        <v>899</v>
      </c>
      <c r="U28" s="364">
        <f>WS!J353-E28</f>
        <v>0</v>
      </c>
      <c r="W28" s="364">
        <f>WS!U353-G28</f>
        <v>0</v>
      </c>
      <c r="Y28" s="364">
        <f>WS!AH353-I28</f>
        <v>0</v>
      </c>
    </row>
    <row r="29" spans="3:27" ht="9" customHeight="1">
      <c r="N29" s="468"/>
    </row>
    <row r="30" spans="3:27">
      <c r="C30" s="465" t="s">
        <v>884</v>
      </c>
      <c r="E30" s="505">
        <f>SUM(E27:E28)</f>
        <v>3808188569</v>
      </c>
      <c r="G30" s="505">
        <f>SUM(G27:G28)</f>
        <v>14517404040.9</v>
      </c>
      <c r="H30" s="505"/>
      <c r="I30" s="505">
        <f>SUM(I27:I28)</f>
        <v>12082224733</v>
      </c>
      <c r="K30" s="505">
        <f>SUM(K27:K28)</f>
        <v>10100105805</v>
      </c>
      <c r="N30" s="469" t="s">
        <v>900</v>
      </c>
    </row>
    <row r="31" spans="3:27">
      <c r="C31" t="s">
        <v>266</v>
      </c>
      <c r="E31" s="512">
        <f>WS!J355</f>
        <v>-3808188569</v>
      </c>
      <c r="G31" s="512">
        <f>WS!U355</f>
        <v>-6129938496.79</v>
      </c>
      <c r="H31" s="364"/>
      <c r="I31" s="512">
        <f>WS!AH355</f>
        <v>-4720465278</v>
      </c>
      <c r="K31" s="512">
        <f>WS!W355</f>
        <v>-3808188569</v>
      </c>
      <c r="N31" s="468" t="s">
        <v>901</v>
      </c>
      <c r="U31" s="364"/>
      <c r="W31" s="364"/>
      <c r="Y31" s="364"/>
    </row>
    <row r="32" spans="3:27" ht="7.5" customHeight="1">
      <c r="N32" s="468"/>
    </row>
    <row r="33" spans="3:27" ht="15" thickBot="1">
      <c r="C33" s="522" t="s">
        <v>913</v>
      </c>
      <c r="D33" s="94"/>
      <c r="E33" s="525">
        <f>SUM(E30:E31)</f>
        <v>0</v>
      </c>
      <c r="F33" s="94"/>
      <c r="G33" s="525">
        <f>SUM(G30:G31)</f>
        <v>8387465544.1099997</v>
      </c>
      <c r="H33" s="527"/>
      <c r="I33" s="525">
        <f>SUM(I30:I31)</f>
        <v>7361759455</v>
      </c>
      <c r="J33" s="94"/>
      <c r="K33" s="525">
        <f>SUM(K30:K31)</f>
        <v>6291917236</v>
      </c>
      <c r="L33" s="94"/>
      <c r="M33" s="94"/>
      <c r="N33" s="526" t="s">
        <v>914</v>
      </c>
      <c r="O33" s="94"/>
      <c r="P33" s="94"/>
      <c r="Q33" s="94"/>
      <c r="R33" s="94"/>
      <c r="S33" s="94"/>
      <c r="T33" s="94"/>
      <c r="U33" s="364">
        <f>E33-WS!J356</f>
        <v>0</v>
      </c>
      <c r="W33" s="364">
        <f>G33-WS!U356</f>
        <v>0</v>
      </c>
      <c r="Y33" s="364">
        <f>I33-WS!AH356</f>
        <v>0</v>
      </c>
      <c r="AA33" s="364">
        <f>K33-WS!W356</f>
        <v>0</v>
      </c>
    </row>
    <row r="35" spans="3:27">
      <c r="C35" t="s">
        <v>69</v>
      </c>
      <c r="E35" s="364">
        <f>WS!J360+WS!J361</f>
        <v>9350652607.6399994</v>
      </c>
      <c r="G35" s="364">
        <f>WS!U360+WS!U361</f>
        <v>7885315806.6400003</v>
      </c>
      <c r="H35" s="364"/>
      <c r="I35" s="364">
        <f>WS!AH360+WS!AH361</f>
        <v>10041531808</v>
      </c>
      <c r="K35" s="364">
        <f>WS!W360+WS!W361</f>
        <v>12507303567</v>
      </c>
      <c r="N35" s="468" t="s">
        <v>751</v>
      </c>
    </row>
    <row r="36" spans="3:27" ht="6.75" customHeight="1">
      <c r="N36" s="468"/>
    </row>
    <row r="37" spans="3:27">
      <c r="C37" s="465" t="s">
        <v>882</v>
      </c>
      <c r="N37" s="469" t="s">
        <v>891</v>
      </c>
    </row>
    <row r="38" spans="3:27">
      <c r="C38" t="s">
        <v>69</v>
      </c>
      <c r="E38" s="364">
        <f>WS!J367</f>
        <v>16305238543</v>
      </c>
      <c r="G38" s="364">
        <f>WS!U367</f>
        <v>16305238543</v>
      </c>
      <c r="H38" s="364"/>
      <c r="I38" s="364">
        <f>WS!AH367</f>
        <v>12890764983</v>
      </c>
      <c r="K38" s="364">
        <f>WS!W367</f>
        <v>12890764983</v>
      </c>
      <c r="N38" s="468" t="s">
        <v>751</v>
      </c>
      <c r="S38" t="s">
        <v>882</v>
      </c>
      <c r="U38" s="364">
        <f>E38-WS!W92</f>
        <v>0</v>
      </c>
      <c r="W38" s="364">
        <f>G38-WS!W92</f>
        <v>0</v>
      </c>
      <c r="Y38" s="364">
        <f>I38-WS!AJ92</f>
        <v>-0.30999946594238281</v>
      </c>
    </row>
    <row r="39" spans="3:27">
      <c r="C39" t="s">
        <v>272</v>
      </c>
      <c r="E39" s="364">
        <f>WS!J368</f>
        <v>76848942</v>
      </c>
      <c r="G39" s="364">
        <f>WS!U368</f>
        <v>76848942</v>
      </c>
      <c r="H39" s="364"/>
      <c r="I39" s="364">
        <f>WS!AH368</f>
        <v>96562754</v>
      </c>
      <c r="K39" s="364">
        <f>WS!W368</f>
        <v>96562754</v>
      </c>
      <c r="N39" s="468" t="s">
        <v>902</v>
      </c>
      <c r="S39" t="s">
        <v>882</v>
      </c>
      <c r="U39" s="364">
        <f>E39-WS!W93</f>
        <v>0</v>
      </c>
      <c r="W39" s="364">
        <f>G39-WS!W93</f>
        <v>0</v>
      </c>
      <c r="Y39" s="364">
        <f>I39-WS!AJ93</f>
        <v>0</v>
      </c>
    </row>
    <row r="40" spans="3:27" ht="6.75" customHeight="1">
      <c r="N40" s="468"/>
    </row>
    <row r="41" spans="3:27">
      <c r="C41" s="465" t="s">
        <v>274</v>
      </c>
      <c r="N41" s="469" t="s">
        <v>903</v>
      </c>
    </row>
    <row r="42" spans="3:27">
      <c r="C42" t="s">
        <v>69</v>
      </c>
      <c r="E42" s="364">
        <f>-WS!J371</f>
        <v>-16305238543</v>
      </c>
      <c r="G42" s="364">
        <f>-WS!U371</f>
        <v>-20674773552.799999</v>
      </c>
      <c r="H42" s="364"/>
      <c r="I42" s="364">
        <f>-WS!AH371</f>
        <v>-17383013044</v>
      </c>
      <c r="K42" s="364">
        <f>-WS!W371</f>
        <v>-16305238543</v>
      </c>
      <c r="N42" s="468" t="s">
        <v>751</v>
      </c>
      <c r="S42" t="s">
        <v>274</v>
      </c>
      <c r="U42" s="364">
        <f>WS!J371+E42</f>
        <v>0</v>
      </c>
      <c r="W42" s="364">
        <f>WS!U371+G42</f>
        <v>0</v>
      </c>
      <c r="Y42" s="364">
        <f>WS!AH371+I42</f>
        <v>0</v>
      </c>
    </row>
    <row r="43" spans="3:27">
      <c r="C43" t="s">
        <v>272</v>
      </c>
      <c r="E43" s="512">
        <f>-WS!J372</f>
        <v>-76848942</v>
      </c>
      <c r="G43" s="512">
        <f>-WS!U372</f>
        <v>-34860372.939999998</v>
      </c>
      <c r="H43" s="364"/>
      <c r="I43" s="512">
        <f>-WS!AH372</f>
        <v>-84387986</v>
      </c>
      <c r="K43" s="512">
        <f>-WS!W372</f>
        <v>-76848942</v>
      </c>
      <c r="N43" s="468" t="s">
        <v>902</v>
      </c>
      <c r="S43" t="s">
        <v>274</v>
      </c>
      <c r="U43" s="364">
        <f>WS!J372+E43</f>
        <v>0</v>
      </c>
      <c r="W43" s="364">
        <f>WS!U372+G43</f>
        <v>0</v>
      </c>
      <c r="Y43" s="364">
        <f>WS!AH372+I43</f>
        <v>0</v>
      </c>
    </row>
    <row r="44" spans="3:27" ht="9.75" customHeight="1">
      <c r="N44" s="468"/>
    </row>
    <row r="45" spans="3:27">
      <c r="C45" s="522" t="s">
        <v>885</v>
      </c>
      <c r="D45" s="94"/>
      <c r="E45" s="527">
        <f>E35+SUM(E38:E39)+SUM(E42:E43)</f>
        <v>9350652607.6399994</v>
      </c>
      <c r="F45" s="94"/>
      <c r="G45" s="527">
        <f>G35+SUM(G38:G39)+SUM(G42:G43)</f>
        <v>3557769365.9000015</v>
      </c>
      <c r="H45" s="527"/>
      <c r="I45" s="527">
        <f>I35+SUM(I38:I39)+SUM(I42:I43)</f>
        <v>5561458515</v>
      </c>
      <c r="J45" s="94"/>
      <c r="K45" s="527">
        <f>K35+SUM(K38:K39)+SUM(K42:K43)</f>
        <v>9112543819</v>
      </c>
      <c r="L45" s="94"/>
      <c r="M45" s="94"/>
      <c r="N45" s="526" t="s">
        <v>904</v>
      </c>
      <c r="O45" s="94"/>
      <c r="P45" s="94"/>
      <c r="Q45" s="94"/>
      <c r="R45" s="94"/>
      <c r="U45" s="364">
        <f>WS!J373-E45</f>
        <v>0</v>
      </c>
      <c r="W45" s="364">
        <f>WS!U373-G45</f>
        <v>0</v>
      </c>
      <c r="Y45" s="364">
        <f>I45-WS!AH373</f>
        <v>0</v>
      </c>
    </row>
    <row r="46" spans="3:27">
      <c r="N46" s="468"/>
    </row>
    <row r="47" spans="3:27" ht="15" thickBot="1">
      <c r="C47" s="522" t="s">
        <v>886</v>
      </c>
      <c r="D47" s="94"/>
      <c r="E47" s="523" t="e">
        <f>WS!J379+WS!J380+WS!#REF!+WS!J381+WS!J382+WS!J383+WS!J384+WS!J385+WS!J386+WS!J387</f>
        <v>#REF!</v>
      </c>
      <c r="F47" s="94"/>
      <c r="G47" s="523" t="e">
        <f>WS!U379+WS!U380+WS!#REF!+WS!U381+WS!U382+WS!U383+WS!U384+WS!U385+WS!U386+WS!U387</f>
        <v>#REF!</v>
      </c>
      <c r="H47" s="524"/>
      <c r="I47" s="525" t="e">
        <f>WS!AH379+WS!AH380+WS!#REF!+WS!AH381+WS!AH382+WS!AH383+WS!AH384+WS!AH385+WS!AH386+WS!AH387</f>
        <v>#REF!</v>
      </c>
      <c r="J47" s="94"/>
      <c r="K47" s="525" t="e">
        <f>WS!W379+WS!W380+WS!#REF!+WS!W381+WS!W382+WS!W383+WS!W384+WS!W385+WS!W386+WS!W387</f>
        <v>#REF!</v>
      </c>
      <c r="L47" s="94"/>
      <c r="M47" s="94"/>
      <c r="N47" s="526" t="s">
        <v>905</v>
      </c>
      <c r="O47" s="94"/>
      <c r="P47" s="94"/>
      <c r="Q47" s="94"/>
      <c r="R47" s="94"/>
      <c r="U47" s="364" t="e">
        <f>E47-SUM(WS!J379:J387)</f>
        <v>#REF!</v>
      </c>
      <c r="W47" s="364" t="e">
        <f>G47-SUM(WS!U379:U387)</f>
        <v>#REF!</v>
      </c>
      <c r="Y47" s="364" t="e">
        <f>I47-SUM(WS!AH379:AH387)</f>
        <v>#REF!</v>
      </c>
      <c r="AA47" s="364" t="e">
        <f>K47-SUM(WS!W379:W387)</f>
        <v>#REF!</v>
      </c>
    </row>
    <row r="48" spans="3:27">
      <c r="N48" s="468"/>
    </row>
    <row r="49" spans="3:27">
      <c r="C49" s="465" t="s">
        <v>290</v>
      </c>
      <c r="N49" s="469" t="s">
        <v>906</v>
      </c>
    </row>
    <row r="50" spans="3:27">
      <c r="C50" t="s">
        <v>295</v>
      </c>
      <c r="E50" s="364">
        <f>WS!J393</f>
        <v>3088453537</v>
      </c>
      <c r="G50" s="364">
        <f>WS!U393</f>
        <v>2153355677</v>
      </c>
      <c r="H50" s="364"/>
      <c r="I50" s="364">
        <f>WS!AH393</f>
        <v>2300707763</v>
      </c>
      <c r="K50" s="364">
        <f>WS!W393</f>
        <v>3096554794</v>
      </c>
      <c r="N50" s="468" t="s">
        <v>907</v>
      </c>
    </row>
    <row r="51" spans="3:27">
      <c r="C51" t="s">
        <v>832</v>
      </c>
      <c r="E51" s="364">
        <f>WS!J390</f>
        <v>2268968473.9760413</v>
      </c>
      <c r="G51" s="364">
        <f>WS!U390</f>
        <v>1622489016.6476657</v>
      </c>
      <c r="H51" s="364"/>
      <c r="I51" s="364">
        <f>WS!AH390</f>
        <v>1696263520</v>
      </c>
      <c r="K51" s="364">
        <f>WS!W390</f>
        <v>2107125819</v>
      </c>
      <c r="N51" s="468" t="s">
        <v>292</v>
      </c>
    </row>
    <row r="52" spans="3:27">
      <c r="C52" t="s">
        <v>297</v>
      </c>
      <c r="E52" s="364">
        <f>WS!J395</f>
        <v>123006069</v>
      </c>
      <c r="G52" s="364">
        <f>WS!U395</f>
        <v>72898009</v>
      </c>
      <c r="H52" s="364"/>
      <c r="I52" s="364">
        <f>WS!AH395</f>
        <v>134103819</v>
      </c>
      <c r="K52" s="364">
        <f>WS!W395</f>
        <v>154739169</v>
      </c>
      <c r="N52" s="468" t="s">
        <v>908</v>
      </c>
    </row>
    <row r="53" spans="3:27">
      <c r="C53" t="s">
        <v>887</v>
      </c>
      <c r="E53" s="364">
        <f>WS!J394</f>
        <v>64008793</v>
      </c>
      <c r="G53" s="364">
        <f>WS!U394</f>
        <v>31664255</v>
      </c>
      <c r="H53" s="364"/>
      <c r="I53" s="364">
        <f>WS!AH394</f>
        <v>122076750</v>
      </c>
      <c r="K53" s="364">
        <f>WS!W394</f>
        <v>137666155</v>
      </c>
      <c r="N53" s="468" t="s">
        <v>909</v>
      </c>
    </row>
    <row r="54" spans="3:27">
      <c r="C54" t="s">
        <v>656</v>
      </c>
      <c r="E54" s="364">
        <f>WS!J389+WS!J391+WS!J392+WS!J396</f>
        <v>112220707</v>
      </c>
      <c r="G54" s="364">
        <f>WS!U389+WS!U391+WS!U392+WS!U396</f>
        <v>84579248</v>
      </c>
      <c r="H54" s="364"/>
      <c r="I54" s="364">
        <f>WS!AH389+WS!AH391+WS!AH392+WS!AH396</f>
        <v>22029794</v>
      </c>
      <c r="K54" s="364">
        <f>WS!W389+WS!W391+WS!W392+WS!W396</f>
        <v>50525457</v>
      </c>
      <c r="N54" s="468" t="s">
        <v>299</v>
      </c>
    </row>
    <row r="55" spans="3:27">
      <c r="N55" s="468"/>
    </row>
    <row r="56" spans="3:27" ht="15" thickBot="1">
      <c r="C56" s="522" t="s">
        <v>888</v>
      </c>
      <c r="D56" s="94"/>
      <c r="E56" s="523" t="e">
        <f>SUM(E47:E54)</f>
        <v>#REF!</v>
      </c>
      <c r="F56" s="94"/>
      <c r="G56" s="523" t="e">
        <f>SUM(G47:G54)</f>
        <v>#REF!</v>
      </c>
      <c r="H56" s="524"/>
      <c r="I56" s="525" t="e">
        <f>SUM(I47:I54)</f>
        <v>#REF!</v>
      </c>
      <c r="J56" s="94"/>
      <c r="K56" s="525" t="e">
        <f>SUM(K47:K54)</f>
        <v>#REF!</v>
      </c>
      <c r="L56" s="94"/>
      <c r="M56" s="94"/>
      <c r="N56" s="526" t="s">
        <v>910</v>
      </c>
      <c r="O56" s="94"/>
      <c r="P56" s="94"/>
      <c r="Q56" s="94"/>
      <c r="R56" s="94"/>
      <c r="U56" s="364" t="e">
        <f>E56-WS!J398</f>
        <v>#REF!</v>
      </c>
      <c r="W56" s="364" t="e">
        <f>G56-WS!U398</f>
        <v>#REF!</v>
      </c>
      <c r="Y56" s="364" t="e">
        <f>I56-WS!AH398</f>
        <v>#REF!</v>
      </c>
      <c r="AA56" s="364" t="e">
        <f>K56-WS!W398</f>
        <v>#REF!</v>
      </c>
    </row>
    <row r="58" spans="3:27" ht="15" thickBot="1">
      <c r="C58" s="465" t="s">
        <v>889</v>
      </c>
      <c r="E58" s="520" t="e">
        <f>E24+E33+E45+E56</f>
        <v>#REF!</v>
      </c>
      <c r="G58" s="520" t="e">
        <f>G24+G33+G45+G56</f>
        <v>#REF!</v>
      </c>
      <c r="H58" s="505"/>
      <c r="I58" s="520" t="e">
        <f>I24+I33+I45+I56</f>
        <v>#REF!</v>
      </c>
      <c r="K58" s="520" t="e">
        <f>K24+K33+K45+K56</f>
        <v>#REF!</v>
      </c>
      <c r="N58" s="469" t="s">
        <v>911</v>
      </c>
    </row>
    <row r="59" spans="3:27" ht="15" thickTop="1"/>
    <row r="61" spans="3:27">
      <c r="C61" s="465" t="s">
        <v>518</v>
      </c>
      <c r="E61" s="505">
        <f>WS!J399</f>
        <v>139384865618.99603</v>
      </c>
      <c r="G61" s="505">
        <f>WS!U399</f>
        <v>70704786692.297668</v>
      </c>
      <c r="H61" s="505"/>
      <c r="I61" s="505">
        <f>WS!AH399</f>
        <v>119567172509</v>
      </c>
      <c r="K61" s="505">
        <f>WS!W399</f>
        <v>156516490239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F67C-704C-4BB2-B7DE-B54D63493E02}">
  <sheetPr>
    <tabColor theme="6" tint="-0.249977111117893"/>
  </sheetPr>
  <dimension ref="A1:AM155"/>
  <sheetViews>
    <sheetView showGridLines="0" topLeftCell="A106" zoomScale="80" workbookViewId="0">
      <selection activeCell="F92" sqref="F92"/>
    </sheetView>
  </sheetViews>
  <sheetFormatPr defaultRowHeight="14.5"/>
  <cols>
    <col min="1" max="1" width="4.453125" customWidth="1"/>
    <col min="2" max="2" width="41.54296875" customWidth="1"/>
    <col min="3" max="3" width="17.26953125" style="347" bestFit="1" customWidth="1"/>
    <col min="4" max="4" width="22.81640625" style="347" bestFit="1" customWidth="1"/>
    <col min="5" max="5" width="20.1796875" style="347" bestFit="1" customWidth="1"/>
    <col min="6" max="6" width="17" style="364" bestFit="1" customWidth="1"/>
    <col min="7" max="7" width="11.453125" bestFit="1" customWidth="1"/>
    <col min="9" max="9" width="4.453125" hidden="1" customWidth="1"/>
    <col min="10" max="10" width="41.54296875" hidden="1" customWidth="1"/>
    <col min="11" max="11" width="17.26953125" style="347" hidden="1" customWidth="1"/>
    <col min="12" max="12" width="22.81640625" style="347" hidden="1" customWidth="1"/>
    <col min="13" max="13" width="20.1796875" style="347" hidden="1" customWidth="1"/>
    <col min="14" max="14" width="15.453125" style="364" hidden="1" customWidth="1"/>
    <col min="15" max="16" width="0" hidden="1" customWidth="1"/>
    <col min="17" max="17" width="4.453125" hidden="1" customWidth="1"/>
    <col min="18" max="18" width="41.54296875" hidden="1" customWidth="1"/>
    <col min="19" max="19" width="15.81640625" style="347" hidden="1" customWidth="1"/>
    <col min="20" max="20" width="22.81640625" style="347" hidden="1" customWidth="1"/>
    <col min="21" max="21" width="20.1796875" style="347" hidden="1" customWidth="1"/>
    <col min="22" max="22" width="15.81640625" style="364" hidden="1" customWidth="1"/>
    <col min="23" max="23" width="6.26953125" style="364" hidden="1" customWidth="1"/>
    <col min="24" max="24" width="4.54296875" style="94" hidden="1" customWidth="1"/>
    <col min="25" max="25" width="3.26953125" hidden="1" customWidth="1"/>
    <col min="26" max="26" width="5.81640625" hidden="1" customWidth="1"/>
    <col min="27" max="27" width="41.54296875" hidden="1" customWidth="1"/>
    <col min="28" max="28" width="15.453125" style="347" hidden="1" customWidth="1"/>
    <col min="29" max="29" width="22.81640625" style="347" hidden="1" customWidth="1"/>
    <col min="30" max="30" width="20.1796875" style="347" hidden="1" customWidth="1"/>
    <col min="31" max="31" width="15.453125" style="364" hidden="1" customWidth="1"/>
    <col min="32" max="33" width="0" hidden="1" customWidth="1"/>
    <col min="34" max="34" width="6.7265625" hidden="1" customWidth="1"/>
    <col min="35" max="35" width="41.54296875" hidden="1" customWidth="1"/>
    <col min="36" max="36" width="15.81640625" style="347" hidden="1" customWidth="1"/>
    <col min="37" max="37" width="22.81640625" style="347" hidden="1" customWidth="1"/>
    <col min="38" max="38" width="20.1796875" style="347" hidden="1" customWidth="1"/>
    <col min="39" max="39" width="15.81640625" style="364" hidden="1" customWidth="1"/>
    <col min="40" max="40" width="0" hidden="1" customWidth="1"/>
  </cols>
  <sheetData>
    <row r="1" spans="1:39">
      <c r="A1" s="296"/>
      <c r="B1" s="296"/>
      <c r="C1" s="297"/>
      <c r="D1" s="297"/>
      <c r="E1" s="297"/>
      <c r="F1" s="298" t="s">
        <v>604</v>
      </c>
      <c r="I1" s="296"/>
      <c r="J1" s="296"/>
      <c r="K1" s="297"/>
      <c r="L1" s="297"/>
      <c r="M1" s="297"/>
      <c r="N1" s="298" t="s">
        <v>604</v>
      </c>
      <c r="Q1" s="296"/>
      <c r="R1" s="296"/>
      <c r="S1" s="297"/>
      <c r="T1" s="297"/>
      <c r="U1" s="297"/>
      <c r="V1" s="298" t="s">
        <v>604</v>
      </c>
      <c r="W1" s="630"/>
      <c r="Z1" s="296"/>
      <c r="AA1" s="296"/>
      <c r="AB1" s="297"/>
      <c r="AC1" s="297"/>
      <c r="AD1" s="297"/>
      <c r="AE1" s="298" t="s">
        <v>604</v>
      </c>
      <c r="AH1" s="296"/>
      <c r="AI1" s="296"/>
      <c r="AJ1" s="297"/>
      <c r="AK1" s="297"/>
      <c r="AL1" s="297"/>
      <c r="AM1" s="298" t="s">
        <v>604</v>
      </c>
    </row>
    <row r="2" spans="1:39">
      <c r="A2" s="299" t="s">
        <v>605</v>
      </c>
      <c r="B2" s="299"/>
      <c r="C2" s="300"/>
      <c r="D2" s="300"/>
      <c r="E2" s="300"/>
      <c r="F2" s="301"/>
      <c r="I2" s="299" t="s">
        <v>605</v>
      </c>
      <c r="J2" s="299"/>
      <c r="K2" s="300"/>
      <c r="L2" s="300"/>
      <c r="M2" s="300"/>
      <c r="N2" s="301"/>
      <c r="Q2" s="299" t="s">
        <v>605</v>
      </c>
      <c r="R2" s="299"/>
      <c r="S2" s="300"/>
      <c r="T2" s="300"/>
      <c r="U2" s="300"/>
      <c r="V2" s="301"/>
      <c r="W2" s="301"/>
      <c r="Z2" s="299" t="s">
        <v>605</v>
      </c>
      <c r="AA2" s="299"/>
      <c r="AB2" s="300"/>
      <c r="AC2" s="300"/>
      <c r="AD2" s="300"/>
      <c r="AE2" s="301"/>
      <c r="AH2" s="299" t="s">
        <v>605</v>
      </c>
      <c r="AI2" s="299"/>
      <c r="AJ2" s="300"/>
      <c r="AK2" s="300"/>
      <c r="AL2" s="300"/>
      <c r="AM2" s="301"/>
    </row>
    <row r="3" spans="1:39">
      <c r="A3" s="299" t="s">
        <v>606</v>
      </c>
      <c r="B3" s="302"/>
      <c r="C3" s="297"/>
      <c r="D3" s="297"/>
      <c r="E3" s="297"/>
      <c r="F3" s="303"/>
      <c r="I3" s="299" t="s">
        <v>606</v>
      </c>
      <c r="J3" s="302"/>
      <c r="K3" s="297"/>
      <c r="L3" s="297"/>
      <c r="M3" s="297"/>
      <c r="N3" s="303"/>
      <c r="Q3" s="299" t="s">
        <v>606</v>
      </c>
      <c r="R3" s="302"/>
      <c r="S3" s="297"/>
      <c r="T3" s="297"/>
      <c r="U3" s="297"/>
      <c r="V3" s="303"/>
      <c r="W3" s="303"/>
      <c r="Z3" s="299" t="s">
        <v>606</v>
      </c>
      <c r="AA3" s="302"/>
      <c r="AB3" s="297"/>
      <c r="AC3" s="297"/>
      <c r="AD3" s="297"/>
      <c r="AE3" s="303"/>
      <c r="AH3" s="299" t="s">
        <v>606</v>
      </c>
      <c r="AI3" s="302"/>
      <c r="AJ3" s="297"/>
      <c r="AK3" s="297"/>
      <c r="AL3" s="297"/>
      <c r="AM3" s="303"/>
    </row>
    <row r="4" spans="1:39">
      <c r="A4" s="299" t="s">
        <v>1061</v>
      </c>
      <c r="B4" s="302"/>
      <c r="C4" s="297"/>
      <c r="D4" s="297"/>
      <c r="E4" s="297"/>
      <c r="F4" s="303"/>
      <c r="I4" s="299" t="s">
        <v>963</v>
      </c>
      <c r="J4" s="302"/>
      <c r="K4" s="297"/>
      <c r="L4" s="297"/>
      <c r="M4" s="297"/>
      <c r="N4" s="303"/>
      <c r="Q4" s="299" t="s">
        <v>964</v>
      </c>
      <c r="R4" s="302"/>
      <c r="S4" s="297"/>
      <c r="T4" s="297"/>
      <c r="U4" s="297"/>
      <c r="V4" s="303"/>
      <c r="W4" s="303"/>
      <c r="Z4" s="299" t="s">
        <v>654</v>
      </c>
      <c r="AA4" s="302"/>
      <c r="AB4" s="297"/>
      <c r="AC4" s="297"/>
      <c r="AD4" s="297"/>
      <c r="AE4" s="303"/>
      <c r="AH4" s="299" t="s">
        <v>669</v>
      </c>
      <c r="AI4" s="302"/>
      <c r="AJ4" s="297"/>
      <c r="AK4" s="297"/>
      <c r="AL4" s="297"/>
      <c r="AM4" s="303"/>
    </row>
    <row r="5" spans="1:39">
      <c r="A5" s="299" t="s">
        <v>607</v>
      </c>
      <c r="B5" s="302"/>
      <c r="C5" s="297"/>
      <c r="D5" s="297"/>
      <c r="E5" s="297"/>
      <c r="F5" s="303"/>
      <c r="I5" s="299" t="s">
        <v>607</v>
      </c>
      <c r="J5" s="302"/>
      <c r="K5" s="297"/>
      <c r="L5" s="297"/>
      <c r="M5" s="297"/>
      <c r="N5" s="303"/>
      <c r="Q5" s="299" t="s">
        <v>607</v>
      </c>
      <c r="R5" s="302"/>
      <c r="S5" s="297"/>
      <c r="T5" s="297"/>
      <c r="U5" s="297"/>
      <c r="V5" s="303"/>
      <c r="W5" s="303"/>
      <c r="Z5" s="299" t="s">
        <v>607</v>
      </c>
      <c r="AA5" s="302"/>
      <c r="AB5" s="297"/>
      <c r="AC5" s="297"/>
      <c r="AD5" s="297"/>
      <c r="AE5" s="303"/>
      <c r="AH5" s="299" t="s">
        <v>607</v>
      </c>
      <c r="AI5" s="302"/>
      <c r="AJ5" s="297"/>
      <c r="AK5" s="297"/>
      <c r="AL5" s="297"/>
      <c r="AM5" s="303"/>
    </row>
    <row r="6" spans="1:39">
      <c r="A6" s="296"/>
      <c r="B6" s="296"/>
      <c r="C6" s="297"/>
      <c r="D6" s="297"/>
      <c r="E6" s="297"/>
      <c r="F6" s="303"/>
      <c r="I6" s="296"/>
      <c r="J6" s="296"/>
      <c r="K6" s="297"/>
      <c r="L6" s="297"/>
      <c r="M6" s="297"/>
      <c r="N6" s="303"/>
      <c r="Q6" s="296"/>
      <c r="R6" s="296"/>
      <c r="S6" s="297"/>
      <c r="T6" s="297"/>
      <c r="U6" s="297"/>
      <c r="V6" s="303"/>
      <c r="W6" s="303"/>
      <c r="Z6" s="296"/>
      <c r="AA6" s="296"/>
      <c r="AB6" s="297"/>
      <c r="AC6" s="297"/>
      <c r="AD6" s="297"/>
      <c r="AE6" s="303"/>
      <c r="AH6" s="296"/>
      <c r="AI6" s="296"/>
      <c r="AJ6" s="297"/>
      <c r="AK6" s="297"/>
      <c r="AL6" s="297"/>
      <c r="AM6" s="303"/>
    </row>
    <row r="7" spans="1:39">
      <c r="A7" s="995" t="s">
        <v>608</v>
      </c>
      <c r="B7" s="995"/>
      <c r="C7" s="990" t="s">
        <v>609</v>
      </c>
      <c r="D7" s="992" t="s">
        <v>610</v>
      </c>
      <c r="E7" s="992"/>
      <c r="F7" s="993" t="s">
        <v>611</v>
      </c>
      <c r="I7" s="995" t="s">
        <v>608</v>
      </c>
      <c r="J7" s="995"/>
      <c r="K7" s="990" t="s">
        <v>609</v>
      </c>
      <c r="L7" s="992" t="s">
        <v>610</v>
      </c>
      <c r="M7" s="992"/>
      <c r="N7" s="993" t="s">
        <v>611</v>
      </c>
      <c r="Q7" s="995" t="s">
        <v>608</v>
      </c>
      <c r="R7" s="995"/>
      <c r="S7" s="990" t="s">
        <v>609</v>
      </c>
      <c r="T7" s="992" t="s">
        <v>610</v>
      </c>
      <c r="U7" s="992"/>
      <c r="V7" s="993" t="s">
        <v>611</v>
      </c>
      <c r="W7" s="631"/>
      <c r="Z7" s="995" t="s">
        <v>608</v>
      </c>
      <c r="AA7" s="995"/>
      <c r="AB7" s="990" t="s">
        <v>609</v>
      </c>
      <c r="AC7" s="992" t="s">
        <v>610</v>
      </c>
      <c r="AD7" s="992"/>
      <c r="AE7" s="993" t="s">
        <v>611</v>
      </c>
      <c r="AH7" s="995" t="s">
        <v>608</v>
      </c>
      <c r="AI7" s="995"/>
      <c r="AJ7" s="990" t="s">
        <v>609</v>
      </c>
      <c r="AK7" s="992" t="s">
        <v>610</v>
      </c>
      <c r="AL7" s="992"/>
      <c r="AM7" s="993" t="s">
        <v>611</v>
      </c>
    </row>
    <row r="8" spans="1:39">
      <c r="A8" s="996"/>
      <c r="B8" s="996"/>
      <c r="C8" s="991"/>
      <c r="D8" s="304" t="s">
        <v>612</v>
      </c>
      <c r="E8" s="304" t="s">
        <v>613</v>
      </c>
      <c r="F8" s="994"/>
      <c r="I8" s="996"/>
      <c r="J8" s="996"/>
      <c r="K8" s="991"/>
      <c r="L8" s="304" t="s">
        <v>612</v>
      </c>
      <c r="M8" s="304" t="s">
        <v>613</v>
      </c>
      <c r="N8" s="994"/>
      <c r="Q8" s="996"/>
      <c r="R8" s="996"/>
      <c r="S8" s="991"/>
      <c r="T8" s="304" t="s">
        <v>612</v>
      </c>
      <c r="U8" s="304" t="s">
        <v>613</v>
      </c>
      <c r="V8" s="994"/>
      <c r="W8" s="631"/>
      <c r="Z8" s="996"/>
      <c r="AA8" s="996"/>
      <c r="AB8" s="991"/>
      <c r="AC8" s="304" t="s">
        <v>612</v>
      </c>
      <c r="AD8" s="304" t="s">
        <v>613</v>
      </c>
      <c r="AE8" s="994"/>
      <c r="AH8" s="996"/>
      <c r="AI8" s="996"/>
      <c r="AJ8" s="991"/>
      <c r="AK8" s="304" t="s">
        <v>612</v>
      </c>
      <c r="AL8" s="304" t="s">
        <v>613</v>
      </c>
      <c r="AM8" s="994"/>
    </row>
    <row r="9" spans="1:39">
      <c r="A9" s="305"/>
      <c r="B9" s="296"/>
      <c r="C9" s="306"/>
      <c r="D9" s="306"/>
      <c r="E9" s="306"/>
      <c r="F9" s="307"/>
      <c r="I9" s="305"/>
      <c r="J9" s="296"/>
      <c r="K9" s="306"/>
      <c r="L9" s="306"/>
      <c r="M9" s="306"/>
      <c r="N9" s="307"/>
      <c r="Q9" s="305"/>
      <c r="R9" s="296"/>
      <c r="S9" s="306"/>
      <c r="T9" s="306"/>
      <c r="U9" s="306"/>
      <c r="V9" s="307"/>
      <c r="W9" s="303"/>
      <c r="Z9" s="305"/>
      <c r="AA9" s="296"/>
      <c r="AB9" s="306"/>
      <c r="AC9" s="306"/>
      <c r="AD9" s="306"/>
      <c r="AE9" s="307"/>
      <c r="AH9" s="305"/>
      <c r="AI9" s="296"/>
      <c r="AJ9" s="306"/>
      <c r="AK9" s="306"/>
      <c r="AL9" s="306"/>
      <c r="AM9" s="307"/>
    </row>
    <row r="10" spans="1:39">
      <c r="A10" s="308" t="s">
        <v>614</v>
      </c>
      <c r="B10" s="296" t="s">
        <v>145</v>
      </c>
      <c r="C10" s="309"/>
      <c r="D10" s="309"/>
      <c r="E10" s="309"/>
      <c r="F10" s="310"/>
      <c r="I10" s="308" t="s">
        <v>614</v>
      </c>
      <c r="J10" s="296" t="s">
        <v>145</v>
      </c>
      <c r="K10" s="309"/>
      <c r="L10" s="309"/>
      <c r="M10" s="309"/>
      <c r="N10" s="310"/>
      <c r="Q10" s="308" t="s">
        <v>614</v>
      </c>
      <c r="R10" s="296" t="s">
        <v>145</v>
      </c>
      <c r="S10" s="309"/>
      <c r="T10" s="309"/>
      <c r="U10" s="309"/>
      <c r="V10" s="310"/>
      <c r="W10" s="632"/>
      <c r="Z10" s="308" t="s">
        <v>614</v>
      </c>
      <c r="AA10" s="296" t="s">
        <v>145</v>
      </c>
      <c r="AB10" s="309"/>
      <c r="AC10" s="309"/>
      <c r="AD10" s="309"/>
      <c r="AE10" s="310"/>
      <c r="AH10" s="308" t="s">
        <v>614</v>
      </c>
      <c r="AI10" s="296" t="s">
        <v>145</v>
      </c>
      <c r="AJ10" s="309"/>
      <c r="AK10" s="309"/>
      <c r="AL10" s="309"/>
      <c r="AM10" s="310"/>
    </row>
    <row r="11" spans="1:39">
      <c r="A11" s="308"/>
      <c r="B11" s="296" t="s">
        <v>247</v>
      </c>
      <c r="C11" s="309">
        <f>WS!J332</f>
        <v>165935579738.29999</v>
      </c>
      <c r="D11" s="311"/>
      <c r="E11" s="311"/>
      <c r="F11" s="309">
        <f>C11+D11-E11</f>
        <v>165935579738.29999</v>
      </c>
      <c r="I11" s="308"/>
      <c r="J11" s="296" t="s">
        <v>247</v>
      </c>
      <c r="K11" s="309">
        <f>WS!U332</f>
        <v>87688651423.5</v>
      </c>
      <c r="L11" s="311"/>
      <c r="M11" s="311"/>
      <c r="N11" s="309">
        <f>K11+L11-M11</f>
        <v>87688651423.5</v>
      </c>
      <c r="Q11" s="308"/>
      <c r="R11" s="296" t="s">
        <v>247</v>
      </c>
      <c r="S11" s="309">
        <f>WS!AH332</f>
        <v>134989855636</v>
      </c>
      <c r="T11" s="311"/>
      <c r="U11" s="311"/>
      <c r="V11" s="309">
        <f>S11+T11-U11</f>
        <v>134989855636</v>
      </c>
      <c r="W11" s="633"/>
      <c r="Z11" s="308"/>
      <c r="AA11" s="296" t="s">
        <v>247</v>
      </c>
      <c r="AB11" s="309" t="e">
        <f>WS!#REF!</f>
        <v>#REF!</v>
      </c>
      <c r="AC11" s="311"/>
      <c r="AD11" s="311"/>
      <c r="AE11" s="309" t="e">
        <f>AB11+AC11-AD11</f>
        <v>#REF!</v>
      </c>
      <c r="AH11" s="308"/>
      <c r="AI11" s="296" t="s">
        <v>247</v>
      </c>
      <c r="AJ11" s="309" t="e">
        <f>WS!#REF!</f>
        <v>#REF!</v>
      </c>
      <c r="AK11" s="311"/>
      <c r="AL11" s="311"/>
      <c r="AM11" s="309" t="e">
        <f>AJ11+AK11-AL11</f>
        <v>#REF!</v>
      </c>
    </row>
    <row r="12" spans="1:39">
      <c r="A12" s="308"/>
      <c r="B12" s="296" t="s">
        <v>249</v>
      </c>
      <c r="C12" s="309">
        <f>WS!J335</f>
        <v>16557769585.389999</v>
      </c>
      <c r="D12" s="311"/>
      <c r="E12" s="311"/>
      <c r="F12" s="309">
        <f>C12+D12-E12</f>
        <v>16557769585.389999</v>
      </c>
      <c r="I12" s="308"/>
      <c r="J12" s="296" t="s">
        <v>249</v>
      </c>
      <c r="K12" s="309">
        <f>WS!U335</f>
        <v>12606432941.68</v>
      </c>
      <c r="L12" s="311"/>
      <c r="M12" s="311"/>
      <c r="N12" s="309">
        <f>K12+L12-M12</f>
        <v>12606432941.68</v>
      </c>
      <c r="Q12" s="308"/>
      <c r="R12" s="296" t="s">
        <v>249</v>
      </c>
      <c r="S12" s="309">
        <f>WS!AH335</f>
        <v>10652081484</v>
      </c>
      <c r="T12" s="311"/>
      <c r="U12" s="311"/>
      <c r="V12" s="309">
        <f>S12+T12-U12</f>
        <v>10652081484</v>
      </c>
      <c r="W12" s="633"/>
      <c r="Z12" s="308"/>
      <c r="AA12" s="296" t="s">
        <v>249</v>
      </c>
      <c r="AB12" s="309" t="e">
        <f>WS!#REF!</f>
        <v>#REF!</v>
      </c>
      <c r="AC12" s="311"/>
      <c r="AD12" s="311"/>
      <c r="AE12" s="309" t="e">
        <f>AB12+AC12-AD12</f>
        <v>#REF!</v>
      </c>
      <c r="AH12" s="308"/>
      <c r="AI12" s="296" t="s">
        <v>249</v>
      </c>
      <c r="AJ12" s="309" t="e">
        <f>WS!#REF!</f>
        <v>#REF!</v>
      </c>
      <c r="AK12" s="311"/>
      <c r="AL12" s="311"/>
      <c r="AM12" s="309" t="e">
        <f>AJ12+AK12-AL12</f>
        <v>#REF!</v>
      </c>
    </row>
    <row r="13" spans="1:39">
      <c r="A13" s="308"/>
      <c r="B13" s="296"/>
      <c r="C13" s="309"/>
      <c r="D13" s="312"/>
      <c r="E13" s="312"/>
      <c r="F13" s="309"/>
      <c r="I13" s="308"/>
      <c r="J13" s="296"/>
      <c r="K13" s="309"/>
      <c r="L13" s="312"/>
      <c r="M13" s="312"/>
      <c r="N13" s="309"/>
      <c r="Q13" s="308"/>
      <c r="R13" s="296"/>
      <c r="S13" s="309"/>
      <c r="T13" s="312"/>
      <c r="U13" s="312"/>
      <c r="V13" s="309"/>
      <c r="W13" s="633"/>
      <c r="Z13" s="308"/>
      <c r="AA13" s="296"/>
      <c r="AB13" s="309"/>
      <c r="AC13" s="312"/>
      <c r="AD13" s="312"/>
      <c r="AE13" s="309"/>
      <c r="AH13" s="308"/>
      <c r="AI13" s="296"/>
      <c r="AJ13" s="309"/>
      <c r="AK13" s="312"/>
      <c r="AL13" s="312"/>
      <c r="AM13" s="309"/>
    </row>
    <row r="14" spans="1:39">
      <c r="A14" s="308" t="s">
        <v>615</v>
      </c>
      <c r="B14" s="302"/>
      <c r="C14" s="313"/>
      <c r="D14" s="312"/>
      <c r="E14" s="312"/>
      <c r="F14" s="309"/>
      <c r="I14" s="308" t="s">
        <v>615</v>
      </c>
      <c r="J14" s="302"/>
      <c r="K14" s="313"/>
      <c r="L14" s="312"/>
      <c r="M14" s="312"/>
      <c r="N14" s="309"/>
      <c r="Q14" s="308" t="s">
        <v>615</v>
      </c>
      <c r="R14" s="302"/>
      <c r="S14" s="313"/>
      <c r="T14" s="312"/>
      <c r="U14" s="312"/>
      <c r="V14" s="309"/>
      <c r="W14" s="633"/>
      <c r="Z14" s="308" t="s">
        <v>615</v>
      </c>
      <c r="AA14" s="302"/>
      <c r="AB14" s="313"/>
      <c r="AC14" s="312"/>
      <c r="AD14" s="312"/>
      <c r="AE14" s="309"/>
      <c r="AH14" s="308" t="s">
        <v>615</v>
      </c>
      <c r="AI14" s="302"/>
      <c r="AJ14" s="313"/>
      <c r="AK14" s="312"/>
      <c r="AL14" s="312"/>
      <c r="AM14" s="309"/>
    </row>
    <row r="15" spans="1:39">
      <c r="A15" s="308"/>
      <c r="B15" s="296" t="s">
        <v>616</v>
      </c>
      <c r="C15" s="309">
        <f>WS!J349</f>
        <v>115582028654.38</v>
      </c>
      <c r="D15" s="311"/>
      <c r="E15" s="311">
        <f>C15*6.2%*0</f>
        <v>0</v>
      </c>
      <c r="F15" s="309">
        <f>C15-D15+E15</f>
        <v>115582028654.38</v>
      </c>
      <c r="I15" s="308"/>
      <c r="J15" s="296" t="s">
        <v>616</v>
      </c>
      <c r="K15" s="309">
        <f>WS!U349</f>
        <v>48617468630.640007</v>
      </c>
      <c r="L15" s="311"/>
      <c r="M15" s="311">
        <f>K15*6.2%*0</f>
        <v>0</v>
      </c>
      <c r="N15" s="309">
        <f>K15-L15+M15</f>
        <v>48617468630.640007</v>
      </c>
      <c r="Q15" s="308"/>
      <c r="R15" s="296" t="s">
        <v>616</v>
      </c>
      <c r="S15" s="309">
        <f>WS!AH349</f>
        <v>95535976571</v>
      </c>
      <c r="T15" s="311"/>
      <c r="U15" s="311">
        <f>S15*6.2%*0</f>
        <v>0</v>
      </c>
      <c r="V15" s="309">
        <f>S15-T15+U15</f>
        <v>95535976571</v>
      </c>
      <c r="W15" s="633"/>
      <c r="Z15" s="308"/>
      <c r="AA15" s="296" t="s">
        <v>616</v>
      </c>
      <c r="AB15" s="309" t="e">
        <f>WS!#REF!</f>
        <v>#REF!</v>
      </c>
      <c r="AC15" s="311"/>
      <c r="AD15" s="311" t="e">
        <f>AB15*6.2%*0</f>
        <v>#REF!</v>
      </c>
      <c r="AE15" s="309" t="e">
        <f>AB15-AC15+AD15</f>
        <v>#REF!</v>
      </c>
      <c r="AH15" s="308"/>
      <c r="AI15" s="296" t="s">
        <v>616</v>
      </c>
      <c r="AJ15" s="309" t="e">
        <f>WS!#REF!</f>
        <v>#REF!</v>
      </c>
      <c r="AK15" s="311"/>
      <c r="AL15" s="311" t="e">
        <f>AJ15*6.2%*0</f>
        <v>#REF!</v>
      </c>
      <c r="AM15" s="309" t="e">
        <f>AJ15-AK15+AL15</f>
        <v>#REF!</v>
      </c>
    </row>
    <row r="16" spans="1:39">
      <c r="A16" s="308"/>
      <c r="B16" s="296" t="s">
        <v>617</v>
      </c>
      <c r="C16" s="309">
        <f>WS!J356</f>
        <v>0</v>
      </c>
      <c r="D16" s="311"/>
      <c r="E16" s="311"/>
      <c r="F16" s="309">
        <f t="shared" ref="F16:F19" si="0">C16-D16+E16</f>
        <v>0</v>
      </c>
      <c r="I16" s="308"/>
      <c r="J16" s="296" t="s">
        <v>617</v>
      </c>
      <c r="K16" s="309">
        <f>WS!U356</f>
        <v>8387465544.1099997</v>
      </c>
      <c r="L16" s="311"/>
      <c r="M16" s="311"/>
      <c r="N16" s="309">
        <f t="shared" ref="N16:N19" si="1">K16-L16+M16</f>
        <v>8387465544.1099997</v>
      </c>
      <c r="Q16" s="308"/>
      <c r="R16" s="296" t="s">
        <v>617</v>
      </c>
      <c r="S16" s="309">
        <f>WS!AH356</f>
        <v>7361759455</v>
      </c>
      <c r="T16" s="311"/>
      <c r="U16" s="311"/>
      <c r="V16" s="309">
        <f t="shared" ref="V16:V19" si="2">S16-T16+U16</f>
        <v>7361759455</v>
      </c>
      <c r="W16" s="633"/>
      <c r="Z16" s="308"/>
      <c r="AA16" s="296" t="s">
        <v>617</v>
      </c>
      <c r="AB16" s="309" t="e">
        <f>WS!#REF!</f>
        <v>#REF!</v>
      </c>
      <c r="AC16" s="311"/>
      <c r="AD16" s="311"/>
      <c r="AE16" s="309" t="e">
        <f t="shared" ref="AE16:AE38" si="3">AB16-AC16+AD16</f>
        <v>#REF!</v>
      </c>
      <c r="AH16" s="308"/>
      <c r="AI16" s="296" t="s">
        <v>617</v>
      </c>
      <c r="AJ16" s="309" t="e">
        <f>WS!#REF!</f>
        <v>#REF!</v>
      </c>
      <c r="AK16" s="311"/>
      <c r="AL16" s="311"/>
      <c r="AM16" s="309" t="e">
        <f t="shared" ref="AM16:AM19" si="4">AJ16-AK16+AL16</f>
        <v>#REF!</v>
      </c>
    </row>
    <row r="17" spans="1:39">
      <c r="A17" s="308"/>
      <c r="B17" s="296" t="s">
        <v>618</v>
      </c>
      <c r="C17" s="311">
        <f>WS!J373</f>
        <v>9350652607.6399994</v>
      </c>
      <c r="D17" s="311"/>
      <c r="E17" s="311"/>
      <c r="F17" s="309">
        <f t="shared" si="0"/>
        <v>9350652607.6399994</v>
      </c>
      <c r="I17" s="308"/>
      <c r="J17" s="296" t="s">
        <v>618</v>
      </c>
      <c r="K17" s="311">
        <f>WS!U373</f>
        <v>3557769365.9000015</v>
      </c>
      <c r="L17" s="311"/>
      <c r="M17" s="311"/>
      <c r="N17" s="309">
        <f t="shared" si="1"/>
        <v>3557769365.9000015</v>
      </c>
      <c r="Q17" s="308"/>
      <c r="R17" s="296" t="s">
        <v>618</v>
      </c>
      <c r="S17" s="311">
        <f>WS!AH373</f>
        <v>5561458515</v>
      </c>
      <c r="T17" s="311"/>
      <c r="U17" s="311"/>
      <c r="V17" s="309">
        <f t="shared" si="2"/>
        <v>5561458515</v>
      </c>
      <c r="W17" s="633"/>
      <c r="Z17" s="308"/>
      <c r="AA17" s="296" t="s">
        <v>618</v>
      </c>
      <c r="AB17" s="311" t="e">
        <f>WS!#REF!</f>
        <v>#REF!</v>
      </c>
      <c r="AC17" s="311"/>
      <c r="AD17" s="311"/>
      <c r="AE17" s="309" t="e">
        <f t="shared" si="3"/>
        <v>#REF!</v>
      </c>
      <c r="AH17" s="308"/>
      <c r="AI17" s="296" t="s">
        <v>618</v>
      </c>
      <c r="AJ17" s="311" t="e">
        <f>WS!#REF!</f>
        <v>#REF!</v>
      </c>
      <c r="AK17" s="311"/>
      <c r="AL17" s="311"/>
      <c r="AM17" s="309" t="e">
        <f t="shared" si="4"/>
        <v>#REF!</v>
      </c>
    </row>
    <row r="18" spans="1:39">
      <c r="A18" s="308"/>
      <c r="B18" s="296" t="s">
        <v>619</v>
      </c>
      <c r="C18" s="311">
        <f>WS!J398-C19</f>
        <v>12183215883</v>
      </c>
      <c r="D18" s="311"/>
      <c r="E18" s="311"/>
      <c r="F18" s="309">
        <f t="shared" si="0"/>
        <v>12183215883</v>
      </c>
      <c r="I18" s="308"/>
      <c r="J18" s="296" t="s">
        <v>619</v>
      </c>
      <c r="K18" s="311">
        <f>WS!U398-K19</f>
        <v>8519594135.000001</v>
      </c>
      <c r="L18" s="311"/>
      <c r="M18" s="311"/>
      <c r="N18" s="309">
        <f t="shared" si="1"/>
        <v>8519594135.000001</v>
      </c>
      <c r="Q18" s="308"/>
      <c r="R18" s="296" t="s">
        <v>619</v>
      </c>
      <c r="S18" s="311">
        <f>WS!AH398-S19</f>
        <v>9411714448</v>
      </c>
      <c r="T18" s="311"/>
      <c r="U18" s="311"/>
      <c r="V18" s="309">
        <f t="shared" si="2"/>
        <v>9411714448</v>
      </c>
      <c r="W18" s="633"/>
      <c r="Z18" s="308"/>
      <c r="AA18" s="296" t="s">
        <v>619</v>
      </c>
      <c r="AB18" s="311" t="e">
        <f>WS!#REF!-AB19</f>
        <v>#REF!</v>
      </c>
      <c r="AC18" s="311"/>
      <c r="AD18" s="311"/>
      <c r="AE18" s="309" t="e">
        <f t="shared" si="3"/>
        <v>#REF!</v>
      </c>
      <c r="AH18" s="308"/>
      <c r="AI18" s="296" t="s">
        <v>619</v>
      </c>
      <c r="AJ18" s="311" t="e">
        <f>WS!#REF!-AJ19</f>
        <v>#REF!</v>
      </c>
      <c r="AK18" s="311"/>
      <c r="AL18" s="311"/>
      <c r="AM18" s="309" t="e">
        <f t="shared" si="4"/>
        <v>#REF!</v>
      </c>
    </row>
    <row r="19" spans="1:39">
      <c r="A19" s="308"/>
      <c r="B19" s="296" t="s">
        <v>115</v>
      </c>
      <c r="C19" s="311">
        <f>WS!J390</f>
        <v>2268968473.9760413</v>
      </c>
      <c r="D19" s="314"/>
      <c r="E19" s="314"/>
      <c r="F19" s="309">
        <f t="shared" si="0"/>
        <v>2268968473.9760413</v>
      </c>
      <c r="I19" s="308"/>
      <c r="J19" s="296" t="s">
        <v>115</v>
      </c>
      <c r="K19" s="311">
        <f>WS!U390</f>
        <v>1622489016.6476657</v>
      </c>
      <c r="L19" s="314"/>
      <c r="M19" s="314"/>
      <c r="N19" s="309">
        <f t="shared" si="1"/>
        <v>1622489016.6476657</v>
      </c>
      <c r="Q19" s="308"/>
      <c r="R19" s="296" t="s">
        <v>115</v>
      </c>
      <c r="S19" s="311">
        <f>WS!AH390</f>
        <v>1696263520</v>
      </c>
      <c r="T19" s="314"/>
      <c r="U19" s="314">
        <v>88385950.78125</v>
      </c>
      <c r="V19" s="309">
        <f t="shared" si="2"/>
        <v>1784649470.78125</v>
      </c>
      <c r="W19" s="633"/>
      <c r="Z19" s="308"/>
      <c r="AA19" s="296" t="s">
        <v>115</v>
      </c>
      <c r="AB19" s="311" t="e">
        <f>WS!#REF!</f>
        <v>#REF!</v>
      </c>
      <c r="AC19" s="314"/>
      <c r="AD19" s="314">
        <v>58923967.1875</v>
      </c>
      <c r="AE19" s="309" t="e">
        <f t="shared" si="3"/>
        <v>#REF!</v>
      </c>
      <c r="AH19" s="308"/>
      <c r="AI19" s="296" t="s">
        <v>115</v>
      </c>
      <c r="AJ19" s="311" t="e">
        <f>WS!#REF!</f>
        <v>#REF!</v>
      </c>
      <c r="AK19" s="314"/>
      <c r="AL19" s="314">
        <v>58923967.1875</v>
      </c>
      <c r="AM19" s="309" t="e">
        <f t="shared" si="4"/>
        <v>#REF!</v>
      </c>
    </row>
    <row r="20" spans="1:39">
      <c r="A20" s="308"/>
      <c r="B20" s="296"/>
      <c r="C20" s="311"/>
      <c r="D20" s="311"/>
      <c r="E20" s="311"/>
      <c r="F20" s="309"/>
      <c r="I20" s="308"/>
      <c r="J20" s="296"/>
      <c r="K20" s="311"/>
      <c r="L20" s="311"/>
      <c r="M20" s="311"/>
      <c r="N20" s="309"/>
      <c r="Q20" s="308"/>
      <c r="R20" s="296"/>
      <c r="S20" s="311"/>
      <c r="T20" s="311"/>
      <c r="U20" s="311"/>
      <c r="V20" s="309"/>
      <c r="W20" s="633"/>
      <c r="Z20" s="308"/>
      <c r="AA20" s="296"/>
      <c r="AB20" s="311"/>
      <c r="AC20" s="311"/>
      <c r="AD20" s="311"/>
      <c r="AE20" s="309"/>
      <c r="AH20" s="308"/>
      <c r="AI20" s="296"/>
      <c r="AJ20" s="311"/>
      <c r="AK20" s="311"/>
      <c r="AL20" s="311"/>
      <c r="AM20" s="309"/>
    </row>
    <row r="21" spans="1:39">
      <c r="A21" s="308"/>
      <c r="B21" s="302" t="s">
        <v>620</v>
      </c>
      <c r="C21" s="313">
        <f>SUM(C15:C19)</f>
        <v>139384865618.99603</v>
      </c>
      <c r="D21" s="312"/>
      <c r="E21" s="312"/>
      <c r="F21" s="313">
        <f>SUM(F15:F19)</f>
        <v>139384865618.99603</v>
      </c>
      <c r="I21" s="308"/>
      <c r="J21" s="302" t="s">
        <v>620</v>
      </c>
      <c r="K21" s="313">
        <f>SUM(K15:K19)</f>
        <v>70704786692.297668</v>
      </c>
      <c r="L21" s="312"/>
      <c r="M21" s="312"/>
      <c r="N21" s="313">
        <f>SUM(N15:N19)</f>
        <v>70704786692.297668</v>
      </c>
      <c r="Q21" s="308"/>
      <c r="R21" s="302" t="s">
        <v>620</v>
      </c>
      <c r="S21" s="313">
        <f>SUM(S15:S19)</f>
        <v>119567172509</v>
      </c>
      <c r="T21" s="312"/>
      <c r="U21" s="312"/>
      <c r="V21" s="313">
        <f>SUM(V15:V19)</f>
        <v>119655558459.78125</v>
      </c>
      <c r="W21" s="634"/>
      <c r="Z21" s="308"/>
      <c r="AA21" s="302" t="s">
        <v>620</v>
      </c>
      <c r="AB21" s="313" t="e">
        <f>SUM(AB15:AB19)</f>
        <v>#REF!</v>
      </c>
      <c r="AC21" s="312"/>
      <c r="AD21" s="312"/>
      <c r="AE21" s="313" t="e">
        <f>SUM(AE15:AE19)</f>
        <v>#REF!</v>
      </c>
      <c r="AH21" s="308"/>
      <c r="AI21" s="302" t="s">
        <v>620</v>
      </c>
      <c r="AJ21" s="313" t="e">
        <f>SUM(AJ15:AJ19)</f>
        <v>#REF!</v>
      </c>
      <c r="AK21" s="312"/>
      <c r="AL21" s="312"/>
      <c r="AM21" s="313" t="e">
        <f>SUM(AM15:AM19)</f>
        <v>#REF!</v>
      </c>
    </row>
    <row r="22" spans="1:39">
      <c r="A22" s="308"/>
      <c r="B22" s="296"/>
      <c r="C22" s="309"/>
      <c r="D22" s="311"/>
      <c r="E22" s="312"/>
      <c r="F22" s="309"/>
      <c r="I22" s="308"/>
      <c r="J22" s="296"/>
      <c r="K22" s="309"/>
      <c r="L22" s="311"/>
      <c r="M22" s="312"/>
      <c r="N22" s="309"/>
      <c r="Q22" s="308"/>
      <c r="R22" s="296"/>
      <c r="S22" s="309"/>
      <c r="T22" s="311"/>
      <c r="U22" s="312"/>
      <c r="V22" s="309"/>
      <c r="W22" s="633"/>
      <c r="Z22" s="308"/>
      <c r="AA22" s="296"/>
      <c r="AB22" s="309"/>
      <c r="AC22" s="311"/>
      <c r="AD22" s="312"/>
      <c r="AE22" s="309"/>
      <c r="AH22" s="308"/>
      <c r="AI22" s="296"/>
      <c r="AJ22" s="309"/>
      <c r="AK22" s="311"/>
      <c r="AL22" s="312"/>
      <c r="AM22" s="309"/>
    </row>
    <row r="23" spans="1:39">
      <c r="A23" s="308" t="s">
        <v>621</v>
      </c>
      <c r="B23" s="302"/>
      <c r="C23" s="315">
        <f>(C11+C12)-C21</f>
        <v>43108483704.69397</v>
      </c>
      <c r="D23" s="316"/>
      <c r="E23" s="316"/>
      <c r="F23" s="315">
        <f>(F11+F12)-F21</f>
        <v>43108483704.69397</v>
      </c>
      <c r="I23" s="308" t="s">
        <v>621</v>
      </c>
      <c r="J23" s="302"/>
      <c r="K23" s="315">
        <f>(K11+K12)-K21</f>
        <v>29590297672.882324</v>
      </c>
      <c r="L23" s="316"/>
      <c r="M23" s="316"/>
      <c r="N23" s="315">
        <f>(N11+N12)-N21</f>
        <v>29590297672.882324</v>
      </c>
      <c r="Q23" s="308" t="s">
        <v>621</v>
      </c>
      <c r="R23" s="302"/>
      <c r="S23" s="315">
        <f>(S11+S12)-S21</f>
        <v>26074764611</v>
      </c>
      <c r="T23" s="316"/>
      <c r="U23" s="316"/>
      <c r="V23" s="315">
        <f>(V11+V12)-V21</f>
        <v>25986378660.21875</v>
      </c>
      <c r="W23" s="634"/>
      <c r="Z23" s="308" t="s">
        <v>621</v>
      </c>
      <c r="AA23" s="302"/>
      <c r="AB23" s="315" t="e">
        <f>(AB11+AB12)-AB21</f>
        <v>#REF!</v>
      </c>
      <c r="AC23" s="316"/>
      <c r="AD23" s="316"/>
      <c r="AE23" s="315" t="e">
        <f>(AE11+AE12)-AE21</f>
        <v>#REF!</v>
      </c>
      <c r="AH23" s="308" t="s">
        <v>621</v>
      </c>
      <c r="AI23" s="302"/>
      <c r="AJ23" s="315" t="e">
        <f>(AJ11+AJ12)-AJ21</f>
        <v>#REF!</v>
      </c>
      <c r="AK23" s="316"/>
      <c r="AL23" s="316"/>
      <c r="AM23" s="315" t="e">
        <f>(AM11+AM12)-AM21</f>
        <v>#REF!</v>
      </c>
    </row>
    <row r="24" spans="1:39">
      <c r="A24" s="308"/>
      <c r="B24" s="296"/>
      <c r="C24" s="311"/>
      <c r="D24" s="311"/>
      <c r="E24" s="311"/>
      <c r="F24" s="309"/>
      <c r="I24" s="308"/>
      <c r="J24" s="296"/>
      <c r="K24" s="311"/>
      <c r="L24" s="311"/>
      <c r="M24" s="311"/>
      <c r="N24" s="309"/>
      <c r="Q24" s="308"/>
      <c r="R24" s="296"/>
      <c r="S24" s="311"/>
      <c r="T24" s="311"/>
      <c r="U24" s="311"/>
      <c r="V24" s="309"/>
      <c r="W24" s="633"/>
      <c r="Z24" s="308"/>
      <c r="AA24" s="296"/>
      <c r="AB24" s="311"/>
      <c r="AC24" s="311"/>
      <c r="AD24" s="311"/>
      <c r="AE24" s="309"/>
      <c r="AH24" s="308"/>
      <c r="AI24" s="296"/>
      <c r="AJ24" s="311"/>
      <c r="AK24" s="311"/>
      <c r="AL24" s="311"/>
      <c r="AM24" s="309"/>
    </row>
    <row r="25" spans="1:39">
      <c r="A25" s="317" t="s">
        <v>304</v>
      </c>
      <c r="B25" s="296"/>
      <c r="C25" s="309"/>
      <c r="D25" s="311"/>
      <c r="E25" s="311"/>
      <c r="F25" s="309"/>
      <c r="I25" s="317" t="s">
        <v>304</v>
      </c>
      <c r="J25" s="296"/>
      <c r="K25" s="309"/>
      <c r="L25" s="311"/>
      <c r="M25" s="311"/>
      <c r="N25" s="309"/>
      <c r="Q25" s="317" t="s">
        <v>304</v>
      </c>
      <c r="R25" s="296"/>
      <c r="S25" s="309"/>
      <c r="T25" s="311"/>
      <c r="U25" s="311"/>
      <c r="V25" s="309"/>
      <c r="W25" s="633"/>
      <c r="Z25" s="317" t="s">
        <v>304</v>
      </c>
      <c r="AA25" s="296"/>
      <c r="AB25" s="309"/>
      <c r="AC25" s="311"/>
      <c r="AD25" s="311"/>
      <c r="AE25" s="309"/>
      <c r="AH25" s="317" t="s">
        <v>304</v>
      </c>
      <c r="AI25" s="296"/>
      <c r="AJ25" s="309"/>
      <c r="AK25" s="311"/>
      <c r="AL25" s="311"/>
      <c r="AM25" s="309"/>
    </row>
    <row r="26" spans="1:39">
      <c r="A26" s="317"/>
      <c r="B26" s="296" t="s">
        <v>305</v>
      </c>
      <c r="C26" s="309">
        <f>WS!J403</f>
        <v>9137801037.4799995</v>
      </c>
      <c r="D26" s="311">
        <f>C26*2%*0</f>
        <v>0</v>
      </c>
      <c r="E26" s="311"/>
      <c r="F26" s="309">
        <f>C26-D26+E26</f>
        <v>9137801037.4799995</v>
      </c>
      <c r="I26" s="317"/>
      <c r="J26" s="296" t="s">
        <v>305</v>
      </c>
      <c r="K26" s="309">
        <f>WS!U403</f>
        <v>7381123763.2300005</v>
      </c>
      <c r="L26" s="311">
        <f>K26*2%*0</f>
        <v>0</v>
      </c>
      <c r="M26" s="311"/>
      <c r="N26" s="309">
        <f>K26-L26+M26</f>
        <v>7381123763.2300005</v>
      </c>
      <c r="Q26" s="317"/>
      <c r="R26" s="296" t="s">
        <v>305</v>
      </c>
      <c r="S26" s="309">
        <f>WS!AH403</f>
        <v>10791530434</v>
      </c>
      <c r="T26" s="311">
        <f>S26*2%*0</f>
        <v>0</v>
      </c>
      <c r="U26" s="311"/>
      <c r="V26" s="309">
        <f>S26-T26+U26</f>
        <v>10791530434</v>
      </c>
      <c r="W26" s="633"/>
      <c r="Z26" s="317"/>
      <c r="AA26" s="296" t="s">
        <v>305</v>
      </c>
      <c r="AB26" s="309" t="e">
        <f>WS!#REF!</f>
        <v>#REF!</v>
      </c>
      <c r="AC26" s="311" t="e">
        <f>AB26*2%*0</f>
        <v>#REF!</v>
      </c>
      <c r="AD26" s="311"/>
      <c r="AE26" s="309" t="e">
        <f>AB26-AC26+AD26</f>
        <v>#REF!</v>
      </c>
      <c r="AH26" s="317"/>
      <c r="AI26" s="296" t="s">
        <v>305</v>
      </c>
      <c r="AJ26" s="309" t="e">
        <f>WS!#REF!</f>
        <v>#REF!</v>
      </c>
      <c r="AK26" s="311" t="e">
        <f>AJ26*2%*0</f>
        <v>#REF!</v>
      </c>
      <c r="AL26" s="311"/>
      <c r="AM26" s="309" t="e">
        <f>AJ26-AK26+AL26</f>
        <v>#REF!</v>
      </c>
    </row>
    <row r="27" spans="1:39">
      <c r="A27" s="317"/>
      <c r="B27" s="296" t="s">
        <v>306</v>
      </c>
      <c r="C27" s="309">
        <f>WS!J404</f>
        <v>130843300</v>
      </c>
      <c r="D27" s="311"/>
      <c r="E27" s="311"/>
      <c r="F27" s="309">
        <f t="shared" ref="F27:F39" si="5">C27-D27+E27</f>
        <v>130843300</v>
      </c>
      <c r="I27" s="317"/>
      <c r="J27" s="296" t="s">
        <v>306</v>
      </c>
      <c r="K27" s="309">
        <f>WS!U404</f>
        <v>76968600</v>
      </c>
      <c r="L27" s="311"/>
      <c r="M27" s="311"/>
      <c r="N27" s="309">
        <f t="shared" ref="N27:N39" si="6">K27-L27+M27</f>
        <v>76968600</v>
      </c>
      <c r="Q27" s="317"/>
      <c r="R27" s="296" t="s">
        <v>306</v>
      </c>
      <c r="S27" s="309">
        <f>WS!AH404</f>
        <v>611722178</v>
      </c>
      <c r="T27" s="311"/>
      <c r="U27" s="311"/>
      <c r="V27" s="309">
        <f t="shared" ref="V27:V38" si="7">S27-T27+U27</f>
        <v>611722178</v>
      </c>
      <c r="W27" s="633"/>
      <c r="Z27" s="317"/>
      <c r="AA27" s="296" t="s">
        <v>306</v>
      </c>
      <c r="AB27" s="309" t="e">
        <f>WS!#REF!</f>
        <v>#REF!</v>
      </c>
      <c r="AC27" s="311"/>
      <c r="AD27" s="311"/>
      <c r="AE27" s="309" t="e">
        <f t="shared" si="3"/>
        <v>#REF!</v>
      </c>
      <c r="AH27" s="317"/>
      <c r="AI27" s="296" t="s">
        <v>306</v>
      </c>
      <c r="AJ27" s="309" t="e">
        <f>WS!#REF!</f>
        <v>#REF!</v>
      </c>
      <c r="AK27" s="311"/>
      <c r="AL27" s="311"/>
      <c r="AM27" s="309" t="e">
        <f t="shared" ref="AM27:AM38" si="8">AJ27-AK27+AL27</f>
        <v>#REF!</v>
      </c>
    </row>
    <row r="28" spans="1:39">
      <c r="A28" s="317"/>
      <c r="B28" s="296" t="s">
        <v>307</v>
      </c>
      <c r="C28" s="309">
        <f>WS!J405</f>
        <v>0</v>
      </c>
      <c r="D28" s="311"/>
      <c r="E28" s="311"/>
      <c r="F28" s="309">
        <f t="shared" si="5"/>
        <v>0</v>
      </c>
      <c r="I28" s="317"/>
      <c r="J28" s="296" t="s">
        <v>307</v>
      </c>
      <c r="K28" s="309">
        <f>WS!U405</f>
        <v>0</v>
      </c>
      <c r="L28" s="311"/>
      <c r="M28" s="311"/>
      <c r="N28" s="309">
        <f t="shared" si="6"/>
        <v>0</v>
      </c>
      <c r="Q28" s="317"/>
      <c r="R28" s="296" t="s">
        <v>307</v>
      </c>
      <c r="S28" s="309">
        <f>WS!AH405</f>
        <v>0</v>
      </c>
      <c r="T28" s="311"/>
      <c r="U28" s="311"/>
      <c r="V28" s="309">
        <f t="shared" si="7"/>
        <v>0</v>
      </c>
      <c r="W28" s="633"/>
      <c r="Z28" s="317"/>
      <c r="AA28" s="296" t="s">
        <v>307</v>
      </c>
      <c r="AB28" s="309" t="e">
        <f>WS!#REF!</f>
        <v>#REF!</v>
      </c>
      <c r="AC28" s="311"/>
      <c r="AD28" s="311"/>
      <c r="AE28" s="309" t="e">
        <f t="shared" si="3"/>
        <v>#REF!</v>
      </c>
      <c r="AH28" s="317"/>
      <c r="AI28" s="296" t="s">
        <v>307</v>
      </c>
      <c r="AJ28" s="309" t="e">
        <f>WS!#REF!</f>
        <v>#REF!</v>
      </c>
      <c r="AK28" s="311"/>
      <c r="AL28" s="311"/>
      <c r="AM28" s="309" t="e">
        <f t="shared" si="8"/>
        <v>#REF!</v>
      </c>
    </row>
    <row r="29" spans="1:39">
      <c r="A29" s="317"/>
      <c r="B29" s="296" t="s">
        <v>308</v>
      </c>
      <c r="C29" s="309">
        <f>WS!J406</f>
        <v>158102500</v>
      </c>
      <c r="D29" s="311"/>
      <c r="E29" s="311"/>
      <c r="F29" s="309">
        <f t="shared" si="5"/>
        <v>158102500</v>
      </c>
      <c r="I29" s="317"/>
      <c r="J29" s="296" t="s">
        <v>308</v>
      </c>
      <c r="K29" s="309">
        <f>WS!U406</f>
        <v>118426500</v>
      </c>
      <c r="L29" s="311"/>
      <c r="M29" s="311"/>
      <c r="N29" s="309">
        <f t="shared" si="6"/>
        <v>118426500</v>
      </c>
      <c r="Q29" s="317"/>
      <c r="R29" s="296" t="s">
        <v>308</v>
      </c>
      <c r="S29" s="309">
        <f>WS!AH406</f>
        <v>148529000</v>
      </c>
      <c r="T29" s="311"/>
      <c r="U29" s="311"/>
      <c r="V29" s="309">
        <f t="shared" si="7"/>
        <v>148529000</v>
      </c>
      <c r="W29" s="633"/>
      <c r="Z29" s="317"/>
      <c r="AA29" s="296" t="s">
        <v>308</v>
      </c>
      <c r="AB29" s="309" t="e">
        <f>WS!#REF!</f>
        <v>#REF!</v>
      </c>
      <c r="AC29" s="311"/>
      <c r="AD29" s="311"/>
      <c r="AE29" s="309" t="e">
        <f t="shared" si="3"/>
        <v>#REF!</v>
      </c>
      <c r="AH29" s="317"/>
      <c r="AI29" s="296" t="s">
        <v>308</v>
      </c>
      <c r="AJ29" s="309" t="e">
        <f>WS!#REF!</f>
        <v>#REF!</v>
      </c>
      <c r="AK29" s="311"/>
      <c r="AL29" s="311"/>
      <c r="AM29" s="309" t="e">
        <f t="shared" si="8"/>
        <v>#REF!</v>
      </c>
    </row>
    <row r="30" spans="1:39">
      <c r="A30" s="317"/>
      <c r="B30" s="296" t="s">
        <v>309</v>
      </c>
      <c r="C30" s="309">
        <f>WS!J407</f>
        <v>325461602</v>
      </c>
      <c r="D30" s="311"/>
      <c r="E30" s="311"/>
      <c r="F30" s="309">
        <f t="shared" si="5"/>
        <v>325461602</v>
      </c>
      <c r="I30" s="317"/>
      <c r="J30" s="296" t="s">
        <v>309</v>
      </c>
      <c r="K30" s="309">
        <f>WS!U407</f>
        <v>275521602</v>
      </c>
      <c r="L30" s="311"/>
      <c r="M30" s="311"/>
      <c r="N30" s="309">
        <f t="shared" si="6"/>
        <v>275521602</v>
      </c>
      <c r="Q30" s="317"/>
      <c r="R30" s="296" t="s">
        <v>309</v>
      </c>
      <c r="S30" s="309">
        <f>WS!AH407</f>
        <v>207767704</v>
      </c>
      <c r="T30" s="311"/>
      <c r="U30" s="311"/>
      <c r="V30" s="309">
        <f t="shared" si="7"/>
        <v>207767704</v>
      </c>
      <c r="W30" s="633"/>
      <c r="Z30" s="317"/>
      <c r="AA30" s="296" t="s">
        <v>309</v>
      </c>
      <c r="AB30" s="309" t="e">
        <f>WS!#REF!</f>
        <v>#REF!</v>
      </c>
      <c r="AC30" s="311"/>
      <c r="AD30" s="311"/>
      <c r="AE30" s="309" t="e">
        <f t="shared" si="3"/>
        <v>#REF!</v>
      </c>
      <c r="AH30" s="317"/>
      <c r="AI30" s="296" t="s">
        <v>309</v>
      </c>
      <c r="AJ30" s="309" t="e">
        <f>WS!#REF!</f>
        <v>#REF!</v>
      </c>
      <c r="AK30" s="311"/>
      <c r="AL30" s="311"/>
      <c r="AM30" s="309" t="e">
        <f t="shared" si="8"/>
        <v>#REF!</v>
      </c>
    </row>
    <row r="31" spans="1:39">
      <c r="A31" s="317"/>
      <c r="B31" s="296" t="s">
        <v>310</v>
      </c>
      <c r="C31" s="309">
        <f>WS!J408</f>
        <v>22344010</v>
      </c>
      <c r="D31" s="311"/>
      <c r="E31" s="311"/>
      <c r="F31" s="309">
        <f t="shared" si="5"/>
        <v>22344010</v>
      </c>
      <c r="I31" s="317"/>
      <c r="J31" s="296" t="s">
        <v>310</v>
      </c>
      <c r="K31" s="309">
        <f>WS!U408</f>
        <v>15164370</v>
      </c>
      <c r="L31" s="311"/>
      <c r="M31" s="311"/>
      <c r="N31" s="309">
        <f t="shared" si="6"/>
        <v>15164370</v>
      </c>
      <c r="Q31" s="317"/>
      <c r="R31" s="296" t="s">
        <v>310</v>
      </c>
      <c r="S31" s="309">
        <f>WS!AH408</f>
        <v>29878940</v>
      </c>
      <c r="T31" s="311"/>
      <c r="U31" s="311"/>
      <c r="V31" s="309">
        <f t="shared" si="7"/>
        <v>29878940</v>
      </c>
      <c r="W31" s="633"/>
      <c r="Z31" s="317"/>
      <c r="AA31" s="296" t="s">
        <v>310</v>
      </c>
      <c r="AB31" s="309" t="e">
        <f>WS!#REF!</f>
        <v>#REF!</v>
      </c>
      <c r="AC31" s="311"/>
      <c r="AD31" s="311"/>
      <c r="AE31" s="309" t="e">
        <f t="shared" si="3"/>
        <v>#REF!</v>
      </c>
      <c r="AH31" s="317"/>
      <c r="AI31" s="296" t="s">
        <v>310</v>
      </c>
      <c r="AJ31" s="309" t="e">
        <f>WS!#REF!</f>
        <v>#REF!</v>
      </c>
      <c r="AK31" s="311"/>
      <c r="AL31" s="311"/>
      <c r="AM31" s="309" t="e">
        <f t="shared" si="8"/>
        <v>#REF!</v>
      </c>
    </row>
    <row r="32" spans="1:39">
      <c r="A32" s="317"/>
      <c r="B32" s="296" t="s">
        <v>311</v>
      </c>
      <c r="C32" s="309">
        <f>WS!J409</f>
        <v>61172281</v>
      </c>
      <c r="D32" s="311"/>
      <c r="E32" s="311"/>
      <c r="F32" s="309">
        <f t="shared" si="5"/>
        <v>61172281</v>
      </c>
      <c r="I32" s="317"/>
      <c r="J32" s="296" t="s">
        <v>311</v>
      </c>
      <c r="K32" s="309">
        <f>WS!U409</f>
        <v>40627257</v>
      </c>
      <c r="L32" s="311"/>
      <c r="M32" s="311"/>
      <c r="N32" s="309">
        <f t="shared" si="6"/>
        <v>40627257</v>
      </c>
      <c r="Q32" s="317"/>
      <c r="R32" s="296" t="s">
        <v>311</v>
      </c>
      <c r="S32" s="309">
        <f>WS!AH409</f>
        <v>91621530</v>
      </c>
      <c r="T32" s="311"/>
      <c r="U32" s="311"/>
      <c r="V32" s="309">
        <f t="shared" si="7"/>
        <v>91621530</v>
      </c>
      <c r="W32" s="633"/>
      <c r="Z32" s="317"/>
      <c r="AA32" s="296" t="s">
        <v>311</v>
      </c>
      <c r="AB32" s="309" t="e">
        <f>WS!#REF!</f>
        <v>#REF!</v>
      </c>
      <c r="AC32" s="311"/>
      <c r="AD32" s="311"/>
      <c r="AE32" s="309" t="e">
        <f t="shared" si="3"/>
        <v>#REF!</v>
      </c>
      <c r="AH32" s="317"/>
      <c r="AI32" s="296" t="s">
        <v>311</v>
      </c>
      <c r="AJ32" s="309" t="e">
        <f>WS!#REF!</f>
        <v>#REF!</v>
      </c>
      <c r="AK32" s="311"/>
      <c r="AL32" s="311"/>
      <c r="AM32" s="309" t="e">
        <f t="shared" si="8"/>
        <v>#REF!</v>
      </c>
    </row>
    <row r="33" spans="1:39">
      <c r="A33" s="317"/>
      <c r="B33" s="296" t="s">
        <v>312</v>
      </c>
      <c r="C33" s="309">
        <f>WS!J410</f>
        <v>398789293.08000004</v>
      </c>
      <c r="D33" s="311"/>
      <c r="E33" s="311"/>
      <c r="F33" s="309">
        <f t="shared" si="5"/>
        <v>398789293.08000004</v>
      </c>
      <c r="I33" s="317"/>
      <c r="J33" s="296" t="s">
        <v>312</v>
      </c>
      <c r="K33" s="309">
        <f>WS!U410</f>
        <v>325003877.67000002</v>
      </c>
      <c r="L33" s="311"/>
      <c r="M33" s="311"/>
      <c r="N33" s="309">
        <f t="shared" si="6"/>
        <v>325003877.67000002</v>
      </c>
      <c r="Q33" s="317"/>
      <c r="R33" s="296" t="s">
        <v>312</v>
      </c>
      <c r="S33" s="309">
        <f>WS!AH410</f>
        <v>133097587</v>
      </c>
      <c r="T33" s="311"/>
      <c r="U33" s="311"/>
      <c r="V33" s="309">
        <f t="shared" si="7"/>
        <v>133097587</v>
      </c>
      <c r="W33" s="633"/>
      <c r="Z33" s="317"/>
      <c r="AA33" s="296" t="s">
        <v>312</v>
      </c>
      <c r="AB33" s="309" t="e">
        <f>WS!#REF!</f>
        <v>#REF!</v>
      </c>
      <c r="AC33" s="311"/>
      <c r="AD33" s="311"/>
      <c r="AE33" s="309" t="e">
        <f t="shared" si="3"/>
        <v>#REF!</v>
      </c>
      <c r="AH33" s="317"/>
      <c r="AI33" s="296" t="s">
        <v>312</v>
      </c>
      <c r="AJ33" s="309" t="e">
        <f>WS!#REF!</f>
        <v>#REF!</v>
      </c>
      <c r="AK33" s="311"/>
      <c r="AL33" s="311"/>
      <c r="AM33" s="309" t="e">
        <f t="shared" si="8"/>
        <v>#REF!</v>
      </c>
    </row>
    <row r="34" spans="1:39">
      <c r="A34" s="317"/>
      <c r="B34" s="296" t="s">
        <v>313</v>
      </c>
      <c r="C34" s="309">
        <f>WS!J411</f>
        <v>71339220</v>
      </c>
      <c r="D34" s="311"/>
      <c r="E34" s="311"/>
      <c r="F34" s="309">
        <f t="shared" si="5"/>
        <v>71339220</v>
      </c>
      <c r="I34" s="317"/>
      <c r="J34" s="296" t="s">
        <v>313</v>
      </c>
      <c r="K34" s="309">
        <f>WS!U411</f>
        <v>16228200</v>
      </c>
      <c r="L34" s="311"/>
      <c r="M34" s="311"/>
      <c r="N34" s="309">
        <f t="shared" si="6"/>
        <v>16228200</v>
      </c>
      <c r="Q34" s="317"/>
      <c r="R34" s="296" t="s">
        <v>313</v>
      </c>
      <c r="S34" s="309">
        <f>WS!AH411</f>
        <v>40946661</v>
      </c>
      <c r="T34" s="311"/>
      <c r="U34" s="311"/>
      <c r="V34" s="309">
        <f t="shared" si="7"/>
        <v>40946661</v>
      </c>
      <c r="W34" s="633"/>
      <c r="Z34" s="317"/>
      <c r="AA34" s="296" t="s">
        <v>313</v>
      </c>
      <c r="AB34" s="309" t="e">
        <f>WS!#REF!</f>
        <v>#REF!</v>
      </c>
      <c r="AC34" s="311"/>
      <c r="AD34" s="311"/>
      <c r="AE34" s="309" t="e">
        <f t="shared" si="3"/>
        <v>#REF!</v>
      </c>
      <c r="AH34" s="317"/>
      <c r="AI34" s="296" t="s">
        <v>313</v>
      </c>
      <c r="AJ34" s="309" t="e">
        <f>WS!#REF!</f>
        <v>#REF!</v>
      </c>
      <c r="AK34" s="311"/>
      <c r="AL34" s="311"/>
      <c r="AM34" s="309" t="e">
        <f t="shared" si="8"/>
        <v>#REF!</v>
      </c>
    </row>
    <row r="35" spans="1:39">
      <c r="A35" s="308"/>
      <c r="B35" s="296" t="s">
        <v>314</v>
      </c>
      <c r="C35" s="309">
        <f>WS!J412</f>
        <v>9095000</v>
      </c>
      <c r="D35" s="311"/>
      <c r="E35" s="311"/>
      <c r="F35" s="309">
        <f t="shared" si="5"/>
        <v>9095000</v>
      </c>
      <c r="I35" s="308"/>
      <c r="J35" s="296" t="s">
        <v>314</v>
      </c>
      <c r="K35" s="309">
        <f>WS!U412</f>
        <v>7750000</v>
      </c>
      <c r="L35" s="311"/>
      <c r="M35" s="311"/>
      <c r="N35" s="309">
        <f t="shared" si="6"/>
        <v>7750000</v>
      </c>
      <c r="Q35" s="308"/>
      <c r="R35" s="296" t="s">
        <v>314</v>
      </c>
      <c r="S35" s="309">
        <f>WS!AH412</f>
        <v>6140000</v>
      </c>
      <c r="T35" s="311"/>
      <c r="U35" s="311"/>
      <c r="V35" s="309">
        <f t="shared" si="7"/>
        <v>6140000</v>
      </c>
      <c r="W35" s="633"/>
      <c r="Z35" s="308"/>
      <c r="AA35" s="296" t="s">
        <v>314</v>
      </c>
      <c r="AB35" s="309" t="e">
        <f>WS!#REF!</f>
        <v>#REF!</v>
      </c>
      <c r="AC35" s="311"/>
      <c r="AD35" s="311"/>
      <c r="AE35" s="309" t="e">
        <f t="shared" si="3"/>
        <v>#REF!</v>
      </c>
      <c r="AH35" s="308"/>
      <c r="AI35" s="296" t="s">
        <v>314</v>
      </c>
      <c r="AJ35" s="309" t="e">
        <f>WS!#REF!</f>
        <v>#REF!</v>
      </c>
      <c r="AK35" s="311"/>
      <c r="AL35" s="311"/>
      <c r="AM35" s="309" t="e">
        <f t="shared" si="8"/>
        <v>#REF!</v>
      </c>
    </row>
    <row r="36" spans="1:39">
      <c r="A36" s="308"/>
      <c r="B36" s="296" t="s">
        <v>315</v>
      </c>
      <c r="C36" s="309">
        <f>WS!J413</f>
        <v>12600000</v>
      </c>
      <c r="D36" s="311"/>
      <c r="E36" s="311"/>
      <c r="F36" s="309">
        <f t="shared" si="5"/>
        <v>12600000</v>
      </c>
      <c r="I36" s="308"/>
      <c r="J36" s="296" t="s">
        <v>315</v>
      </c>
      <c r="K36" s="309">
        <f>WS!U413</f>
        <v>6300000</v>
      </c>
      <c r="L36" s="311"/>
      <c r="M36" s="311"/>
      <c r="N36" s="309">
        <f t="shared" si="6"/>
        <v>6300000</v>
      </c>
      <c r="Q36" s="308"/>
      <c r="R36" s="296" t="s">
        <v>315</v>
      </c>
      <c r="S36" s="309">
        <f>WS!AH413</f>
        <v>6450000</v>
      </c>
      <c r="T36" s="311"/>
      <c r="U36" s="311"/>
      <c r="V36" s="309">
        <f t="shared" si="7"/>
        <v>6450000</v>
      </c>
      <c r="W36" s="633"/>
      <c r="Z36" s="308"/>
      <c r="AA36" s="296" t="s">
        <v>315</v>
      </c>
      <c r="AB36" s="309" t="e">
        <f>WS!#REF!</f>
        <v>#REF!</v>
      </c>
      <c r="AC36" s="311"/>
      <c r="AD36" s="311"/>
      <c r="AE36" s="309" t="e">
        <f t="shared" si="3"/>
        <v>#REF!</v>
      </c>
      <c r="AH36" s="308"/>
      <c r="AI36" s="296" t="s">
        <v>315</v>
      </c>
      <c r="AJ36" s="309" t="e">
        <f>WS!#REF!</f>
        <v>#REF!</v>
      </c>
      <c r="AK36" s="311"/>
      <c r="AL36" s="311"/>
      <c r="AM36" s="309" t="e">
        <f t="shared" si="8"/>
        <v>#REF!</v>
      </c>
    </row>
    <row r="37" spans="1:39">
      <c r="A37" s="308"/>
      <c r="B37" s="296" t="s">
        <v>316</v>
      </c>
      <c r="C37" s="309">
        <f>WS!J414</f>
        <v>63110969</v>
      </c>
      <c r="D37" s="311">
        <f>C37*2%*0</f>
        <v>0</v>
      </c>
      <c r="E37" s="311"/>
      <c r="F37" s="309">
        <f t="shared" si="5"/>
        <v>63110969</v>
      </c>
      <c r="I37" s="308"/>
      <c r="J37" s="296" t="s">
        <v>316</v>
      </c>
      <c r="K37" s="309">
        <f>WS!U414</f>
        <v>47749920</v>
      </c>
      <c r="L37" s="311">
        <f>K37*2%*0</f>
        <v>0</v>
      </c>
      <c r="M37" s="311"/>
      <c r="N37" s="309">
        <f t="shared" si="6"/>
        <v>47749920</v>
      </c>
      <c r="Q37" s="308"/>
      <c r="R37" s="296" t="s">
        <v>316</v>
      </c>
      <c r="S37" s="309">
        <f>WS!AH414</f>
        <v>53050186</v>
      </c>
      <c r="T37" s="311">
        <f>S37*2%*0</f>
        <v>0</v>
      </c>
      <c r="U37" s="311"/>
      <c r="V37" s="309">
        <f t="shared" si="7"/>
        <v>53050186</v>
      </c>
      <c r="W37" s="633"/>
      <c r="Z37" s="308"/>
      <c r="AA37" s="296" t="s">
        <v>316</v>
      </c>
      <c r="AB37" s="309" t="e">
        <f>WS!#REF!</f>
        <v>#REF!</v>
      </c>
      <c r="AC37" s="311" t="e">
        <f>AB37*2%*0</f>
        <v>#REF!</v>
      </c>
      <c r="AD37" s="311"/>
      <c r="AE37" s="309" t="e">
        <f t="shared" si="3"/>
        <v>#REF!</v>
      </c>
      <c r="AH37" s="308"/>
      <c r="AI37" s="296" t="s">
        <v>316</v>
      </c>
      <c r="AJ37" s="309" t="e">
        <f>WS!#REF!</f>
        <v>#REF!</v>
      </c>
      <c r="AK37" s="311" t="e">
        <f>AJ37*2%*0</f>
        <v>#REF!</v>
      </c>
      <c r="AL37" s="311"/>
      <c r="AM37" s="309" t="e">
        <f t="shared" si="8"/>
        <v>#REF!</v>
      </c>
    </row>
    <row r="38" spans="1:39">
      <c r="A38" s="308"/>
      <c r="B38" s="296" t="s">
        <v>670</v>
      </c>
      <c r="C38" s="309">
        <v>0</v>
      </c>
      <c r="D38" s="311"/>
      <c r="E38" s="311"/>
      <c r="F38" s="309">
        <f t="shared" si="5"/>
        <v>0</v>
      </c>
      <c r="I38" s="308"/>
      <c r="J38" s="296" t="s">
        <v>670</v>
      </c>
      <c r="K38" s="309">
        <v>0</v>
      </c>
      <c r="L38" s="311"/>
      <c r="M38" s="311"/>
      <c r="N38" s="309">
        <f t="shared" si="6"/>
        <v>0</v>
      </c>
      <c r="Q38" s="308"/>
      <c r="R38" s="296" t="s">
        <v>670</v>
      </c>
      <c r="S38" s="309">
        <v>0</v>
      </c>
      <c r="T38" s="311"/>
      <c r="U38" s="311"/>
      <c r="V38" s="309">
        <f t="shared" si="7"/>
        <v>0</v>
      </c>
      <c r="W38" s="633"/>
      <c r="Z38" s="308"/>
      <c r="AA38" s="296" t="s">
        <v>670</v>
      </c>
      <c r="AB38" s="309">
        <v>0</v>
      </c>
      <c r="AC38" s="311"/>
      <c r="AD38" s="311"/>
      <c r="AE38" s="309">
        <f t="shared" si="3"/>
        <v>0</v>
      </c>
      <c r="AH38" s="308"/>
      <c r="AI38" s="296" t="s">
        <v>670</v>
      </c>
      <c r="AJ38" s="309">
        <v>0</v>
      </c>
      <c r="AK38" s="311"/>
      <c r="AL38" s="311"/>
      <c r="AM38" s="309">
        <f t="shared" si="8"/>
        <v>0</v>
      </c>
    </row>
    <row r="39" spans="1:39">
      <c r="A39" s="308"/>
      <c r="B39" s="296" t="s">
        <v>993</v>
      </c>
      <c r="C39" s="309">
        <f>WS!J415</f>
        <v>3720084779.6799998</v>
      </c>
      <c r="D39" s="311"/>
      <c r="E39" s="311"/>
      <c r="F39" s="309">
        <f t="shared" si="5"/>
        <v>3720084779.6799998</v>
      </c>
      <c r="I39" s="308"/>
      <c r="J39" s="296" t="s">
        <v>993</v>
      </c>
      <c r="K39" s="309">
        <f>WS!U415</f>
        <v>1081932570.3499999</v>
      </c>
      <c r="L39" s="311"/>
      <c r="M39" s="311"/>
      <c r="N39" s="309">
        <f t="shared" si="6"/>
        <v>1081932570.3499999</v>
      </c>
      <c r="Q39" s="308"/>
      <c r="R39" s="296"/>
      <c r="S39" s="309"/>
      <c r="T39" s="311"/>
      <c r="U39" s="311"/>
      <c r="V39" s="309"/>
      <c r="W39" s="633"/>
      <c r="Z39" s="308"/>
      <c r="AA39" s="296"/>
      <c r="AB39" s="309"/>
      <c r="AC39" s="311"/>
      <c r="AD39" s="311"/>
      <c r="AE39" s="309"/>
      <c r="AH39" s="308"/>
      <c r="AI39" s="296"/>
      <c r="AJ39" s="309"/>
      <c r="AK39" s="311"/>
      <c r="AL39" s="311"/>
      <c r="AM39" s="309"/>
    </row>
    <row r="40" spans="1:39">
      <c r="A40" s="308" t="s">
        <v>622</v>
      </c>
      <c r="B40" s="296"/>
      <c r="C40" s="309"/>
      <c r="D40" s="311"/>
      <c r="E40" s="311"/>
      <c r="F40" s="309"/>
      <c r="I40" s="308" t="s">
        <v>622</v>
      </c>
      <c r="J40" s="296"/>
      <c r="K40" s="309"/>
      <c r="L40" s="311"/>
      <c r="M40" s="311"/>
      <c r="N40" s="309"/>
      <c r="Q40" s="308" t="s">
        <v>622</v>
      </c>
      <c r="R40" s="296"/>
      <c r="S40" s="309"/>
      <c r="T40" s="311"/>
      <c r="U40" s="311"/>
      <c r="V40" s="309"/>
      <c r="W40" s="633"/>
      <c r="Z40" s="308" t="s">
        <v>622</v>
      </c>
      <c r="AA40" s="296"/>
      <c r="AB40" s="309"/>
      <c r="AC40" s="311"/>
      <c r="AD40" s="311"/>
      <c r="AE40" s="309"/>
      <c r="AH40" s="308" t="s">
        <v>622</v>
      </c>
      <c r="AI40" s="296"/>
      <c r="AJ40" s="309"/>
      <c r="AK40" s="311"/>
      <c r="AL40" s="311"/>
      <c r="AM40" s="309"/>
    </row>
    <row r="41" spans="1:39">
      <c r="A41" s="302" t="s">
        <v>319</v>
      </c>
      <c r="C41" s="309"/>
      <c r="D41" s="311"/>
      <c r="E41" s="311"/>
      <c r="F41" s="309"/>
      <c r="I41" s="302" t="s">
        <v>319</v>
      </c>
      <c r="K41" s="309"/>
      <c r="L41" s="311"/>
      <c r="M41" s="311"/>
      <c r="N41" s="309"/>
      <c r="Q41" s="302" t="s">
        <v>319</v>
      </c>
      <c r="S41" s="309"/>
      <c r="T41" s="311"/>
      <c r="U41" s="311"/>
      <c r="V41" s="309"/>
      <c r="W41" s="633"/>
      <c r="Z41" s="302" t="s">
        <v>319</v>
      </c>
      <c r="AB41" s="309"/>
      <c r="AC41" s="311"/>
      <c r="AD41" s="311"/>
      <c r="AE41" s="309"/>
      <c r="AH41" s="302" t="s">
        <v>319</v>
      </c>
      <c r="AJ41" s="309"/>
      <c r="AK41" s="311"/>
      <c r="AL41" s="311"/>
      <c r="AM41" s="309"/>
    </row>
    <row r="42" spans="1:39">
      <c r="A42" s="305"/>
      <c r="B42" s="296" t="s">
        <v>320</v>
      </c>
      <c r="C42" s="309">
        <f>WS!J419</f>
        <v>313949059</v>
      </c>
      <c r="D42" s="311"/>
      <c r="E42" s="311"/>
      <c r="F42" s="309">
        <f t="shared" ref="F42:F46" si="9">C42-D42+E42</f>
        <v>313949059</v>
      </c>
      <c r="I42" s="305"/>
      <c r="J42" s="296" t="s">
        <v>320</v>
      </c>
      <c r="K42" s="309">
        <f>WS!U419</f>
        <v>270332060</v>
      </c>
      <c r="L42" s="311"/>
      <c r="M42" s="311"/>
      <c r="N42" s="309">
        <f t="shared" ref="N42:N46" si="10">K42-L42+M42</f>
        <v>270332060</v>
      </c>
      <c r="Q42" s="305"/>
      <c r="R42" s="296" t="s">
        <v>320</v>
      </c>
      <c r="S42" s="309">
        <f>WS!AH419</f>
        <v>255023239</v>
      </c>
      <c r="T42" s="311"/>
      <c r="U42" s="311"/>
      <c r="V42" s="309">
        <f t="shared" ref="V42:V46" si="11">S42-T42+U42</f>
        <v>255023239</v>
      </c>
      <c r="W42" s="633"/>
      <c r="Z42" s="305"/>
      <c r="AA42" s="296" t="s">
        <v>320</v>
      </c>
      <c r="AB42" s="309" t="e">
        <f>WS!#REF!</f>
        <v>#REF!</v>
      </c>
      <c r="AC42" s="311"/>
      <c r="AD42" s="311"/>
      <c r="AE42" s="309" t="e">
        <f t="shared" ref="AE42:AE72" si="12">AB42-AC42+AD42</f>
        <v>#REF!</v>
      </c>
      <c r="AH42" s="305"/>
      <c r="AI42" s="296" t="s">
        <v>320</v>
      </c>
      <c r="AJ42" s="309" t="e">
        <f>WS!#REF!</f>
        <v>#REF!</v>
      </c>
      <c r="AK42" s="311"/>
      <c r="AL42" s="311"/>
      <c r="AM42" s="309" t="e">
        <f t="shared" ref="AM42:AM46" si="13">AJ42-AK42+AL42</f>
        <v>#REF!</v>
      </c>
    </row>
    <row r="43" spans="1:39">
      <c r="A43" s="305"/>
      <c r="B43" s="296" t="s">
        <v>321</v>
      </c>
      <c r="C43" s="309">
        <f>WS!J420</f>
        <v>3962378187</v>
      </c>
      <c r="D43" s="311"/>
      <c r="E43" s="311"/>
      <c r="F43" s="309">
        <f t="shared" si="9"/>
        <v>3962378187</v>
      </c>
      <c r="I43" s="305"/>
      <c r="J43" s="296" t="s">
        <v>321</v>
      </c>
      <c r="K43" s="309">
        <f>WS!U420</f>
        <v>2892243979</v>
      </c>
      <c r="L43" s="311"/>
      <c r="M43" s="311"/>
      <c r="N43" s="309">
        <f t="shared" si="10"/>
        <v>2892243979</v>
      </c>
      <c r="Q43" s="305"/>
      <c r="R43" s="296" t="s">
        <v>321</v>
      </c>
      <c r="S43" s="309">
        <f>WS!AH420</f>
        <v>2965790410</v>
      </c>
      <c r="T43" s="311"/>
      <c r="U43" s="311"/>
      <c r="V43" s="309">
        <f t="shared" si="11"/>
        <v>2965790410</v>
      </c>
      <c r="W43" s="633"/>
      <c r="Z43" s="305"/>
      <c r="AA43" s="296" t="s">
        <v>321</v>
      </c>
      <c r="AB43" s="309" t="e">
        <f>WS!#REF!</f>
        <v>#REF!</v>
      </c>
      <c r="AC43" s="311"/>
      <c r="AD43" s="311"/>
      <c r="AE43" s="309" t="e">
        <f t="shared" si="12"/>
        <v>#REF!</v>
      </c>
      <c r="AH43" s="305"/>
      <c r="AI43" s="296" t="s">
        <v>321</v>
      </c>
      <c r="AJ43" s="309" t="e">
        <f>WS!#REF!</f>
        <v>#REF!</v>
      </c>
      <c r="AK43" s="311"/>
      <c r="AL43" s="311"/>
      <c r="AM43" s="309" t="e">
        <f t="shared" si="13"/>
        <v>#REF!</v>
      </c>
    </row>
    <row r="44" spans="1:39">
      <c r="A44" s="305"/>
      <c r="B44" s="296" t="s">
        <v>322</v>
      </c>
      <c r="C44" s="309">
        <f>WS!J421</f>
        <v>332597853</v>
      </c>
      <c r="D44" s="311"/>
      <c r="E44" s="311"/>
      <c r="F44" s="309">
        <f t="shared" si="9"/>
        <v>332597853</v>
      </c>
      <c r="I44" s="305"/>
      <c r="J44" s="296" t="s">
        <v>322</v>
      </c>
      <c r="K44" s="309">
        <f>WS!U421</f>
        <v>332597853</v>
      </c>
      <c r="L44" s="311"/>
      <c r="M44" s="311"/>
      <c r="N44" s="309">
        <f t="shared" si="10"/>
        <v>332597853</v>
      </c>
      <c r="Q44" s="305"/>
      <c r="R44" s="296" t="s">
        <v>322</v>
      </c>
      <c r="S44" s="309">
        <f>WS!AH421</f>
        <v>341934529</v>
      </c>
      <c r="T44" s="311"/>
      <c r="U44" s="311"/>
      <c r="V44" s="309">
        <f t="shared" si="11"/>
        <v>341934529</v>
      </c>
      <c r="W44" s="633"/>
      <c r="Z44" s="305"/>
      <c r="AA44" s="296" t="s">
        <v>322</v>
      </c>
      <c r="AB44" s="309" t="e">
        <f>WS!#REF!</f>
        <v>#REF!</v>
      </c>
      <c r="AC44" s="311"/>
      <c r="AD44" s="311"/>
      <c r="AE44" s="309" t="e">
        <f t="shared" si="12"/>
        <v>#REF!</v>
      </c>
      <c r="AH44" s="305"/>
      <c r="AI44" s="296" t="s">
        <v>322</v>
      </c>
      <c r="AJ44" s="309" t="e">
        <f>WS!#REF!</f>
        <v>#REF!</v>
      </c>
      <c r="AK44" s="311"/>
      <c r="AL44" s="311"/>
      <c r="AM44" s="309" t="e">
        <f t="shared" si="13"/>
        <v>#REF!</v>
      </c>
    </row>
    <row r="45" spans="1:39">
      <c r="A45" s="305"/>
      <c r="B45" s="296" t="s">
        <v>323</v>
      </c>
      <c r="C45" s="309">
        <f>WS!J422</f>
        <v>432045000</v>
      </c>
      <c r="D45" s="311"/>
      <c r="E45" s="311"/>
      <c r="F45" s="309">
        <f t="shared" si="9"/>
        <v>432045000</v>
      </c>
      <c r="I45" s="305"/>
      <c r="J45" s="296" t="s">
        <v>323</v>
      </c>
      <c r="K45" s="309">
        <f>WS!U422</f>
        <v>339109000</v>
      </c>
      <c r="L45" s="311"/>
      <c r="M45" s="311"/>
      <c r="N45" s="309">
        <f t="shared" si="10"/>
        <v>339109000</v>
      </c>
      <c r="Q45" s="305"/>
      <c r="R45" s="296" t="s">
        <v>323</v>
      </c>
      <c r="S45" s="309">
        <f>WS!AH422</f>
        <v>287526000</v>
      </c>
      <c r="T45" s="311"/>
      <c r="U45" s="311"/>
      <c r="V45" s="309">
        <f t="shared" si="11"/>
        <v>287526000</v>
      </c>
      <c r="W45" s="633"/>
      <c r="Z45" s="305"/>
      <c r="AA45" s="296" t="s">
        <v>323</v>
      </c>
      <c r="AB45" s="309" t="e">
        <f>WS!#REF!</f>
        <v>#REF!</v>
      </c>
      <c r="AC45" s="311"/>
      <c r="AD45" s="311"/>
      <c r="AE45" s="309" t="e">
        <f t="shared" si="12"/>
        <v>#REF!</v>
      </c>
      <c r="AH45" s="305"/>
      <c r="AI45" s="296" t="s">
        <v>323</v>
      </c>
      <c r="AJ45" s="309" t="e">
        <f>WS!#REF!</f>
        <v>#REF!</v>
      </c>
      <c r="AK45" s="311"/>
      <c r="AL45" s="311"/>
      <c r="AM45" s="309" t="e">
        <f t="shared" si="13"/>
        <v>#REF!</v>
      </c>
    </row>
    <row r="46" spans="1:39">
      <c r="A46" s="305"/>
      <c r="B46" s="296" t="s">
        <v>324</v>
      </c>
      <c r="C46" s="309">
        <f>WS!J423</f>
        <v>0</v>
      </c>
      <c r="D46" s="311"/>
      <c r="E46" s="311"/>
      <c r="F46" s="309">
        <f t="shared" si="9"/>
        <v>0</v>
      </c>
      <c r="I46" s="305"/>
      <c r="J46" s="296" t="s">
        <v>324</v>
      </c>
      <c r="K46" s="309">
        <f>WS!U423</f>
        <v>0</v>
      </c>
      <c r="L46" s="311"/>
      <c r="M46" s="311"/>
      <c r="N46" s="309">
        <f t="shared" si="10"/>
        <v>0</v>
      </c>
      <c r="Q46" s="305"/>
      <c r="R46" s="296" t="s">
        <v>324</v>
      </c>
      <c r="S46" s="309">
        <f>WS!AH423</f>
        <v>0</v>
      </c>
      <c r="T46" s="311"/>
      <c r="U46" s="311"/>
      <c r="V46" s="309">
        <f t="shared" si="11"/>
        <v>0</v>
      </c>
      <c r="W46" s="633"/>
      <c r="Z46" s="305"/>
      <c r="AA46" s="296" t="s">
        <v>324</v>
      </c>
      <c r="AB46" s="309" t="e">
        <f>WS!#REF!</f>
        <v>#REF!</v>
      </c>
      <c r="AC46" s="311"/>
      <c r="AD46" s="311"/>
      <c r="AE46" s="309" t="e">
        <f t="shared" si="12"/>
        <v>#REF!</v>
      </c>
      <c r="AH46" s="305"/>
      <c r="AI46" s="296" t="s">
        <v>324</v>
      </c>
      <c r="AJ46" s="309" t="e">
        <f>WS!#REF!</f>
        <v>#REF!</v>
      </c>
      <c r="AK46" s="311"/>
      <c r="AL46" s="311"/>
      <c r="AM46" s="309" t="e">
        <f t="shared" si="13"/>
        <v>#REF!</v>
      </c>
    </row>
    <row r="47" spans="1:39">
      <c r="A47" s="305"/>
      <c r="B47" s="296"/>
      <c r="C47" s="309"/>
      <c r="D47" s="311"/>
      <c r="E47" s="311"/>
      <c r="F47" s="309"/>
      <c r="I47" s="305"/>
      <c r="J47" s="296"/>
      <c r="K47" s="309"/>
      <c r="L47" s="311"/>
      <c r="M47" s="311"/>
      <c r="N47" s="309"/>
      <c r="Q47" s="305"/>
      <c r="R47" s="296"/>
      <c r="S47" s="309"/>
      <c r="T47" s="311"/>
      <c r="U47" s="311"/>
      <c r="V47" s="309"/>
      <c r="W47" s="633"/>
      <c r="Z47" s="305"/>
      <c r="AA47" s="296"/>
      <c r="AB47" s="309"/>
      <c r="AC47" s="311"/>
      <c r="AD47" s="311"/>
      <c r="AE47" s="309"/>
      <c r="AH47" s="305"/>
      <c r="AI47" s="296"/>
      <c r="AJ47" s="309"/>
      <c r="AK47" s="311"/>
      <c r="AL47" s="311"/>
      <c r="AM47" s="309"/>
    </row>
    <row r="48" spans="1:39">
      <c r="A48" s="302" t="s">
        <v>325</v>
      </c>
      <c r="C48" s="309"/>
      <c r="D48" s="311"/>
      <c r="E48" s="311"/>
      <c r="F48" s="309"/>
      <c r="I48" s="302" t="s">
        <v>325</v>
      </c>
      <c r="K48" s="309"/>
      <c r="L48" s="311"/>
      <c r="M48" s="311"/>
      <c r="N48" s="309"/>
      <c r="Q48" s="302" t="s">
        <v>325</v>
      </c>
      <c r="S48" s="309"/>
      <c r="T48" s="311"/>
      <c r="U48" s="311"/>
      <c r="V48" s="309"/>
      <c r="W48" s="633"/>
      <c r="Z48" s="302" t="s">
        <v>325</v>
      </c>
      <c r="AB48" s="309"/>
      <c r="AC48" s="311"/>
      <c r="AD48" s="311"/>
      <c r="AE48" s="309"/>
      <c r="AH48" s="302" t="s">
        <v>325</v>
      </c>
      <c r="AJ48" s="309"/>
      <c r="AK48" s="311"/>
      <c r="AL48" s="311"/>
      <c r="AM48" s="309"/>
    </row>
    <row r="49" spans="1:39">
      <c r="A49" s="305"/>
      <c r="B49" s="296" t="s">
        <v>326</v>
      </c>
      <c r="C49" s="309">
        <f>WS!J425</f>
        <v>1343058</v>
      </c>
      <c r="D49" s="312">
        <f>C49</f>
        <v>1343058</v>
      </c>
      <c r="E49" s="311"/>
      <c r="F49" s="309">
        <f t="shared" ref="F49:F72" si="14">C49-D49+E49</f>
        <v>0</v>
      </c>
      <c r="I49" s="305"/>
      <c r="J49" s="296" t="s">
        <v>326</v>
      </c>
      <c r="K49" s="309">
        <f>WS!U425</f>
        <v>1293058</v>
      </c>
      <c r="L49" s="311">
        <f>K49</f>
        <v>1293058</v>
      </c>
      <c r="M49" s="311"/>
      <c r="N49" s="309">
        <f t="shared" ref="N49:N72" si="15">K49-L49+M49</f>
        <v>0</v>
      </c>
      <c r="Q49" s="305"/>
      <c r="R49" s="296" t="s">
        <v>326</v>
      </c>
      <c r="S49" s="309">
        <f>WS!AH425</f>
        <v>25000</v>
      </c>
      <c r="T49" s="311">
        <f>S49</f>
        <v>25000</v>
      </c>
      <c r="U49" s="311"/>
      <c r="V49" s="309">
        <f t="shared" ref="V49:V72" si="16">S49-T49+U49</f>
        <v>0</v>
      </c>
      <c r="W49" s="633"/>
      <c r="Z49" s="305"/>
      <c r="AA49" s="296" t="s">
        <v>326</v>
      </c>
      <c r="AB49" s="309" t="e">
        <f>WS!#REF!</f>
        <v>#REF!</v>
      </c>
      <c r="AC49" s="311" t="e">
        <f>AB49</f>
        <v>#REF!</v>
      </c>
      <c r="AD49" s="311"/>
      <c r="AE49" s="309" t="e">
        <f t="shared" si="12"/>
        <v>#REF!</v>
      </c>
      <c r="AH49" s="305"/>
      <c r="AI49" s="296" t="s">
        <v>326</v>
      </c>
      <c r="AJ49" s="309" t="e">
        <f>WS!#REF!</f>
        <v>#REF!</v>
      </c>
      <c r="AK49" s="311" t="e">
        <f>AJ49</f>
        <v>#REF!</v>
      </c>
      <c r="AL49" s="311"/>
      <c r="AM49" s="309" t="e">
        <f t="shared" ref="AM49:AM72" si="17">AJ49-AK49+AL49</f>
        <v>#REF!</v>
      </c>
    </row>
    <row r="50" spans="1:39">
      <c r="A50" s="305"/>
      <c r="B50" s="296" t="s">
        <v>327</v>
      </c>
      <c r="C50" s="309">
        <f>WS!J426</f>
        <v>20121300</v>
      </c>
      <c r="D50" s="311"/>
      <c r="E50" s="311"/>
      <c r="F50" s="309">
        <f t="shared" si="14"/>
        <v>20121300</v>
      </c>
      <c r="I50" s="305"/>
      <c r="J50" s="296" t="s">
        <v>327</v>
      </c>
      <c r="K50" s="309">
        <f>WS!U426</f>
        <v>16530500</v>
      </c>
      <c r="L50" s="311"/>
      <c r="M50" s="311"/>
      <c r="N50" s="309">
        <f t="shared" si="15"/>
        <v>16530500</v>
      </c>
      <c r="Q50" s="305"/>
      <c r="R50" s="296" t="s">
        <v>327</v>
      </c>
      <c r="S50" s="309">
        <f>WS!AH426</f>
        <v>20495300</v>
      </c>
      <c r="T50" s="311"/>
      <c r="U50" s="311"/>
      <c r="V50" s="309">
        <f t="shared" si="16"/>
        <v>20495300</v>
      </c>
      <c r="W50" s="633"/>
      <c r="Z50" s="305"/>
      <c r="AA50" s="296" t="s">
        <v>327</v>
      </c>
      <c r="AB50" s="309" t="e">
        <f>WS!#REF!</f>
        <v>#REF!</v>
      </c>
      <c r="AC50" s="311"/>
      <c r="AD50" s="311"/>
      <c r="AE50" s="309" t="e">
        <f t="shared" si="12"/>
        <v>#REF!</v>
      </c>
      <c r="AH50" s="305"/>
      <c r="AI50" s="296" t="s">
        <v>327</v>
      </c>
      <c r="AJ50" s="309" t="e">
        <f>WS!#REF!</f>
        <v>#REF!</v>
      </c>
      <c r="AK50" s="311"/>
      <c r="AL50" s="311"/>
      <c r="AM50" s="309" t="e">
        <f t="shared" si="17"/>
        <v>#REF!</v>
      </c>
    </row>
    <row r="51" spans="1:39">
      <c r="A51" s="305"/>
      <c r="B51" s="296" t="s">
        <v>328</v>
      </c>
      <c r="C51" s="309">
        <f>WS!J427</f>
        <v>111024837</v>
      </c>
      <c r="D51" s="311"/>
      <c r="E51" s="311"/>
      <c r="F51" s="309">
        <f t="shared" si="14"/>
        <v>111024837</v>
      </c>
      <c r="I51" s="305"/>
      <c r="J51" s="296" t="s">
        <v>328</v>
      </c>
      <c r="K51" s="309">
        <f>WS!U427</f>
        <v>80745336</v>
      </c>
      <c r="L51" s="311"/>
      <c r="M51" s="311"/>
      <c r="N51" s="309">
        <f t="shared" si="15"/>
        <v>80745336</v>
      </c>
      <c r="Q51" s="305"/>
      <c r="R51" s="296" t="s">
        <v>328</v>
      </c>
      <c r="S51" s="309">
        <f>WS!AH427</f>
        <v>110236455</v>
      </c>
      <c r="T51" s="311"/>
      <c r="U51" s="311"/>
      <c r="V51" s="309">
        <f t="shared" si="16"/>
        <v>110236455</v>
      </c>
      <c r="W51" s="633"/>
      <c r="Z51" s="305"/>
      <c r="AA51" s="296" t="s">
        <v>328</v>
      </c>
      <c r="AB51" s="309" t="e">
        <f>WS!#REF!</f>
        <v>#REF!</v>
      </c>
      <c r="AC51" s="311"/>
      <c r="AD51" s="311"/>
      <c r="AE51" s="309" t="e">
        <f t="shared" si="12"/>
        <v>#REF!</v>
      </c>
      <c r="AH51" s="305"/>
      <c r="AI51" s="296" t="s">
        <v>328</v>
      </c>
      <c r="AJ51" s="309" t="e">
        <f>WS!#REF!</f>
        <v>#REF!</v>
      </c>
      <c r="AK51" s="311"/>
      <c r="AL51" s="311"/>
      <c r="AM51" s="309" t="e">
        <f t="shared" si="17"/>
        <v>#REF!</v>
      </c>
    </row>
    <row r="52" spans="1:39">
      <c r="A52" s="305"/>
      <c r="B52" s="296" t="s">
        <v>329</v>
      </c>
      <c r="C52" s="309">
        <f>WS!J428</f>
        <v>144047264</v>
      </c>
      <c r="D52" s="311">
        <f>C52*50%</f>
        <v>72023632</v>
      </c>
      <c r="E52" s="311"/>
      <c r="F52" s="309">
        <f t="shared" si="14"/>
        <v>72023632</v>
      </c>
      <c r="I52" s="305"/>
      <c r="J52" s="296" t="s">
        <v>329</v>
      </c>
      <c r="K52" s="309">
        <f>WS!U428</f>
        <v>105481619</v>
      </c>
      <c r="L52" s="311">
        <f>K52*50%</f>
        <v>52740809.5</v>
      </c>
      <c r="M52" s="311"/>
      <c r="N52" s="309">
        <f t="shared" si="15"/>
        <v>52740809.5</v>
      </c>
      <c r="Q52" s="305"/>
      <c r="R52" s="296" t="s">
        <v>329</v>
      </c>
      <c r="S52" s="309">
        <f>WS!AH428</f>
        <v>94549815</v>
      </c>
      <c r="T52" s="311">
        <f>S52*50%*0</f>
        <v>0</v>
      </c>
      <c r="U52" s="311"/>
      <c r="V52" s="309">
        <f t="shared" si="16"/>
        <v>94549815</v>
      </c>
      <c r="W52" s="633"/>
      <c r="Z52" s="305"/>
      <c r="AA52" s="296" t="s">
        <v>329</v>
      </c>
      <c r="AB52" s="309" t="e">
        <f>WS!#REF!</f>
        <v>#REF!</v>
      </c>
      <c r="AC52" s="311"/>
      <c r="AD52" s="311"/>
      <c r="AE52" s="309" t="e">
        <f t="shared" si="12"/>
        <v>#REF!</v>
      </c>
      <c r="AH52" s="305"/>
      <c r="AI52" s="296" t="s">
        <v>329</v>
      </c>
      <c r="AJ52" s="309" t="e">
        <f>WS!#REF!</f>
        <v>#REF!</v>
      </c>
      <c r="AK52" s="311" t="e">
        <f>AJ52*50%</f>
        <v>#REF!</v>
      </c>
      <c r="AL52" s="311"/>
      <c r="AM52" s="309" t="e">
        <f t="shared" si="17"/>
        <v>#REF!</v>
      </c>
    </row>
    <row r="53" spans="1:39">
      <c r="A53" s="305"/>
      <c r="B53" s="296" t="s">
        <v>330</v>
      </c>
      <c r="C53" s="309">
        <f>WS!J429</f>
        <v>1750000</v>
      </c>
      <c r="D53" s="311"/>
      <c r="E53" s="311"/>
      <c r="F53" s="309">
        <f t="shared" si="14"/>
        <v>1750000</v>
      </c>
      <c r="I53" s="305"/>
      <c r="J53" s="296" t="s">
        <v>330</v>
      </c>
      <c r="K53" s="309">
        <f>WS!U429</f>
        <v>1750000</v>
      </c>
      <c r="L53" s="311"/>
      <c r="M53" s="311"/>
      <c r="N53" s="309">
        <f t="shared" si="15"/>
        <v>1750000</v>
      </c>
      <c r="Q53" s="305"/>
      <c r="R53" s="296" t="s">
        <v>330</v>
      </c>
      <c r="S53" s="309">
        <f>WS!AH429</f>
        <v>3550000</v>
      </c>
      <c r="T53" s="311"/>
      <c r="U53" s="311"/>
      <c r="V53" s="309">
        <f t="shared" si="16"/>
        <v>3550000</v>
      </c>
      <c r="W53" s="633"/>
      <c r="Z53" s="305"/>
      <c r="AA53" s="296" t="s">
        <v>330</v>
      </c>
      <c r="AB53" s="309" t="e">
        <f>WS!#REF!</f>
        <v>#REF!</v>
      </c>
      <c r="AC53" s="311"/>
      <c r="AD53" s="311"/>
      <c r="AE53" s="309" t="e">
        <f t="shared" si="12"/>
        <v>#REF!</v>
      </c>
      <c r="AH53" s="305"/>
      <c r="AI53" s="296" t="s">
        <v>330</v>
      </c>
      <c r="AJ53" s="309" t="e">
        <f>WS!#REF!</f>
        <v>#REF!</v>
      </c>
      <c r="AK53" s="311"/>
      <c r="AL53" s="311"/>
      <c r="AM53" s="309" t="e">
        <f t="shared" si="17"/>
        <v>#REF!</v>
      </c>
    </row>
    <row r="54" spans="1:39">
      <c r="A54" s="305"/>
      <c r="B54" s="296" t="s">
        <v>331</v>
      </c>
      <c r="C54" s="309">
        <f>WS!J430</f>
        <v>494527864</v>
      </c>
      <c r="D54" s="311"/>
      <c r="E54" s="311"/>
      <c r="F54" s="309">
        <f t="shared" si="14"/>
        <v>494527864</v>
      </c>
      <c r="I54" s="305"/>
      <c r="J54" s="296" t="s">
        <v>331</v>
      </c>
      <c r="K54" s="309">
        <f>WS!U430</f>
        <v>370520898</v>
      </c>
      <c r="L54" s="311"/>
      <c r="M54" s="311"/>
      <c r="N54" s="309">
        <f t="shared" si="15"/>
        <v>370520898</v>
      </c>
      <c r="Q54" s="305"/>
      <c r="R54" s="296" t="s">
        <v>331</v>
      </c>
      <c r="S54" s="309">
        <f>WS!AH430</f>
        <v>365402292</v>
      </c>
      <c r="T54" s="311"/>
      <c r="U54" s="311"/>
      <c r="V54" s="309">
        <f t="shared" si="16"/>
        <v>365402292</v>
      </c>
      <c r="W54" s="633"/>
      <c r="Z54" s="305"/>
      <c r="AA54" s="296" t="s">
        <v>331</v>
      </c>
      <c r="AB54" s="309" t="e">
        <f>WS!#REF!</f>
        <v>#REF!</v>
      </c>
      <c r="AC54" s="311"/>
      <c r="AD54" s="311"/>
      <c r="AE54" s="309" t="e">
        <f t="shared" si="12"/>
        <v>#REF!</v>
      </c>
      <c r="AH54" s="305"/>
      <c r="AI54" s="296" t="s">
        <v>331</v>
      </c>
      <c r="AJ54" s="309" t="e">
        <f>WS!#REF!</f>
        <v>#REF!</v>
      </c>
      <c r="AK54" s="311"/>
      <c r="AL54" s="311"/>
      <c r="AM54" s="309" t="e">
        <f t="shared" si="17"/>
        <v>#REF!</v>
      </c>
    </row>
    <row r="55" spans="1:39">
      <c r="A55" s="305"/>
      <c r="B55" s="296" t="s">
        <v>332</v>
      </c>
      <c r="C55" s="309">
        <f>WS!J431</f>
        <v>1985000</v>
      </c>
      <c r="D55" s="311"/>
      <c r="E55" s="311"/>
      <c r="F55" s="309">
        <f t="shared" si="14"/>
        <v>1985000</v>
      </c>
      <c r="I55" s="305"/>
      <c r="J55" s="296" t="s">
        <v>332</v>
      </c>
      <c r="K55" s="309">
        <f>WS!U431</f>
        <v>2690000</v>
      </c>
      <c r="L55" s="311"/>
      <c r="M55" s="311"/>
      <c r="N55" s="309">
        <f t="shared" si="15"/>
        <v>2690000</v>
      </c>
      <c r="Q55" s="305"/>
      <c r="R55" s="296" t="s">
        <v>332</v>
      </c>
      <c r="S55" s="309">
        <f>WS!AH431</f>
        <v>0</v>
      </c>
      <c r="T55" s="311"/>
      <c r="U55" s="311"/>
      <c r="V55" s="309">
        <f t="shared" si="16"/>
        <v>0</v>
      </c>
      <c r="W55" s="633"/>
      <c r="Z55" s="305"/>
      <c r="AA55" s="296" t="s">
        <v>332</v>
      </c>
      <c r="AB55" s="309" t="e">
        <f>WS!#REF!</f>
        <v>#REF!</v>
      </c>
      <c r="AC55" s="311"/>
      <c r="AD55" s="311"/>
      <c r="AE55" s="309" t="e">
        <f t="shared" si="12"/>
        <v>#REF!</v>
      </c>
      <c r="AH55" s="305"/>
      <c r="AI55" s="296" t="s">
        <v>332</v>
      </c>
      <c r="AJ55" s="309" t="e">
        <f>WS!#REF!</f>
        <v>#REF!</v>
      </c>
      <c r="AK55" s="311"/>
      <c r="AL55" s="311"/>
      <c r="AM55" s="309" t="e">
        <f t="shared" si="17"/>
        <v>#REF!</v>
      </c>
    </row>
    <row r="56" spans="1:39">
      <c r="A56" s="305"/>
      <c r="B56" s="296" t="s">
        <v>333</v>
      </c>
      <c r="C56" s="309">
        <f>WS!J432</f>
        <v>66151774</v>
      </c>
      <c r="D56" s="311"/>
      <c r="E56" s="311"/>
      <c r="F56" s="309">
        <f t="shared" si="14"/>
        <v>66151774</v>
      </c>
      <c r="I56" s="305"/>
      <c r="J56" s="296" t="s">
        <v>333</v>
      </c>
      <c r="K56" s="309">
        <f>WS!U432</f>
        <v>45624644</v>
      </c>
      <c r="L56" s="311"/>
      <c r="M56" s="311"/>
      <c r="N56" s="309">
        <f t="shared" si="15"/>
        <v>45624644</v>
      </c>
      <c r="Q56" s="305"/>
      <c r="R56" s="296" t="s">
        <v>333</v>
      </c>
      <c r="S56" s="309">
        <f>WS!AH432</f>
        <v>43166473</v>
      </c>
      <c r="T56" s="311"/>
      <c r="U56" s="311"/>
      <c r="V56" s="309">
        <f t="shared" si="16"/>
        <v>43166473</v>
      </c>
      <c r="W56" s="633"/>
      <c r="Z56" s="305"/>
      <c r="AA56" s="296" t="s">
        <v>333</v>
      </c>
      <c r="AB56" s="309" t="e">
        <f>WS!#REF!</f>
        <v>#REF!</v>
      </c>
      <c r="AC56" s="311"/>
      <c r="AD56" s="311"/>
      <c r="AE56" s="309" t="e">
        <f t="shared" si="12"/>
        <v>#REF!</v>
      </c>
      <c r="AH56" s="305"/>
      <c r="AI56" s="296" t="s">
        <v>333</v>
      </c>
      <c r="AJ56" s="309" t="e">
        <f>WS!#REF!</f>
        <v>#REF!</v>
      </c>
      <c r="AK56" s="311"/>
      <c r="AL56" s="311"/>
      <c r="AM56" s="309" t="e">
        <f t="shared" si="17"/>
        <v>#REF!</v>
      </c>
    </row>
    <row r="57" spans="1:39">
      <c r="A57" s="305"/>
      <c r="B57" s="296" t="s">
        <v>334</v>
      </c>
      <c r="C57" s="309">
        <f>WS!J433</f>
        <v>95443972</v>
      </c>
      <c r="D57" s="311"/>
      <c r="E57" s="311"/>
      <c r="F57" s="309">
        <f t="shared" si="14"/>
        <v>95443972</v>
      </c>
      <c r="I57" s="305"/>
      <c r="J57" s="296" t="s">
        <v>334</v>
      </c>
      <c r="K57" s="309">
        <f>WS!U433</f>
        <v>70172940</v>
      </c>
      <c r="L57" s="311"/>
      <c r="M57" s="311"/>
      <c r="N57" s="309">
        <f t="shared" si="15"/>
        <v>70172940</v>
      </c>
      <c r="Q57" s="305"/>
      <c r="R57" s="296" t="s">
        <v>334</v>
      </c>
      <c r="S57" s="309">
        <f>WS!AH433</f>
        <v>75479450</v>
      </c>
      <c r="T57" s="311"/>
      <c r="U57" s="311"/>
      <c r="V57" s="309">
        <f t="shared" si="16"/>
        <v>75479450</v>
      </c>
      <c r="W57" s="633"/>
      <c r="Z57" s="305"/>
      <c r="AA57" s="296" t="s">
        <v>334</v>
      </c>
      <c r="AB57" s="309" t="e">
        <f>WS!#REF!</f>
        <v>#REF!</v>
      </c>
      <c r="AC57" s="311"/>
      <c r="AD57" s="311"/>
      <c r="AE57" s="309" t="e">
        <f t="shared" si="12"/>
        <v>#REF!</v>
      </c>
      <c r="AH57" s="305"/>
      <c r="AI57" s="296" t="s">
        <v>334</v>
      </c>
      <c r="AJ57" s="309" t="e">
        <f>WS!#REF!</f>
        <v>#REF!</v>
      </c>
      <c r="AK57" s="311"/>
      <c r="AL57" s="311"/>
      <c r="AM57" s="309" t="e">
        <f t="shared" si="17"/>
        <v>#REF!</v>
      </c>
    </row>
    <row r="58" spans="1:39">
      <c r="A58" s="305"/>
      <c r="B58" s="296" t="s">
        <v>335</v>
      </c>
      <c r="C58" s="309">
        <f>WS!J434</f>
        <v>5869396531</v>
      </c>
      <c r="D58" s="679">
        <f>2085951250+52408559</f>
        <v>2138359809</v>
      </c>
      <c r="E58" s="679"/>
      <c r="F58" s="679">
        <f t="shared" si="14"/>
        <v>3731036722</v>
      </c>
      <c r="G58" t="s">
        <v>1039</v>
      </c>
      <c r="I58" s="305"/>
      <c r="J58" s="296" t="s">
        <v>335</v>
      </c>
      <c r="K58" s="309">
        <f>WS!U434</f>
        <v>5864554452.1100006</v>
      </c>
      <c r="L58" s="314">
        <f>2085951250</f>
        <v>2085951250</v>
      </c>
      <c r="M58" s="314"/>
      <c r="N58" s="314">
        <f t="shared" si="15"/>
        <v>3778603202.1100006</v>
      </c>
      <c r="O58" t="s">
        <v>1039</v>
      </c>
      <c r="Q58" s="305"/>
      <c r="R58" s="296" t="s">
        <v>335</v>
      </c>
      <c r="S58" s="314">
        <f>WS!AH434</f>
        <v>54336906</v>
      </c>
      <c r="T58" s="314"/>
      <c r="U58" s="314"/>
      <c r="V58" s="314">
        <f t="shared" si="16"/>
        <v>54336906</v>
      </c>
      <c r="W58" s="635"/>
      <c r="Z58" s="305"/>
      <c r="AA58" s="296" t="s">
        <v>335</v>
      </c>
      <c r="AB58" s="314" t="e">
        <f>WS!#REF!</f>
        <v>#REF!</v>
      </c>
      <c r="AC58" s="314"/>
      <c r="AD58" s="314"/>
      <c r="AE58" s="314" t="e">
        <f t="shared" si="12"/>
        <v>#REF!</v>
      </c>
      <c r="AH58" s="305"/>
      <c r="AI58" s="296" t="s">
        <v>335</v>
      </c>
      <c r="AJ58" s="314" t="e">
        <f>WS!#REF!</f>
        <v>#REF!</v>
      </c>
      <c r="AK58" s="314"/>
      <c r="AL58" s="314"/>
      <c r="AM58" s="314" t="e">
        <f t="shared" si="17"/>
        <v>#REF!</v>
      </c>
    </row>
    <row r="59" spans="1:39">
      <c r="A59" s="305"/>
      <c r="B59" s="296" t="s">
        <v>336</v>
      </c>
      <c r="C59" s="309">
        <f>WS!J435</f>
        <v>48008000</v>
      </c>
      <c r="D59" s="311"/>
      <c r="E59" s="311"/>
      <c r="F59" s="309">
        <f t="shared" si="14"/>
        <v>48008000</v>
      </c>
      <c r="G59" s="268" t="s">
        <v>1271</v>
      </c>
      <c r="I59" s="305"/>
      <c r="J59" s="296" t="s">
        <v>336</v>
      </c>
      <c r="K59" s="309">
        <f>WS!U435</f>
        <v>36022500</v>
      </c>
      <c r="L59" s="311"/>
      <c r="M59" s="311"/>
      <c r="N59" s="309">
        <f t="shared" si="15"/>
        <v>36022500</v>
      </c>
      <c r="Q59" s="305"/>
      <c r="R59" s="296" t="s">
        <v>336</v>
      </c>
      <c r="S59" s="309">
        <f>WS!AH435</f>
        <v>17523000</v>
      </c>
      <c r="T59" s="311"/>
      <c r="U59" s="311"/>
      <c r="V59" s="309">
        <f t="shared" si="16"/>
        <v>17523000</v>
      </c>
      <c r="W59" s="633"/>
      <c r="Z59" s="305"/>
      <c r="AA59" s="296" t="s">
        <v>336</v>
      </c>
      <c r="AB59" s="309" t="e">
        <f>WS!#REF!</f>
        <v>#REF!</v>
      </c>
      <c r="AC59" s="311"/>
      <c r="AD59" s="311"/>
      <c r="AE59" s="309" t="e">
        <f t="shared" si="12"/>
        <v>#REF!</v>
      </c>
      <c r="AH59" s="305"/>
      <c r="AI59" s="296" t="s">
        <v>336</v>
      </c>
      <c r="AJ59" s="309" t="e">
        <f>WS!#REF!</f>
        <v>#REF!</v>
      </c>
      <c r="AK59" s="311"/>
      <c r="AL59" s="311"/>
      <c r="AM59" s="309" t="e">
        <f t="shared" si="17"/>
        <v>#REF!</v>
      </c>
    </row>
    <row r="60" spans="1:39">
      <c r="A60" s="305"/>
      <c r="B60" s="296" t="s">
        <v>337</v>
      </c>
      <c r="C60" s="309">
        <f>WS!J436</f>
        <v>9081632.1500000004</v>
      </c>
      <c r="D60" s="311"/>
      <c r="E60" s="311"/>
      <c r="F60" s="309">
        <f t="shared" si="14"/>
        <v>9081632.1500000004</v>
      </c>
      <c r="I60" s="305"/>
      <c r="J60" s="296" t="s">
        <v>337</v>
      </c>
      <c r="K60" s="309">
        <f>WS!U436</f>
        <v>0</v>
      </c>
      <c r="L60" s="311"/>
      <c r="M60" s="311"/>
      <c r="N60" s="309">
        <f t="shared" si="15"/>
        <v>0</v>
      </c>
      <c r="Q60" s="305"/>
      <c r="R60" s="296" t="s">
        <v>337</v>
      </c>
      <c r="S60" s="309">
        <f>WS!AH436</f>
        <v>0</v>
      </c>
      <c r="T60" s="311"/>
      <c r="U60" s="311"/>
      <c r="V60" s="309">
        <f t="shared" si="16"/>
        <v>0</v>
      </c>
      <c r="W60" s="633"/>
      <c r="Z60" s="305"/>
      <c r="AA60" s="296" t="s">
        <v>337</v>
      </c>
      <c r="AB60" s="309" t="e">
        <f>WS!#REF!</f>
        <v>#REF!</v>
      </c>
      <c r="AC60" s="311"/>
      <c r="AD60" s="311"/>
      <c r="AE60" s="309" t="e">
        <f t="shared" si="12"/>
        <v>#REF!</v>
      </c>
      <c r="AH60" s="305"/>
      <c r="AI60" s="296" t="s">
        <v>337</v>
      </c>
      <c r="AJ60" s="309" t="e">
        <f>WS!#REF!</f>
        <v>#REF!</v>
      </c>
      <c r="AK60" s="311"/>
      <c r="AL60" s="311"/>
      <c r="AM60" s="309" t="e">
        <f t="shared" si="17"/>
        <v>#REF!</v>
      </c>
    </row>
    <row r="61" spans="1:39">
      <c r="A61" s="305"/>
      <c r="B61" s="296" t="s">
        <v>338</v>
      </c>
      <c r="C61" s="309">
        <f>WS!J437</f>
        <v>0</v>
      </c>
      <c r="D61" s="311"/>
      <c r="E61" s="311"/>
      <c r="F61" s="309">
        <f t="shared" si="14"/>
        <v>0</v>
      </c>
      <c r="I61" s="305"/>
      <c r="J61" s="296" t="s">
        <v>338</v>
      </c>
      <c r="K61" s="309">
        <f>WS!U437</f>
        <v>0</v>
      </c>
      <c r="L61" s="311"/>
      <c r="M61" s="311"/>
      <c r="N61" s="309">
        <f t="shared" si="15"/>
        <v>0</v>
      </c>
      <c r="Q61" s="305"/>
      <c r="R61" s="296" t="s">
        <v>338</v>
      </c>
      <c r="S61" s="309">
        <f>WS!AH437</f>
        <v>0</v>
      </c>
      <c r="T61" s="311"/>
      <c r="U61" s="311"/>
      <c r="V61" s="309">
        <f t="shared" si="16"/>
        <v>0</v>
      </c>
      <c r="W61" s="633"/>
      <c r="Z61" s="305"/>
      <c r="AA61" s="296" t="s">
        <v>338</v>
      </c>
      <c r="AB61" s="309" t="e">
        <f>WS!#REF!</f>
        <v>#REF!</v>
      </c>
      <c r="AC61" s="311"/>
      <c r="AD61" s="311"/>
      <c r="AE61" s="309" t="e">
        <f t="shared" si="12"/>
        <v>#REF!</v>
      </c>
      <c r="AH61" s="305"/>
      <c r="AI61" s="296" t="s">
        <v>338</v>
      </c>
      <c r="AJ61" s="309" t="e">
        <f>WS!#REF!</f>
        <v>#REF!</v>
      </c>
      <c r="AK61" s="311"/>
      <c r="AL61" s="311"/>
      <c r="AM61" s="309" t="e">
        <f t="shared" si="17"/>
        <v>#REF!</v>
      </c>
    </row>
    <row r="62" spans="1:39">
      <c r="A62" s="305"/>
      <c r="B62" s="296" t="s">
        <v>339</v>
      </c>
      <c r="C62" s="309">
        <f>WS!J438</f>
        <v>29120505</v>
      </c>
      <c r="D62" s="311"/>
      <c r="E62" s="311"/>
      <c r="F62" s="309">
        <f t="shared" si="14"/>
        <v>29120505</v>
      </c>
      <c r="I62" s="305"/>
      <c r="J62" s="296" t="s">
        <v>339</v>
      </c>
      <c r="K62" s="309">
        <f>WS!U438</f>
        <v>23213065</v>
      </c>
      <c r="L62" s="311"/>
      <c r="M62" s="311"/>
      <c r="N62" s="309">
        <f t="shared" si="15"/>
        <v>23213065</v>
      </c>
      <c r="Q62" s="305"/>
      <c r="R62" s="296" t="s">
        <v>339</v>
      </c>
      <c r="S62" s="309">
        <f>WS!AH438</f>
        <v>18194800</v>
      </c>
      <c r="T62" s="311"/>
      <c r="U62" s="311"/>
      <c r="V62" s="309">
        <f t="shared" si="16"/>
        <v>18194800</v>
      </c>
      <c r="W62" s="633"/>
      <c r="Z62" s="305"/>
      <c r="AA62" s="296" t="s">
        <v>339</v>
      </c>
      <c r="AB62" s="309" t="e">
        <f>WS!#REF!</f>
        <v>#REF!</v>
      </c>
      <c r="AC62" s="311"/>
      <c r="AD62" s="311"/>
      <c r="AE62" s="309" t="e">
        <f t="shared" si="12"/>
        <v>#REF!</v>
      </c>
      <c r="AH62" s="305"/>
      <c r="AI62" s="296" t="s">
        <v>339</v>
      </c>
      <c r="AJ62" s="309" t="e">
        <f>WS!#REF!</f>
        <v>#REF!</v>
      </c>
      <c r="AK62" s="311"/>
      <c r="AL62" s="311"/>
      <c r="AM62" s="309" t="e">
        <f t="shared" si="17"/>
        <v>#REF!</v>
      </c>
    </row>
    <row r="63" spans="1:39">
      <c r="A63" s="305"/>
      <c r="B63" s="296" t="s">
        <v>340</v>
      </c>
      <c r="C63" s="309">
        <f>WS!J439</f>
        <v>1940000</v>
      </c>
      <c r="D63" s="311"/>
      <c r="E63" s="311"/>
      <c r="F63" s="309">
        <f t="shared" si="14"/>
        <v>1940000</v>
      </c>
      <c r="I63" s="305"/>
      <c r="J63" s="296" t="s">
        <v>340</v>
      </c>
      <c r="K63" s="309">
        <f>WS!U439</f>
        <v>1940000</v>
      </c>
      <c r="L63" s="311"/>
      <c r="M63" s="311"/>
      <c r="N63" s="309">
        <f t="shared" si="15"/>
        <v>1940000</v>
      </c>
      <c r="Q63" s="305"/>
      <c r="R63" s="296" t="s">
        <v>340</v>
      </c>
      <c r="S63" s="309">
        <f>WS!AH439</f>
        <v>50000</v>
      </c>
      <c r="T63" s="311"/>
      <c r="U63" s="311"/>
      <c r="V63" s="309">
        <f t="shared" si="16"/>
        <v>50000</v>
      </c>
      <c r="W63" s="633"/>
      <c r="Z63" s="305"/>
      <c r="AA63" s="296" t="s">
        <v>340</v>
      </c>
      <c r="AB63" s="309" t="e">
        <f>WS!#REF!</f>
        <v>#REF!</v>
      </c>
      <c r="AC63" s="311"/>
      <c r="AD63" s="311"/>
      <c r="AE63" s="309" t="e">
        <f t="shared" si="12"/>
        <v>#REF!</v>
      </c>
      <c r="AH63" s="305"/>
      <c r="AI63" s="296" t="s">
        <v>340</v>
      </c>
      <c r="AJ63" s="309" t="e">
        <f>WS!#REF!</f>
        <v>#REF!</v>
      </c>
      <c r="AK63" s="311"/>
      <c r="AL63" s="311"/>
      <c r="AM63" s="309" t="e">
        <f t="shared" si="17"/>
        <v>#REF!</v>
      </c>
    </row>
    <row r="64" spans="1:39">
      <c r="A64" s="305"/>
      <c r="B64" s="296" t="s">
        <v>341</v>
      </c>
      <c r="C64" s="309">
        <f>WS!J440</f>
        <v>708567754</v>
      </c>
      <c r="D64" s="311"/>
      <c r="E64" s="311"/>
      <c r="F64" s="309">
        <f t="shared" si="14"/>
        <v>708567754</v>
      </c>
      <c r="I64" s="305"/>
      <c r="J64" s="296" t="s">
        <v>341</v>
      </c>
      <c r="K64" s="309">
        <f>WS!U440</f>
        <v>399285816</v>
      </c>
      <c r="L64" s="311"/>
      <c r="M64" s="311"/>
      <c r="N64" s="309">
        <f t="shared" si="15"/>
        <v>399285816</v>
      </c>
      <c r="Q64" s="305"/>
      <c r="R64" s="296" t="s">
        <v>341</v>
      </c>
      <c r="S64" s="309">
        <f>WS!AH440</f>
        <v>493818136</v>
      </c>
      <c r="T64" s="311"/>
      <c r="U64" s="311"/>
      <c r="V64" s="309">
        <f t="shared" si="16"/>
        <v>493818136</v>
      </c>
      <c r="W64" s="633"/>
      <c r="Z64" s="305"/>
      <c r="AA64" s="296" t="s">
        <v>341</v>
      </c>
      <c r="AB64" s="309" t="e">
        <f>WS!#REF!</f>
        <v>#REF!</v>
      </c>
      <c r="AC64" s="311"/>
      <c r="AD64" s="311"/>
      <c r="AE64" s="309" t="e">
        <f t="shared" si="12"/>
        <v>#REF!</v>
      </c>
      <c r="AH64" s="305"/>
      <c r="AI64" s="296" t="s">
        <v>341</v>
      </c>
      <c r="AJ64" s="309" t="e">
        <f>WS!#REF!</f>
        <v>#REF!</v>
      </c>
      <c r="AK64" s="311"/>
      <c r="AL64" s="311"/>
      <c r="AM64" s="309" t="e">
        <f t="shared" si="17"/>
        <v>#REF!</v>
      </c>
    </row>
    <row r="65" spans="1:39">
      <c r="A65" s="305"/>
      <c r="B65" s="296" t="s">
        <v>342</v>
      </c>
      <c r="C65" s="309">
        <f>WS!J441</f>
        <v>18004700</v>
      </c>
      <c r="D65" s="311"/>
      <c r="E65" s="311"/>
      <c r="F65" s="309">
        <f t="shared" si="14"/>
        <v>18004700</v>
      </c>
      <c r="I65" s="305"/>
      <c r="J65" s="296" t="s">
        <v>342</v>
      </c>
      <c r="K65" s="309">
        <f>WS!U441</f>
        <v>10757450</v>
      </c>
      <c r="L65" s="311"/>
      <c r="M65" s="311"/>
      <c r="N65" s="309">
        <f t="shared" si="15"/>
        <v>10757450</v>
      </c>
      <c r="Q65" s="305"/>
      <c r="R65" s="296" t="s">
        <v>342</v>
      </c>
      <c r="S65" s="309">
        <f>WS!AH441</f>
        <v>37163000</v>
      </c>
      <c r="T65" s="311"/>
      <c r="U65" s="311"/>
      <c r="V65" s="309">
        <f t="shared" si="16"/>
        <v>37163000</v>
      </c>
      <c r="W65" s="633"/>
      <c r="Z65" s="305"/>
      <c r="AA65" s="296" t="s">
        <v>342</v>
      </c>
      <c r="AB65" s="309" t="e">
        <f>WS!#REF!</f>
        <v>#REF!</v>
      </c>
      <c r="AC65" s="311"/>
      <c r="AD65" s="311"/>
      <c r="AE65" s="309" t="e">
        <f t="shared" si="12"/>
        <v>#REF!</v>
      </c>
      <c r="AH65" s="305"/>
      <c r="AI65" s="296" t="s">
        <v>342</v>
      </c>
      <c r="AJ65" s="309" t="e">
        <f>WS!#REF!</f>
        <v>#REF!</v>
      </c>
      <c r="AK65" s="311"/>
      <c r="AL65" s="311"/>
      <c r="AM65" s="309" t="e">
        <f t="shared" si="17"/>
        <v>#REF!</v>
      </c>
    </row>
    <row r="66" spans="1:39">
      <c r="A66" s="305"/>
      <c r="B66" s="296" t="s">
        <v>343</v>
      </c>
      <c r="C66" s="309">
        <f>WS!J442</f>
        <v>986155206</v>
      </c>
      <c r="D66" s="311"/>
      <c r="E66" s="311"/>
      <c r="F66" s="309">
        <f t="shared" si="14"/>
        <v>986155206</v>
      </c>
      <c r="I66" s="305"/>
      <c r="J66" s="296" t="s">
        <v>343</v>
      </c>
      <c r="K66" s="309">
        <f>WS!U442</f>
        <v>933155206</v>
      </c>
      <c r="L66" s="311"/>
      <c r="M66" s="311"/>
      <c r="N66" s="309">
        <f t="shared" si="15"/>
        <v>933155206</v>
      </c>
      <c r="Q66" s="305"/>
      <c r="R66" s="296" t="s">
        <v>343</v>
      </c>
      <c r="S66" s="309">
        <f>WS!AH442</f>
        <v>0</v>
      </c>
      <c r="T66" s="311"/>
      <c r="U66" s="311"/>
      <c r="V66" s="309">
        <f t="shared" si="16"/>
        <v>0</v>
      </c>
      <c r="W66" s="633"/>
      <c r="Z66" s="305"/>
      <c r="AA66" s="296" t="s">
        <v>343</v>
      </c>
      <c r="AB66" s="309" t="e">
        <f>WS!#REF!</f>
        <v>#REF!</v>
      </c>
      <c r="AC66" s="311"/>
      <c r="AD66" s="311"/>
      <c r="AE66" s="309" t="e">
        <f t="shared" si="12"/>
        <v>#REF!</v>
      </c>
      <c r="AH66" s="305"/>
      <c r="AI66" s="296" t="s">
        <v>343</v>
      </c>
      <c r="AJ66" s="309" t="e">
        <f>WS!#REF!</f>
        <v>#REF!</v>
      </c>
      <c r="AK66" s="311"/>
      <c r="AL66" s="311"/>
      <c r="AM66" s="309" t="e">
        <f t="shared" si="17"/>
        <v>#REF!</v>
      </c>
    </row>
    <row r="67" spans="1:39">
      <c r="A67" s="305"/>
      <c r="B67" s="296" t="s">
        <v>344</v>
      </c>
      <c r="C67" s="309">
        <f>WS!J443</f>
        <v>20197065</v>
      </c>
      <c r="D67" s="312">
        <f>C67*50%</f>
        <v>10098532.5</v>
      </c>
      <c r="E67" s="311"/>
      <c r="F67" s="309">
        <f t="shared" si="14"/>
        <v>10098532.5</v>
      </c>
      <c r="I67" s="305"/>
      <c r="J67" s="296" t="s">
        <v>344</v>
      </c>
      <c r="K67" s="309">
        <f>WS!U443</f>
        <v>14677914</v>
      </c>
      <c r="L67" s="311">
        <f>K67</f>
        <v>14677914</v>
      </c>
      <c r="M67" s="311"/>
      <c r="N67" s="309">
        <f t="shared" si="15"/>
        <v>0</v>
      </c>
      <c r="Q67" s="305"/>
      <c r="R67" s="296" t="s">
        <v>344</v>
      </c>
      <c r="S67" s="309">
        <f>WS!AH443</f>
        <v>16408319</v>
      </c>
      <c r="T67" s="311">
        <f>S67*50%</f>
        <v>8204159.5</v>
      </c>
      <c r="U67" s="311"/>
      <c r="V67" s="309">
        <f t="shared" si="16"/>
        <v>8204159.5</v>
      </c>
      <c r="W67" s="633"/>
      <c r="Z67" s="305"/>
      <c r="AA67" s="296" t="s">
        <v>344</v>
      </c>
      <c r="AB67" s="309" t="e">
        <f>WS!#REF!</f>
        <v>#REF!</v>
      </c>
      <c r="AC67" s="311" t="e">
        <f>AB67*50%</f>
        <v>#REF!</v>
      </c>
      <c r="AD67" s="311"/>
      <c r="AE67" s="309" t="e">
        <f t="shared" si="12"/>
        <v>#REF!</v>
      </c>
      <c r="AH67" s="305"/>
      <c r="AI67" s="296" t="s">
        <v>344</v>
      </c>
      <c r="AJ67" s="309" t="e">
        <f>WS!#REF!</f>
        <v>#REF!</v>
      </c>
      <c r="AK67" s="311" t="e">
        <f>AJ67*50%</f>
        <v>#REF!</v>
      </c>
      <c r="AL67" s="311"/>
      <c r="AM67" s="309" t="e">
        <f t="shared" si="17"/>
        <v>#REF!</v>
      </c>
    </row>
    <row r="68" spans="1:39">
      <c r="A68" s="305"/>
      <c r="B68" s="296" t="s">
        <v>345</v>
      </c>
      <c r="C68" s="309">
        <f>WS!J444</f>
        <v>634079028</v>
      </c>
      <c r="D68" s="311"/>
      <c r="E68" s="311"/>
      <c r="F68" s="309">
        <f t="shared" si="14"/>
        <v>634079028</v>
      </c>
      <c r="I68" s="305"/>
      <c r="J68" s="296" t="s">
        <v>345</v>
      </c>
      <c r="K68" s="309">
        <f>WS!U444</f>
        <v>574668461</v>
      </c>
      <c r="L68" s="311"/>
      <c r="M68" s="311"/>
      <c r="N68" s="309">
        <f t="shared" si="15"/>
        <v>574668461</v>
      </c>
      <c r="Q68" s="305"/>
      <c r="R68" s="296" t="s">
        <v>345</v>
      </c>
      <c r="S68" s="309">
        <f>WS!AH444</f>
        <v>293940084</v>
      </c>
      <c r="T68" s="311"/>
      <c r="U68" s="311"/>
      <c r="V68" s="309">
        <f t="shared" si="16"/>
        <v>293940084</v>
      </c>
      <c r="W68" s="633"/>
      <c r="Z68" s="305"/>
      <c r="AA68" s="296" t="s">
        <v>345</v>
      </c>
      <c r="AB68" s="309" t="e">
        <f>WS!#REF!</f>
        <v>#REF!</v>
      </c>
      <c r="AC68" s="311"/>
      <c r="AD68" s="311"/>
      <c r="AE68" s="309" t="e">
        <f t="shared" si="12"/>
        <v>#REF!</v>
      </c>
      <c r="AH68" s="305"/>
      <c r="AI68" s="296" t="s">
        <v>345</v>
      </c>
      <c r="AJ68" s="309" t="e">
        <f>WS!#REF!</f>
        <v>#REF!</v>
      </c>
      <c r="AK68" s="311"/>
      <c r="AL68" s="311"/>
      <c r="AM68" s="309" t="e">
        <f t="shared" si="17"/>
        <v>#REF!</v>
      </c>
    </row>
    <row r="69" spans="1:39">
      <c r="A69" s="305"/>
      <c r="B69" s="296" t="s">
        <v>346</v>
      </c>
      <c r="C69" s="309">
        <f>WS!J445</f>
        <v>0</v>
      </c>
      <c r="D69" s="311"/>
      <c r="E69" s="311"/>
      <c r="F69" s="309">
        <f t="shared" si="14"/>
        <v>0</v>
      </c>
      <c r="I69" s="305"/>
      <c r="J69" s="296" t="s">
        <v>346</v>
      </c>
      <c r="K69" s="309">
        <f>WS!U445</f>
        <v>209687496</v>
      </c>
      <c r="L69" s="311"/>
      <c r="M69" s="311"/>
      <c r="N69" s="309">
        <f t="shared" si="15"/>
        <v>209687496</v>
      </c>
      <c r="Q69" s="305"/>
      <c r="R69" s="296" t="s">
        <v>346</v>
      </c>
      <c r="S69" s="309">
        <f>WS!AH445</f>
        <v>81714215</v>
      </c>
      <c r="T69" s="311"/>
      <c r="U69" s="311"/>
      <c r="V69" s="309">
        <f t="shared" si="16"/>
        <v>81714215</v>
      </c>
      <c r="W69" s="633"/>
      <c r="Z69" s="305"/>
      <c r="AA69" s="296" t="s">
        <v>346</v>
      </c>
      <c r="AB69" s="309" t="e">
        <f>WS!#REF!</f>
        <v>#REF!</v>
      </c>
      <c r="AC69" s="311"/>
      <c r="AD69" s="311"/>
      <c r="AE69" s="309" t="e">
        <f t="shared" si="12"/>
        <v>#REF!</v>
      </c>
      <c r="AH69" s="305"/>
      <c r="AI69" s="296" t="s">
        <v>346</v>
      </c>
      <c r="AJ69" s="309" t="e">
        <f>WS!#REF!</f>
        <v>#REF!</v>
      </c>
      <c r="AK69" s="311"/>
      <c r="AL69" s="311"/>
      <c r="AM69" s="309" t="e">
        <f t="shared" si="17"/>
        <v>#REF!</v>
      </c>
    </row>
    <row r="70" spans="1:39">
      <c r="A70" s="305"/>
      <c r="B70" s="296" t="s">
        <v>347</v>
      </c>
      <c r="C70" s="309">
        <f>WS!J446</f>
        <v>405000</v>
      </c>
      <c r="D70" s="311"/>
      <c r="E70" s="311"/>
      <c r="F70" s="309">
        <f t="shared" si="14"/>
        <v>405000</v>
      </c>
      <c r="I70" s="305"/>
      <c r="J70" s="296" t="s">
        <v>347</v>
      </c>
      <c r="K70" s="309">
        <f>WS!U446</f>
        <v>305000</v>
      </c>
      <c r="L70" s="311"/>
      <c r="M70" s="311"/>
      <c r="N70" s="309">
        <f t="shared" si="15"/>
        <v>305000</v>
      </c>
      <c r="Q70" s="305"/>
      <c r="R70" s="296" t="s">
        <v>347</v>
      </c>
      <c r="S70" s="309">
        <f>WS!AH446</f>
        <v>140000</v>
      </c>
      <c r="T70" s="311"/>
      <c r="U70" s="311"/>
      <c r="V70" s="309">
        <f t="shared" si="16"/>
        <v>140000</v>
      </c>
      <c r="W70" s="633"/>
      <c r="Z70" s="305"/>
      <c r="AA70" s="296" t="s">
        <v>347</v>
      </c>
      <c r="AB70" s="309" t="e">
        <f>WS!#REF!</f>
        <v>#REF!</v>
      </c>
      <c r="AC70" s="311"/>
      <c r="AD70" s="311"/>
      <c r="AE70" s="309" t="e">
        <f t="shared" si="12"/>
        <v>#REF!</v>
      </c>
      <c r="AH70" s="305"/>
      <c r="AI70" s="296" t="s">
        <v>347</v>
      </c>
      <c r="AJ70" s="309" t="e">
        <f>WS!#REF!</f>
        <v>#REF!</v>
      </c>
      <c r="AK70" s="311"/>
      <c r="AL70" s="311"/>
      <c r="AM70" s="309" t="e">
        <f t="shared" si="17"/>
        <v>#REF!</v>
      </c>
    </row>
    <row r="71" spans="1:39">
      <c r="A71" s="305"/>
      <c r="B71" s="296" t="s">
        <v>671</v>
      </c>
      <c r="C71" s="309">
        <f>WS!J447</f>
        <v>0</v>
      </c>
      <c r="D71" s="311"/>
      <c r="E71" s="311"/>
      <c r="F71" s="309">
        <f t="shared" si="14"/>
        <v>0</v>
      </c>
      <c r="I71" s="305"/>
      <c r="J71" s="296" t="s">
        <v>671</v>
      </c>
      <c r="K71" s="309">
        <f>WS!U447</f>
        <v>0</v>
      </c>
      <c r="L71" s="311"/>
      <c r="M71" s="311"/>
      <c r="N71" s="309">
        <f t="shared" si="15"/>
        <v>0</v>
      </c>
      <c r="Q71" s="305"/>
      <c r="R71" s="296" t="s">
        <v>671</v>
      </c>
      <c r="S71" s="309">
        <f>WS!AH447</f>
        <v>0</v>
      </c>
      <c r="T71" s="311"/>
      <c r="U71" s="311"/>
      <c r="V71" s="309">
        <f t="shared" si="16"/>
        <v>0</v>
      </c>
      <c r="W71" s="633"/>
      <c r="Z71" s="305"/>
      <c r="AA71" s="296" t="s">
        <v>671</v>
      </c>
      <c r="AB71" s="309" t="e">
        <f>WS!#REF!</f>
        <v>#REF!</v>
      </c>
      <c r="AC71" s="311"/>
      <c r="AD71" s="311"/>
      <c r="AE71" s="309" t="e">
        <f t="shared" si="12"/>
        <v>#REF!</v>
      </c>
      <c r="AH71" s="305"/>
      <c r="AI71" s="296" t="s">
        <v>671</v>
      </c>
      <c r="AJ71" s="309" t="e">
        <f>WS!#REF!</f>
        <v>#REF!</v>
      </c>
      <c r="AK71" s="311"/>
      <c r="AL71" s="311"/>
      <c r="AM71" s="309" t="e">
        <f t="shared" si="17"/>
        <v>#REF!</v>
      </c>
    </row>
    <row r="72" spans="1:39">
      <c r="A72" s="305"/>
      <c r="B72" s="296" t="s">
        <v>348</v>
      </c>
      <c r="C72" s="309">
        <f>WS!J448</f>
        <v>0</v>
      </c>
      <c r="D72" s="311"/>
      <c r="E72" s="311"/>
      <c r="F72" s="309">
        <f t="shared" si="14"/>
        <v>0</v>
      </c>
      <c r="I72" s="305"/>
      <c r="J72" s="296" t="s">
        <v>348</v>
      </c>
      <c r="K72" s="309">
        <f>WS!U448</f>
        <v>0</v>
      </c>
      <c r="L72" s="311"/>
      <c r="M72" s="311"/>
      <c r="N72" s="309">
        <f t="shared" si="15"/>
        <v>0</v>
      </c>
      <c r="Q72" s="305"/>
      <c r="R72" s="296" t="s">
        <v>348</v>
      </c>
      <c r="S72" s="309">
        <f>WS!AH448</f>
        <v>0</v>
      </c>
      <c r="T72" s="311"/>
      <c r="U72" s="311"/>
      <c r="V72" s="309">
        <f t="shared" si="16"/>
        <v>0</v>
      </c>
      <c r="W72" s="633"/>
      <c r="Z72" s="305"/>
      <c r="AA72" s="296" t="s">
        <v>348</v>
      </c>
      <c r="AB72" s="309" t="e">
        <f>WS!#REF!</f>
        <v>#REF!</v>
      </c>
      <c r="AC72" s="311"/>
      <c r="AD72" s="311"/>
      <c r="AE72" s="309" t="e">
        <f t="shared" si="12"/>
        <v>#REF!</v>
      </c>
      <c r="AH72" s="305"/>
      <c r="AI72" s="296" t="s">
        <v>348</v>
      </c>
      <c r="AJ72" s="309" t="e">
        <f>WS!#REF!</f>
        <v>#REF!</v>
      </c>
      <c r="AK72" s="311"/>
      <c r="AL72" s="311"/>
      <c r="AM72" s="309" t="e">
        <f t="shared" si="17"/>
        <v>#REF!</v>
      </c>
    </row>
    <row r="73" spans="1:39">
      <c r="A73" s="305"/>
      <c r="B73" s="296"/>
      <c r="C73" s="309"/>
      <c r="D73" s="311"/>
      <c r="E73" s="311"/>
      <c r="F73" s="309"/>
      <c r="I73" s="305"/>
      <c r="J73" s="296"/>
      <c r="K73" s="309"/>
      <c r="L73" s="311"/>
      <c r="M73" s="311"/>
      <c r="N73" s="309"/>
      <c r="Q73" s="305"/>
      <c r="R73" s="296"/>
      <c r="S73" s="309"/>
      <c r="T73" s="311"/>
      <c r="U73" s="311"/>
      <c r="V73" s="309"/>
      <c r="W73" s="633"/>
      <c r="Z73" s="305"/>
      <c r="AA73" s="296"/>
      <c r="AB73" s="309"/>
      <c r="AC73" s="311"/>
      <c r="AD73" s="311"/>
      <c r="AE73" s="309"/>
      <c r="AH73" s="305"/>
      <c r="AI73" s="296"/>
      <c r="AJ73" s="309"/>
      <c r="AK73" s="311"/>
      <c r="AL73" s="311"/>
      <c r="AM73" s="309"/>
    </row>
    <row r="74" spans="1:39">
      <c r="A74" s="308" t="s">
        <v>349</v>
      </c>
      <c r="B74" s="296"/>
      <c r="C74" s="309"/>
      <c r="D74" s="311"/>
      <c r="E74" s="311"/>
      <c r="F74" s="309"/>
      <c r="I74" s="308" t="s">
        <v>349</v>
      </c>
      <c r="J74" s="296"/>
      <c r="K74" s="309"/>
      <c r="L74" s="311"/>
      <c r="M74" s="311"/>
      <c r="N74" s="309"/>
      <c r="Q74" s="308" t="s">
        <v>349</v>
      </c>
      <c r="R74" s="296"/>
      <c r="S74" s="309"/>
      <c r="T74" s="311"/>
      <c r="U74" s="311"/>
      <c r="V74" s="309"/>
      <c r="W74" s="633"/>
      <c r="Z74" s="308" t="s">
        <v>349</v>
      </c>
      <c r="AA74" s="296"/>
      <c r="AB74" s="309"/>
      <c r="AC74" s="311"/>
      <c r="AD74" s="311"/>
      <c r="AE74" s="309"/>
      <c r="AH74" s="308" t="s">
        <v>349</v>
      </c>
      <c r="AI74" s="296"/>
      <c r="AJ74" s="309"/>
      <c r="AK74" s="311"/>
      <c r="AL74" s="311"/>
      <c r="AM74" s="309"/>
    </row>
    <row r="75" spans="1:39">
      <c r="A75" s="305"/>
      <c r="B75" s="296" t="s">
        <v>350</v>
      </c>
      <c r="C75" s="309">
        <f>WS!J449</f>
        <v>1230000</v>
      </c>
      <c r="D75" s="311"/>
      <c r="E75" s="311"/>
      <c r="F75" s="309">
        <f>C75-D75+E75</f>
        <v>1230000</v>
      </c>
      <c r="I75" s="305"/>
      <c r="J75" s="296" t="s">
        <v>350</v>
      </c>
      <c r="K75" s="309">
        <f>WS!U449</f>
        <v>1230000</v>
      </c>
      <c r="L75" s="311"/>
      <c r="M75" s="311"/>
      <c r="N75" s="309">
        <f>K75-L75+M75</f>
        <v>1230000</v>
      </c>
      <c r="Q75" s="305"/>
      <c r="R75" s="296" t="s">
        <v>350</v>
      </c>
      <c r="S75" s="309">
        <f>WS!AH449</f>
        <v>50000</v>
      </c>
      <c r="T75" s="311"/>
      <c r="U75" s="311"/>
      <c r="V75" s="309">
        <f>S75-T75+U75</f>
        <v>50000</v>
      </c>
      <c r="W75" s="633"/>
      <c r="Z75" s="305"/>
      <c r="AA75" s="296" t="s">
        <v>350</v>
      </c>
      <c r="AB75" s="309" t="e">
        <f>WS!#REF!</f>
        <v>#REF!</v>
      </c>
      <c r="AC75" s="311"/>
      <c r="AD75" s="311"/>
      <c r="AE75" s="309" t="e">
        <f>AB75-AC75+AD75</f>
        <v>#REF!</v>
      </c>
      <c r="AH75" s="305"/>
      <c r="AI75" s="296" t="s">
        <v>350</v>
      </c>
      <c r="AJ75" s="309" t="e">
        <f>WS!#REF!</f>
        <v>#REF!</v>
      </c>
      <c r="AK75" s="311"/>
      <c r="AL75" s="311"/>
      <c r="AM75" s="309" t="e">
        <f>AJ75-AK75+AL75</f>
        <v>#REF!</v>
      </c>
    </row>
    <row r="76" spans="1:39">
      <c r="A76" s="305"/>
      <c r="B76" s="296" t="s">
        <v>351</v>
      </c>
      <c r="C76" s="309">
        <f>WS!J450</f>
        <v>75826976</v>
      </c>
      <c r="D76" s="311"/>
      <c r="E76" s="311"/>
      <c r="F76" s="309">
        <f t="shared" ref="F76:F80" si="18">C76-D76+E76</f>
        <v>75826976</v>
      </c>
      <c r="I76" s="305"/>
      <c r="J76" s="296" t="s">
        <v>351</v>
      </c>
      <c r="K76" s="309">
        <f>WS!U450</f>
        <v>40209876</v>
      </c>
      <c r="L76" s="311"/>
      <c r="M76" s="311"/>
      <c r="N76" s="309">
        <f t="shared" ref="N76:N80" si="19">K76-L76+M76</f>
        <v>40209876</v>
      </c>
      <c r="Q76" s="305"/>
      <c r="R76" s="296" t="s">
        <v>351</v>
      </c>
      <c r="S76" s="309">
        <f>WS!AH450</f>
        <v>56612666</v>
      </c>
      <c r="T76" s="311"/>
      <c r="U76" s="311"/>
      <c r="V76" s="309">
        <f t="shared" ref="V76:V80" si="20">S76-T76+U76</f>
        <v>56612666</v>
      </c>
      <c r="W76" s="633"/>
      <c r="Z76" s="305"/>
      <c r="AA76" s="296" t="s">
        <v>351</v>
      </c>
      <c r="AB76" s="309" t="e">
        <f>WS!#REF!</f>
        <v>#REF!</v>
      </c>
      <c r="AC76" s="311"/>
      <c r="AD76" s="311"/>
      <c r="AE76" s="309" t="e">
        <f t="shared" ref="AE76:AE80" si="21">AB76-AC76+AD76</f>
        <v>#REF!</v>
      </c>
      <c r="AH76" s="305"/>
      <c r="AI76" s="296" t="s">
        <v>351</v>
      </c>
      <c r="AJ76" s="309" t="e">
        <f>WS!#REF!</f>
        <v>#REF!</v>
      </c>
      <c r="AK76" s="311"/>
      <c r="AL76" s="311"/>
      <c r="AM76" s="309" t="e">
        <f t="shared" ref="AM76:AM80" si="22">AJ76-AK76+AL76</f>
        <v>#REF!</v>
      </c>
    </row>
    <row r="77" spans="1:39">
      <c r="A77" s="305"/>
      <c r="B77" s="296" t="s">
        <v>352</v>
      </c>
      <c r="C77" s="309">
        <f>WS!J451</f>
        <v>116254721</v>
      </c>
      <c r="D77" s="311"/>
      <c r="E77" s="311"/>
      <c r="F77" s="309">
        <f t="shared" si="18"/>
        <v>116254721</v>
      </c>
      <c r="I77" s="305"/>
      <c r="J77" s="296" t="s">
        <v>352</v>
      </c>
      <c r="K77" s="309">
        <f>WS!U451</f>
        <v>104199521</v>
      </c>
      <c r="L77" s="311"/>
      <c r="M77" s="311"/>
      <c r="N77" s="309">
        <f t="shared" si="19"/>
        <v>104199521</v>
      </c>
      <c r="Q77" s="305"/>
      <c r="R77" s="296" t="s">
        <v>352</v>
      </c>
      <c r="S77" s="309">
        <f>WS!AH451</f>
        <v>42577015</v>
      </c>
      <c r="T77" s="311"/>
      <c r="U77" s="311"/>
      <c r="V77" s="309">
        <f t="shared" si="20"/>
        <v>42577015</v>
      </c>
      <c r="W77" s="633"/>
      <c r="Z77" s="305"/>
      <c r="AA77" s="296" t="s">
        <v>352</v>
      </c>
      <c r="AB77" s="309" t="e">
        <f>WS!#REF!</f>
        <v>#REF!</v>
      </c>
      <c r="AC77" s="311"/>
      <c r="AD77" s="311"/>
      <c r="AE77" s="309" t="e">
        <f t="shared" si="21"/>
        <v>#REF!</v>
      </c>
      <c r="AH77" s="305"/>
      <c r="AI77" s="296" t="s">
        <v>352</v>
      </c>
      <c r="AJ77" s="309" t="e">
        <f>WS!#REF!</f>
        <v>#REF!</v>
      </c>
      <c r="AK77" s="311"/>
      <c r="AL77" s="311"/>
      <c r="AM77" s="309" t="e">
        <f t="shared" si="22"/>
        <v>#REF!</v>
      </c>
    </row>
    <row r="78" spans="1:39">
      <c r="A78" s="305"/>
      <c r="B78" s="296" t="s">
        <v>353</v>
      </c>
      <c r="C78" s="309">
        <f>WS!J452</f>
        <v>3815000</v>
      </c>
      <c r="D78" s="311"/>
      <c r="E78" s="311"/>
      <c r="F78" s="309">
        <f t="shared" si="18"/>
        <v>3815000</v>
      </c>
      <c r="I78" s="305"/>
      <c r="J78" s="296" t="s">
        <v>353</v>
      </c>
      <c r="K78" s="309">
        <f>WS!U452</f>
        <v>3815000</v>
      </c>
      <c r="L78" s="311"/>
      <c r="M78" s="311"/>
      <c r="N78" s="309">
        <f t="shared" si="19"/>
        <v>3815000</v>
      </c>
      <c r="Q78" s="305"/>
      <c r="R78" s="296" t="s">
        <v>353</v>
      </c>
      <c r="S78" s="309">
        <f>WS!AH452</f>
        <v>1150000</v>
      </c>
      <c r="T78" s="311"/>
      <c r="U78" s="311"/>
      <c r="V78" s="309">
        <f t="shared" si="20"/>
        <v>1150000</v>
      </c>
      <c r="W78" s="633"/>
      <c r="Z78" s="305"/>
      <c r="AA78" s="296" t="s">
        <v>353</v>
      </c>
      <c r="AB78" s="309" t="e">
        <f>WS!#REF!</f>
        <v>#REF!</v>
      </c>
      <c r="AC78" s="311"/>
      <c r="AD78" s="311"/>
      <c r="AE78" s="309" t="e">
        <f t="shared" si="21"/>
        <v>#REF!</v>
      </c>
      <c r="AH78" s="305"/>
      <c r="AI78" s="296" t="s">
        <v>353</v>
      </c>
      <c r="AJ78" s="309" t="e">
        <f>WS!#REF!</f>
        <v>#REF!</v>
      </c>
      <c r="AK78" s="311"/>
      <c r="AL78" s="311"/>
      <c r="AM78" s="309" t="e">
        <f t="shared" si="22"/>
        <v>#REF!</v>
      </c>
    </row>
    <row r="79" spans="1:39">
      <c r="A79" s="305"/>
      <c r="B79" s="296" t="s">
        <v>354</v>
      </c>
      <c r="C79" s="309">
        <f>WS!J453</f>
        <v>369131259</v>
      </c>
      <c r="D79" s="311"/>
      <c r="E79" s="311"/>
      <c r="F79" s="309">
        <f t="shared" si="18"/>
        <v>369131259</v>
      </c>
      <c r="I79" s="305"/>
      <c r="J79" s="296" t="s">
        <v>354</v>
      </c>
      <c r="K79" s="309">
        <f>WS!U453</f>
        <v>242979329</v>
      </c>
      <c r="L79" s="311"/>
      <c r="M79" s="311"/>
      <c r="N79" s="309">
        <f t="shared" si="19"/>
        <v>242979329</v>
      </c>
      <c r="Q79" s="305"/>
      <c r="R79" s="296" t="s">
        <v>354</v>
      </c>
      <c r="S79" s="309">
        <f>WS!AH453</f>
        <v>273933689</v>
      </c>
      <c r="T79" s="311"/>
      <c r="U79" s="311"/>
      <c r="V79" s="309">
        <f t="shared" si="20"/>
        <v>273933689</v>
      </c>
      <c r="W79" s="633"/>
      <c r="Z79" s="305"/>
      <c r="AA79" s="296" t="s">
        <v>354</v>
      </c>
      <c r="AB79" s="309" t="e">
        <f>WS!#REF!</f>
        <v>#REF!</v>
      </c>
      <c r="AC79" s="311"/>
      <c r="AD79" s="311"/>
      <c r="AE79" s="309" t="e">
        <f t="shared" si="21"/>
        <v>#REF!</v>
      </c>
      <c r="AH79" s="305"/>
      <c r="AI79" s="296" t="s">
        <v>354</v>
      </c>
      <c r="AJ79" s="309" t="e">
        <f>WS!#REF!</f>
        <v>#REF!</v>
      </c>
      <c r="AK79" s="311"/>
      <c r="AL79" s="311"/>
      <c r="AM79" s="309" t="e">
        <f t="shared" si="22"/>
        <v>#REF!</v>
      </c>
    </row>
    <row r="80" spans="1:39">
      <c r="A80" s="305"/>
      <c r="B80" s="296" t="s">
        <v>355</v>
      </c>
      <c r="C80" s="309">
        <f>WS!J454</f>
        <v>6061000</v>
      </c>
      <c r="D80" s="311"/>
      <c r="E80" s="311"/>
      <c r="F80" s="309">
        <f t="shared" si="18"/>
        <v>6061000</v>
      </c>
      <c r="I80" s="305"/>
      <c r="J80" s="296" t="s">
        <v>355</v>
      </c>
      <c r="K80" s="309">
        <f>WS!U454</f>
        <v>3374000</v>
      </c>
      <c r="L80" s="311"/>
      <c r="M80" s="311"/>
      <c r="N80" s="309">
        <f t="shared" si="19"/>
        <v>3374000</v>
      </c>
      <c r="Q80" s="305"/>
      <c r="R80" s="296" t="s">
        <v>355</v>
      </c>
      <c r="S80" s="309">
        <f>WS!AH454</f>
        <v>5034363</v>
      </c>
      <c r="T80" s="311"/>
      <c r="U80" s="311"/>
      <c r="V80" s="309">
        <f t="shared" si="20"/>
        <v>5034363</v>
      </c>
      <c r="W80" s="633"/>
      <c r="Z80" s="305"/>
      <c r="AA80" s="296" t="s">
        <v>355</v>
      </c>
      <c r="AB80" s="309" t="e">
        <f>WS!#REF!</f>
        <v>#REF!</v>
      </c>
      <c r="AC80" s="311"/>
      <c r="AD80" s="311"/>
      <c r="AE80" s="309" t="e">
        <f t="shared" si="21"/>
        <v>#REF!</v>
      </c>
      <c r="AH80" s="305"/>
      <c r="AI80" s="296" t="s">
        <v>355</v>
      </c>
      <c r="AJ80" s="309" t="e">
        <f>WS!#REF!</f>
        <v>#REF!</v>
      </c>
      <c r="AK80" s="311"/>
      <c r="AL80" s="311"/>
      <c r="AM80" s="309" t="e">
        <f t="shared" si="22"/>
        <v>#REF!</v>
      </c>
    </row>
    <row r="81" spans="1:39">
      <c r="A81" s="305"/>
      <c r="B81" s="296"/>
      <c r="C81" s="309"/>
      <c r="D81" s="311"/>
      <c r="E81" s="311"/>
      <c r="F81" s="309"/>
      <c r="I81" s="305"/>
      <c r="J81" s="296"/>
      <c r="K81" s="309"/>
      <c r="L81" s="311"/>
      <c r="M81" s="311"/>
      <c r="N81" s="309"/>
      <c r="Q81" s="305"/>
      <c r="R81" s="296"/>
      <c r="S81" s="309"/>
      <c r="T81" s="311"/>
      <c r="U81" s="311"/>
      <c r="V81" s="309"/>
      <c r="W81" s="633"/>
      <c r="Z81" s="305"/>
      <c r="AA81" s="296"/>
      <c r="AB81" s="309"/>
      <c r="AC81" s="311"/>
      <c r="AD81" s="311"/>
      <c r="AE81" s="309"/>
      <c r="AH81" s="305"/>
      <c r="AI81" s="296"/>
      <c r="AJ81" s="309"/>
      <c r="AK81" s="311"/>
      <c r="AL81" s="311"/>
      <c r="AM81" s="309"/>
    </row>
    <row r="82" spans="1:39">
      <c r="A82" s="308" t="s">
        <v>356</v>
      </c>
      <c r="B82" s="318"/>
      <c r="C82" s="309"/>
      <c r="D82" s="311"/>
      <c r="E82" s="311"/>
      <c r="F82" s="309"/>
      <c r="I82" s="308" t="s">
        <v>356</v>
      </c>
      <c r="J82" s="318"/>
      <c r="K82" s="309"/>
      <c r="L82" s="311"/>
      <c r="M82" s="311"/>
      <c r="N82" s="309"/>
      <c r="Q82" s="308" t="s">
        <v>356</v>
      </c>
      <c r="R82" s="318"/>
      <c r="S82" s="309"/>
      <c r="T82" s="311"/>
      <c r="U82" s="311"/>
      <c r="V82" s="309"/>
      <c r="W82" s="633"/>
      <c r="Z82" s="308" t="s">
        <v>356</v>
      </c>
      <c r="AA82" s="318"/>
      <c r="AB82" s="309"/>
      <c r="AC82" s="311"/>
      <c r="AD82" s="311"/>
      <c r="AE82" s="309"/>
      <c r="AH82" s="308" t="s">
        <v>356</v>
      </c>
      <c r="AI82" s="318"/>
      <c r="AJ82" s="309"/>
      <c r="AK82" s="311"/>
      <c r="AL82" s="311"/>
      <c r="AM82" s="309"/>
    </row>
    <row r="83" spans="1:39">
      <c r="A83" s="308"/>
      <c r="B83" s="318" t="s">
        <v>357</v>
      </c>
      <c r="C83" s="309">
        <f>WS!J456</f>
        <v>10112250</v>
      </c>
      <c r="D83" s="311"/>
      <c r="E83" s="311"/>
      <c r="F83" s="309">
        <f t="shared" ref="F83:F84" si="23">C83-D83+E83</f>
        <v>10112250</v>
      </c>
      <c r="I83" s="308"/>
      <c r="J83" s="318" t="s">
        <v>357</v>
      </c>
      <c r="K83" s="309">
        <f>WS!U456</f>
        <v>8961208.3333334029</v>
      </c>
      <c r="L83" s="311"/>
      <c r="M83" s="311"/>
      <c r="N83" s="309">
        <f t="shared" ref="N83:N84" si="24">K83-L83+M83</f>
        <v>8961208.3333334029</v>
      </c>
      <c r="Q83" s="308"/>
      <c r="R83" s="318" t="s">
        <v>357</v>
      </c>
      <c r="S83" s="309">
        <f>WS!AH456</f>
        <v>14839992</v>
      </c>
      <c r="T83" s="311"/>
      <c r="U83" s="311"/>
      <c r="V83" s="309">
        <f t="shared" ref="V83:V84" si="25">S83-T83+U83</f>
        <v>14839992</v>
      </c>
      <c r="W83" s="633"/>
      <c r="Z83" s="308"/>
      <c r="AA83" s="318" t="s">
        <v>357</v>
      </c>
      <c r="AB83" s="309" t="e">
        <f>WS!#REF!</f>
        <v>#REF!</v>
      </c>
      <c r="AC83" s="311"/>
      <c r="AD83" s="311"/>
      <c r="AE83" s="309" t="e">
        <f t="shared" ref="AE83:AE84" si="26">AB83-AC83+AD83</f>
        <v>#REF!</v>
      </c>
      <c r="AH83" s="308"/>
      <c r="AI83" s="318" t="s">
        <v>357</v>
      </c>
      <c r="AJ83" s="309" t="e">
        <f>WS!#REF!</f>
        <v>#REF!</v>
      </c>
      <c r="AK83" s="311"/>
      <c r="AL83" s="311"/>
      <c r="AM83" s="309" t="e">
        <f t="shared" ref="AM83:AM84" si="27">AJ83-AK83+AL83</f>
        <v>#REF!</v>
      </c>
    </row>
    <row r="84" spans="1:39">
      <c r="A84" s="308"/>
      <c r="B84" s="318" t="s">
        <v>361</v>
      </c>
      <c r="C84" s="309">
        <f>WS!J460</f>
        <v>0</v>
      </c>
      <c r="D84" s="311"/>
      <c r="E84" s="311"/>
      <c r="F84" s="309">
        <f t="shared" si="23"/>
        <v>0</v>
      </c>
      <c r="I84" s="308"/>
      <c r="J84" s="318" t="s">
        <v>361</v>
      </c>
      <c r="K84" s="309">
        <f>WS!U460</f>
        <v>157686750</v>
      </c>
      <c r="L84" s="311"/>
      <c r="M84" s="311"/>
      <c r="N84" s="309">
        <f t="shared" si="24"/>
        <v>157686750</v>
      </c>
      <c r="Q84" s="308"/>
      <c r="R84" s="318" t="s">
        <v>361</v>
      </c>
      <c r="S84" s="309">
        <f>WS!AH460</f>
        <v>36915730</v>
      </c>
      <c r="T84" s="311"/>
      <c r="U84" s="311"/>
      <c r="V84" s="309">
        <f t="shared" si="25"/>
        <v>36915730</v>
      </c>
      <c r="W84" s="633"/>
      <c r="Z84" s="308"/>
      <c r="AA84" s="318" t="s">
        <v>361</v>
      </c>
      <c r="AB84" s="309" t="e">
        <f>WS!#REF!</f>
        <v>#REF!</v>
      </c>
      <c r="AC84" s="311"/>
      <c r="AD84" s="311"/>
      <c r="AE84" s="309" t="e">
        <f t="shared" si="26"/>
        <v>#REF!</v>
      </c>
      <c r="AH84" s="308"/>
      <c r="AI84" s="318" t="s">
        <v>361</v>
      </c>
      <c r="AJ84" s="309" t="e">
        <f>WS!#REF!</f>
        <v>#REF!</v>
      </c>
      <c r="AK84" s="311"/>
      <c r="AL84" s="311"/>
      <c r="AM84" s="309" t="e">
        <f t="shared" si="27"/>
        <v>#REF!</v>
      </c>
    </row>
    <row r="85" spans="1:39">
      <c r="A85" s="305"/>
      <c r="B85" s="319"/>
      <c r="C85" s="309"/>
      <c r="D85" s="311"/>
      <c r="E85" s="311"/>
      <c r="F85" s="309"/>
      <c r="I85" s="305"/>
      <c r="J85" s="319"/>
      <c r="K85" s="309"/>
      <c r="L85" s="311"/>
      <c r="M85" s="311"/>
      <c r="N85" s="309"/>
      <c r="Q85" s="305"/>
      <c r="R85" s="319"/>
      <c r="S85" s="309"/>
      <c r="T85" s="311"/>
      <c r="U85" s="311"/>
      <c r="V85" s="309"/>
      <c r="W85" s="633"/>
      <c r="Z85" s="305"/>
      <c r="AA85" s="319"/>
      <c r="AB85" s="309"/>
      <c r="AC85" s="311"/>
      <c r="AD85" s="311"/>
      <c r="AE85" s="309"/>
      <c r="AH85" s="305"/>
      <c r="AI85" s="319"/>
      <c r="AJ85" s="309"/>
      <c r="AK85" s="311"/>
      <c r="AL85" s="311"/>
      <c r="AM85" s="309"/>
    </row>
    <row r="86" spans="1:39">
      <c r="A86" s="308" t="s">
        <v>623</v>
      </c>
      <c r="B86" s="320"/>
      <c r="C86" s="315">
        <f>SUM(C26:C84)</f>
        <v>28995495787.389999</v>
      </c>
      <c r="D86" s="316"/>
      <c r="E86" s="316">
        <f>SUM(E26:E85)</f>
        <v>0</v>
      </c>
      <c r="F86" s="315">
        <f>SUM(F26:F84)</f>
        <v>26773670755.889999</v>
      </c>
      <c r="I86" s="308" t="s">
        <v>623</v>
      </c>
      <c r="J86" s="320"/>
      <c r="K86" s="315">
        <f>SUM(K26:K84)</f>
        <v>22552611591.693333</v>
      </c>
      <c r="L86" s="316"/>
      <c r="M86" s="316"/>
      <c r="N86" s="315">
        <f>SUM(N26:N84)</f>
        <v>20397948560.193333</v>
      </c>
      <c r="Q86" s="308" t="s">
        <v>623</v>
      </c>
      <c r="R86" s="320"/>
      <c r="S86" s="315">
        <f>SUM(S26:S84)</f>
        <v>18128315098</v>
      </c>
      <c r="T86" s="316"/>
      <c r="U86" s="316"/>
      <c r="V86" s="315">
        <f>SUM(V26:V84)</f>
        <v>18120085938.5</v>
      </c>
      <c r="W86" s="634"/>
      <c r="Z86" s="308" t="s">
        <v>623</v>
      </c>
      <c r="AA86" s="320"/>
      <c r="AB86" s="315" t="e">
        <f>SUM(AB26:AB84)</f>
        <v>#REF!</v>
      </c>
      <c r="AC86" s="316"/>
      <c r="AD86" s="316"/>
      <c r="AE86" s="315" t="e">
        <f>SUM(AE26:AE84)</f>
        <v>#REF!</v>
      </c>
      <c r="AH86" s="308" t="s">
        <v>623</v>
      </c>
      <c r="AI86" s="320"/>
      <c r="AJ86" s="315" t="e">
        <f>SUM(AJ26:AJ84)</f>
        <v>#REF!</v>
      </c>
      <c r="AK86" s="316"/>
      <c r="AL86" s="316"/>
      <c r="AM86" s="315" t="e">
        <f>SUM(AM26:AM84)</f>
        <v>#REF!</v>
      </c>
    </row>
    <row r="87" spans="1:39">
      <c r="A87" s="308" t="s">
        <v>624</v>
      </c>
      <c r="B87" s="296"/>
      <c r="C87" s="315">
        <f>C23-C86</f>
        <v>14112987917.30397</v>
      </c>
      <c r="D87" s="316"/>
      <c r="E87" s="316">
        <f>E23-E86</f>
        <v>0</v>
      </c>
      <c r="F87" s="315">
        <f>F23-F86</f>
        <v>16334812948.80397</v>
      </c>
      <c r="I87" s="308" t="s">
        <v>624</v>
      </c>
      <c r="J87" s="296"/>
      <c r="K87" s="315">
        <f>K23-K86</f>
        <v>7037686081.1889915</v>
      </c>
      <c r="L87" s="316"/>
      <c r="M87" s="316"/>
      <c r="N87" s="315">
        <f>N23-N86</f>
        <v>9192349112.6889915</v>
      </c>
      <c r="Q87" s="308" t="s">
        <v>624</v>
      </c>
      <c r="R87" s="296"/>
      <c r="S87" s="315">
        <f>S23-S86</f>
        <v>7946449513</v>
      </c>
      <c r="T87" s="316"/>
      <c r="U87" s="316"/>
      <c r="V87" s="315">
        <f>V23-V86</f>
        <v>7866292721.71875</v>
      </c>
      <c r="W87" s="634"/>
      <c r="Z87" s="308" t="s">
        <v>624</v>
      </c>
      <c r="AA87" s="296"/>
      <c r="AB87" s="315" t="e">
        <f>AB23-AB86</f>
        <v>#REF!</v>
      </c>
      <c r="AC87" s="316"/>
      <c r="AD87" s="316"/>
      <c r="AE87" s="315" t="e">
        <f>AE23-AE86</f>
        <v>#REF!</v>
      </c>
      <c r="AH87" s="308" t="s">
        <v>624</v>
      </c>
      <c r="AI87" s="296"/>
      <c r="AJ87" s="315" t="e">
        <f>AJ23-AJ86</f>
        <v>#REF!</v>
      </c>
      <c r="AK87" s="316"/>
      <c r="AL87" s="316"/>
      <c r="AM87" s="315" t="e">
        <f>AM23-AM86</f>
        <v>#REF!</v>
      </c>
    </row>
    <row r="88" spans="1:39">
      <c r="A88" s="305"/>
      <c r="B88" s="296"/>
      <c r="C88" s="309"/>
      <c r="D88" s="311"/>
      <c r="E88" s="311"/>
      <c r="F88" s="309"/>
      <c r="I88" s="305"/>
      <c r="J88" s="296"/>
      <c r="K88" s="309"/>
      <c r="L88" s="311"/>
      <c r="M88" s="311"/>
      <c r="N88" s="309"/>
      <c r="Q88" s="305"/>
      <c r="R88" s="296"/>
      <c r="S88" s="309"/>
      <c r="T88" s="311"/>
      <c r="U88" s="311"/>
      <c r="V88" s="309"/>
      <c r="W88" s="633"/>
      <c r="Z88" s="305"/>
      <c r="AA88" s="296"/>
      <c r="AB88" s="309"/>
      <c r="AC88" s="311"/>
      <c r="AD88" s="311"/>
      <c r="AE88" s="309"/>
      <c r="AH88" s="305"/>
      <c r="AI88" s="296"/>
      <c r="AJ88" s="309"/>
      <c r="AK88" s="311"/>
      <c r="AL88" s="311"/>
      <c r="AM88" s="309"/>
    </row>
    <row r="89" spans="1:39">
      <c r="A89" s="308" t="s">
        <v>625</v>
      </c>
      <c r="B89" s="296"/>
      <c r="C89" s="309"/>
      <c r="D89" s="311"/>
      <c r="E89" s="311"/>
      <c r="F89" s="309"/>
      <c r="I89" s="308" t="s">
        <v>625</v>
      </c>
      <c r="J89" s="296"/>
      <c r="K89" s="309"/>
      <c r="L89" s="311"/>
      <c r="M89" s="311"/>
      <c r="N89" s="309"/>
      <c r="Q89" s="308" t="s">
        <v>625</v>
      </c>
      <c r="R89" s="296"/>
      <c r="S89" s="309"/>
      <c r="T89" s="311"/>
      <c r="U89" s="311"/>
      <c r="V89" s="309"/>
      <c r="W89" s="633"/>
      <c r="Z89" s="308" t="s">
        <v>625</v>
      </c>
      <c r="AA89" s="296"/>
      <c r="AB89" s="309"/>
      <c r="AC89" s="311"/>
      <c r="AD89" s="311"/>
      <c r="AE89" s="309"/>
      <c r="AH89" s="308" t="s">
        <v>625</v>
      </c>
      <c r="AI89" s="296"/>
      <c r="AJ89" s="309"/>
      <c r="AK89" s="311"/>
      <c r="AL89" s="311"/>
      <c r="AM89" s="309"/>
    </row>
    <row r="90" spans="1:39">
      <c r="A90" s="308"/>
      <c r="B90" s="296" t="s">
        <v>371</v>
      </c>
      <c r="C90" s="309">
        <f>WS!J470</f>
        <v>70634245.090000004</v>
      </c>
      <c r="D90" s="311"/>
      <c r="E90" s="311">
        <f>C90</f>
        <v>70634245.090000004</v>
      </c>
      <c r="F90" s="309">
        <f>C90+D90-E90</f>
        <v>0</v>
      </c>
      <c r="I90" s="308"/>
      <c r="J90" s="296" t="s">
        <v>371</v>
      </c>
      <c r="K90" s="309">
        <f>WS!U470</f>
        <v>69022353.189999998</v>
      </c>
      <c r="L90" s="311"/>
      <c r="M90" s="311">
        <f>K90</f>
        <v>69022353.189999998</v>
      </c>
      <c r="N90" s="309">
        <f>K90+L90-M90</f>
        <v>0</v>
      </c>
      <c r="Q90" s="308"/>
      <c r="R90" s="296" t="s">
        <v>371</v>
      </c>
      <c r="S90" s="309">
        <f>WS!AH470</f>
        <v>47280776</v>
      </c>
      <c r="T90" s="311"/>
      <c r="U90" s="311">
        <f>S90</f>
        <v>47280776</v>
      </c>
      <c r="V90" s="309">
        <f>S90+T90-U90</f>
        <v>0</v>
      </c>
      <c r="W90" s="633"/>
      <c r="Z90" s="308"/>
      <c r="AA90" s="296" t="str">
        <f>[1]WBS!C500</f>
        <v>Pendapatan Bunga</v>
      </c>
      <c r="AB90" s="309" t="e">
        <f>WS!#REF!</f>
        <v>#REF!</v>
      </c>
      <c r="AC90" s="311"/>
      <c r="AD90" s="311" t="e">
        <f>AB90</f>
        <v>#REF!</v>
      </c>
      <c r="AE90" s="309" t="e">
        <f>AB90+AC90-AD90</f>
        <v>#REF!</v>
      </c>
      <c r="AH90" s="308"/>
      <c r="AI90" s="296" t="s">
        <v>371</v>
      </c>
      <c r="AJ90" s="309" t="e">
        <f>WS!#REF!</f>
        <v>#REF!</v>
      </c>
      <c r="AK90" s="311"/>
      <c r="AL90" s="311" t="e">
        <f>AJ90</f>
        <v>#REF!</v>
      </c>
      <c r="AM90" s="309" t="e">
        <f>AJ90+AK90-AL90</f>
        <v>#REF!</v>
      </c>
    </row>
    <row r="91" spans="1:39">
      <c r="A91" s="305"/>
      <c r="B91" s="296" t="s">
        <v>372</v>
      </c>
      <c r="C91" s="309">
        <f>WS!J471</f>
        <v>-1674956528.5</v>
      </c>
      <c r="D91" s="311"/>
      <c r="E91" s="311"/>
      <c r="F91" s="309">
        <f>C91+D91-E91</f>
        <v>-1674956528.5</v>
      </c>
      <c r="I91" s="305"/>
      <c r="J91" s="296" t="s">
        <v>372</v>
      </c>
      <c r="K91" s="309">
        <f>WS!U471</f>
        <v>1578595518.5</v>
      </c>
      <c r="L91" s="311"/>
      <c r="M91" s="311"/>
      <c r="N91" s="309">
        <f>K91+L91-M91</f>
        <v>1578595518.5</v>
      </c>
      <c r="Q91" s="305"/>
      <c r="R91" s="296" t="s">
        <v>372</v>
      </c>
      <c r="S91" s="309">
        <f>WS!AH471</f>
        <v>-751427729</v>
      </c>
      <c r="T91" s="311"/>
      <c r="U91" s="311"/>
      <c r="V91" s="309">
        <f>S91+T91-U91</f>
        <v>-751427729</v>
      </c>
      <c r="W91" s="633"/>
      <c r="Z91" s="305"/>
      <c r="AA91" s="296" t="str">
        <f>[1]WBS!C501</f>
        <v>Laba (Rugi) Selisih Kurs - Neto</v>
      </c>
      <c r="AB91" s="309" t="e">
        <f>WS!#REF!</f>
        <v>#REF!</v>
      </c>
      <c r="AC91" s="311"/>
      <c r="AD91" s="311"/>
      <c r="AE91" s="309" t="e">
        <f>AB91+AC91-AD91</f>
        <v>#REF!</v>
      </c>
      <c r="AH91" s="305"/>
      <c r="AI91" s="296" t="s">
        <v>372</v>
      </c>
      <c r="AJ91" s="309" t="e">
        <f>WS!#REF!</f>
        <v>#REF!</v>
      </c>
      <c r="AK91" s="311"/>
      <c r="AL91" s="311"/>
      <c r="AM91" s="309" t="e">
        <f>AJ91+AK91-AL91</f>
        <v>#REF!</v>
      </c>
    </row>
    <row r="92" spans="1:39">
      <c r="A92" s="305"/>
      <c r="B92" s="296" t="s">
        <v>374</v>
      </c>
      <c r="C92" s="309">
        <f>WS!J473</f>
        <v>-8183754</v>
      </c>
      <c r="D92" s="311"/>
      <c r="E92" s="311"/>
      <c r="F92" s="309">
        <f>C92+D92-E92</f>
        <v>-8183754</v>
      </c>
      <c r="I92" s="305"/>
      <c r="J92" s="296" t="s">
        <v>374</v>
      </c>
      <c r="K92" s="309">
        <f>WS!U473</f>
        <v>0</v>
      </c>
      <c r="L92" s="311"/>
      <c r="M92" s="311"/>
      <c r="N92" s="309">
        <f>K92+L92-M92</f>
        <v>0</v>
      </c>
      <c r="Q92" s="305"/>
      <c r="R92" s="296" t="s">
        <v>374</v>
      </c>
      <c r="S92" s="309">
        <f>WS!AH473</f>
        <v>11038330</v>
      </c>
      <c r="T92" s="311"/>
      <c r="U92" s="311"/>
      <c r="V92" s="309">
        <f>S92+T92-U92</f>
        <v>11038330</v>
      </c>
      <c r="W92" s="633"/>
      <c r="Z92" s="305"/>
      <c r="AA92" s="296" t="str">
        <f>[1]WBS!C502</f>
        <v>Pendapatan Lain-Lain</v>
      </c>
      <c r="AB92" s="309" t="e">
        <f>WS!#REF!</f>
        <v>#REF!</v>
      </c>
      <c r="AC92" s="311"/>
      <c r="AD92" s="311"/>
      <c r="AE92" s="309" t="e">
        <f>AB92+AC92-AD92</f>
        <v>#REF!</v>
      </c>
      <c r="AH92" s="305"/>
      <c r="AI92" s="296" t="s">
        <v>374</v>
      </c>
      <c r="AJ92" s="309" t="e">
        <f>WS!#REF!</f>
        <v>#REF!</v>
      </c>
      <c r="AK92" s="311"/>
      <c r="AL92" s="311"/>
      <c r="AM92" s="309" t="e">
        <f>AJ92+AK92-AL92</f>
        <v>#REF!</v>
      </c>
    </row>
    <row r="93" spans="1:39">
      <c r="A93" s="305"/>
      <c r="B93" s="321" t="s">
        <v>1270</v>
      </c>
      <c r="C93" s="309">
        <f>-WS!J483</f>
        <v>824199778.11700904</v>
      </c>
      <c r="D93" s="311"/>
      <c r="E93" s="311">
        <f>C93</f>
        <v>824199778.11700904</v>
      </c>
      <c r="F93" s="309">
        <f>C93+D93-E93</f>
        <v>0</v>
      </c>
      <c r="I93" s="305"/>
      <c r="J93" s="321" t="s">
        <v>373</v>
      </c>
      <c r="K93" s="309">
        <f>WS!U472</f>
        <v>0</v>
      </c>
      <c r="L93" s="314"/>
      <c r="M93" s="311"/>
      <c r="N93" s="309">
        <f t="shared" ref="N93:N101" si="28">K93-L93+M93</f>
        <v>0</v>
      </c>
      <c r="Q93" s="305"/>
      <c r="R93" s="321" t="s">
        <v>373</v>
      </c>
      <c r="S93" s="309">
        <f>WS!AH4472</f>
        <v>0</v>
      </c>
      <c r="T93" s="314"/>
      <c r="U93" s="311"/>
      <c r="V93" s="309">
        <f t="shared" ref="V93:V101" si="29">S93-T93+U93</f>
        <v>0</v>
      </c>
      <c r="W93" s="633"/>
      <c r="Z93" s="305"/>
      <c r="AA93" s="321" t="str">
        <f>[1]WBS!C504</f>
        <v>Beban Cadangan kerugian Penurunan Nilai</v>
      </c>
      <c r="AB93" s="309" t="e">
        <f>WS!#REF!</f>
        <v>#REF!</v>
      </c>
      <c r="AC93" s="314"/>
      <c r="AD93" s="311"/>
      <c r="AE93" s="309" t="e">
        <f t="shared" ref="AE93:AE101" si="30">AB93-AC93+AD93</f>
        <v>#REF!</v>
      </c>
      <c r="AH93" s="305"/>
      <c r="AI93" s="321" t="s">
        <v>373</v>
      </c>
      <c r="AJ93" s="309" t="e">
        <f>WS!#REF!</f>
        <v>#REF!</v>
      </c>
      <c r="AK93" s="314"/>
      <c r="AL93" s="311"/>
      <c r="AM93" s="309" t="e">
        <f t="shared" ref="AM93:AM101" si="31">AJ93-AK93+AL93</f>
        <v>#REF!</v>
      </c>
    </row>
    <row r="94" spans="1:39">
      <c r="A94" s="305"/>
      <c r="B94" s="365" t="s">
        <v>377</v>
      </c>
      <c r="C94" s="309">
        <f>WS!J476</f>
        <v>74572923</v>
      </c>
      <c r="D94" s="311"/>
      <c r="E94" s="311"/>
      <c r="F94" s="309">
        <f t="shared" ref="F94:F101" si="32">C94-D94+E94</f>
        <v>74572923</v>
      </c>
      <c r="I94" s="305"/>
      <c r="J94" s="365" t="s">
        <v>377</v>
      </c>
      <c r="K94" s="309">
        <f>WS!U476</f>
        <v>49376357</v>
      </c>
      <c r="L94" s="311"/>
      <c r="M94" s="311"/>
      <c r="N94" s="309">
        <f t="shared" si="28"/>
        <v>49376357</v>
      </c>
      <c r="Q94" s="305"/>
      <c r="R94" s="365" t="s">
        <v>377</v>
      </c>
      <c r="S94" s="309">
        <f>WS!AH476</f>
        <v>114713721</v>
      </c>
      <c r="T94" s="311"/>
      <c r="U94" s="311"/>
      <c r="V94" s="309">
        <f t="shared" si="29"/>
        <v>114713721</v>
      </c>
      <c r="W94" s="633"/>
      <c r="Z94" s="305"/>
      <c r="AA94" s="365" t="str">
        <f>[1]WBS!C508</f>
        <v>Beban Administrasi Bank</v>
      </c>
      <c r="AB94" s="309" t="e">
        <f>WS!#REF!</f>
        <v>#REF!</v>
      </c>
      <c r="AC94" s="311"/>
      <c r="AD94" s="311"/>
      <c r="AE94" s="309" t="e">
        <f t="shared" si="30"/>
        <v>#REF!</v>
      </c>
      <c r="AH94" s="305"/>
      <c r="AI94" s="365" t="s">
        <v>377</v>
      </c>
      <c r="AJ94" s="309" t="e">
        <f>WS!#REF!</f>
        <v>#REF!</v>
      </c>
      <c r="AK94" s="311"/>
      <c r="AL94" s="311"/>
      <c r="AM94" s="309" t="e">
        <f t="shared" si="31"/>
        <v>#REF!</v>
      </c>
    </row>
    <row r="95" spans="1:39">
      <c r="A95" s="305"/>
      <c r="B95" s="365" t="s">
        <v>378</v>
      </c>
      <c r="C95" s="309">
        <f>WS!J477</f>
        <v>14686912.57</v>
      </c>
      <c r="D95" s="312">
        <f>C95</f>
        <v>14686912.57</v>
      </c>
      <c r="E95" s="311"/>
      <c r="F95" s="309">
        <f t="shared" si="32"/>
        <v>0</v>
      </c>
      <c r="I95" s="305"/>
      <c r="J95" s="365" t="s">
        <v>378</v>
      </c>
      <c r="K95" s="309">
        <f>WS!U477</f>
        <v>14108708.98</v>
      </c>
      <c r="L95" s="311">
        <f>K95</f>
        <v>14108708.98</v>
      </c>
      <c r="M95" s="311"/>
      <c r="N95" s="309">
        <f t="shared" si="28"/>
        <v>0</v>
      </c>
      <c r="Q95" s="305"/>
      <c r="R95" s="365" t="s">
        <v>378</v>
      </c>
      <c r="S95" s="309">
        <f>WS!AH477</f>
        <v>9605268</v>
      </c>
      <c r="T95" s="311">
        <f>S95</f>
        <v>9605268</v>
      </c>
      <c r="U95" s="311"/>
      <c r="V95" s="309">
        <f t="shared" si="29"/>
        <v>0</v>
      </c>
      <c r="W95" s="633"/>
      <c r="Z95" s="305"/>
      <c r="AA95" s="365" t="str">
        <f>[1]WBS!C509</f>
        <v xml:space="preserve">Beban Pajak Jasa Giro </v>
      </c>
      <c r="AB95" s="309" t="e">
        <f>WS!#REF!</f>
        <v>#REF!</v>
      </c>
      <c r="AC95" s="311" t="e">
        <f>AB95</f>
        <v>#REF!</v>
      </c>
      <c r="AD95" s="311"/>
      <c r="AE95" s="309" t="e">
        <f t="shared" si="30"/>
        <v>#REF!</v>
      </c>
      <c r="AH95" s="305"/>
      <c r="AI95" s="365" t="s">
        <v>378</v>
      </c>
      <c r="AJ95" s="309" t="e">
        <f>WS!#REF!</f>
        <v>#REF!</v>
      </c>
      <c r="AK95" s="311" t="e">
        <f>AJ95</f>
        <v>#REF!</v>
      </c>
      <c r="AL95" s="311"/>
      <c r="AM95" s="309" t="e">
        <f t="shared" si="31"/>
        <v>#REF!</v>
      </c>
    </row>
    <row r="96" spans="1:39">
      <c r="A96" s="305"/>
      <c r="B96" s="365" t="s">
        <v>379</v>
      </c>
      <c r="C96" s="309">
        <f>WS!J478</f>
        <v>169215000</v>
      </c>
      <c r="D96" s="311"/>
      <c r="E96" s="311"/>
      <c r="F96" s="309">
        <f t="shared" si="32"/>
        <v>169215000</v>
      </c>
      <c r="I96" s="305"/>
      <c r="J96" s="365" t="s">
        <v>379</v>
      </c>
      <c r="K96" s="309">
        <f>WS!U478</f>
        <v>0</v>
      </c>
      <c r="L96" s="311"/>
      <c r="M96" s="311"/>
      <c r="N96" s="309">
        <f t="shared" si="28"/>
        <v>0</v>
      </c>
      <c r="Q96" s="305"/>
      <c r="R96" s="365" t="s">
        <v>379</v>
      </c>
      <c r="S96" s="309">
        <f>WS!AH478</f>
        <v>0</v>
      </c>
      <c r="T96" s="311"/>
      <c r="U96" s="311"/>
      <c r="V96" s="309">
        <f t="shared" si="29"/>
        <v>0</v>
      </c>
      <c r="W96" s="633"/>
      <c r="Z96" s="305"/>
      <c r="AA96" s="365" t="str">
        <f>[1]WBS!C510</f>
        <v xml:space="preserve">Beban Provisi Bank </v>
      </c>
      <c r="AB96" s="309" t="e">
        <f>WS!#REF!</f>
        <v>#REF!</v>
      </c>
      <c r="AC96" s="311"/>
      <c r="AD96" s="311"/>
      <c r="AE96" s="309" t="e">
        <f t="shared" si="30"/>
        <v>#REF!</v>
      </c>
      <c r="AH96" s="305"/>
      <c r="AI96" s="365" t="s">
        <v>379</v>
      </c>
      <c r="AJ96" s="309" t="e">
        <f>WS!#REF!</f>
        <v>#REF!</v>
      </c>
      <c r="AK96" s="311"/>
      <c r="AL96" s="311"/>
      <c r="AM96" s="309" t="e">
        <f t="shared" si="31"/>
        <v>#REF!</v>
      </c>
    </row>
    <row r="97" spans="1:39">
      <c r="A97" s="305"/>
      <c r="B97" s="365" t="s">
        <v>672</v>
      </c>
      <c r="C97" s="309">
        <f>WS!J479</f>
        <v>0</v>
      </c>
      <c r="D97" s="311"/>
      <c r="E97" s="311"/>
      <c r="F97" s="309">
        <f t="shared" si="32"/>
        <v>0</v>
      </c>
      <c r="I97" s="305"/>
      <c r="J97" s="365" t="s">
        <v>672</v>
      </c>
      <c r="K97" s="309">
        <f>WS!U479</f>
        <v>0</v>
      </c>
      <c r="L97" s="311"/>
      <c r="M97" s="311"/>
      <c r="N97" s="309">
        <f t="shared" si="28"/>
        <v>0</v>
      </c>
      <c r="Q97" s="305"/>
      <c r="R97" s="365" t="s">
        <v>672</v>
      </c>
      <c r="S97" s="309">
        <f>WS!AH479</f>
        <v>0</v>
      </c>
      <c r="T97" s="311"/>
      <c r="U97" s="311"/>
      <c r="V97" s="309">
        <f t="shared" si="29"/>
        <v>0</v>
      </c>
      <c r="W97" s="633"/>
      <c r="Z97" s="305"/>
      <c r="AA97" s="365" t="str">
        <f>[1]WBS!C511</f>
        <v>Denda Angsuran Bank, Biaya</v>
      </c>
      <c r="AB97" s="309" t="e">
        <f>WS!#REF!</f>
        <v>#REF!</v>
      </c>
      <c r="AC97" s="311"/>
      <c r="AD97" s="311"/>
      <c r="AE97" s="309" t="e">
        <f t="shared" si="30"/>
        <v>#REF!</v>
      </c>
      <c r="AH97" s="305"/>
      <c r="AI97" s="365" t="s">
        <v>672</v>
      </c>
      <c r="AJ97" s="309" t="e">
        <f>WS!#REF!</f>
        <v>#REF!</v>
      </c>
      <c r="AK97" s="311"/>
      <c r="AL97" s="311"/>
      <c r="AM97" s="309" t="e">
        <f t="shared" si="31"/>
        <v>#REF!</v>
      </c>
    </row>
    <row r="98" spans="1:39">
      <c r="A98" s="305"/>
      <c r="B98" s="365" t="s">
        <v>1016</v>
      </c>
      <c r="C98" s="309">
        <f>WS!J480</f>
        <v>0</v>
      </c>
      <c r="D98" s="311"/>
      <c r="E98" s="311"/>
      <c r="F98" s="309">
        <f t="shared" si="32"/>
        <v>0</v>
      </c>
      <c r="I98" s="305"/>
      <c r="J98" s="365" t="s">
        <v>1016</v>
      </c>
      <c r="K98" s="309">
        <f>WS!U480</f>
        <v>0</v>
      </c>
      <c r="L98" s="311"/>
      <c r="M98" s="311"/>
      <c r="N98" s="309">
        <f t="shared" si="28"/>
        <v>0</v>
      </c>
      <c r="Q98" s="305"/>
      <c r="R98" s="365" t="s">
        <v>1016</v>
      </c>
      <c r="S98" s="309">
        <f>WS!AH480</f>
        <v>0</v>
      </c>
      <c r="T98" s="311"/>
      <c r="U98" s="311"/>
      <c r="V98" s="309">
        <f t="shared" si="29"/>
        <v>0</v>
      </c>
      <c r="W98" s="633"/>
      <c r="Z98" s="305"/>
      <c r="AA98" s="365" t="str">
        <f>[1]WBS!C512</f>
        <v>Estimasi Denda Pajak</v>
      </c>
      <c r="AB98" s="309" t="e">
        <f>WS!#REF!</f>
        <v>#REF!</v>
      </c>
      <c r="AC98" s="311"/>
      <c r="AD98" s="311"/>
      <c r="AE98" s="309" t="e">
        <f t="shared" si="30"/>
        <v>#REF!</v>
      </c>
      <c r="AH98" s="305"/>
      <c r="AI98" s="365" t="s">
        <v>381</v>
      </c>
      <c r="AJ98" s="309" t="e">
        <f>WS!#REF!</f>
        <v>#REF!</v>
      </c>
      <c r="AK98" s="311"/>
      <c r="AL98" s="311"/>
      <c r="AM98" s="309" t="e">
        <f t="shared" si="31"/>
        <v>#REF!</v>
      </c>
    </row>
    <row r="99" spans="1:39">
      <c r="A99" s="305"/>
      <c r="B99" s="365" t="s">
        <v>382</v>
      </c>
      <c r="C99" s="309">
        <f>WS!J481</f>
        <v>9984777061</v>
      </c>
      <c r="D99" s="311"/>
      <c r="E99" s="311"/>
      <c r="F99" s="309">
        <f t="shared" si="32"/>
        <v>9984777061</v>
      </c>
      <c r="I99" s="305"/>
      <c r="J99" s="365" t="s">
        <v>382</v>
      </c>
      <c r="K99" s="309">
        <f>WS!U481</f>
        <v>6639200650</v>
      </c>
      <c r="L99" s="311"/>
      <c r="M99" s="311"/>
      <c r="N99" s="309">
        <f t="shared" si="28"/>
        <v>6639200650</v>
      </c>
      <c r="Q99" s="305"/>
      <c r="R99" s="365" t="s">
        <v>382</v>
      </c>
      <c r="S99" s="309">
        <f>WS!AH481</f>
        <v>6294987446</v>
      </c>
      <c r="T99" s="311"/>
      <c r="U99" s="311"/>
      <c r="V99" s="309">
        <f t="shared" si="29"/>
        <v>6294987446</v>
      </c>
      <c r="W99" s="633"/>
      <c r="Z99" s="305"/>
      <c r="AA99" s="365" t="str">
        <f>[1]WBS!C513</f>
        <v xml:space="preserve">Beban Bunga/Keuangan </v>
      </c>
      <c r="AB99" s="309" t="e">
        <f>WS!#REF!</f>
        <v>#REF!</v>
      </c>
      <c r="AC99" s="311"/>
      <c r="AD99" s="311"/>
      <c r="AE99" s="309" t="e">
        <f t="shared" si="30"/>
        <v>#REF!</v>
      </c>
      <c r="AH99" s="305"/>
      <c r="AI99" s="365" t="s">
        <v>382</v>
      </c>
      <c r="AJ99" s="309" t="e">
        <f>WS!#REF!</f>
        <v>#REF!</v>
      </c>
      <c r="AK99" s="311"/>
      <c r="AL99" s="311"/>
      <c r="AM99" s="309" t="e">
        <f t="shared" si="31"/>
        <v>#REF!</v>
      </c>
    </row>
    <row r="100" spans="1:39">
      <c r="A100" s="305"/>
      <c r="B100" s="365" t="s">
        <v>383</v>
      </c>
      <c r="C100" s="309">
        <f>WS!J482</f>
        <v>5239977</v>
      </c>
      <c r="D100" s="311"/>
      <c r="E100" s="311"/>
      <c r="F100" s="309">
        <f t="shared" si="32"/>
        <v>5239977</v>
      </c>
      <c r="I100" s="305"/>
      <c r="J100" s="365" t="s">
        <v>383</v>
      </c>
      <c r="K100" s="309">
        <f>WS!U482</f>
        <v>4288654</v>
      </c>
      <c r="L100" s="311"/>
      <c r="M100" s="311"/>
      <c r="N100" s="309">
        <f t="shared" si="28"/>
        <v>4288654</v>
      </c>
      <c r="Q100" s="305"/>
      <c r="R100" s="365" t="s">
        <v>383</v>
      </c>
      <c r="S100" s="309">
        <f>WS!AH482</f>
        <v>11383894</v>
      </c>
      <c r="T100" s="311"/>
      <c r="U100" s="311"/>
      <c r="V100" s="309">
        <f t="shared" si="29"/>
        <v>11383894</v>
      </c>
      <c r="W100" s="633"/>
      <c r="Z100" s="305"/>
      <c r="AA100" s="365" t="str">
        <f>[1]WBS!C514</f>
        <v xml:space="preserve">Beban Bunga Leasing </v>
      </c>
      <c r="AB100" s="309" t="e">
        <f>WS!#REF!</f>
        <v>#REF!</v>
      </c>
      <c r="AC100" s="311"/>
      <c r="AD100" s="311"/>
      <c r="AE100" s="309" t="e">
        <f t="shared" si="30"/>
        <v>#REF!</v>
      </c>
      <c r="AH100" s="305"/>
      <c r="AI100" s="365" t="s">
        <v>383</v>
      </c>
      <c r="AJ100" s="309" t="e">
        <f>WS!#REF!</f>
        <v>#REF!</v>
      </c>
      <c r="AK100" s="311"/>
      <c r="AL100" s="311"/>
      <c r="AM100" s="309" t="e">
        <f t="shared" si="31"/>
        <v>#REF!</v>
      </c>
    </row>
    <row r="101" spans="1:39">
      <c r="A101" s="305"/>
      <c r="B101" s="321"/>
      <c r="C101" s="309"/>
      <c r="D101" s="311"/>
      <c r="E101" s="311"/>
      <c r="F101" s="309">
        <f t="shared" si="32"/>
        <v>0</v>
      </c>
      <c r="I101" s="305"/>
      <c r="J101" s="321"/>
      <c r="K101" s="309"/>
      <c r="L101" s="311"/>
      <c r="M101" s="311"/>
      <c r="N101" s="309">
        <f t="shared" si="28"/>
        <v>0</v>
      </c>
      <c r="Q101" s="305"/>
      <c r="R101" s="321"/>
      <c r="S101" s="309"/>
      <c r="T101" s="311"/>
      <c r="U101" s="311"/>
      <c r="V101" s="309">
        <f t="shared" si="29"/>
        <v>0</v>
      </c>
      <c r="W101" s="633"/>
      <c r="Z101" s="305"/>
      <c r="AA101" s="321"/>
      <c r="AB101" s="309"/>
      <c r="AC101" s="311"/>
      <c r="AD101" s="311"/>
      <c r="AE101" s="309">
        <f t="shared" si="30"/>
        <v>0</v>
      </c>
      <c r="AH101" s="305"/>
      <c r="AI101" s="321"/>
      <c r="AJ101" s="309"/>
      <c r="AK101" s="311"/>
      <c r="AL101" s="311"/>
      <c r="AM101" s="309">
        <f t="shared" si="31"/>
        <v>0</v>
      </c>
    </row>
    <row r="102" spans="1:39">
      <c r="A102" s="305"/>
      <c r="B102" s="296"/>
      <c r="C102" s="322"/>
      <c r="D102" s="311"/>
      <c r="E102" s="311"/>
      <c r="F102" s="322"/>
      <c r="I102" s="305"/>
      <c r="J102" s="296"/>
      <c r="K102" s="322"/>
      <c r="L102" s="311"/>
      <c r="M102" s="311"/>
      <c r="N102" s="322"/>
      <c r="Q102" s="305"/>
      <c r="R102" s="296"/>
      <c r="S102" s="322"/>
      <c r="T102" s="311"/>
      <c r="U102" s="311"/>
      <c r="V102" s="322"/>
      <c r="W102" s="633"/>
      <c r="Z102" s="305"/>
      <c r="AA102" s="296"/>
      <c r="AB102" s="322"/>
      <c r="AC102" s="311"/>
      <c r="AD102" s="311"/>
      <c r="AE102" s="322"/>
      <c r="AH102" s="305"/>
      <c r="AI102" s="296"/>
      <c r="AJ102" s="322"/>
      <c r="AK102" s="311"/>
      <c r="AL102" s="311"/>
      <c r="AM102" s="322"/>
    </row>
    <row r="103" spans="1:39">
      <c r="A103" s="305"/>
      <c r="B103" s="302" t="s">
        <v>626</v>
      </c>
      <c r="C103" s="312">
        <f>SUM(C90:C93)-SUM(C94:C101)</f>
        <v>-11036798132.862991</v>
      </c>
      <c r="D103" s="323">
        <f>SUM(D9:D102)</f>
        <v>2236511944.0700002</v>
      </c>
      <c r="E103" s="323">
        <f>-SUM(E9:E102)</f>
        <v>-894834023.20700908</v>
      </c>
      <c r="F103" s="312">
        <f>SUM(F90:F93)-SUM(F94:F101)</f>
        <v>-11916945243.5</v>
      </c>
      <c r="I103" s="305"/>
      <c r="J103" s="302" t="s">
        <v>626</v>
      </c>
      <c r="K103" s="312">
        <f>SUM(K90:K93)-SUM(K94:K101)</f>
        <v>-5059356498.289999</v>
      </c>
      <c r="L103" s="323">
        <f>-SUM(L90:L102)</f>
        <v>-14108708.98</v>
      </c>
      <c r="M103" s="323">
        <f>-SUM(M90:M102)</f>
        <v>-69022353.189999998</v>
      </c>
      <c r="N103" s="312">
        <f>SUM(N90:N93)-SUM(N94:N101)</f>
        <v>-5114270142.5</v>
      </c>
      <c r="Q103" s="305"/>
      <c r="R103" s="302" t="s">
        <v>626</v>
      </c>
      <c r="S103" s="312">
        <f>SUM(S90:S93)-SUM(S94:S101)</f>
        <v>-7123798952</v>
      </c>
      <c r="T103" s="323">
        <f>-SUM(T90:T102)</f>
        <v>-9605268</v>
      </c>
      <c r="U103" s="323">
        <f>-SUM(U90:U102)</f>
        <v>-47280776</v>
      </c>
      <c r="V103" s="312">
        <f>SUM(V90:V93)-SUM(V94:V101)</f>
        <v>-7161474460</v>
      </c>
      <c r="W103" s="636"/>
      <c r="Z103" s="305"/>
      <c r="AA103" s="302" t="s">
        <v>626</v>
      </c>
      <c r="AB103" s="312" t="e">
        <f>SUM(AB90:AB93)-SUM(AB94:AB101)</f>
        <v>#REF!</v>
      </c>
      <c r="AC103" s="323" t="e">
        <f>-SUM(AC90:AC102)</f>
        <v>#REF!</v>
      </c>
      <c r="AD103" s="323" t="e">
        <f>-SUM(AD90:AD102)</f>
        <v>#REF!</v>
      </c>
      <c r="AE103" s="312" t="e">
        <f>SUM(AE90:AE93)-SUM(AE94:AE101)</f>
        <v>#REF!</v>
      </c>
      <c r="AH103" s="305"/>
      <c r="AI103" s="302" t="s">
        <v>626</v>
      </c>
      <c r="AJ103" s="312" t="e">
        <f>SUM(AJ90:AJ93)-SUM(AJ94:AJ101)</f>
        <v>#REF!</v>
      </c>
      <c r="AK103" s="323" t="e">
        <f>-SUM(AK90:AK102)</f>
        <v>#REF!</v>
      </c>
      <c r="AL103" s="323" t="e">
        <f>-SUM(AL90:AL102)</f>
        <v>#REF!</v>
      </c>
      <c r="AM103" s="312" t="e">
        <f>SUM(AM90:AM93)-SUM(AM94:AM101)</f>
        <v>#REF!</v>
      </c>
    </row>
    <row r="104" spans="1:39">
      <c r="A104" s="305"/>
      <c r="B104" s="296"/>
      <c r="C104" s="309"/>
      <c r="D104" s="309"/>
      <c r="E104" s="309"/>
      <c r="F104" s="324"/>
      <c r="I104" s="305"/>
      <c r="J104" s="296"/>
      <c r="K104" s="309"/>
      <c r="L104" s="309"/>
      <c r="M104" s="309"/>
      <c r="N104" s="324"/>
      <c r="Q104" s="305"/>
      <c r="R104" s="296"/>
      <c r="S104" s="309"/>
      <c r="T104" s="309"/>
      <c r="U104" s="309"/>
      <c r="V104" s="324"/>
      <c r="W104" s="633"/>
      <c r="Z104" s="305"/>
      <c r="AA104" s="296"/>
      <c r="AB104" s="309"/>
      <c r="AC104" s="309"/>
      <c r="AD104" s="309"/>
      <c r="AE104" s="324"/>
      <c r="AH104" s="305"/>
      <c r="AI104" s="296"/>
      <c r="AJ104" s="309"/>
      <c r="AK104" s="309"/>
      <c r="AL104" s="309"/>
      <c r="AM104" s="324"/>
    </row>
    <row r="105" spans="1:39">
      <c r="A105" s="325" t="s">
        <v>627</v>
      </c>
      <c r="B105" s="326"/>
      <c r="C105" s="315">
        <f>C87+C103</f>
        <v>3076189784.440979</v>
      </c>
      <c r="D105" s="315">
        <f>D87+D103</f>
        <v>2236511944.0700002</v>
      </c>
      <c r="E105" s="315">
        <f>E87+E103</f>
        <v>-894834023.20700908</v>
      </c>
      <c r="F105" s="315">
        <f>F87+F103</f>
        <v>4417867705.3039703</v>
      </c>
      <c r="I105" s="325" t="s">
        <v>627</v>
      </c>
      <c r="J105" s="326"/>
      <c r="K105" s="315">
        <f>K87+K103</f>
        <v>1978329582.8989925</v>
      </c>
      <c r="L105" s="315">
        <f>L87+L103</f>
        <v>-14108708.98</v>
      </c>
      <c r="M105" s="315">
        <f>M87+M103</f>
        <v>-69022353.189999998</v>
      </c>
      <c r="N105" s="315">
        <f>N87+N103</f>
        <v>4078078970.1889915</v>
      </c>
      <c r="Q105" s="325" t="s">
        <v>627</v>
      </c>
      <c r="R105" s="326"/>
      <c r="S105" s="315">
        <f>S87+S103</f>
        <v>822650561</v>
      </c>
      <c r="T105" s="315">
        <f>T87+T103</f>
        <v>-9605268</v>
      </c>
      <c r="U105" s="315">
        <f>U87+U103</f>
        <v>-47280776</v>
      </c>
      <c r="V105" s="315">
        <f>V87+V103</f>
        <v>704818261.71875</v>
      </c>
      <c r="W105" s="634"/>
      <c r="Z105" s="325" t="s">
        <v>627</v>
      </c>
      <c r="AA105" s="326"/>
      <c r="AB105" s="315" t="e">
        <f>AB87+AB103</f>
        <v>#REF!</v>
      </c>
      <c r="AC105" s="315" t="e">
        <f>AC87+AC103</f>
        <v>#REF!</v>
      </c>
      <c r="AD105" s="315" t="e">
        <f>AD87+AD103</f>
        <v>#REF!</v>
      </c>
      <c r="AE105" s="315" t="e">
        <f>AE87+AE103</f>
        <v>#REF!</v>
      </c>
      <c r="AH105" s="325" t="s">
        <v>627</v>
      </c>
      <c r="AI105" s="326"/>
      <c r="AJ105" s="315" t="e">
        <f>AJ87+AJ103</f>
        <v>#REF!</v>
      </c>
      <c r="AK105" s="315" t="e">
        <f>AK87+AK103</f>
        <v>#REF!</v>
      </c>
      <c r="AL105" s="315" t="e">
        <f>AL87+AL103</f>
        <v>#REF!</v>
      </c>
      <c r="AM105" s="315" t="e">
        <f>AM87+AM103</f>
        <v>#REF!</v>
      </c>
    </row>
    <row r="106" spans="1:39">
      <c r="A106" s="327"/>
      <c r="B106" s="328"/>
      <c r="C106" s="329"/>
      <c r="D106" s="329"/>
      <c r="E106" s="329"/>
      <c r="F106" s="329"/>
      <c r="I106" s="327"/>
      <c r="J106" s="328"/>
      <c r="K106" s="329"/>
      <c r="L106" s="329"/>
      <c r="M106" s="329"/>
      <c r="N106" s="329"/>
      <c r="Q106" s="327"/>
      <c r="R106" s="328"/>
      <c r="S106" s="329"/>
      <c r="T106" s="329"/>
      <c r="U106" s="329"/>
      <c r="V106" s="329"/>
      <c r="W106" s="637"/>
      <c r="Z106" s="327"/>
      <c r="AA106" s="328"/>
      <c r="AB106" s="329"/>
      <c r="AC106" s="329"/>
      <c r="AD106" s="329"/>
      <c r="AE106" s="329"/>
      <c r="AH106" s="327"/>
      <c r="AI106" s="328"/>
      <c r="AJ106" s="329"/>
      <c r="AK106" s="329"/>
      <c r="AL106" s="329"/>
      <c r="AM106" s="329"/>
    </row>
    <row r="107" spans="1:39">
      <c r="A107" s="330" t="s">
        <v>628</v>
      </c>
      <c r="B107" s="331"/>
      <c r="C107" s="332"/>
      <c r="D107" s="332">
        <f>C107</f>
        <v>0</v>
      </c>
      <c r="E107" s="332">
        <v>0</v>
      </c>
      <c r="F107" s="332">
        <v>0</v>
      </c>
      <c r="I107" s="330" t="s">
        <v>628</v>
      </c>
      <c r="J107" s="331"/>
      <c r="K107" s="332"/>
      <c r="L107" s="332">
        <f>K107</f>
        <v>0</v>
      </c>
      <c r="M107" s="332">
        <v>0</v>
      </c>
      <c r="N107" s="332">
        <v>0</v>
      </c>
      <c r="Q107" s="330" t="s">
        <v>628</v>
      </c>
      <c r="R107" s="331"/>
      <c r="S107" s="332"/>
      <c r="T107" s="332">
        <f>S107</f>
        <v>0</v>
      </c>
      <c r="U107" s="332">
        <v>0</v>
      </c>
      <c r="V107" s="332">
        <v>0</v>
      </c>
      <c r="W107" s="637"/>
      <c r="Z107" s="330" t="s">
        <v>628</v>
      </c>
      <c r="AA107" s="331"/>
      <c r="AB107" s="332"/>
      <c r="AC107" s="332">
        <f>AB107</f>
        <v>0</v>
      </c>
      <c r="AD107" s="332">
        <v>0</v>
      </c>
      <c r="AE107" s="332">
        <v>0</v>
      </c>
      <c r="AH107" s="330" t="s">
        <v>628</v>
      </c>
      <c r="AI107" s="331"/>
      <c r="AJ107" s="332"/>
      <c r="AK107" s="332">
        <f>AJ107</f>
        <v>0</v>
      </c>
      <c r="AL107" s="332">
        <v>0</v>
      </c>
      <c r="AM107" s="332">
        <v>0</v>
      </c>
    </row>
    <row r="108" spans="1:39">
      <c r="A108" s="333"/>
      <c r="B108" s="331"/>
      <c r="C108" s="332"/>
      <c r="D108" s="332"/>
      <c r="E108" s="332"/>
      <c r="F108" s="332"/>
      <c r="I108" s="333"/>
      <c r="J108" s="331"/>
      <c r="K108" s="332"/>
      <c r="L108" s="332"/>
      <c r="M108" s="332"/>
      <c r="N108" s="332"/>
      <c r="Q108" s="333"/>
      <c r="R108" s="331"/>
      <c r="S108" s="332"/>
      <c r="T108" s="332"/>
      <c r="U108" s="332"/>
      <c r="V108" s="332"/>
      <c r="W108" s="637"/>
      <c r="Z108" s="333"/>
      <c r="AA108" s="331"/>
      <c r="AB108" s="332"/>
      <c r="AC108" s="332"/>
      <c r="AD108" s="332"/>
      <c r="AE108" s="332"/>
      <c r="AH108" s="333"/>
      <c r="AI108" s="331"/>
      <c r="AJ108" s="332"/>
      <c r="AK108" s="332"/>
      <c r="AL108" s="332"/>
      <c r="AM108" s="332"/>
    </row>
    <row r="109" spans="1:39">
      <c r="A109" s="334" t="s">
        <v>629</v>
      </c>
      <c r="B109" s="335"/>
      <c r="C109" s="336">
        <f>C105-C107</f>
        <v>3076189784.440979</v>
      </c>
      <c r="D109" s="337">
        <f>D105-D107</f>
        <v>2236511944.0700002</v>
      </c>
      <c r="E109" s="337">
        <f>E105-E107</f>
        <v>-894834023.20700908</v>
      </c>
      <c r="F109" s="337">
        <f>F105-F107</f>
        <v>4417867705.3039703</v>
      </c>
      <c r="I109" s="334" t="s">
        <v>629</v>
      </c>
      <c r="J109" s="335"/>
      <c r="K109" s="336">
        <f>K105-K107</f>
        <v>1978329582.8989925</v>
      </c>
      <c r="L109" s="337">
        <f>L105-L107</f>
        <v>-14108708.98</v>
      </c>
      <c r="M109" s="337">
        <f>M105-M107</f>
        <v>-69022353.189999998</v>
      </c>
      <c r="N109" s="337">
        <f>N105-N107</f>
        <v>4078078970.1889915</v>
      </c>
      <c r="Q109" s="334" t="s">
        <v>629</v>
      </c>
      <c r="R109" s="335"/>
      <c r="S109" s="336">
        <f>S105-S107</f>
        <v>822650561</v>
      </c>
      <c r="T109" s="337">
        <f>T105-T107</f>
        <v>-9605268</v>
      </c>
      <c r="U109" s="337">
        <f>U105-U107</f>
        <v>-47280776</v>
      </c>
      <c r="V109" s="337">
        <f>V105-V107</f>
        <v>704818261.71875</v>
      </c>
      <c r="W109" s="638"/>
      <c r="Z109" s="334" t="s">
        <v>629</v>
      </c>
      <c r="AA109" s="335"/>
      <c r="AB109" s="336" t="e">
        <f>AB105-AB107</f>
        <v>#REF!</v>
      </c>
      <c r="AC109" s="337" t="e">
        <f>AC105-AC107</f>
        <v>#REF!</v>
      </c>
      <c r="AD109" s="337" t="e">
        <f>AD105-AD107</f>
        <v>#REF!</v>
      </c>
      <c r="AE109" s="337" t="e">
        <f>AE105-AE107</f>
        <v>#REF!</v>
      </c>
      <c r="AH109" s="334" t="s">
        <v>629</v>
      </c>
      <c r="AI109" s="335"/>
      <c r="AJ109" s="336" t="e">
        <f>AJ105-AJ107</f>
        <v>#REF!</v>
      </c>
      <c r="AK109" s="337" t="e">
        <f>AK105-AK107</f>
        <v>#REF!</v>
      </c>
      <c r="AL109" s="337" t="e">
        <f>AL105-AL107</f>
        <v>#REF!</v>
      </c>
      <c r="AM109" s="337" t="e">
        <f>AM105-AM107</f>
        <v>#REF!</v>
      </c>
    </row>
    <row r="110" spans="1:39">
      <c r="A110" s="338"/>
      <c r="B110" s="338"/>
      <c r="C110" s="339">
        <f>WS!J487</f>
        <v>3076189784.440979</v>
      </c>
      <c r="D110" s="339">
        <f>D109+E109</f>
        <v>1341677920.8629911</v>
      </c>
      <c r="E110" s="339"/>
      <c r="F110" s="340"/>
      <c r="I110" s="338"/>
      <c r="J110" s="338"/>
      <c r="K110" s="339">
        <f>WS!U487</f>
        <v>1978329582.3354969</v>
      </c>
      <c r="L110" s="339">
        <f>L109+M109</f>
        <v>-83131062.170000002</v>
      </c>
      <c r="M110" s="339"/>
      <c r="N110" s="340"/>
      <c r="Q110" s="338"/>
      <c r="R110" s="338"/>
      <c r="S110" s="339">
        <f>WS!AH503</f>
        <v>523153561</v>
      </c>
      <c r="T110" s="339">
        <f>T109+U109</f>
        <v>-56886044</v>
      </c>
      <c r="U110" s="339"/>
      <c r="V110" s="340"/>
      <c r="W110" s="340"/>
      <c r="Z110" s="338"/>
      <c r="AA110" s="338"/>
      <c r="AB110" s="339" t="e">
        <f>WS!#REF!</f>
        <v>#REF!</v>
      </c>
      <c r="AC110" s="339" t="e">
        <f>AC109+AD109</f>
        <v>#REF!</v>
      </c>
      <c r="AD110" s="339"/>
      <c r="AE110" s="340"/>
      <c r="AH110" s="338"/>
      <c r="AI110" s="338"/>
      <c r="AJ110" s="339" t="e">
        <f>WS!#REF!</f>
        <v>#REF!</v>
      </c>
      <c r="AK110" s="339" t="e">
        <f>AK109+AL109</f>
        <v>#REF!</v>
      </c>
      <c r="AL110" s="339"/>
      <c r="AM110" s="340"/>
    </row>
    <row r="111" spans="1:39">
      <c r="A111" s="341"/>
      <c r="B111" s="341"/>
      <c r="C111" s="342">
        <f>C109-C110</f>
        <v>0</v>
      </c>
      <c r="D111" s="342"/>
      <c r="E111" s="342"/>
      <c r="F111" s="343"/>
      <c r="I111" s="341"/>
      <c r="J111" s="341"/>
      <c r="K111" s="342">
        <f>K109-K110</f>
        <v>0.56349563598632813</v>
      </c>
      <c r="L111" s="342"/>
      <c r="M111" s="342"/>
      <c r="N111" s="343"/>
      <c r="Q111" s="341"/>
      <c r="R111" s="341"/>
      <c r="S111" s="342">
        <f>S109-S110</f>
        <v>299497000</v>
      </c>
      <c r="T111" s="342"/>
      <c r="U111" s="342"/>
      <c r="V111" s="343"/>
      <c r="W111" s="343"/>
      <c r="Z111" s="341"/>
      <c r="AA111" s="341"/>
      <c r="AB111" s="342" t="e">
        <f>AB109-AB110</f>
        <v>#REF!</v>
      </c>
      <c r="AC111" s="342"/>
      <c r="AD111" s="342"/>
      <c r="AE111" s="343"/>
      <c r="AH111" s="341"/>
      <c r="AI111" s="341"/>
      <c r="AJ111" s="342" t="e">
        <f>AJ109-AJ110</f>
        <v>#REF!</v>
      </c>
      <c r="AK111" s="342"/>
      <c r="AL111" s="342"/>
      <c r="AM111" s="343"/>
    </row>
    <row r="112" spans="1:39">
      <c r="A112" s="338"/>
      <c r="B112" s="338"/>
      <c r="C112" s="339"/>
      <c r="D112" s="339"/>
      <c r="E112" s="988"/>
      <c r="F112" s="988"/>
      <c r="I112" s="338"/>
      <c r="J112" s="338"/>
      <c r="K112" s="339"/>
      <c r="L112" s="339"/>
      <c r="M112" s="988"/>
      <c r="N112" s="988"/>
      <c r="Q112" s="338"/>
      <c r="R112" s="338"/>
      <c r="S112" s="339"/>
      <c r="T112" s="339"/>
      <c r="U112" s="988"/>
      <c r="V112" s="988"/>
      <c r="W112" s="344"/>
      <c r="Z112" s="338"/>
      <c r="AA112" s="338"/>
      <c r="AB112" s="339"/>
      <c r="AC112" s="339"/>
      <c r="AD112" s="988"/>
      <c r="AE112" s="988"/>
      <c r="AH112" s="338"/>
      <c r="AI112" s="338"/>
      <c r="AJ112" s="339"/>
      <c r="AK112" s="339"/>
      <c r="AL112" s="988"/>
      <c r="AM112" s="988"/>
    </row>
    <row r="113" spans="1:39" hidden="1">
      <c r="A113" s="338"/>
      <c r="B113" s="338"/>
      <c r="C113" s="339"/>
      <c r="D113" s="339"/>
      <c r="E113" s="988"/>
      <c r="F113" s="988"/>
      <c r="I113" s="338"/>
      <c r="J113" s="338"/>
      <c r="K113" s="339"/>
      <c r="L113" s="339"/>
      <c r="M113" s="988"/>
      <c r="N113" s="988"/>
      <c r="Q113" s="338"/>
      <c r="R113" s="338"/>
      <c r="S113" s="339"/>
      <c r="T113" s="339"/>
      <c r="U113" s="988"/>
      <c r="V113" s="988"/>
      <c r="W113" s="344"/>
      <c r="Z113" s="338"/>
      <c r="AA113" s="338"/>
      <c r="AB113" s="339"/>
      <c r="AC113" s="339"/>
      <c r="AD113" s="988"/>
      <c r="AE113" s="988"/>
      <c r="AH113" s="338"/>
      <c r="AI113" s="338"/>
      <c r="AJ113" s="339"/>
      <c r="AK113" s="339"/>
      <c r="AL113" s="988"/>
      <c r="AM113" s="988"/>
    </row>
    <row r="114" spans="1:39" hidden="1">
      <c r="A114" s="338" t="s">
        <v>630</v>
      </c>
      <c r="B114" s="338" t="s">
        <v>631</v>
      </c>
      <c r="C114" s="339"/>
      <c r="D114" s="339"/>
      <c r="E114" s="345"/>
      <c r="F114" s="344"/>
      <c r="I114" s="338" t="s">
        <v>630</v>
      </c>
      <c r="J114" s="338" t="s">
        <v>631</v>
      </c>
      <c r="K114" s="339"/>
      <c r="L114" s="339"/>
      <c r="M114" s="345"/>
      <c r="N114" s="344"/>
      <c r="Q114" s="338" t="s">
        <v>630</v>
      </c>
      <c r="R114" s="338" t="s">
        <v>631</v>
      </c>
      <c r="S114" s="339"/>
      <c r="T114" s="339"/>
      <c r="U114" s="345"/>
      <c r="V114" s="344"/>
      <c r="W114" s="344"/>
      <c r="Z114" s="338" t="s">
        <v>630</v>
      </c>
      <c r="AA114" s="338" t="s">
        <v>631</v>
      </c>
      <c r="AB114" s="339"/>
      <c r="AC114" s="339"/>
      <c r="AD114" s="345"/>
      <c r="AE114" s="344"/>
      <c r="AH114" s="338" t="s">
        <v>630</v>
      </c>
      <c r="AI114" s="338" t="s">
        <v>631</v>
      </c>
      <c r="AJ114" s="339"/>
      <c r="AK114" s="339"/>
      <c r="AL114" s="345"/>
      <c r="AM114" s="344"/>
    </row>
    <row r="115" spans="1:39" hidden="1">
      <c r="A115" s="338"/>
      <c r="B115" s="338" t="s">
        <v>632</v>
      </c>
      <c r="C115" s="339"/>
      <c r="D115" s="339"/>
      <c r="E115" s="345"/>
      <c r="F115" s="346">
        <f>F12</f>
        <v>16557769585.389999</v>
      </c>
      <c r="I115" s="338"/>
      <c r="J115" s="338" t="s">
        <v>632</v>
      </c>
      <c r="K115" s="339"/>
      <c r="L115" s="339"/>
      <c r="M115" s="345"/>
      <c r="N115" s="346">
        <f>N12</f>
        <v>12606432941.68</v>
      </c>
      <c r="Q115" s="338"/>
      <c r="R115" s="338" t="s">
        <v>632</v>
      </c>
      <c r="S115" s="339"/>
      <c r="T115" s="339"/>
      <c r="U115" s="345"/>
      <c r="V115" s="346">
        <f>V12</f>
        <v>10652081484</v>
      </c>
      <c r="W115" s="346"/>
      <c r="Z115" s="338"/>
      <c r="AA115" s="338" t="s">
        <v>632</v>
      </c>
      <c r="AB115" s="339"/>
      <c r="AC115" s="339"/>
      <c r="AD115" s="345"/>
      <c r="AE115" s="346" t="e">
        <f>AE12</f>
        <v>#REF!</v>
      </c>
      <c r="AH115" s="338"/>
      <c r="AI115" s="338" t="s">
        <v>632</v>
      </c>
      <c r="AJ115" s="339"/>
      <c r="AK115" s="339"/>
      <c r="AL115" s="345"/>
      <c r="AM115" s="346" t="e">
        <f>AM12</f>
        <v>#REF!</v>
      </c>
    </row>
    <row r="116" spans="1:39" hidden="1">
      <c r="A116" s="338"/>
      <c r="B116" s="338" t="s">
        <v>633</v>
      </c>
      <c r="C116" s="339"/>
      <c r="D116" s="339"/>
      <c r="E116" s="300"/>
      <c r="F116" s="301"/>
      <c r="I116" s="338"/>
      <c r="J116" s="338" t="s">
        <v>633</v>
      </c>
      <c r="K116" s="339"/>
      <c r="L116" s="339"/>
      <c r="M116" s="300"/>
      <c r="N116" s="301"/>
      <c r="Q116" s="338"/>
      <c r="R116" s="338" t="s">
        <v>633</v>
      </c>
      <c r="S116" s="339"/>
      <c r="T116" s="339"/>
      <c r="U116" s="300"/>
      <c r="V116" s="301"/>
      <c r="W116" s="301"/>
      <c r="Z116" s="338"/>
      <c r="AA116" s="338" t="s">
        <v>633</v>
      </c>
      <c r="AB116" s="339"/>
      <c r="AC116" s="339"/>
      <c r="AD116" s="300"/>
      <c r="AE116" s="301"/>
      <c r="AH116" s="338"/>
      <c r="AI116" s="338" t="s">
        <v>633</v>
      </c>
      <c r="AJ116" s="339"/>
      <c r="AK116" s="339"/>
      <c r="AL116" s="300"/>
      <c r="AM116" s="301"/>
    </row>
    <row r="117" spans="1:39" hidden="1">
      <c r="A117" s="338"/>
      <c r="B117" s="338" t="s">
        <v>634</v>
      </c>
      <c r="C117" s="339"/>
      <c r="D117" s="339"/>
      <c r="E117" s="300"/>
      <c r="F117" s="340">
        <f>F11</f>
        <v>165935579738.29999</v>
      </c>
      <c r="I117" s="338"/>
      <c r="J117" s="338" t="s">
        <v>634</v>
      </c>
      <c r="K117" s="339"/>
      <c r="L117" s="339"/>
      <c r="M117" s="300"/>
      <c r="N117" s="340">
        <f>N11</f>
        <v>87688651423.5</v>
      </c>
      <c r="Q117" s="338"/>
      <c r="R117" s="338" t="s">
        <v>634</v>
      </c>
      <c r="S117" s="339"/>
      <c r="T117" s="339"/>
      <c r="U117" s="300"/>
      <c r="V117" s="340">
        <f>V11</f>
        <v>134989855636</v>
      </c>
      <c r="W117" s="340"/>
      <c r="Z117" s="338"/>
      <c r="AA117" s="338" t="s">
        <v>634</v>
      </c>
      <c r="AB117" s="339"/>
      <c r="AC117" s="339"/>
      <c r="AD117" s="300"/>
      <c r="AE117" s="340" t="e">
        <f>AE11</f>
        <v>#REF!</v>
      </c>
      <c r="AH117" s="338"/>
      <c r="AI117" s="338" t="s">
        <v>634</v>
      </c>
      <c r="AJ117" s="339"/>
      <c r="AK117" s="339"/>
      <c r="AL117" s="300"/>
      <c r="AM117" s="340" t="e">
        <f>AM11</f>
        <v>#REF!</v>
      </c>
    </row>
    <row r="118" spans="1:39" hidden="1">
      <c r="A118" s="338"/>
      <c r="B118" s="338" t="s">
        <v>635</v>
      </c>
      <c r="C118" s="339"/>
      <c r="D118" s="339"/>
      <c r="E118" s="300"/>
      <c r="F118" s="301">
        <f>SUM(F115:F117)</f>
        <v>182493349323.69</v>
      </c>
      <c r="I118" s="338"/>
      <c r="J118" s="338" t="s">
        <v>635</v>
      </c>
      <c r="K118" s="339"/>
      <c r="L118" s="339"/>
      <c r="M118" s="300"/>
      <c r="N118" s="301">
        <f>SUM(N115:N117)</f>
        <v>100295084365.17999</v>
      </c>
      <c r="Q118" s="338"/>
      <c r="R118" s="338" t="s">
        <v>635</v>
      </c>
      <c r="S118" s="339"/>
      <c r="T118" s="339"/>
      <c r="U118" s="300"/>
      <c r="V118" s="301">
        <f>SUM(V115:V117)</f>
        <v>145641937120</v>
      </c>
      <c r="W118" s="301"/>
      <c r="Z118" s="338"/>
      <c r="AA118" s="338" t="s">
        <v>635</v>
      </c>
      <c r="AB118" s="339"/>
      <c r="AC118" s="339"/>
      <c r="AD118" s="300"/>
      <c r="AE118" s="301" t="e">
        <f>SUM(AE115:AE117)</f>
        <v>#REF!</v>
      </c>
      <c r="AH118" s="338"/>
      <c r="AI118" s="338" t="s">
        <v>635</v>
      </c>
      <c r="AJ118" s="339"/>
      <c r="AK118" s="339"/>
      <c r="AL118" s="300"/>
      <c r="AM118" s="301" t="e">
        <f>SUM(AM115:AM117)</f>
        <v>#REF!</v>
      </c>
    </row>
    <row r="119" spans="1:39" hidden="1">
      <c r="A119" s="338"/>
      <c r="B119" s="338"/>
      <c r="C119" s="339"/>
      <c r="D119" s="339"/>
      <c r="E119" s="300"/>
      <c r="F119" s="301"/>
      <c r="I119" s="338"/>
      <c r="J119" s="338"/>
      <c r="K119" s="339"/>
      <c r="L119" s="339"/>
      <c r="M119" s="300"/>
      <c r="N119" s="301"/>
      <c r="Q119" s="338"/>
      <c r="R119" s="338"/>
      <c r="S119" s="339"/>
      <c r="T119" s="339"/>
      <c r="U119" s="300"/>
      <c r="V119" s="301"/>
      <c r="W119" s="301"/>
      <c r="Z119" s="338"/>
      <c r="AA119" s="338"/>
      <c r="AB119" s="339"/>
      <c r="AC119" s="339"/>
      <c r="AD119" s="300"/>
      <c r="AE119" s="301"/>
      <c r="AH119" s="338"/>
      <c r="AI119" s="338"/>
      <c r="AJ119" s="339"/>
      <c r="AK119" s="339"/>
      <c r="AL119" s="300"/>
      <c r="AM119" s="301"/>
    </row>
    <row r="120" spans="1:39" hidden="1">
      <c r="A120" s="338" t="s">
        <v>636</v>
      </c>
      <c r="B120" s="338" t="s">
        <v>637</v>
      </c>
      <c r="C120" s="339"/>
      <c r="D120" s="339"/>
      <c r="E120" s="300"/>
      <c r="F120" s="340">
        <f>F109</f>
        <v>4417867705.3039703</v>
      </c>
      <c r="I120" s="338" t="s">
        <v>636</v>
      </c>
      <c r="J120" s="338" t="s">
        <v>637</v>
      </c>
      <c r="K120" s="339"/>
      <c r="L120" s="339"/>
      <c r="M120" s="300"/>
      <c r="N120" s="340">
        <f>N109</f>
        <v>4078078970.1889915</v>
      </c>
      <c r="Q120" s="338" t="s">
        <v>636</v>
      </c>
      <c r="R120" s="338" t="s">
        <v>637</v>
      </c>
      <c r="S120" s="339"/>
      <c r="T120" s="339"/>
      <c r="U120" s="300"/>
      <c r="V120" s="340">
        <f>V109</f>
        <v>704818261.71875</v>
      </c>
      <c r="W120" s="340"/>
      <c r="Z120" s="338" t="s">
        <v>636</v>
      </c>
      <c r="AA120" s="338" t="s">
        <v>637</v>
      </c>
      <c r="AB120" s="339"/>
      <c r="AC120" s="339"/>
      <c r="AD120" s="300"/>
      <c r="AE120" s="340" t="e">
        <f>AE109</f>
        <v>#REF!</v>
      </c>
      <c r="AH120" s="338" t="s">
        <v>636</v>
      </c>
      <c r="AI120" s="338" t="s">
        <v>637</v>
      </c>
      <c r="AJ120" s="339"/>
      <c r="AK120" s="339"/>
      <c r="AL120" s="300"/>
      <c r="AM120" s="340" t="e">
        <f>AM109</f>
        <v>#REF!</v>
      </c>
    </row>
    <row r="121" spans="1:39" hidden="1">
      <c r="A121" s="338"/>
      <c r="B121" s="338" t="s">
        <v>638</v>
      </c>
      <c r="C121" s="339"/>
      <c r="D121" s="339"/>
      <c r="F121" s="348">
        <f>ROUND(F120,-3)</f>
        <v>4417868000</v>
      </c>
      <c r="I121" s="338"/>
      <c r="J121" s="338" t="s">
        <v>638</v>
      </c>
      <c r="K121" s="339"/>
      <c r="L121" s="339"/>
      <c r="N121" s="348">
        <f>ROUND(N120,-3)</f>
        <v>4078079000</v>
      </c>
      <c r="Q121" s="338"/>
      <c r="R121" s="338" t="s">
        <v>638</v>
      </c>
      <c r="S121" s="339"/>
      <c r="T121" s="339"/>
      <c r="V121" s="348">
        <f>ROUND(V120,-3)</f>
        <v>704818000</v>
      </c>
      <c r="W121" s="348"/>
      <c r="Z121" s="338"/>
      <c r="AA121" s="338" t="s">
        <v>638</v>
      </c>
      <c r="AB121" s="339"/>
      <c r="AC121" s="339"/>
      <c r="AE121" s="348" t="e">
        <f>ROUND(AE120,-3)</f>
        <v>#REF!</v>
      </c>
      <c r="AH121" s="338"/>
      <c r="AI121" s="338" t="s">
        <v>638</v>
      </c>
      <c r="AJ121" s="339"/>
      <c r="AK121" s="339"/>
      <c r="AM121" s="348" t="e">
        <f>ROUND(AM120,-3)</f>
        <v>#REF!</v>
      </c>
    </row>
    <row r="122" spans="1:39" hidden="1">
      <c r="A122" s="338"/>
      <c r="B122" s="338"/>
      <c r="C122" s="339"/>
      <c r="D122" s="339"/>
      <c r="E122" s="988"/>
      <c r="F122" s="988"/>
      <c r="I122" s="338"/>
      <c r="J122" s="338"/>
      <c r="K122" s="339"/>
      <c r="L122" s="339"/>
      <c r="M122" s="988"/>
      <c r="N122" s="988"/>
      <c r="Q122" s="338"/>
      <c r="R122" s="338"/>
      <c r="S122" s="339"/>
      <c r="T122" s="339"/>
      <c r="U122" s="988"/>
      <c r="V122" s="988"/>
      <c r="W122" s="344"/>
      <c r="Z122" s="338"/>
      <c r="AA122" s="338"/>
      <c r="AB122" s="339"/>
      <c r="AC122" s="339"/>
      <c r="AD122" s="988"/>
      <c r="AE122" s="988"/>
      <c r="AH122" s="338"/>
      <c r="AI122" s="338"/>
      <c r="AJ122" s="339"/>
      <c r="AK122" s="339"/>
      <c r="AL122" s="988"/>
      <c r="AM122" s="988"/>
    </row>
    <row r="123" spans="1:39" hidden="1">
      <c r="A123" s="338"/>
      <c r="B123" s="338" t="s">
        <v>639</v>
      </c>
      <c r="C123" s="339"/>
      <c r="D123" s="339"/>
      <c r="E123" s="339"/>
      <c r="F123" s="340"/>
      <c r="I123" s="338"/>
      <c r="J123" s="338" t="s">
        <v>639</v>
      </c>
      <c r="K123" s="339"/>
      <c r="L123" s="339"/>
      <c r="M123" s="339"/>
      <c r="N123" s="340"/>
      <c r="Q123" s="338"/>
      <c r="R123" s="338" t="s">
        <v>639</v>
      </c>
      <c r="S123" s="339"/>
      <c r="T123" s="339"/>
      <c r="U123" s="339"/>
      <c r="V123" s="340"/>
      <c r="W123" s="340"/>
      <c r="Z123" s="338"/>
      <c r="AA123" s="338" t="s">
        <v>639</v>
      </c>
      <c r="AB123" s="339"/>
      <c r="AC123" s="339"/>
      <c r="AD123" s="339"/>
      <c r="AE123" s="340"/>
      <c r="AH123" s="338"/>
      <c r="AI123" s="338" t="s">
        <v>639</v>
      </c>
      <c r="AJ123" s="339"/>
      <c r="AK123" s="339"/>
      <c r="AL123" s="339"/>
      <c r="AM123" s="340"/>
    </row>
    <row r="124" spans="1:39" hidden="1">
      <c r="A124" s="338"/>
      <c r="B124" s="338"/>
      <c r="C124" s="349">
        <v>4800000000</v>
      </c>
      <c r="D124" s="350" t="s">
        <v>640</v>
      </c>
      <c r="E124" s="339">
        <f>F121*0</f>
        <v>0</v>
      </c>
      <c r="F124" s="989">
        <f>(C124/C125)*E124</f>
        <v>0</v>
      </c>
      <c r="I124" s="338"/>
      <c r="J124" s="338"/>
      <c r="K124" s="349">
        <v>4800000000</v>
      </c>
      <c r="L124" s="350" t="s">
        <v>640</v>
      </c>
      <c r="M124" s="339">
        <f>N121*0</f>
        <v>0</v>
      </c>
      <c r="N124" s="989">
        <f>(K124/K125)*M124</f>
        <v>0</v>
      </c>
      <c r="Q124" s="338"/>
      <c r="R124" s="338"/>
      <c r="S124" s="349">
        <v>4800000000</v>
      </c>
      <c r="T124" s="350" t="s">
        <v>640</v>
      </c>
      <c r="U124" s="339">
        <f>V121*0</f>
        <v>0</v>
      </c>
      <c r="V124" s="989">
        <f>(S124/S125)*U124</f>
        <v>0</v>
      </c>
      <c r="W124" s="629"/>
      <c r="Z124" s="338"/>
      <c r="AA124" s="338"/>
      <c r="AB124" s="349">
        <v>4800000000</v>
      </c>
      <c r="AC124" s="350" t="s">
        <v>640</v>
      </c>
      <c r="AD124" s="339" t="e">
        <f>AE121*0</f>
        <v>#REF!</v>
      </c>
      <c r="AE124" s="989" t="e">
        <f>(AB124/AB125)*AD124</f>
        <v>#REF!</v>
      </c>
      <c r="AH124" s="338"/>
      <c r="AI124" s="338"/>
      <c r="AJ124" s="349">
        <v>4800000000</v>
      </c>
      <c r="AK124" s="350" t="s">
        <v>640</v>
      </c>
      <c r="AL124" s="339" t="e">
        <f>AM121*0</f>
        <v>#REF!</v>
      </c>
      <c r="AM124" s="989" t="e">
        <f>(AJ124/AJ125)*AL124</f>
        <v>#REF!</v>
      </c>
    </row>
    <row r="125" spans="1:39" hidden="1">
      <c r="A125" s="338"/>
      <c r="B125" s="338"/>
      <c r="C125" s="339">
        <f>F118</f>
        <v>182493349323.69</v>
      </c>
      <c r="D125" s="339"/>
      <c r="E125" s="339"/>
      <c r="F125" s="989"/>
      <c r="I125" s="338"/>
      <c r="J125" s="338"/>
      <c r="K125" s="339">
        <f>N118</f>
        <v>100295084365.17999</v>
      </c>
      <c r="L125" s="339"/>
      <c r="M125" s="339"/>
      <c r="N125" s="989"/>
      <c r="Q125" s="338"/>
      <c r="R125" s="338"/>
      <c r="S125" s="339">
        <f>V118</f>
        <v>145641937120</v>
      </c>
      <c r="T125" s="339"/>
      <c r="U125" s="339"/>
      <c r="V125" s="989"/>
      <c r="W125" s="629"/>
      <c r="Z125" s="338"/>
      <c r="AA125" s="338"/>
      <c r="AB125" s="339" t="e">
        <f>AE118</f>
        <v>#REF!</v>
      </c>
      <c r="AC125" s="339"/>
      <c r="AD125" s="339"/>
      <c r="AE125" s="989"/>
      <c r="AH125" s="338"/>
      <c r="AI125" s="338"/>
      <c r="AJ125" s="339" t="e">
        <f>AM118</f>
        <v>#REF!</v>
      </c>
      <c r="AK125" s="339"/>
      <c r="AL125" s="339"/>
      <c r="AM125" s="989"/>
    </row>
    <row r="126" spans="1:39" hidden="1">
      <c r="A126" s="338"/>
      <c r="B126" s="351"/>
      <c r="C126" s="339"/>
      <c r="D126" s="339"/>
      <c r="E126" s="339"/>
      <c r="F126" s="340"/>
      <c r="I126" s="338"/>
      <c r="J126" s="351"/>
      <c r="K126" s="339"/>
      <c r="L126" s="339"/>
      <c r="M126" s="339"/>
      <c r="N126" s="340"/>
      <c r="Q126" s="338"/>
      <c r="R126" s="351"/>
      <c r="S126" s="339"/>
      <c r="T126" s="339"/>
      <c r="U126" s="339"/>
      <c r="V126" s="340"/>
      <c r="W126" s="340"/>
      <c r="Z126" s="338"/>
      <c r="AA126" s="351"/>
      <c r="AB126" s="339"/>
      <c r="AC126" s="339"/>
      <c r="AD126" s="339"/>
      <c r="AE126" s="340"/>
      <c r="AH126" s="338"/>
      <c r="AI126" s="351"/>
      <c r="AJ126" s="339"/>
      <c r="AK126" s="339"/>
      <c r="AL126" s="339"/>
      <c r="AM126" s="340"/>
    </row>
    <row r="127" spans="1:39" hidden="1">
      <c r="A127" s="338"/>
      <c r="B127" s="352" t="s">
        <v>641</v>
      </c>
      <c r="C127" s="339"/>
      <c r="D127" s="339"/>
      <c r="E127" s="339"/>
      <c r="F127" s="340"/>
      <c r="I127" s="338"/>
      <c r="J127" s="352" t="s">
        <v>641</v>
      </c>
      <c r="K127" s="339"/>
      <c r="L127" s="339"/>
      <c r="M127" s="339"/>
      <c r="N127" s="340"/>
      <c r="Q127" s="338"/>
      <c r="R127" s="352" t="s">
        <v>641</v>
      </c>
      <c r="S127" s="339"/>
      <c r="T127" s="339"/>
      <c r="U127" s="339"/>
      <c r="V127" s="340"/>
      <c r="W127" s="340"/>
      <c r="Z127" s="338"/>
      <c r="AA127" s="352" t="s">
        <v>641</v>
      </c>
      <c r="AB127" s="339"/>
      <c r="AC127" s="339"/>
      <c r="AD127" s="339"/>
      <c r="AE127" s="340"/>
      <c r="AH127" s="338"/>
      <c r="AI127" s="352" t="s">
        <v>641</v>
      </c>
      <c r="AJ127" s="339"/>
      <c r="AK127" s="339"/>
      <c r="AL127" s="339"/>
      <c r="AM127" s="340"/>
    </row>
    <row r="128" spans="1:39" hidden="1">
      <c r="A128" s="338"/>
      <c r="B128" s="353"/>
      <c r="C128" s="339">
        <f>F121</f>
        <v>4417868000</v>
      </c>
      <c r="D128" s="350" t="s">
        <v>642</v>
      </c>
      <c r="E128" s="339">
        <f>F124</f>
        <v>0</v>
      </c>
      <c r="F128" s="340">
        <f>C128-E128</f>
        <v>4417868000</v>
      </c>
      <c r="I128" s="338"/>
      <c r="J128" s="353"/>
      <c r="K128" s="339">
        <f>N121</f>
        <v>4078079000</v>
      </c>
      <c r="L128" s="350" t="s">
        <v>642</v>
      </c>
      <c r="M128" s="339">
        <f>N124</f>
        <v>0</v>
      </c>
      <c r="N128" s="340">
        <f>K128-M128</f>
        <v>4078079000</v>
      </c>
      <c r="Q128" s="338"/>
      <c r="R128" s="353"/>
      <c r="S128" s="339">
        <f>V121</f>
        <v>704818000</v>
      </c>
      <c r="T128" s="350" t="s">
        <v>642</v>
      </c>
      <c r="U128" s="339">
        <f>V124</f>
        <v>0</v>
      </c>
      <c r="V128" s="340">
        <f>S128-U128</f>
        <v>704818000</v>
      </c>
      <c r="W128" s="340"/>
      <c r="Z128" s="338"/>
      <c r="AA128" s="353"/>
      <c r="AB128" s="339" t="e">
        <f>AE121</f>
        <v>#REF!</v>
      </c>
      <c r="AC128" s="350" t="s">
        <v>642</v>
      </c>
      <c r="AD128" s="339" t="e">
        <f>AE124</f>
        <v>#REF!</v>
      </c>
      <c r="AE128" s="340" t="e">
        <f>AB128-AD128</f>
        <v>#REF!</v>
      </c>
      <c r="AH128" s="338"/>
      <c r="AI128" s="353"/>
      <c r="AJ128" s="339" t="e">
        <f>AM121</f>
        <v>#REF!</v>
      </c>
      <c r="AK128" s="350" t="s">
        <v>642</v>
      </c>
      <c r="AL128" s="339" t="e">
        <f>AM124</f>
        <v>#REF!</v>
      </c>
      <c r="AM128" s="340" t="e">
        <f>AJ128-AL128</f>
        <v>#REF!</v>
      </c>
    </row>
    <row r="129" spans="1:39" hidden="1">
      <c r="A129" s="338"/>
      <c r="B129" s="354"/>
      <c r="C129" s="339"/>
      <c r="D129" s="339"/>
      <c r="E129" s="339"/>
      <c r="F129" s="340"/>
      <c r="I129" s="338"/>
      <c r="J129" s="354"/>
      <c r="K129" s="339"/>
      <c r="L129" s="339"/>
      <c r="M129" s="339"/>
      <c r="N129" s="340"/>
      <c r="Q129" s="338"/>
      <c r="R129" s="354"/>
      <c r="S129" s="339"/>
      <c r="T129" s="339"/>
      <c r="U129" s="339"/>
      <c r="V129" s="340"/>
      <c r="W129" s="340"/>
      <c r="Z129" s="338"/>
      <c r="AA129" s="354"/>
      <c r="AB129" s="339"/>
      <c r="AC129" s="339"/>
      <c r="AD129" s="339"/>
      <c r="AE129" s="340"/>
      <c r="AH129" s="338"/>
      <c r="AI129" s="354"/>
      <c r="AJ129" s="339"/>
      <c r="AK129" s="339"/>
      <c r="AL129" s="339"/>
      <c r="AM129" s="340"/>
    </row>
    <row r="130" spans="1:39" hidden="1">
      <c r="A130" s="338" t="s">
        <v>643</v>
      </c>
      <c r="B130" s="338" t="s">
        <v>644</v>
      </c>
      <c r="C130" s="339"/>
      <c r="D130" s="339"/>
      <c r="E130" s="339"/>
      <c r="F130" s="340"/>
      <c r="I130" s="338" t="s">
        <v>643</v>
      </c>
      <c r="J130" s="338" t="s">
        <v>644</v>
      </c>
      <c r="K130" s="339"/>
      <c r="L130" s="339"/>
      <c r="M130" s="339"/>
      <c r="N130" s="340"/>
      <c r="Q130" s="338" t="s">
        <v>643</v>
      </c>
      <c r="R130" s="338" t="s">
        <v>644</v>
      </c>
      <c r="S130" s="339"/>
      <c r="T130" s="339"/>
      <c r="U130" s="339"/>
      <c r="V130" s="340"/>
      <c r="W130" s="340"/>
      <c r="Z130" s="338" t="s">
        <v>643</v>
      </c>
      <c r="AA130" s="338" t="s">
        <v>644</v>
      </c>
      <c r="AB130" s="339"/>
      <c r="AC130" s="339"/>
      <c r="AD130" s="339"/>
      <c r="AE130" s="340"/>
      <c r="AH130" s="338" t="s">
        <v>643</v>
      </c>
      <c r="AI130" s="338" t="s">
        <v>644</v>
      </c>
      <c r="AJ130" s="339"/>
      <c r="AK130" s="339"/>
      <c r="AL130" s="339"/>
      <c r="AM130" s="340"/>
    </row>
    <row r="131" spans="1:39" hidden="1">
      <c r="A131" s="338"/>
      <c r="B131" s="338" t="s">
        <v>645</v>
      </c>
      <c r="C131" s="339"/>
      <c r="D131" s="339"/>
      <c r="E131" s="339"/>
      <c r="F131" s="340"/>
      <c r="I131" s="338"/>
      <c r="J131" s="338" t="s">
        <v>645</v>
      </c>
      <c r="K131" s="339"/>
      <c r="L131" s="339"/>
      <c r="M131" s="339"/>
      <c r="N131" s="340"/>
      <c r="Q131" s="338"/>
      <c r="R131" s="338" t="s">
        <v>645</v>
      </c>
      <c r="S131" s="339"/>
      <c r="T131" s="339"/>
      <c r="U131" s="339"/>
      <c r="V131" s="340"/>
      <c r="W131" s="340"/>
      <c r="Z131" s="338"/>
      <c r="AA131" s="338" t="s">
        <v>645</v>
      </c>
      <c r="AB131" s="339"/>
      <c r="AC131" s="339"/>
      <c r="AD131" s="339"/>
      <c r="AE131" s="340"/>
      <c r="AH131" s="338"/>
      <c r="AI131" s="338" t="s">
        <v>645</v>
      </c>
      <c r="AJ131" s="339"/>
      <c r="AK131" s="339"/>
      <c r="AL131" s="339"/>
      <c r="AM131" s="340"/>
    </row>
    <row r="132" spans="1:39" hidden="1">
      <c r="A132" s="338"/>
      <c r="B132" s="338"/>
      <c r="C132" s="355" t="s">
        <v>646</v>
      </c>
      <c r="D132" s="350" t="s">
        <v>640</v>
      </c>
      <c r="E132" s="339">
        <f>F124</f>
        <v>0</v>
      </c>
      <c r="F132" s="340">
        <f>(50%*22%*E132)</f>
        <v>0</v>
      </c>
      <c r="I132" s="338"/>
      <c r="J132" s="338"/>
      <c r="K132" s="355" t="s">
        <v>646</v>
      </c>
      <c r="L132" s="350" t="s">
        <v>640</v>
      </c>
      <c r="M132" s="339">
        <f>N124</f>
        <v>0</v>
      </c>
      <c r="N132" s="340">
        <f>(50%*22%*M132)</f>
        <v>0</v>
      </c>
      <c r="Q132" s="338"/>
      <c r="R132" s="338"/>
      <c r="S132" s="355" t="s">
        <v>646</v>
      </c>
      <c r="T132" s="350" t="s">
        <v>640</v>
      </c>
      <c r="U132" s="339">
        <f>V124</f>
        <v>0</v>
      </c>
      <c r="V132" s="340">
        <f>(50%*22%*U132)</f>
        <v>0</v>
      </c>
      <c r="W132" s="340"/>
      <c r="Z132" s="338"/>
      <c r="AA132" s="338"/>
      <c r="AB132" s="355" t="s">
        <v>646</v>
      </c>
      <c r="AC132" s="350" t="s">
        <v>640</v>
      </c>
      <c r="AD132" s="339" t="e">
        <f>AE124</f>
        <v>#REF!</v>
      </c>
      <c r="AE132" s="340" t="e">
        <f>(50%*22%*AD132)</f>
        <v>#REF!</v>
      </c>
      <c r="AH132" s="338"/>
      <c r="AI132" s="338"/>
      <c r="AJ132" s="355" t="s">
        <v>646</v>
      </c>
      <c r="AK132" s="350" t="s">
        <v>640</v>
      </c>
      <c r="AL132" s="339" t="e">
        <f>AM124</f>
        <v>#REF!</v>
      </c>
      <c r="AM132" s="340" t="e">
        <f>(50%*22%*AL132)</f>
        <v>#REF!</v>
      </c>
    </row>
    <row r="133" spans="1:39" hidden="1">
      <c r="A133" s="338"/>
      <c r="B133" s="338"/>
      <c r="C133" s="355"/>
      <c r="D133" s="350"/>
      <c r="E133" s="339"/>
      <c r="F133" s="340"/>
      <c r="I133" s="338"/>
      <c r="J133" s="338"/>
      <c r="K133" s="355"/>
      <c r="L133" s="350"/>
      <c r="M133" s="339"/>
      <c r="N133" s="340"/>
      <c r="Q133" s="338"/>
      <c r="R133" s="338"/>
      <c r="S133" s="355"/>
      <c r="T133" s="350"/>
      <c r="U133" s="339"/>
      <c r="V133" s="340"/>
      <c r="W133" s="340"/>
      <c r="Z133" s="338"/>
      <c r="AA133" s="338"/>
      <c r="AB133" s="355"/>
      <c r="AC133" s="350"/>
      <c r="AD133" s="339"/>
      <c r="AE133" s="340"/>
      <c r="AH133" s="338"/>
      <c r="AI133" s="338"/>
      <c r="AJ133" s="355"/>
      <c r="AK133" s="350"/>
      <c r="AL133" s="339"/>
      <c r="AM133" s="340"/>
    </row>
    <row r="134" spans="1:39" hidden="1">
      <c r="A134" s="338"/>
      <c r="B134" s="338" t="s">
        <v>647</v>
      </c>
      <c r="C134" s="355"/>
      <c r="D134" s="350"/>
      <c r="E134" s="339"/>
      <c r="F134" s="340"/>
      <c r="I134" s="338"/>
      <c r="J134" s="338" t="s">
        <v>647</v>
      </c>
      <c r="K134" s="355"/>
      <c r="L134" s="350"/>
      <c r="M134" s="339"/>
      <c r="N134" s="340"/>
      <c r="Q134" s="338"/>
      <c r="R134" s="338" t="s">
        <v>647</v>
      </c>
      <c r="S134" s="355"/>
      <c r="T134" s="350"/>
      <c r="U134" s="339"/>
      <c r="V134" s="340"/>
      <c r="W134" s="340"/>
      <c r="Z134" s="338"/>
      <c r="AA134" s="338" t="s">
        <v>647</v>
      </c>
      <c r="AB134" s="355"/>
      <c r="AC134" s="350"/>
      <c r="AD134" s="339"/>
      <c r="AE134" s="340"/>
      <c r="AH134" s="338"/>
      <c r="AI134" s="338" t="s">
        <v>647</v>
      </c>
      <c r="AJ134" s="355"/>
      <c r="AK134" s="350"/>
      <c r="AL134" s="339"/>
      <c r="AM134" s="340"/>
    </row>
    <row r="135" spans="1:39" hidden="1">
      <c r="A135" s="338"/>
      <c r="B135" s="338"/>
      <c r="C135" s="366">
        <v>0.22</v>
      </c>
      <c r="D135" s="350" t="s">
        <v>640</v>
      </c>
      <c r="E135" s="339">
        <f>F128</f>
        <v>4417868000</v>
      </c>
      <c r="F135" s="340">
        <f>C135*E135</f>
        <v>971930960</v>
      </c>
      <c r="I135" s="338"/>
      <c r="J135" s="338"/>
      <c r="K135" s="366">
        <v>0.22</v>
      </c>
      <c r="L135" s="350" t="s">
        <v>640</v>
      </c>
      <c r="M135" s="339">
        <f>N128</f>
        <v>4078079000</v>
      </c>
      <c r="N135" s="340">
        <f>K135*M135</f>
        <v>897177380</v>
      </c>
      <c r="Q135" s="338"/>
      <c r="R135" s="338"/>
      <c r="S135" s="366">
        <v>0.22</v>
      </c>
      <c r="T135" s="350" t="s">
        <v>640</v>
      </c>
      <c r="U135" s="339">
        <f>V128</f>
        <v>704818000</v>
      </c>
      <c r="V135" s="340">
        <f>S135*U135</f>
        <v>155059960</v>
      </c>
      <c r="W135" s="340"/>
      <c r="Z135" s="338"/>
      <c r="AA135" s="338"/>
      <c r="AB135" s="366">
        <v>0.22</v>
      </c>
      <c r="AC135" s="350" t="s">
        <v>640</v>
      </c>
      <c r="AD135" s="339" t="e">
        <f>AE128</f>
        <v>#REF!</v>
      </c>
      <c r="AE135" s="340" t="e">
        <f>AB135*AD135</f>
        <v>#REF!</v>
      </c>
      <c r="AH135" s="338"/>
      <c r="AI135" s="338"/>
      <c r="AJ135" s="366">
        <v>0.22</v>
      </c>
      <c r="AK135" s="350" t="s">
        <v>640</v>
      </c>
      <c r="AL135" s="339" t="e">
        <f>AM128</f>
        <v>#REF!</v>
      </c>
      <c r="AM135" s="340" t="e">
        <f>AJ135*AL135</f>
        <v>#REF!</v>
      </c>
    </row>
    <row r="136" spans="1:39" hidden="1">
      <c r="A136" s="338"/>
      <c r="B136" s="338"/>
      <c r="C136" s="339"/>
      <c r="D136" s="339"/>
      <c r="E136" s="339"/>
      <c r="F136" s="340"/>
      <c r="I136" s="338"/>
      <c r="J136" s="338"/>
      <c r="K136" s="339"/>
      <c r="L136" s="339"/>
      <c r="M136" s="339"/>
      <c r="N136" s="340"/>
      <c r="Q136" s="338"/>
      <c r="R136" s="338"/>
      <c r="S136" s="339"/>
      <c r="T136" s="339"/>
      <c r="U136" s="339"/>
      <c r="V136" s="340"/>
      <c r="W136" s="340"/>
      <c r="Z136" s="338"/>
      <c r="AA136" s="338"/>
      <c r="AB136" s="339"/>
      <c r="AC136" s="339"/>
      <c r="AD136" s="339"/>
      <c r="AE136" s="340"/>
      <c r="AH136" s="338"/>
      <c r="AI136" s="338"/>
      <c r="AJ136" s="339"/>
      <c r="AK136" s="339"/>
      <c r="AL136" s="339"/>
      <c r="AM136" s="340"/>
    </row>
    <row r="137" spans="1:39" hidden="1">
      <c r="A137" s="356" t="s">
        <v>648</v>
      </c>
      <c r="B137" s="357"/>
      <c r="C137" s="358"/>
      <c r="D137" s="358"/>
      <c r="E137" s="358"/>
      <c r="F137" s="359">
        <f>F132+F135</f>
        <v>971930960</v>
      </c>
      <c r="I137" s="356" t="s">
        <v>648</v>
      </c>
      <c r="J137" s="357"/>
      <c r="K137" s="358"/>
      <c r="L137" s="358"/>
      <c r="M137" s="358"/>
      <c r="N137" s="359">
        <f>N132+N135</f>
        <v>897177380</v>
      </c>
      <c r="Q137" s="356" t="s">
        <v>648</v>
      </c>
      <c r="R137" s="357"/>
      <c r="S137" s="358"/>
      <c r="T137" s="358"/>
      <c r="U137" s="358"/>
      <c r="V137" s="359">
        <f>V132+V135</f>
        <v>155059960</v>
      </c>
      <c r="W137" s="359"/>
      <c r="Z137" s="356" t="s">
        <v>648</v>
      </c>
      <c r="AA137" s="357"/>
      <c r="AB137" s="358"/>
      <c r="AC137" s="358"/>
      <c r="AD137" s="358"/>
      <c r="AE137" s="359" t="e">
        <f>AE132+AE135</f>
        <v>#REF!</v>
      </c>
      <c r="AH137" s="356" t="s">
        <v>648</v>
      </c>
      <c r="AI137" s="357"/>
      <c r="AJ137" s="358"/>
      <c r="AK137" s="358"/>
      <c r="AL137" s="358"/>
      <c r="AM137" s="359" t="e">
        <f>AM132+AM135</f>
        <v>#REF!</v>
      </c>
    </row>
    <row r="138" spans="1:39" hidden="1">
      <c r="A138" s="338"/>
      <c r="B138" s="338"/>
      <c r="C138" s="339"/>
      <c r="D138" s="339"/>
      <c r="E138" s="339"/>
      <c r="F138" s="340"/>
      <c r="I138" s="338"/>
      <c r="J138" s="338"/>
      <c r="K138" s="339"/>
      <c r="L138" s="339"/>
      <c r="M138" s="339"/>
      <c r="N138" s="340"/>
      <c r="Q138" s="338"/>
      <c r="R138" s="338"/>
      <c r="S138" s="339"/>
      <c r="T138" s="339"/>
      <c r="U138" s="339"/>
      <c r="V138" s="340"/>
      <c r="W138" s="340"/>
      <c r="Z138" s="338"/>
      <c r="AA138" s="338"/>
      <c r="AB138" s="339"/>
      <c r="AC138" s="339"/>
      <c r="AD138" s="339"/>
      <c r="AE138" s="340"/>
      <c r="AH138" s="338"/>
      <c r="AI138" s="338"/>
      <c r="AJ138" s="339"/>
      <c r="AK138" s="339"/>
      <c r="AL138" s="339"/>
      <c r="AM138" s="340"/>
    </row>
    <row r="139" spans="1:39" hidden="1">
      <c r="A139" s="338"/>
      <c r="B139" s="338"/>
      <c r="C139" s="339"/>
      <c r="D139" s="339"/>
      <c r="E139" s="339"/>
      <c r="F139" s="340"/>
      <c r="I139" s="338"/>
      <c r="J139" s="338"/>
      <c r="K139" s="339"/>
      <c r="L139" s="339"/>
      <c r="M139" s="339"/>
      <c r="N139" s="340"/>
      <c r="Q139" s="338"/>
      <c r="R139" s="338"/>
      <c r="S139" s="339"/>
      <c r="T139" s="339"/>
      <c r="U139" s="339"/>
      <c r="V139" s="340"/>
      <c r="W139" s="340"/>
      <c r="Z139" s="338"/>
      <c r="AA139" s="338"/>
      <c r="AB139" s="339"/>
      <c r="AC139" s="339"/>
      <c r="AD139" s="339"/>
      <c r="AE139" s="340"/>
      <c r="AH139" s="338"/>
      <c r="AI139" s="338"/>
      <c r="AJ139" s="339"/>
      <c r="AK139" s="339"/>
      <c r="AL139" s="339"/>
      <c r="AM139" s="340"/>
    </row>
    <row r="140" spans="1:39" hidden="1">
      <c r="A140" s="338"/>
      <c r="B140" s="338"/>
      <c r="C140" s="339"/>
      <c r="D140" s="339"/>
      <c r="E140" s="339" t="s">
        <v>75</v>
      </c>
      <c r="F140" s="339"/>
      <c r="I140" s="338"/>
      <c r="J140" s="338"/>
      <c r="K140" s="339"/>
      <c r="L140" s="339"/>
      <c r="M140" s="339" t="s">
        <v>75</v>
      </c>
      <c r="N140" s="339"/>
      <c r="Q140" s="338"/>
      <c r="R140" s="338"/>
      <c r="S140" s="339"/>
      <c r="T140" s="339"/>
      <c r="U140" s="339" t="s">
        <v>75</v>
      </c>
      <c r="V140" s="413"/>
      <c r="W140" s="413"/>
      <c r="Z140" s="338"/>
      <c r="AA140" s="338"/>
      <c r="AB140" s="339"/>
      <c r="AC140" s="339"/>
      <c r="AD140" s="339" t="s">
        <v>75</v>
      </c>
      <c r="AE140" s="339">
        <v>158105967</v>
      </c>
      <c r="AH140" s="338"/>
      <c r="AI140" s="338"/>
      <c r="AJ140" s="339"/>
      <c r="AK140" s="339"/>
      <c r="AL140" s="339" t="s">
        <v>75</v>
      </c>
      <c r="AM140" s="413">
        <v>55018816</v>
      </c>
    </row>
    <row r="141" spans="1:39" hidden="1">
      <c r="A141" s="338"/>
      <c r="B141" s="338"/>
      <c r="C141" s="339"/>
      <c r="D141" s="339"/>
      <c r="E141" s="339" t="s">
        <v>76</v>
      </c>
      <c r="F141" s="339"/>
      <c r="I141" s="338"/>
      <c r="J141" s="338"/>
      <c r="K141" s="339"/>
      <c r="L141" s="339"/>
      <c r="M141" s="339" t="s">
        <v>76</v>
      </c>
      <c r="N141" s="339"/>
      <c r="Q141" s="338"/>
      <c r="R141" s="338"/>
      <c r="S141" s="339"/>
      <c r="T141" s="339"/>
      <c r="U141" s="339" t="s">
        <v>76</v>
      </c>
      <c r="V141" s="413"/>
      <c r="W141" s="413"/>
      <c r="Z141" s="338"/>
      <c r="AA141" s="338"/>
      <c r="AB141" s="339"/>
      <c r="AC141" s="339"/>
      <c r="AD141" s="339" t="s">
        <v>76</v>
      </c>
      <c r="AE141" s="339">
        <v>15505370.24</v>
      </c>
      <c r="AH141" s="338"/>
      <c r="AI141" s="338"/>
      <c r="AJ141" s="339"/>
      <c r="AK141" s="339"/>
      <c r="AL141" s="339" t="s">
        <v>76</v>
      </c>
      <c r="AM141" s="413">
        <v>65023075</v>
      </c>
    </row>
    <row r="142" spans="1:39" hidden="1">
      <c r="A142" s="338"/>
      <c r="B142" s="338"/>
      <c r="C142" s="339"/>
      <c r="D142" s="339"/>
      <c r="E142" s="339" t="s">
        <v>77</v>
      </c>
      <c r="F142" s="339"/>
      <c r="I142" s="338"/>
      <c r="J142" s="338"/>
      <c r="K142" s="339"/>
      <c r="L142" s="339"/>
      <c r="M142" s="339" t="s">
        <v>77</v>
      </c>
      <c r="N142" s="339"/>
      <c r="Q142" s="338"/>
      <c r="R142" s="338"/>
      <c r="S142" s="339"/>
      <c r="T142" s="339"/>
      <c r="U142" s="339" t="s">
        <v>77</v>
      </c>
      <c r="V142" s="339"/>
      <c r="W142" s="339"/>
      <c r="Z142" s="338"/>
      <c r="AA142" s="338"/>
      <c r="AB142" s="339"/>
      <c r="AC142" s="339"/>
      <c r="AD142" s="339" t="s">
        <v>77</v>
      </c>
      <c r="AE142" s="339"/>
      <c r="AH142" s="338"/>
      <c r="AI142" s="338"/>
      <c r="AJ142" s="339"/>
      <c r="AK142" s="339"/>
      <c r="AL142" s="339" t="s">
        <v>77</v>
      </c>
      <c r="AM142" s="339"/>
    </row>
    <row r="143" spans="1:39" hidden="1">
      <c r="A143" s="338"/>
      <c r="B143" s="338"/>
      <c r="C143" s="339"/>
      <c r="D143" s="339"/>
      <c r="E143" s="339" t="s">
        <v>649</v>
      </c>
      <c r="F143" s="339"/>
      <c r="I143" s="338"/>
      <c r="J143" s="338"/>
      <c r="K143" s="339"/>
      <c r="L143" s="339"/>
      <c r="M143" s="339" t="s">
        <v>649</v>
      </c>
      <c r="N143" s="339"/>
      <c r="Q143" s="338"/>
      <c r="R143" s="338"/>
      <c r="S143" s="339"/>
      <c r="T143" s="339"/>
      <c r="U143" s="339" t="s">
        <v>649</v>
      </c>
      <c r="V143" s="339"/>
      <c r="W143" s="339"/>
      <c r="Z143" s="338"/>
      <c r="AA143" s="338"/>
      <c r="AB143" s="339"/>
      <c r="AC143" s="339"/>
      <c r="AD143" s="339" t="s">
        <v>649</v>
      </c>
      <c r="AE143" s="339"/>
      <c r="AH143" s="338"/>
      <c r="AI143" s="338"/>
      <c r="AJ143" s="339"/>
      <c r="AK143" s="339"/>
      <c r="AL143" s="339" t="s">
        <v>649</v>
      </c>
      <c r="AM143" s="339"/>
    </row>
    <row r="144" spans="1:39" hidden="1">
      <c r="A144" s="338"/>
      <c r="B144" s="338"/>
      <c r="C144" s="339"/>
      <c r="D144" s="339"/>
      <c r="E144" s="339"/>
      <c r="F144" s="340"/>
      <c r="I144" s="338"/>
      <c r="J144" s="338"/>
      <c r="K144" s="339"/>
      <c r="L144" s="339"/>
      <c r="M144" s="339"/>
      <c r="N144" s="340"/>
      <c r="Q144" s="338"/>
      <c r="R144" s="338"/>
      <c r="S144" s="339"/>
      <c r="T144" s="339"/>
      <c r="U144" s="339"/>
      <c r="V144" s="340"/>
      <c r="W144" s="340"/>
      <c r="Z144" s="338"/>
      <c r="AA144" s="338"/>
      <c r="AB144" s="339"/>
      <c r="AC144" s="339"/>
      <c r="AD144" s="339"/>
      <c r="AE144" s="340"/>
      <c r="AH144" s="338"/>
      <c r="AI144" s="338"/>
      <c r="AJ144" s="339"/>
      <c r="AK144" s="339"/>
      <c r="AL144" s="339"/>
      <c r="AM144" s="340"/>
    </row>
    <row r="145" spans="1:39" hidden="1">
      <c r="A145" s="338"/>
      <c r="B145" s="338"/>
      <c r="C145" s="339"/>
      <c r="D145" s="339"/>
      <c r="E145" s="300" t="s">
        <v>650</v>
      </c>
      <c r="F145" s="301">
        <f>F137-F141-F142-F143-F140</f>
        <v>971930960</v>
      </c>
      <c r="I145" s="338"/>
      <c r="J145" s="338"/>
      <c r="K145" s="339"/>
      <c r="L145" s="339"/>
      <c r="M145" s="300" t="s">
        <v>650</v>
      </c>
      <c r="N145" s="301">
        <f>N137-N141-N142-N143-N140</f>
        <v>897177380</v>
      </c>
      <c r="Q145" s="338"/>
      <c r="R145" s="338"/>
      <c r="S145" s="339"/>
      <c r="T145" s="339"/>
      <c r="U145" s="300" t="s">
        <v>650</v>
      </c>
      <c r="V145" s="301">
        <f>V137-V141-V142-V143-V140</f>
        <v>155059960</v>
      </c>
      <c r="W145" s="301"/>
      <c r="Z145" s="338"/>
      <c r="AA145" s="338"/>
      <c r="AB145" s="339"/>
      <c r="AC145" s="339"/>
      <c r="AD145" s="300" t="s">
        <v>650</v>
      </c>
      <c r="AE145" s="301" t="e">
        <f>AE137-AE141-AE142-AE143-AE140</f>
        <v>#REF!</v>
      </c>
      <c r="AH145" s="338"/>
      <c r="AI145" s="338"/>
      <c r="AJ145" s="339"/>
      <c r="AK145" s="339"/>
      <c r="AL145" s="300" t="s">
        <v>650</v>
      </c>
      <c r="AM145" s="301" t="e">
        <f>AM137-AM141-AM142-AM143-AM140</f>
        <v>#REF!</v>
      </c>
    </row>
    <row r="146" spans="1:39" hidden="1">
      <c r="A146" s="318"/>
      <c r="B146" s="318"/>
      <c r="C146" s="297"/>
      <c r="D146" s="297"/>
      <c r="E146" s="297"/>
      <c r="F146" s="360"/>
      <c r="I146" s="318"/>
      <c r="J146" s="318"/>
      <c r="K146" s="297"/>
      <c r="L146" s="297"/>
      <c r="M146" s="297"/>
      <c r="N146" s="360"/>
      <c r="Q146" s="318"/>
      <c r="R146" s="318"/>
      <c r="S146" s="297"/>
      <c r="T146" s="297"/>
      <c r="U146" s="297"/>
      <c r="V146" s="360"/>
      <c r="W146" s="360"/>
      <c r="Z146" s="318"/>
      <c r="AA146" s="318"/>
      <c r="AB146" s="297"/>
      <c r="AC146" s="297"/>
      <c r="AD146" s="297"/>
      <c r="AE146" s="360"/>
      <c r="AH146" s="318"/>
      <c r="AI146" s="318"/>
      <c r="AJ146" s="297"/>
      <c r="AK146" s="297"/>
      <c r="AL146" s="297"/>
      <c r="AM146" s="360"/>
    </row>
    <row r="147" spans="1:39" hidden="1">
      <c r="A147" s="318"/>
      <c r="B147" s="318"/>
      <c r="C147" s="297"/>
      <c r="D147" s="297"/>
      <c r="E147" s="297"/>
      <c r="F147" s="360"/>
      <c r="I147" s="318"/>
      <c r="J147" s="318"/>
      <c r="K147" s="297"/>
      <c r="L147" s="297"/>
      <c r="M147" s="297"/>
      <c r="N147" s="360"/>
      <c r="Q147" s="318"/>
      <c r="R147" s="318"/>
      <c r="S147" s="297"/>
      <c r="T147" s="297"/>
      <c r="U147" s="297"/>
      <c r="V147" s="360"/>
      <c r="W147" s="360"/>
      <c r="Z147" s="318"/>
      <c r="AA147" s="318"/>
      <c r="AB147" s="297"/>
      <c r="AC147" s="297"/>
      <c r="AD147" s="297"/>
      <c r="AE147" s="360"/>
      <c r="AH147" s="318"/>
      <c r="AI147" s="318"/>
      <c r="AJ147" s="297"/>
      <c r="AK147" s="297"/>
      <c r="AL147" s="297"/>
      <c r="AM147" s="360"/>
    </row>
    <row r="148" spans="1:39" hidden="1">
      <c r="A148" s="318"/>
      <c r="B148" s="318"/>
      <c r="C148" s="297"/>
      <c r="D148" s="361" t="s">
        <v>651</v>
      </c>
      <c r="E148" s="297"/>
      <c r="F148" s="360"/>
      <c r="I148" s="318"/>
      <c r="J148" s="318"/>
      <c r="K148" s="297"/>
      <c r="L148" s="361" t="s">
        <v>651</v>
      </c>
      <c r="M148" s="297"/>
      <c r="N148" s="360"/>
      <c r="Q148" s="318"/>
      <c r="R148" s="318"/>
      <c r="S148" s="297"/>
      <c r="T148" s="361" t="s">
        <v>651</v>
      </c>
      <c r="U148" s="297"/>
      <c r="V148" s="360"/>
      <c r="W148" s="360"/>
      <c r="Z148" s="318"/>
      <c r="AA148" s="318"/>
      <c r="AB148" s="297"/>
      <c r="AC148" s="361" t="s">
        <v>651</v>
      </c>
      <c r="AD148" s="297"/>
      <c r="AE148" s="360"/>
      <c r="AH148" s="318"/>
      <c r="AI148" s="318"/>
      <c r="AJ148" s="297"/>
      <c r="AK148" s="361" t="s">
        <v>651</v>
      </c>
      <c r="AL148" s="297"/>
      <c r="AM148" s="360"/>
    </row>
    <row r="149" spans="1:39" hidden="1">
      <c r="A149" s="318"/>
      <c r="B149" s="318"/>
      <c r="C149" s="297"/>
      <c r="D149" s="297" t="s">
        <v>389</v>
      </c>
      <c r="E149" s="297">
        <f>SUM(F150:F154)</f>
        <v>971930960</v>
      </c>
      <c r="F149" s="297"/>
      <c r="I149" s="318"/>
      <c r="J149" s="318"/>
      <c r="K149" s="297"/>
      <c r="L149" s="297" t="s">
        <v>389</v>
      </c>
      <c r="M149" s="297">
        <f>SUM(N150:N154)</f>
        <v>897177380</v>
      </c>
      <c r="N149" s="297"/>
      <c r="Q149" s="318"/>
      <c r="R149" s="318"/>
      <c r="S149" s="297"/>
      <c r="T149" s="297" t="s">
        <v>389</v>
      </c>
      <c r="U149" s="297">
        <f>SUM(V150:V154)</f>
        <v>155059960</v>
      </c>
      <c r="V149" s="297"/>
      <c r="W149" s="297"/>
      <c r="Z149" s="318"/>
      <c r="AA149" s="318"/>
      <c r="AB149" s="297"/>
      <c r="AC149" s="297" t="s">
        <v>389</v>
      </c>
      <c r="AD149" s="297" t="e">
        <f>SUM(AE150:AE154)</f>
        <v>#REF!</v>
      </c>
      <c r="AE149" s="297"/>
      <c r="AH149" s="318"/>
      <c r="AI149" s="318"/>
      <c r="AJ149" s="297"/>
      <c r="AK149" s="297" t="s">
        <v>389</v>
      </c>
      <c r="AL149" s="297" t="e">
        <f>SUM(AM150:AM154)</f>
        <v>#REF!</v>
      </c>
      <c r="AM149" s="297"/>
    </row>
    <row r="150" spans="1:39" hidden="1">
      <c r="A150" s="318"/>
      <c r="B150" s="318"/>
      <c r="C150" s="297"/>
      <c r="D150" s="362" t="s">
        <v>76</v>
      </c>
      <c r="E150" s="297"/>
      <c r="F150" s="297">
        <f>F141</f>
        <v>0</v>
      </c>
      <c r="I150" s="318"/>
      <c r="J150" s="318"/>
      <c r="K150" s="297"/>
      <c r="L150" s="362" t="s">
        <v>76</v>
      </c>
      <c r="M150" s="297"/>
      <c r="N150" s="297">
        <f>N141</f>
        <v>0</v>
      </c>
      <c r="Q150" s="318"/>
      <c r="R150" s="318"/>
      <c r="S150" s="297"/>
      <c r="T150" s="362" t="s">
        <v>76</v>
      </c>
      <c r="U150" s="297"/>
      <c r="V150" s="297">
        <f>V141</f>
        <v>0</v>
      </c>
      <c r="W150" s="297"/>
      <c r="Z150" s="318"/>
      <c r="AA150" s="318"/>
      <c r="AB150" s="297"/>
      <c r="AC150" s="362" t="s">
        <v>76</v>
      </c>
      <c r="AD150" s="297"/>
      <c r="AE150" s="297">
        <f>AE141</f>
        <v>15505370.24</v>
      </c>
      <c r="AH150" s="318"/>
      <c r="AI150" s="318"/>
      <c r="AJ150" s="297"/>
      <c r="AK150" s="362" t="s">
        <v>76</v>
      </c>
      <c r="AL150" s="297"/>
      <c r="AM150" s="297">
        <f>AM141</f>
        <v>65023075</v>
      </c>
    </row>
    <row r="151" spans="1:39" hidden="1">
      <c r="A151" s="318"/>
      <c r="B151" s="318"/>
      <c r="C151" s="297"/>
      <c r="D151" s="362" t="s">
        <v>652</v>
      </c>
      <c r="E151" s="297"/>
      <c r="F151" s="297">
        <f>F142</f>
        <v>0</v>
      </c>
      <c r="I151" s="318"/>
      <c r="J151" s="318"/>
      <c r="K151" s="297"/>
      <c r="L151" s="362" t="s">
        <v>652</v>
      </c>
      <c r="M151" s="297"/>
      <c r="N151" s="297">
        <f>N142</f>
        <v>0</v>
      </c>
      <c r="Q151" s="318"/>
      <c r="R151" s="318"/>
      <c r="S151" s="297"/>
      <c r="T151" s="362" t="s">
        <v>652</v>
      </c>
      <c r="U151" s="297"/>
      <c r="V151" s="297">
        <f>V142</f>
        <v>0</v>
      </c>
      <c r="W151" s="297"/>
      <c r="Z151" s="318"/>
      <c r="AA151" s="318"/>
      <c r="AB151" s="297"/>
      <c r="AC151" s="362" t="s">
        <v>652</v>
      </c>
      <c r="AD151" s="297"/>
      <c r="AE151" s="297">
        <f>AE142</f>
        <v>0</v>
      </c>
      <c r="AH151" s="318"/>
      <c r="AI151" s="318"/>
      <c r="AJ151" s="297"/>
      <c r="AK151" s="362" t="s">
        <v>652</v>
      </c>
      <c r="AL151" s="297"/>
      <c r="AM151" s="297">
        <f>AM142</f>
        <v>0</v>
      </c>
    </row>
    <row r="152" spans="1:39" hidden="1">
      <c r="A152" s="318"/>
      <c r="B152" s="318"/>
      <c r="C152" s="297"/>
      <c r="D152" s="362" t="s">
        <v>75</v>
      </c>
      <c r="E152" s="297"/>
      <c r="F152" s="297">
        <f>F140</f>
        <v>0</v>
      </c>
      <c r="I152" s="318"/>
      <c r="J152" s="318"/>
      <c r="K152" s="297"/>
      <c r="L152" s="362" t="s">
        <v>75</v>
      </c>
      <c r="M152" s="297"/>
      <c r="N152" s="297">
        <f>N140</f>
        <v>0</v>
      </c>
      <c r="Q152" s="318"/>
      <c r="R152" s="318"/>
      <c r="S152" s="297"/>
      <c r="T152" s="362" t="s">
        <v>75</v>
      </c>
      <c r="U152" s="297"/>
      <c r="V152" s="297">
        <f>V140</f>
        <v>0</v>
      </c>
      <c r="W152" s="297"/>
      <c r="Z152" s="318"/>
      <c r="AA152" s="318"/>
      <c r="AB152" s="297"/>
      <c r="AC152" s="362" t="s">
        <v>75</v>
      </c>
      <c r="AD152" s="297"/>
      <c r="AE152" s="297">
        <f>AE140</f>
        <v>158105967</v>
      </c>
      <c r="AH152" s="318"/>
      <c r="AI152" s="318"/>
      <c r="AJ152" s="297"/>
      <c r="AK152" s="362" t="s">
        <v>75</v>
      </c>
      <c r="AL152" s="297"/>
      <c r="AM152" s="297">
        <f>AM140</f>
        <v>55018816</v>
      </c>
    </row>
    <row r="153" spans="1:39" hidden="1">
      <c r="A153" s="318"/>
      <c r="B153" s="318"/>
      <c r="C153" s="297"/>
      <c r="D153" s="362" t="s">
        <v>653</v>
      </c>
      <c r="E153" s="297"/>
      <c r="F153" s="297">
        <v>0</v>
      </c>
      <c r="I153" s="318"/>
      <c r="J153" s="318"/>
      <c r="K153" s="297"/>
      <c r="L153" s="362" t="s">
        <v>653</v>
      </c>
      <c r="M153" s="297"/>
      <c r="N153" s="297">
        <v>0</v>
      </c>
      <c r="Q153" s="318"/>
      <c r="R153" s="318"/>
      <c r="S153" s="297"/>
      <c r="T153" s="362" t="s">
        <v>653</v>
      </c>
      <c r="U153" s="297"/>
      <c r="V153" s="297">
        <v>0</v>
      </c>
      <c r="W153" s="297"/>
      <c r="Z153" s="318"/>
      <c r="AA153" s="318"/>
      <c r="AB153" s="297"/>
      <c r="AC153" s="362" t="s">
        <v>653</v>
      </c>
      <c r="AD153" s="297"/>
      <c r="AE153" s="297">
        <v>0</v>
      </c>
      <c r="AH153" s="318"/>
      <c r="AI153" s="318"/>
      <c r="AJ153" s="297"/>
      <c r="AK153" s="362" t="s">
        <v>653</v>
      </c>
      <c r="AL153" s="297"/>
      <c r="AM153" s="297">
        <v>0</v>
      </c>
    </row>
    <row r="154" spans="1:39" hidden="1">
      <c r="A154" s="318"/>
      <c r="B154" s="318"/>
      <c r="C154" s="297"/>
      <c r="D154" s="363" t="s">
        <v>650</v>
      </c>
      <c r="E154" s="297"/>
      <c r="F154" s="297">
        <f>F145</f>
        <v>971930960</v>
      </c>
      <c r="I154" s="318"/>
      <c r="J154" s="318"/>
      <c r="K154" s="297"/>
      <c r="L154" s="363" t="s">
        <v>650</v>
      </c>
      <c r="M154" s="297"/>
      <c r="N154" s="297">
        <f>N145</f>
        <v>897177380</v>
      </c>
      <c r="Q154" s="318"/>
      <c r="R154" s="318"/>
      <c r="S154" s="297"/>
      <c r="T154" s="363" t="s">
        <v>650</v>
      </c>
      <c r="U154" s="297"/>
      <c r="V154" s="297">
        <f>V145</f>
        <v>155059960</v>
      </c>
      <c r="W154" s="297"/>
      <c r="Z154" s="318"/>
      <c r="AA154" s="318"/>
      <c r="AB154" s="297"/>
      <c r="AC154" s="363" t="s">
        <v>650</v>
      </c>
      <c r="AD154" s="297"/>
      <c r="AE154" s="297" t="e">
        <f>AE145</f>
        <v>#REF!</v>
      </c>
      <c r="AH154" s="318"/>
      <c r="AI154" s="318"/>
      <c r="AJ154" s="297"/>
      <c r="AK154" s="363" t="s">
        <v>650</v>
      </c>
      <c r="AL154" s="297"/>
      <c r="AM154" s="297" t="e">
        <f>AM145</f>
        <v>#REF!</v>
      </c>
    </row>
    <row r="155" spans="1:39" hidden="1"/>
  </sheetData>
  <mergeCells count="40">
    <mergeCell ref="E113:F113"/>
    <mergeCell ref="E122:F122"/>
    <mergeCell ref="F124:F125"/>
    <mergeCell ref="A7:B8"/>
    <mergeCell ref="C7:C8"/>
    <mergeCell ref="D7:E7"/>
    <mergeCell ref="F7:F8"/>
    <mergeCell ref="E112:F112"/>
    <mergeCell ref="AD122:AE122"/>
    <mergeCell ref="AE124:AE125"/>
    <mergeCell ref="Z7:AA8"/>
    <mergeCell ref="AB7:AB8"/>
    <mergeCell ref="AC7:AD7"/>
    <mergeCell ref="AE7:AE8"/>
    <mergeCell ref="AD112:AE112"/>
    <mergeCell ref="AD113:AE113"/>
    <mergeCell ref="AL113:AM113"/>
    <mergeCell ref="AL122:AM122"/>
    <mergeCell ref="AM124:AM125"/>
    <mergeCell ref="AH7:AI8"/>
    <mergeCell ref="AJ7:AJ8"/>
    <mergeCell ref="AK7:AL7"/>
    <mergeCell ref="AM7:AM8"/>
    <mergeCell ref="AL112:AM112"/>
    <mergeCell ref="I7:J8"/>
    <mergeCell ref="K7:K8"/>
    <mergeCell ref="L7:M7"/>
    <mergeCell ref="N7:N8"/>
    <mergeCell ref="Q7:R8"/>
    <mergeCell ref="S7:S8"/>
    <mergeCell ref="T7:U7"/>
    <mergeCell ref="V7:V8"/>
    <mergeCell ref="M112:N112"/>
    <mergeCell ref="U112:V112"/>
    <mergeCell ref="M113:N113"/>
    <mergeCell ref="U113:V113"/>
    <mergeCell ref="M122:N122"/>
    <mergeCell ref="U122:V122"/>
    <mergeCell ref="N124:N125"/>
    <mergeCell ref="V124:V125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FF0D-7613-4EA3-8362-2584E3AC6F46}">
  <dimension ref="A1:O50"/>
  <sheetViews>
    <sheetView topLeftCell="A28" workbookViewId="0">
      <selection activeCell="B37" sqref="B37"/>
    </sheetView>
  </sheetViews>
  <sheetFormatPr defaultRowHeight="14.5"/>
  <cols>
    <col min="1" max="1" width="29.54296875" customWidth="1"/>
    <col min="2" max="2" width="18.54296875" style="437" customWidth="1"/>
    <col min="3" max="3" width="3.1796875" style="94" customWidth="1"/>
    <col min="4" max="4" width="18.54296875" style="437" hidden="1" customWidth="1"/>
    <col min="5" max="5" width="2.81640625" hidden="1" customWidth="1"/>
    <col min="6" max="6" width="18.54296875" style="437" hidden="1" customWidth="1"/>
    <col min="7" max="7" width="3.1796875" style="94" hidden="1" customWidth="1"/>
    <col min="8" max="8" width="18.54296875" style="437" hidden="1" customWidth="1"/>
    <col min="9" max="9" width="2.81640625" hidden="1" customWidth="1"/>
    <col min="10" max="10" width="18.54296875" style="437" hidden="1" customWidth="1"/>
    <col min="11" max="11" width="0" hidden="1" customWidth="1"/>
    <col min="12" max="12" width="13.81640625" style="268" hidden="1" customWidth="1"/>
    <col min="13" max="13" width="0" hidden="1" customWidth="1"/>
    <col min="14" max="14" width="13.81640625" hidden="1" customWidth="1"/>
    <col min="15" max="15" width="0" hidden="1" customWidth="1"/>
  </cols>
  <sheetData>
    <row r="1" spans="1:15">
      <c r="A1" s="414"/>
      <c r="B1" s="426"/>
      <c r="C1" s="639"/>
      <c r="D1" s="426"/>
      <c r="F1" s="426"/>
      <c r="G1" s="639"/>
      <c r="H1" s="426"/>
      <c r="J1" s="426"/>
    </row>
    <row r="2" spans="1:15" ht="15" thickBot="1">
      <c r="A2" s="414"/>
      <c r="B2" s="662" t="s">
        <v>1062</v>
      </c>
      <c r="C2" s="639"/>
      <c r="D2" s="662">
        <v>45536</v>
      </c>
      <c r="F2" s="662">
        <v>45170</v>
      </c>
      <c r="G2" s="639"/>
      <c r="H2" s="427" t="s">
        <v>705</v>
      </c>
      <c r="J2" s="427" t="s">
        <v>965</v>
      </c>
      <c r="L2" s="268">
        <v>45536</v>
      </c>
      <c r="N2" s="662" t="s">
        <v>1276</v>
      </c>
    </row>
    <row r="3" spans="1:15">
      <c r="A3" s="415"/>
      <c r="B3" s="428"/>
      <c r="C3" s="640"/>
      <c r="D3" s="428"/>
      <c r="F3" s="428"/>
      <c r="G3" s="640"/>
      <c r="H3" s="428"/>
      <c r="J3" s="428"/>
    </row>
    <row r="4" spans="1:15">
      <c r="A4" s="416" t="s">
        <v>673</v>
      </c>
      <c r="B4" s="429"/>
      <c r="C4" s="641"/>
      <c r="D4" s="429"/>
      <c r="F4" s="429"/>
      <c r="G4" s="641"/>
      <c r="H4" s="429"/>
      <c r="J4" s="429"/>
    </row>
    <row r="5" spans="1:15">
      <c r="A5" s="414" t="s">
        <v>674</v>
      </c>
      <c r="B5" s="430">
        <f>PL!F21</f>
        <v>3076189784.7470093</v>
      </c>
      <c r="C5" s="639"/>
      <c r="D5" s="430">
        <f>PL!H21</f>
        <v>1978329582.4531708</v>
      </c>
      <c r="F5" s="430">
        <f>PL!J21</f>
        <v>822650561</v>
      </c>
      <c r="G5" s="639"/>
      <c r="H5" s="430" t="e">
        <f>PL!#REF!</f>
        <v>#REF!</v>
      </c>
      <c r="J5" s="430" t="e">
        <f>PL!#REF!</f>
        <v>#REF!</v>
      </c>
      <c r="L5" s="268">
        <v>2155433165.0631714</v>
      </c>
      <c r="N5" s="947">
        <v>2011439434</v>
      </c>
    </row>
    <row r="6" spans="1:15">
      <c r="A6" s="417"/>
      <c r="B6" s="431"/>
      <c r="C6" s="642"/>
      <c r="D6" s="431"/>
      <c r="F6" s="431"/>
      <c r="G6" s="642"/>
      <c r="H6" s="431"/>
      <c r="J6" s="431"/>
    </row>
    <row r="7" spans="1:15">
      <c r="A7" s="414" t="s">
        <v>675</v>
      </c>
      <c r="B7" s="429"/>
      <c r="C7" s="639"/>
      <c r="D7" s="429"/>
      <c r="F7" s="429"/>
      <c r="G7" s="639"/>
      <c r="H7" s="429"/>
      <c r="J7" s="429"/>
    </row>
    <row r="8" spans="1:15">
      <c r="A8" s="418" t="s">
        <v>676</v>
      </c>
      <c r="B8" s="429">
        <f>WS!J445</f>
        <v>0</v>
      </c>
      <c r="C8" s="643"/>
      <c r="D8" s="429">
        <f>WS!U445</f>
        <v>209687496</v>
      </c>
      <c r="F8" s="429">
        <v>0</v>
      </c>
      <c r="G8" s="643"/>
      <c r="H8" s="429">
        <v>0</v>
      </c>
      <c r="J8" s="429">
        <v>0</v>
      </c>
      <c r="L8" s="268">
        <v>0</v>
      </c>
      <c r="N8" s="947">
        <v>279583328</v>
      </c>
      <c r="O8" s="437"/>
    </row>
    <row r="9" spans="1:15">
      <c r="A9" s="419" t="s">
        <v>677</v>
      </c>
      <c r="B9" s="947"/>
      <c r="C9" s="644"/>
      <c r="D9" s="429">
        <v>0</v>
      </c>
      <c r="F9" s="429">
        <f>-'Korfis IAS Des 24'!U19</f>
        <v>-88385950.78125</v>
      </c>
      <c r="G9" s="644"/>
      <c r="H9" s="429">
        <f>-'Korfis IAS Des 24'!AD19</f>
        <v>-58923967.1875</v>
      </c>
      <c r="J9" s="429">
        <f>-'Korfis IAS Des 24'!AL19</f>
        <v>-58923967.1875</v>
      </c>
      <c r="L9" s="268">
        <v>0</v>
      </c>
      <c r="N9" s="947">
        <v>-117847934</v>
      </c>
    </row>
    <row r="10" spans="1:15">
      <c r="A10" s="419" t="s">
        <v>678</v>
      </c>
      <c r="B10" s="429"/>
      <c r="C10" s="644"/>
      <c r="D10" s="429"/>
      <c r="F10" s="429"/>
      <c r="G10" s="644"/>
      <c r="H10" s="429"/>
      <c r="J10" s="429"/>
    </row>
    <row r="11" spans="1:15">
      <c r="A11" s="419" t="s">
        <v>679</v>
      </c>
      <c r="B11" s="429"/>
      <c r="C11" s="644"/>
      <c r="D11" s="429"/>
      <c r="F11" s="429"/>
      <c r="G11" s="644"/>
      <c r="H11" s="429"/>
      <c r="J11" s="429"/>
    </row>
    <row r="12" spans="1:15">
      <c r="A12" s="419" t="s">
        <v>680</v>
      </c>
      <c r="B12" s="429">
        <v>0</v>
      </c>
      <c r="C12" s="644"/>
      <c r="D12" s="429">
        <v>0</v>
      </c>
      <c r="F12" s="429">
        <v>0</v>
      </c>
      <c r="G12" s="644"/>
      <c r="H12" s="429">
        <v>0</v>
      </c>
      <c r="J12" s="429">
        <v>0</v>
      </c>
      <c r="L12" s="268">
        <v>0</v>
      </c>
      <c r="N12" s="947">
        <v>119304064</v>
      </c>
    </row>
    <row r="13" spans="1:15">
      <c r="A13" s="420"/>
      <c r="B13" s="432"/>
      <c r="C13" s="645"/>
      <c r="D13" s="432"/>
      <c r="F13" s="432"/>
      <c r="G13" s="645"/>
      <c r="H13" s="432"/>
      <c r="J13" s="432"/>
    </row>
    <row r="14" spans="1:15">
      <c r="A14" s="414" t="s">
        <v>681</v>
      </c>
      <c r="B14" s="429"/>
      <c r="C14" s="639"/>
      <c r="D14" s="429"/>
      <c r="F14" s="429"/>
      <c r="G14" s="639"/>
      <c r="H14" s="429"/>
      <c r="J14" s="429"/>
    </row>
    <row r="15" spans="1:15">
      <c r="A15" s="418" t="s">
        <v>682</v>
      </c>
      <c r="B15" s="429"/>
      <c r="C15" s="643"/>
      <c r="D15" s="429"/>
      <c r="F15" s="429"/>
      <c r="G15" s="643"/>
      <c r="H15" s="429"/>
      <c r="J15" s="429"/>
    </row>
    <row r="16" spans="1:15">
      <c r="A16" s="418" t="s">
        <v>683</v>
      </c>
      <c r="B16" s="651">
        <v>743637653</v>
      </c>
      <c r="C16" s="643"/>
      <c r="D16" s="651">
        <v>561970075.43437505</v>
      </c>
      <c r="E16" s="652"/>
      <c r="F16" s="651">
        <v>561970075.43437505</v>
      </c>
      <c r="G16" s="643"/>
      <c r="H16" s="651">
        <v>749293434</v>
      </c>
      <c r="I16" s="652"/>
      <c r="J16" s="651">
        <v>749293434</v>
      </c>
      <c r="L16" s="268">
        <v>561970075.43437505</v>
      </c>
      <c r="N16" s="947">
        <v>749293434</v>
      </c>
    </row>
    <row r="17" spans="1:15">
      <c r="A17" s="419" t="s">
        <v>684</v>
      </c>
      <c r="B17" s="430">
        <f>'Korfis IAS Des 24'!D95</f>
        <v>14686912.57</v>
      </c>
      <c r="C17" s="644"/>
      <c r="D17" s="429">
        <f>'Korfis IAS Des 24'!L95</f>
        <v>14108708.98</v>
      </c>
      <c r="F17" s="429">
        <f>'Korfis IAS Des 24'!T95</f>
        <v>9605268</v>
      </c>
      <c r="G17" s="644"/>
      <c r="H17" s="429" t="e">
        <f>'Korfis IAS Des 24'!AC95</f>
        <v>#REF!</v>
      </c>
      <c r="J17" s="429" t="e">
        <f>'Korfis IAS Des 24'!AK95</f>
        <v>#REF!</v>
      </c>
      <c r="L17" s="268">
        <v>14108708.98</v>
      </c>
      <c r="N17" s="947">
        <v>13516147</v>
      </c>
    </row>
    <row r="18" spans="1:15">
      <c r="A18" s="419" t="s">
        <v>344</v>
      </c>
      <c r="B18" s="430">
        <f>'Korfis IAS Des 24'!D67</f>
        <v>10098532.5</v>
      </c>
      <c r="C18" s="644"/>
      <c r="D18" s="429">
        <f>'Korfis IAS Des 24'!L67</f>
        <v>14677914</v>
      </c>
      <c r="F18" s="429">
        <f>'Korfis IAS Des 24'!T67</f>
        <v>8204159.5</v>
      </c>
      <c r="G18" s="644"/>
      <c r="H18" s="429" t="e">
        <f>'Korfis IAS Des 24'!AC67</f>
        <v>#REF!</v>
      </c>
      <c r="J18" s="429" t="e">
        <f>'Korfis IAS Des 24'!AK67</f>
        <v>#REF!</v>
      </c>
      <c r="L18" s="268">
        <v>14677914</v>
      </c>
    </row>
    <row r="19" spans="1:15">
      <c r="A19" s="419" t="s">
        <v>685</v>
      </c>
      <c r="B19" s="429"/>
      <c r="C19" s="644"/>
      <c r="D19" s="429"/>
      <c r="F19" s="429"/>
      <c r="G19" s="644"/>
      <c r="H19" s="429"/>
      <c r="J19" s="429"/>
      <c r="N19" s="947">
        <v>59045957</v>
      </c>
      <c r="O19" t="s">
        <v>1275</v>
      </c>
    </row>
    <row r="20" spans="1:15">
      <c r="A20" s="419" t="s">
        <v>656</v>
      </c>
      <c r="B20" s="430">
        <f>'Korfis IAS Des 24'!D49</f>
        <v>1343058</v>
      </c>
      <c r="C20" s="644"/>
      <c r="D20" s="429">
        <f>'Korfis IAS Des 24'!L49</f>
        <v>1293058</v>
      </c>
      <c r="F20" s="429">
        <f>'Korfis IAS Des 24'!T49</f>
        <v>25000</v>
      </c>
      <c r="G20" s="644"/>
      <c r="H20" s="429" t="e">
        <f>'Korfis IAS Des 24'!AC49</f>
        <v>#REF!</v>
      </c>
      <c r="J20" s="429" t="e">
        <f>'Korfis IAS Des 24'!AK49</f>
        <v>#REF!</v>
      </c>
      <c r="L20" s="268">
        <v>1293058</v>
      </c>
      <c r="N20" s="947">
        <v>11336931</v>
      </c>
    </row>
    <row r="21" spans="1:15">
      <c r="A21" s="419" t="s">
        <v>686</v>
      </c>
      <c r="B21" s="429"/>
      <c r="C21" s="644"/>
      <c r="D21" s="429"/>
      <c r="F21" s="429"/>
      <c r="G21" s="644"/>
      <c r="H21" s="429"/>
      <c r="J21" s="429"/>
    </row>
    <row r="22" spans="1:15">
      <c r="A22" s="418" t="s">
        <v>687</v>
      </c>
      <c r="B22" s="429"/>
      <c r="C22" s="643"/>
      <c r="D22" s="429"/>
      <c r="F22" s="429"/>
      <c r="G22" s="643"/>
      <c r="H22" s="429"/>
      <c r="J22" s="429"/>
    </row>
    <row r="23" spans="1:15">
      <c r="A23" s="418" t="s">
        <v>688</v>
      </c>
      <c r="B23" s="429"/>
      <c r="C23" s="643"/>
      <c r="D23" s="429"/>
      <c r="F23" s="429"/>
      <c r="G23" s="643"/>
      <c r="H23" s="429"/>
      <c r="J23" s="429"/>
    </row>
    <row r="24" spans="1:15">
      <c r="A24" s="418" t="s">
        <v>656</v>
      </c>
      <c r="B24" s="430">
        <f>('Korfis IAS Des 24'!D52+'Korfis IAS Des 24'!D58+'Korfis IAS Des 24'!D26+'Korfis IAS Des 24'!D37+'Korfis IAS Des 24'!D98)</f>
        <v>2210383441</v>
      </c>
      <c r="C24" s="643"/>
      <c r="D24" s="429">
        <f>'Korfis IAS Des 24'!L52+'Korfis IAS Des 24'!L58+'Korfis IAS Des 24'!L26+'Korfis IAS Des 24'!L37+'Korfis IAS Des 24'!L98</f>
        <v>2138692059.5</v>
      </c>
      <c r="F24" s="429"/>
      <c r="G24" s="643"/>
      <c r="H24" s="429"/>
      <c r="J24" s="429"/>
      <c r="L24" s="268">
        <v>4224643309.5</v>
      </c>
      <c r="N24" s="947">
        <v>570000</v>
      </c>
    </row>
    <row r="25" spans="1:15">
      <c r="A25" s="418" t="s">
        <v>689</v>
      </c>
      <c r="B25" s="429">
        <v>0</v>
      </c>
      <c r="C25" s="643"/>
      <c r="D25" s="429">
        <v>0</v>
      </c>
      <c r="F25" s="429">
        <f>'Korfis IAS Des 24'!U92</f>
        <v>0</v>
      </c>
      <c r="G25" s="643"/>
      <c r="H25" s="429">
        <v>0</v>
      </c>
      <c r="J25" s="429">
        <v>0</v>
      </c>
      <c r="L25" s="268">
        <v>0</v>
      </c>
    </row>
    <row r="26" spans="1:15">
      <c r="A26" s="418" t="s">
        <v>1272</v>
      </c>
      <c r="B26" s="429">
        <f>-'Korfis IAS Des 24'!E93</f>
        <v>-824199778.11700904</v>
      </c>
      <c r="C26" s="643"/>
      <c r="D26" s="429"/>
      <c r="F26" s="429"/>
      <c r="G26" s="643"/>
      <c r="H26" s="429"/>
      <c r="J26" s="429"/>
    </row>
    <row r="27" spans="1:15" ht="15" thickBot="1">
      <c r="A27" s="418" t="s">
        <v>371</v>
      </c>
      <c r="B27" s="429">
        <f>-'Korfis IAS Des 24'!E90</f>
        <v>-70634245.090000004</v>
      </c>
      <c r="C27" s="643"/>
      <c r="D27" s="429">
        <f>-'Korfis IAS Des 24'!M90</f>
        <v>-69022353.189999998</v>
      </c>
      <c r="F27" s="429">
        <f>'Korfis IAS Des 24'!U90</f>
        <v>47280776</v>
      </c>
      <c r="G27" s="643"/>
      <c r="H27" s="429" t="e">
        <f>-'Korfis IAS Des 24'!AD90</f>
        <v>#REF!</v>
      </c>
      <c r="J27" s="429" t="e">
        <f>-'Korfis IAS Des 24'!AL90</f>
        <v>#REF!</v>
      </c>
      <c r="L27" s="268">
        <v>-69022353.189999998</v>
      </c>
      <c r="N27" s="947">
        <v>-65659825</v>
      </c>
    </row>
    <row r="28" spans="1:15" ht="8.5" customHeight="1">
      <c r="A28" s="417"/>
      <c r="B28" s="433"/>
      <c r="C28" s="642"/>
      <c r="D28" s="433"/>
      <c r="F28" s="433"/>
      <c r="G28" s="642"/>
      <c r="H28" s="433"/>
      <c r="J28" s="433"/>
    </row>
    <row r="29" spans="1:15">
      <c r="A29" s="421" t="s">
        <v>690</v>
      </c>
      <c r="B29" s="430"/>
      <c r="C29" s="646"/>
      <c r="D29" s="430"/>
      <c r="F29" s="430"/>
      <c r="G29" s="646"/>
      <c r="H29" s="430"/>
      <c r="J29" s="430"/>
    </row>
    <row r="30" spans="1:15" ht="15" thickBot="1">
      <c r="A30" s="421" t="s">
        <v>691</v>
      </c>
      <c r="B30" s="430">
        <f>SUM(B8:B27)</f>
        <v>2085315573.8629911</v>
      </c>
      <c r="C30" s="646"/>
      <c r="D30" s="430">
        <f>SUM(D8:D27)</f>
        <v>2871406958.7243752</v>
      </c>
      <c r="F30" s="430">
        <f>SUM(F8:F27)</f>
        <v>538699328.15312505</v>
      </c>
      <c r="G30" s="646"/>
      <c r="H30" s="430" t="e">
        <f>SUM(H8:H27)</f>
        <v>#REF!</v>
      </c>
      <c r="J30" s="430" t="e">
        <f>SUM(J8:J27)</f>
        <v>#REF!</v>
      </c>
      <c r="L30" s="268">
        <v>4747670712.7243757</v>
      </c>
      <c r="N30" s="430">
        <f>SUM(N8:N27)</f>
        <v>1049142102</v>
      </c>
    </row>
    <row r="31" spans="1:15" ht="8.15" customHeight="1">
      <c r="A31" s="417"/>
      <c r="B31" s="433"/>
      <c r="C31" s="642"/>
      <c r="D31" s="433"/>
      <c r="F31" s="433"/>
      <c r="G31" s="642"/>
      <c r="H31" s="433"/>
      <c r="J31" s="433"/>
    </row>
    <row r="32" spans="1:15">
      <c r="A32" s="421" t="s">
        <v>692</v>
      </c>
      <c r="B32" s="429"/>
      <c r="C32" s="646"/>
      <c r="D32" s="429"/>
      <c r="F32" s="429"/>
      <c r="G32" s="646"/>
      <c r="H32" s="429"/>
      <c r="J32" s="429"/>
    </row>
    <row r="33" spans="1:14" ht="15" thickBot="1">
      <c r="A33" s="421" t="s">
        <v>693</v>
      </c>
      <c r="B33" s="434">
        <f>B30+B5</f>
        <v>5161505358.6100006</v>
      </c>
      <c r="C33" s="646"/>
      <c r="D33" s="434">
        <f>D30+D5</f>
        <v>4849736541.1775455</v>
      </c>
      <c r="F33" s="434">
        <f>F30+F5</f>
        <v>1361349889.153125</v>
      </c>
      <c r="G33" s="646"/>
      <c r="H33" s="434" t="e">
        <f>H30+H5</f>
        <v>#REF!</v>
      </c>
      <c r="J33" s="434" t="e">
        <f>J30+J5</f>
        <v>#REF!</v>
      </c>
      <c r="L33" s="268">
        <v>6903103877.7875471</v>
      </c>
      <c r="N33" s="434">
        <f>N30+N5</f>
        <v>3060581536</v>
      </c>
    </row>
    <row r="34" spans="1:14" hidden="1">
      <c r="A34" s="422"/>
      <c r="B34" s="431"/>
      <c r="C34" s="647"/>
      <c r="D34" s="431"/>
      <c r="F34" s="431"/>
      <c r="G34" s="647"/>
      <c r="H34" s="431"/>
      <c r="J34" s="431"/>
      <c r="N34" s="431"/>
    </row>
    <row r="35" spans="1:14" ht="15" thickBot="1">
      <c r="A35" s="421" t="s">
        <v>694</v>
      </c>
      <c r="B35" s="435">
        <f>ROUND(B33,-3)</f>
        <v>5161505000</v>
      </c>
      <c r="C35" s="646"/>
      <c r="D35" s="435">
        <f>ROUND(D33,-3)</f>
        <v>4849737000</v>
      </c>
      <c r="F35" s="435">
        <f>ROUND(F33,-3)</f>
        <v>1361350000</v>
      </c>
      <c r="G35" s="646"/>
      <c r="H35" s="435">
        <v>1369181000</v>
      </c>
      <c r="J35" s="435">
        <v>1369181000</v>
      </c>
      <c r="L35" s="268">
        <v>6903104000</v>
      </c>
      <c r="N35" s="435">
        <f>ROUND(N33,-3)</f>
        <v>3060582000</v>
      </c>
    </row>
    <row r="36" spans="1:14" hidden="1">
      <c r="A36" s="422"/>
      <c r="B36" s="431"/>
      <c r="C36" s="647"/>
      <c r="D36" s="431"/>
      <c r="F36" s="431"/>
      <c r="G36" s="647"/>
      <c r="H36" s="431"/>
      <c r="J36" s="431"/>
      <c r="N36" s="431"/>
    </row>
    <row r="37" spans="1:14" ht="15" thickBot="1">
      <c r="A37" s="421" t="s">
        <v>695</v>
      </c>
      <c r="B37" s="434">
        <f>B35*22%</f>
        <v>1135531100</v>
      </c>
      <c r="C37" s="646"/>
      <c r="D37" s="434">
        <f>D35*22%</f>
        <v>1066942140</v>
      </c>
      <c r="F37" s="434">
        <f>F35*22%</f>
        <v>299497000</v>
      </c>
      <c r="G37" s="646"/>
      <c r="H37" s="434">
        <f>H35*22%</f>
        <v>301219820</v>
      </c>
      <c r="J37" s="434">
        <f>J35*22%</f>
        <v>301219820</v>
      </c>
      <c r="L37" s="268">
        <v>1518682880</v>
      </c>
      <c r="N37" s="434">
        <f>N35*22%</f>
        <v>673328040</v>
      </c>
    </row>
    <row r="38" spans="1:14" hidden="1">
      <c r="A38" s="417"/>
      <c r="B38" s="432"/>
      <c r="C38" s="642"/>
      <c r="D38" s="432"/>
      <c r="F38" s="432"/>
      <c r="G38" s="642"/>
      <c r="H38" s="432"/>
      <c r="J38" s="432"/>
    </row>
    <row r="39" spans="1:14">
      <c r="A39" s="418" t="s">
        <v>696</v>
      </c>
      <c r="B39" s="429"/>
      <c r="C39" s="643"/>
      <c r="D39" s="429"/>
      <c r="F39" s="429"/>
      <c r="G39" s="643"/>
      <c r="H39" s="429"/>
      <c r="J39" s="429"/>
    </row>
    <row r="40" spans="1:14">
      <c r="A40" s="418" t="s">
        <v>697</v>
      </c>
      <c r="B40" s="429"/>
      <c r="C40" s="643"/>
      <c r="D40" s="429"/>
      <c r="F40" s="429"/>
      <c r="G40" s="643"/>
      <c r="H40" s="429"/>
      <c r="J40" s="429"/>
    </row>
    <row r="41" spans="1:14">
      <c r="A41" s="418" t="s">
        <v>698</v>
      </c>
      <c r="B41" s="429">
        <v>-34089140.090000004</v>
      </c>
      <c r="C41" s="643"/>
      <c r="D41" s="429">
        <v>-24522154.059999999</v>
      </c>
      <c r="F41" s="429">
        <v>-25660083</v>
      </c>
      <c r="G41" s="643"/>
      <c r="H41" s="429">
        <v>-15505370.24</v>
      </c>
      <c r="J41" s="429">
        <v>-55018816</v>
      </c>
      <c r="L41" s="268">
        <v>-24522154.059999999</v>
      </c>
    </row>
    <row r="42" spans="1:14" ht="15" thickBot="1">
      <c r="A42" s="418" t="s">
        <v>699</v>
      </c>
      <c r="B42" s="436">
        <v>-421615912</v>
      </c>
      <c r="C42" s="643"/>
      <c r="D42" s="436">
        <v>-316211934</v>
      </c>
      <c r="F42" s="436">
        <v>-41264112</v>
      </c>
      <c r="G42" s="643"/>
      <c r="H42" s="436">
        <v>-158105967</v>
      </c>
      <c r="J42" s="436">
        <v>-65023075</v>
      </c>
      <c r="L42" s="268">
        <v>-316211934</v>
      </c>
    </row>
    <row r="43" spans="1:14" hidden="1">
      <c r="A43" s="423"/>
      <c r="B43" s="432"/>
      <c r="C43" s="648"/>
      <c r="D43" s="432"/>
      <c r="F43" s="432"/>
      <c r="G43" s="648"/>
      <c r="H43" s="432"/>
      <c r="J43" s="432"/>
    </row>
    <row r="44" spans="1:14">
      <c r="A44" s="424" t="s">
        <v>700</v>
      </c>
      <c r="B44" s="429"/>
      <c r="C44" s="649"/>
      <c r="D44" s="429"/>
      <c r="F44" s="429"/>
      <c r="G44" s="649"/>
      <c r="H44" s="429"/>
      <c r="J44" s="429"/>
    </row>
    <row r="45" spans="1:14">
      <c r="A45" s="424" t="s">
        <v>701</v>
      </c>
      <c r="B45" s="429"/>
      <c r="C45" s="649"/>
      <c r="D45" s="429"/>
      <c r="F45" s="429"/>
      <c r="G45" s="649"/>
      <c r="H45" s="429"/>
      <c r="J45" s="429"/>
    </row>
    <row r="46" spans="1:14" ht="15" thickBot="1">
      <c r="A46" s="424" t="s">
        <v>702</v>
      </c>
      <c r="B46" s="434">
        <f>SUM(B41:B42)</f>
        <v>-455705052.09000003</v>
      </c>
      <c r="C46" s="649"/>
      <c r="D46" s="434">
        <f>SUM(D41:D42)</f>
        <v>-340734088.06</v>
      </c>
      <c r="F46" s="434">
        <f>SUM(F41:F42)</f>
        <v>-66924195</v>
      </c>
      <c r="G46" s="649"/>
      <c r="H46" s="434">
        <f>SUM(H41:H42)</f>
        <v>-173611337.24000001</v>
      </c>
      <c r="J46" s="434">
        <f>SUM(J41:J42)</f>
        <v>-120041891</v>
      </c>
      <c r="L46" s="268">
        <v>-340734088.06</v>
      </c>
    </row>
    <row r="47" spans="1:14" hidden="1">
      <c r="A47" s="425"/>
      <c r="B47" s="432"/>
      <c r="C47" s="650"/>
      <c r="D47" s="432"/>
      <c r="F47" s="432"/>
      <c r="G47" s="650"/>
      <c r="H47" s="432"/>
      <c r="J47" s="432"/>
    </row>
    <row r="48" spans="1:14">
      <c r="A48" s="421" t="s">
        <v>703</v>
      </c>
      <c r="B48" s="997">
        <f>B37+B46</f>
        <v>679826047.90999997</v>
      </c>
      <c r="C48" s="646"/>
      <c r="D48" s="997">
        <f>D37+D46</f>
        <v>726208051.94000006</v>
      </c>
      <c r="F48" s="997">
        <f>F37+F46</f>
        <v>232572805</v>
      </c>
      <c r="G48" s="646"/>
      <c r="H48" s="997">
        <f>H37+H46</f>
        <v>127608482.75999999</v>
      </c>
      <c r="J48" s="997">
        <f>J37+J46</f>
        <v>181177929</v>
      </c>
      <c r="L48" s="268">
        <v>1177948791.9400001</v>
      </c>
    </row>
    <row r="49" spans="1:10" ht="15" thickBot="1">
      <c r="A49" s="421" t="s">
        <v>704</v>
      </c>
      <c r="B49" s="998"/>
      <c r="C49" s="646"/>
      <c r="D49" s="998"/>
      <c r="F49" s="998"/>
      <c r="G49" s="646"/>
      <c r="H49" s="998"/>
      <c r="J49" s="998"/>
    </row>
    <row r="50" spans="1:10" ht="15" thickTop="1">
      <c r="A50" s="418"/>
      <c r="C50" s="643"/>
      <c r="G50" s="643"/>
    </row>
  </sheetData>
  <mergeCells count="5">
    <mergeCell ref="H48:H49"/>
    <mergeCell ref="J48:J49"/>
    <mergeCell ref="D48:D49"/>
    <mergeCell ref="F48:F49"/>
    <mergeCell ref="B48:B4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6E0A-CB2B-489B-9113-0C31EEC4DED5}">
  <dimension ref="A2:K46"/>
  <sheetViews>
    <sheetView showGridLines="0" topLeftCell="A35" zoomScale="98" workbookViewId="0">
      <selection activeCell="G19" sqref="G19"/>
    </sheetView>
  </sheetViews>
  <sheetFormatPr defaultRowHeight="14.5"/>
  <cols>
    <col min="3" max="3" width="34" bestFit="1" customWidth="1"/>
    <col min="4" max="4" width="7" customWidth="1"/>
    <col min="5" max="5" width="18.81640625" style="466" bestFit="1" customWidth="1"/>
    <col min="6" max="6" width="2.54296875" customWidth="1"/>
    <col min="7" max="7" width="18.81640625" style="466" bestFit="1" customWidth="1"/>
    <col min="8" max="8" width="2.54296875" style="466" customWidth="1"/>
    <col min="9" max="9" width="20" style="466" bestFit="1" customWidth="1"/>
    <col min="10" max="10" width="2.81640625" style="466" customWidth="1"/>
    <col min="11" max="11" width="16.81640625" bestFit="1" customWidth="1"/>
  </cols>
  <sheetData>
    <row r="2" spans="1:11">
      <c r="A2" s="465" t="s">
        <v>734</v>
      </c>
    </row>
    <row r="6" spans="1:11">
      <c r="E6" s="467" t="s">
        <v>1059</v>
      </c>
      <c r="G6" s="467" t="s">
        <v>717</v>
      </c>
      <c r="I6" s="467" t="s">
        <v>716</v>
      </c>
    </row>
    <row r="7" spans="1:11">
      <c r="E7" s="680" t="s">
        <v>1060</v>
      </c>
      <c r="G7" s="467" t="s">
        <v>715</v>
      </c>
      <c r="I7" s="467" t="s">
        <v>718</v>
      </c>
    </row>
    <row r="9" spans="1:11">
      <c r="C9" s="465" t="s">
        <v>719</v>
      </c>
      <c r="D9" s="465"/>
      <c r="E9" s="467">
        <f>WS!J21</f>
        <v>172746352.79998779</v>
      </c>
      <c r="G9" s="467">
        <f>WS!U21</f>
        <v>221717531.80000305</v>
      </c>
      <c r="I9" s="467">
        <f>WS!W21</f>
        <v>53042125</v>
      </c>
      <c r="K9" s="469" t="s">
        <v>8</v>
      </c>
    </row>
    <row r="10" spans="1:11" ht="9.75" customHeight="1">
      <c r="C10" s="465"/>
      <c r="D10" s="465"/>
    </row>
    <row r="11" spans="1:11">
      <c r="C11" s="465" t="s">
        <v>720</v>
      </c>
      <c r="D11" s="465"/>
      <c r="J11" s="467"/>
      <c r="K11" s="469" t="s">
        <v>729</v>
      </c>
    </row>
    <row r="12" spans="1:11">
      <c r="C12" s="465" t="s">
        <v>721</v>
      </c>
      <c r="D12" s="465"/>
      <c r="K12" s="469" t="s">
        <v>721</v>
      </c>
    </row>
    <row r="13" spans="1:11">
      <c r="C13" t="s">
        <v>722</v>
      </c>
      <c r="E13" s="466">
        <f>WS!J24+WS!J25</f>
        <v>4433481.17</v>
      </c>
      <c r="G13" s="466">
        <f>WS!U24+WS!U25</f>
        <v>10743437.900001526</v>
      </c>
      <c r="I13" s="466">
        <f>WS!W24+WS!W25</f>
        <v>2265171</v>
      </c>
      <c r="K13" s="468" t="s">
        <v>728</v>
      </c>
    </row>
    <row r="14" spans="1:11">
      <c r="C14" t="s">
        <v>725</v>
      </c>
      <c r="E14" s="466">
        <f>WS!J26+WS!J27</f>
        <v>16370106</v>
      </c>
      <c r="G14" s="466">
        <f>WS!U26+WS!U27</f>
        <v>8199564450.1299973</v>
      </c>
      <c r="I14" s="466">
        <f>WS!W26+WS!W27</f>
        <v>1432417</v>
      </c>
      <c r="K14" s="468" t="s">
        <v>725</v>
      </c>
    </row>
    <row r="15" spans="1:11">
      <c r="C15" t="s">
        <v>727</v>
      </c>
      <c r="E15" s="466">
        <f>WS!J28+WS!J29</f>
        <v>4640243</v>
      </c>
      <c r="G15" s="466">
        <f>WS!U28+WS!U29</f>
        <v>4875146</v>
      </c>
      <c r="I15" s="466">
        <f>WS!W28+WS!W29</f>
        <v>5823220</v>
      </c>
      <c r="K15" s="468" t="s">
        <v>727</v>
      </c>
    </row>
    <row r="16" spans="1:11">
      <c r="C16" t="s">
        <v>723</v>
      </c>
      <c r="E16" s="466">
        <f>WS!J30</f>
        <v>683620.96</v>
      </c>
      <c r="G16" s="466">
        <f>WS!U30</f>
        <v>769578.89347222215</v>
      </c>
      <c r="I16" s="466">
        <f>WS!W30</f>
        <v>2098047</v>
      </c>
      <c r="K16" s="468" t="s">
        <v>723</v>
      </c>
    </row>
    <row r="17" spans="3:11">
      <c r="C17" t="s">
        <v>724</v>
      </c>
      <c r="E17" s="466">
        <f>WS!J31</f>
        <v>67213934</v>
      </c>
      <c r="G17" s="466">
        <f>WS!U31</f>
        <v>46506026</v>
      </c>
      <c r="I17" s="466">
        <f>WS!W31</f>
        <v>30768284</v>
      </c>
      <c r="K17" s="468" t="s">
        <v>724</v>
      </c>
    </row>
    <row r="18" spans="3:11" ht="16">
      <c r="C18" t="s">
        <v>726</v>
      </c>
      <c r="E18" s="470">
        <f>WS!J32</f>
        <v>0</v>
      </c>
      <c r="G18" s="470">
        <f>WS!U32+WS!U33</f>
        <v>609796408</v>
      </c>
      <c r="I18" s="470">
        <f>WS!W32</f>
        <v>794277</v>
      </c>
      <c r="K18" s="468" t="s">
        <v>726</v>
      </c>
    </row>
    <row r="19" spans="3:11" ht="5.25" customHeight="1"/>
    <row r="20" spans="3:11" ht="15" thickBot="1">
      <c r="C20" s="465" t="s">
        <v>534</v>
      </c>
      <c r="D20" s="465"/>
      <c r="E20" s="471">
        <f>SUM(E13:E18)</f>
        <v>93341385.129999995</v>
      </c>
      <c r="G20" s="471">
        <f>SUM(G13:G18)</f>
        <v>8872255046.9234715</v>
      </c>
      <c r="I20" s="471">
        <f>SUM(I13:I18)</f>
        <v>43181416</v>
      </c>
      <c r="K20" s="469" t="s">
        <v>535</v>
      </c>
    </row>
    <row r="22" spans="3:11">
      <c r="C22" s="465" t="s">
        <v>730</v>
      </c>
      <c r="D22" s="465"/>
      <c r="K22" s="469" t="s">
        <v>731</v>
      </c>
    </row>
    <row r="23" spans="3:11">
      <c r="C23" t="s">
        <v>728</v>
      </c>
      <c r="E23" s="466">
        <f>WS!J35+WS!J36</f>
        <v>12106954.200000001</v>
      </c>
      <c r="G23" s="466">
        <f>WS!U35+WS!U36</f>
        <v>1707866</v>
      </c>
      <c r="I23" s="466">
        <f>WS!W35+WS!W36</f>
        <v>5747389</v>
      </c>
      <c r="K23" s="468" t="s">
        <v>728</v>
      </c>
    </row>
    <row r="24" spans="3:11">
      <c r="C24" t="s">
        <v>725</v>
      </c>
      <c r="E24" s="466">
        <f>WS!J37</f>
        <v>20695117.760000002</v>
      </c>
      <c r="G24" s="466">
        <f>WS!U37</f>
        <v>8592468.8999996185</v>
      </c>
      <c r="I24" s="466">
        <f>WS!W37</f>
        <v>8054849</v>
      </c>
      <c r="K24" s="468" t="s">
        <v>725</v>
      </c>
    </row>
    <row r="25" spans="3:11">
      <c r="C25" t="s">
        <v>727</v>
      </c>
      <c r="E25" s="466">
        <f>WS!J38</f>
        <v>8375633.2600000007</v>
      </c>
      <c r="G25" s="466">
        <f>WS!U38</f>
        <v>8142871.8600000003</v>
      </c>
      <c r="I25" s="466">
        <f>WS!W38</f>
        <v>9044094</v>
      </c>
      <c r="K25" s="468" t="s">
        <v>727</v>
      </c>
    </row>
    <row r="26" spans="3:11">
      <c r="C26" t="s">
        <v>723</v>
      </c>
      <c r="E26" s="466">
        <f>WS!J39</f>
        <v>7152816.3399999999</v>
      </c>
      <c r="G26" s="466">
        <f>WS!U39</f>
        <v>7017523</v>
      </c>
      <c r="I26" s="466">
        <f>WS!W39</f>
        <v>13411920</v>
      </c>
      <c r="K26" s="468" t="s">
        <v>723</v>
      </c>
    </row>
    <row r="27" spans="3:11">
      <c r="C27" t="s">
        <v>724</v>
      </c>
      <c r="E27" s="466">
        <f>WS!J40</f>
        <v>54182296.899999999</v>
      </c>
      <c r="G27" s="466">
        <f>WS!U40</f>
        <v>2276769542</v>
      </c>
      <c r="I27" s="466">
        <f>WS!W40</f>
        <v>2023630252</v>
      </c>
      <c r="K27" s="468" t="s">
        <v>724</v>
      </c>
    </row>
    <row r="28" spans="3:11" ht="16">
      <c r="C28" t="s">
        <v>726</v>
      </c>
      <c r="E28" s="470">
        <f>WS!J41</f>
        <v>1460398.32</v>
      </c>
      <c r="G28" s="470">
        <f>WS!U41</f>
        <v>1822011</v>
      </c>
      <c r="I28" s="470">
        <f>WS!W41</f>
        <v>3242911</v>
      </c>
      <c r="K28" s="468" t="s">
        <v>726</v>
      </c>
    </row>
    <row r="29" spans="3:11" ht="6.75" customHeight="1"/>
    <row r="30" spans="3:11" ht="15" thickBot="1">
      <c r="C30" s="465" t="s">
        <v>534</v>
      </c>
      <c r="D30" s="465"/>
      <c r="E30" s="471">
        <f>SUM(E23:E28)</f>
        <v>103973216.78</v>
      </c>
      <c r="G30" s="471">
        <f>SUM(G23:G28)</f>
        <v>2304052282.7599998</v>
      </c>
      <c r="I30" s="471">
        <f>SUM(I23:I28)</f>
        <v>2063131415</v>
      </c>
      <c r="K30" s="469" t="s">
        <v>535</v>
      </c>
    </row>
    <row r="31" spans="3:11" ht="6" customHeight="1">
      <c r="C31" s="465"/>
      <c r="D31" s="465"/>
      <c r="E31" s="472"/>
      <c r="G31" s="472"/>
      <c r="I31" s="472"/>
      <c r="K31" s="469"/>
    </row>
    <row r="32" spans="3:11" ht="15" thickBot="1">
      <c r="C32" s="465" t="s">
        <v>741</v>
      </c>
      <c r="D32" s="465"/>
      <c r="E32" s="507">
        <f>E9+E20+E30</f>
        <v>370060954.70998776</v>
      </c>
      <c r="G32" s="507">
        <f>G9+G20+G30</f>
        <v>11398024861.483475</v>
      </c>
      <c r="I32" s="507">
        <f>I9+I20+I30</f>
        <v>2159354956</v>
      </c>
      <c r="K32" s="469" t="s">
        <v>82</v>
      </c>
    </row>
    <row r="33" spans="3:11" ht="15" thickTop="1"/>
    <row r="34" spans="3:11" ht="16">
      <c r="C34" s="465" t="s">
        <v>732</v>
      </c>
      <c r="D34" s="465"/>
      <c r="E34" s="476" t="s">
        <v>642</v>
      </c>
      <c r="G34" s="476" t="s">
        <v>642</v>
      </c>
      <c r="H34" s="477"/>
      <c r="I34" s="476" t="s">
        <v>642</v>
      </c>
      <c r="K34" s="469" t="s">
        <v>733</v>
      </c>
    </row>
    <row r="35" spans="3:11">
      <c r="C35" t="s">
        <v>732</v>
      </c>
      <c r="E35" s="478" t="s">
        <v>642</v>
      </c>
      <c r="G35" s="478" t="s">
        <v>642</v>
      </c>
      <c r="H35" s="477"/>
      <c r="I35" s="478" t="s">
        <v>642</v>
      </c>
      <c r="K35" s="468" t="s">
        <v>733</v>
      </c>
    </row>
    <row r="36" spans="3:11" ht="6" customHeight="1"/>
    <row r="37" spans="3:11" ht="15" thickBot="1">
      <c r="C37" s="465" t="s">
        <v>534</v>
      </c>
      <c r="D37" s="465"/>
      <c r="E37" s="475"/>
      <c r="G37" s="475"/>
      <c r="I37" s="475"/>
    </row>
    <row r="38" spans="3:11" ht="15" thickTop="1"/>
    <row r="41" spans="3:11">
      <c r="C41" s="465" t="s">
        <v>835</v>
      </c>
      <c r="D41" s="465"/>
      <c r="E41" s="467">
        <f>E9+E20+E30</f>
        <v>370060954.70998776</v>
      </c>
      <c r="G41" s="467">
        <f>G9+G20+G30</f>
        <v>11398024861.483475</v>
      </c>
      <c r="I41" s="467" t="s">
        <v>836</v>
      </c>
      <c r="K41" s="467">
        <f>I9+I20+I30</f>
        <v>2159354956</v>
      </c>
    </row>
    <row r="42" spans="3:11">
      <c r="C42" s="465" t="s">
        <v>518</v>
      </c>
      <c r="D42" s="465"/>
      <c r="E42" s="467">
        <f>WS!J43</f>
        <v>420682221.70998776</v>
      </c>
      <c r="G42" s="467">
        <f>WS!U43</f>
        <v>11398024861.483475</v>
      </c>
      <c r="I42" s="467" t="s">
        <v>518</v>
      </c>
      <c r="K42" s="467">
        <f>WS!W43</f>
        <v>2159354956</v>
      </c>
    </row>
    <row r="43" spans="3:11">
      <c r="E43" s="466">
        <f>E41-E42</f>
        <v>-50621267</v>
      </c>
      <c r="G43" s="466">
        <f>G41-G42</f>
        <v>0</v>
      </c>
      <c r="K43" s="497">
        <f>K41-K42</f>
        <v>0</v>
      </c>
    </row>
    <row r="45" spans="3:11">
      <c r="C45" s="465" t="s">
        <v>1065</v>
      </c>
      <c r="E45" s="467">
        <f>E32</f>
        <v>370060954.70998776</v>
      </c>
    </row>
    <row r="46" spans="3:11">
      <c r="C46" s="465" t="s">
        <v>518</v>
      </c>
      <c r="E46" s="467">
        <f>WS!J43</f>
        <v>420682221.70998776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45E8-EA05-42C7-9579-7B6BB8E63921}">
  <dimension ref="A2:I52"/>
  <sheetViews>
    <sheetView showGridLines="0" zoomScale="84" zoomScaleNormal="115" workbookViewId="0">
      <selection activeCell="G36" sqref="G36"/>
    </sheetView>
  </sheetViews>
  <sheetFormatPr defaultRowHeight="14.5"/>
  <cols>
    <col min="3" max="3" width="34" bestFit="1" customWidth="1"/>
    <col min="4" max="4" width="2.54296875" customWidth="1"/>
    <col min="5" max="5" width="18.81640625" style="466" bestFit="1" customWidth="1"/>
    <col min="6" max="6" width="2.54296875" style="466" customWidth="1"/>
    <col min="7" max="7" width="20" style="466" bestFit="1" customWidth="1"/>
    <col min="8" max="8" width="2.81640625" style="466" customWidth="1"/>
    <col min="9" max="9" width="18.1796875" bestFit="1" customWidth="1"/>
  </cols>
  <sheetData>
    <row r="2" spans="1:9">
      <c r="A2" s="465" t="s">
        <v>755</v>
      </c>
    </row>
    <row r="6" spans="1:9">
      <c r="E6" s="467" t="s">
        <v>717</v>
      </c>
      <c r="G6" s="467" t="s">
        <v>716</v>
      </c>
    </row>
    <row r="7" spans="1:9">
      <c r="E7" s="467" t="s">
        <v>715</v>
      </c>
      <c r="G7" s="467" t="s">
        <v>718</v>
      </c>
    </row>
    <row r="9" spans="1:9">
      <c r="C9" s="465" t="s">
        <v>742</v>
      </c>
      <c r="I9" s="469" t="s">
        <v>735</v>
      </c>
    </row>
    <row r="10" spans="1:9" ht="15" customHeight="1">
      <c r="C10" s="465" t="s">
        <v>721</v>
      </c>
      <c r="I10" s="465" t="s">
        <v>721</v>
      </c>
    </row>
    <row r="11" spans="1:9">
      <c r="C11" t="s">
        <v>34</v>
      </c>
      <c r="E11" s="466">
        <f>WS!U46</f>
        <v>339894481</v>
      </c>
      <c r="G11" s="466">
        <f>WS!W46</f>
        <v>211054410</v>
      </c>
      <c r="H11" s="467"/>
      <c r="I11" s="468" t="s">
        <v>34</v>
      </c>
    </row>
    <row r="12" spans="1:9">
      <c r="C12" t="s">
        <v>35</v>
      </c>
      <c r="E12" s="466">
        <f>WS!U47</f>
        <v>0</v>
      </c>
      <c r="G12" s="466">
        <f>WS!W47</f>
        <v>0</v>
      </c>
      <c r="I12" s="468" t="s">
        <v>35</v>
      </c>
    </row>
    <row r="13" spans="1:9">
      <c r="C13" t="s">
        <v>36</v>
      </c>
      <c r="E13" s="466">
        <f>WS!U48</f>
        <v>0</v>
      </c>
      <c r="G13" s="466">
        <f>WS!W48</f>
        <v>0</v>
      </c>
      <c r="I13" s="468" t="s">
        <v>36</v>
      </c>
    </row>
    <row r="14" spans="1:9">
      <c r="C14" t="s">
        <v>37</v>
      </c>
      <c r="E14" s="466">
        <f>WS!U49</f>
        <v>0</v>
      </c>
      <c r="G14" s="466">
        <f>WS!W49</f>
        <v>0</v>
      </c>
      <c r="I14" s="468" t="s">
        <v>37</v>
      </c>
    </row>
    <row r="15" spans="1:9">
      <c r="C15" t="s">
        <v>38</v>
      </c>
      <c r="E15" s="466">
        <f>WS!U50</f>
        <v>0</v>
      </c>
      <c r="G15" s="466">
        <f>WS!W50</f>
        <v>1480185</v>
      </c>
      <c r="I15" s="468" t="s">
        <v>38</v>
      </c>
    </row>
    <row r="16" spans="1:9" ht="16">
      <c r="C16" t="s">
        <v>39</v>
      </c>
      <c r="E16" s="470">
        <f>WS!U51</f>
        <v>0</v>
      </c>
      <c r="G16" s="470">
        <f>WS!W51</f>
        <v>0</v>
      </c>
      <c r="I16" s="468" t="s">
        <v>39</v>
      </c>
    </row>
    <row r="17" spans="3:9" ht="6.75" customHeight="1">
      <c r="C17" s="465"/>
      <c r="I17" s="468"/>
    </row>
    <row r="18" spans="3:9" ht="15" thickBot="1">
      <c r="C18" s="465" t="s">
        <v>534</v>
      </c>
      <c r="D18" s="465"/>
      <c r="E18" s="471">
        <f>SUM(E11:E16)</f>
        <v>339894481</v>
      </c>
      <c r="F18" s="467"/>
      <c r="G18" s="471">
        <f>SUM(G11:G16)</f>
        <v>212534595</v>
      </c>
      <c r="I18" s="469" t="s">
        <v>535</v>
      </c>
    </row>
    <row r="19" spans="3:9" ht="15" customHeight="1"/>
    <row r="20" spans="3:9">
      <c r="C20" s="465"/>
      <c r="E20" s="472"/>
      <c r="F20" s="473"/>
      <c r="G20" s="472"/>
      <c r="I20" s="469"/>
    </row>
    <row r="21" spans="3:9">
      <c r="E21" s="467" t="s">
        <v>717</v>
      </c>
      <c r="G21" s="467" t="s">
        <v>716</v>
      </c>
    </row>
    <row r="22" spans="3:9" ht="16">
      <c r="C22" s="465"/>
      <c r="E22" s="474" t="s">
        <v>715</v>
      </c>
      <c r="G22" s="474" t="s">
        <v>718</v>
      </c>
      <c r="I22" s="469"/>
    </row>
    <row r="23" spans="3:9">
      <c r="I23" s="468"/>
    </row>
    <row r="24" spans="3:9">
      <c r="C24" s="465" t="s">
        <v>743</v>
      </c>
      <c r="I24" s="469" t="s">
        <v>731</v>
      </c>
    </row>
    <row r="25" spans="3:9">
      <c r="C25" t="s">
        <v>41</v>
      </c>
      <c r="E25" s="466">
        <f>WS!U54</f>
        <v>0</v>
      </c>
      <c r="G25" s="466">
        <f>WS!W54</f>
        <v>0</v>
      </c>
      <c r="I25" s="468" t="s">
        <v>41</v>
      </c>
    </row>
    <row r="26" spans="3:9" ht="15" customHeight="1">
      <c r="C26" t="s">
        <v>42</v>
      </c>
      <c r="E26" s="466">
        <f>WS!U55</f>
        <v>16672945019.5</v>
      </c>
      <c r="G26" s="466">
        <f>WS!W55</f>
        <v>8062429256</v>
      </c>
      <c r="I26" s="468" t="s">
        <v>42</v>
      </c>
    </row>
    <row r="27" spans="3:9">
      <c r="C27" t="s">
        <v>147</v>
      </c>
      <c r="E27" s="466">
        <f>WS!U56</f>
        <v>0</v>
      </c>
      <c r="G27" s="466">
        <f>WS!W56</f>
        <v>0</v>
      </c>
      <c r="I27" s="468" t="s">
        <v>147</v>
      </c>
    </row>
    <row r="28" spans="3:9">
      <c r="C28" t="s">
        <v>43</v>
      </c>
      <c r="E28" s="466">
        <f>WS!U57</f>
        <v>0</v>
      </c>
      <c r="G28" s="466">
        <f>WS!W57</f>
        <v>0</v>
      </c>
      <c r="I28" s="468" t="s">
        <v>43</v>
      </c>
    </row>
    <row r="29" spans="3:9" ht="15" customHeight="1">
      <c r="C29" t="s">
        <v>44</v>
      </c>
      <c r="E29" s="466">
        <f>WS!U58</f>
        <v>0</v>
      </c>
      <c r="G29" s="466">
        <f>WS!W58</f>
        <v>0</v>
      </c>
      <c r="I29" s="468" t="s">
        <v>44</v>
      </c>
    </row>
    <row r="30" spans="3:9">
      <c r="C30" t="s">
        <v>45</v>
      </c>
      <c r="E30" s="466">
        <f>WS!U59</f>
        <v>1353639940</v>
      </c>
      <c r="G30" s="466">
        <f>WS!W59</f>
        <v>1661844800</v>
      </c>
      <c r="I30" s="468" t="s">
        <v>45</v>
      </c>
    </row>
    <row r="31" spans="3:9">
      <c r="C31" t="s">
        <v>46</v>
      </c>
      <c r="E31" s="466">
        <f>WS!U60</f>
        <v>0.5</v>
      </c>
      <c r="G31" s="466">
        <f>WS!W60</f>
        <v>550050588</v>
      </c>
      <c r="I31" s="468" t="s">
        <v>46</v>
      </c>
    </row>
    <row r="32" spans="3:9">
      <c r="C32" t="s">
        <v>47</v>
      </c>
      <c r="E32" s="466">
        <f>WS!U61</f>
        <v>0</v>
      </c>
      <c r="G32" s="466">
        <f>WS!W61</f>
        <v>0</v>
      </c>
      <c r="I32" s="468" t="s">
        <v>47</v>
      </c>
    </row>
    <row r="33" spans="3:9" ht="14.25" customHeight="1">
      <c r="C33" t="s">
        <v>48</v>
      </c>
      <c r="E33" s="466">
        <f>WS!U62</f>
        <v>0</v>
      </c>
      <c r="G33" s="466">
        <f>WS!W62</f>
        <v>0</v>
      </c>
      <c r="I33" s="468" t="s">
        <v>48</v>
      </c>
    </row>
    <row r="34" spans="3:9" ht="15.75" customHeight="1">
      <c r="C34" t="s">
        <v>49</v>
      </c>
      <c r="E34" s="466">
        <f>WS!U63</f>
        <v>0</v>
      </c>
      <c r="G34" s="466">
        <f>WS!W63</f>
        <v>2028899760</v>
      </c>
      <c r="I34" s="468" t="s">
        <v>49</v>
      </c>
    </row>
    <row r="35" spans="3:9">
      <c r="C35" t="s">
        <v>50</v>
      </c>
      <c r="E35" s="466">
        <f>WS!U64</f>
        <v>3523030954</v>
      </c>
      <c r="G35" s="466">
        <f>WS!W64</f>
        <v>0</v>
      </c>
      <c r="I35" s="468" t="s">
        <v>50</v>
      </c>
    </row>
    <row r="36" spans="3:9">
      <c r="C36" t="s">
        <v>51</v>
      </c>
      <c r="E36" s="466">
        <f>WS!U65</f>
        <v>0</v>
      </c>
      <c r="G36" s="466">
        <f>WS!W65</f>
        <v>624270920</v>
      </c>
      <c r="I36" s="468" t="s">
        <v>51</v>
      </c>
    </row>
    <row r="37" spans="3:9" ht="16">
      <c r="C37" t="s">
        <v>52</v>
      </c>
      <c r="E37" s="470">
        <f>WS!U66</f>
        <v>0</v>
      </c>
      <c r="G37" s="470">
        <f>WS!W66</f>
        <v>890274000</v>
      </c>
      <c r="I37" s="468" t="s">
        <v>52</v>
      </c>
    </row>
    <row r="38" spans="3:9" ht="9" customHeight="1"/>
    <row r="39" spans="3:9" ht="15" thickBot="1">
      <c r="C39" s="465" t="s">
        <v>736</v>
      </c>
      <c r="E39" s="471">
        <f>SUM(E25:E37)</f>
        <v>21549615914</v>
      </c>
      <c r="G39" s="471">
        <f>SUM(G25:G37)</f>
        <v>13817769324</v>
      </c>
      <c r="I39" s="465" t="s">
        <v>535</v>
      </c>
    </row>
    <row r="40" spans="3:9" ht="7.5" customHeight="1">
      <c r="E40" s="467"/>
    </row>
    <row r="41" spans="3:9">
      <c r="C41" s="465" t="s">
        <v>741</v>
      </c>
      <c r="E41" s="466">
        <f>E18+E39</f>
        <v>21889510395</v>
      </c>
      <c r="G41" s="466">
        <f>G18+G39</f>
        <v>14030303919</v>
      </c>
      <c r="I41" s="469" t="s">
        <v>82</v>
      </c>
    </row>
    <row r="43" spans="3:9">
      <c r="C43" t="s">
        <v>738</v>
      </c>
    </row>
    <row r="44" spans="3:9" ht="16">
      <c r="C44" t="s">
        <v>739</v>
      </c>
      <c r="E44" s="470">
        <f>WS!U77</f>
        <v>-907026824</v>
      </c>
      <c r="G44" s="470">
        <f>WS!W77</f>
        <v>-907026824</v>
      </c>
      <c r="I44" s="468" t="s">
        <v>745</v>
      </c>
    </row>
    <row r="45" spans="3:9" ht="9.75" customHeight="1"/>
    <row r="46" spans="3:9" ht="15" thickBot="1">
      <c r="C46" s="465" t="s">
        <v>744</v>
      </c>
      <c r="E46" s="507">
        <f>E41+E44</f>
        <v>20982483571</v>
      </c>
      <c r="G46" s="507">
        <f>G41+G44</f>
        <v>13123277095</v>
      </c>
      <c r="I46" s="469" t="s">
        <v>746</v>
      </c>
    </row>
    <row r="47" spans="3:9" ht="15" thickTop="1"/>
    <row r="50" spans="3:9">
      <c r="C50" s="465" t="s">
        <v>835</v>
      </c>
      <c r="E50" s="467">
        <f>E41</f>
        <v>21889510395</v>
      </c>
      <c r="G50" s="467" t="s">
        <v>836</v>
      </c>
      <c r="I50" s="498">
        <f>G41</f>
        <v>14030303919</v>
      </c>
    </row>
    <row r="51" spans="3:9">
      <c r="C51" s="465" t="s">
        <v>518</v>
      </c>
      <c r="E51" s="467">
        <f>WS!U70</f>
        <v>23871074595</v>
      </c>
      <c r="G51" s="467" t="s">
        <v>518</v>
      </c>
      <c r="I51" s="467">
        <f>WS!W70</f>
        <v>14030303919</v>
      </c>
    </row>
    <row r="52" spans="3:9">
      <c r="E52" s="466">
        <f>E50-E51</f>
        <v>-1981564200</v>
      </c>
      <c r="I52" s="497">
        <f>I50-I51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6233-7244-4466-BBFC-80ABA5A2A623}">
  <dimension ref="A2:K28"/>
  <sheetViews>
    <sheetView showGridLines="0" topLeftCell="A11" workbookViewId="0">
      <selection activeCell="F27" sqref="F27"/>
    </sheetView>
  </sheetViews>
  <sheetFormatPr defaultRowHeight="14.5"/>
  <cols>
    <col min="3" max="3" width="38.54296875" bestFit="1" customWidth="1"/>
    <col min="4" max="4" width="3.81640625" customWidth="1"/>
    <col min="5" max="5" width="19.54296875" style="268" bestFit="1" customWidth="1"/>
    <col min="6" max="6" width="3.81640625" customWidth="1"/>
    <col min="7" max="7" width="19.54296875" style="268" bestFit="1" customWidth="1"/>
    <col min="8" max="8" width="4.453125" style="268" customWidth="1"/>
    <col min="9" max="9" width="19" style="268" bestFit="1" customWidth="1"/>
    <col min="10" max="10" width="2.1796875" customWidth="1"/>
    <col min="11" max="11" width="25.81640625" bestFit="1" customWidth="1"/>
  </cols>
  <sheetData>
    <row r="2" spans="1:11">
      <c r="A2" s="484" t="s">
        <v>747</v>
      </c>
      <c r="B2" s="485"/>
      <c r="C2" s="485"/>
      <c r="D2" s="485"/>
      <c r="E2" s="486"/>
      <c r="F2" s="485"/>
      <c r="G2" s="486"/>
      <c r="H2" s="479"/>
      <c r="K2" s="468"/>
    </row>
    <row r="5" spans="1:11">
      <c r="E5" s="480" t="s">
        <v>1059</v>
      </c>
      <c r="G5" s="480" t="s">
        <v>717</v>
      </c>
      <c r="I5" s="480" t="s">
        <v>716</v>
      </c>
    </row>
    <row r="6" spans="1:11">
      <c r="E6" s="481" t="s">
        <v>1063</v>
      </c>
      <c r="G6" s="481" t="s">
        <v>715</v>
      </c>
      <c r="I6" s="481" t="s">
        <v>718</v>
      </c>
    </row>
    <row r="7" spans="1:11">
      <c r="C7" s="465" t="s">
        <v>748</v>
      </c>
      <c r="K7" s="469" t="s">
        <v>756</v>
      </c>
    </row>
    <row r="8" spans="1:11">
      <c r="C8" s="465" t="s">
        <v>425</v>
      </c>
      <c r="K8" s="469" t="s">
        <v>426</v>
      </c>
    </row>
    <row r="9" spans="1:11" ht="6.75" customHeight="1">
      <c r="C9" s="465"/>
      <c r="K9" s="465"/>
    </row>
    <row r="10" spans="1:11">
      <c r="C10" t="s">
        <v>63</v>
      </c>
      <c r="E10" s="492">
        <f>WS!J83</f>
        <v>90952571551</v>
      </c>
      <c r="G10" s="492">
        <f>WS!U83</f>
        <v>94963698422</v>
      </c>
      <c r="I10" s="278">
        <f>WS!W83</f>
        <v>132646777153</v>
      </c>
      <c r="K10" s="468" t="s">
        <v>757</v>
      </c>
    </row>
    <row r="11" spans="1:11" s="465" customFormat="1">
      <c r="C11" t="s">
        <v>55</v>
      </c>
      <c r="E11" s="492">
        <f>WS!J84</f>
        <v>222225120</v>
      </c>
      <c r="G11" s="492">
        <f>WS!U84</f>
        <v>0</v>
      </c>
      <c r="H11" s="480"/>
      <c r="I11" s="278">
        <f>WS!W84</f>
        <v>0</v>
      </c>
      <c r="K11" s="468" t="s">
        <v>55</v>
      </c>
    </row>
    <row r="12" spans="1:11">
      <c r="C12" t="s">
        <v>34</v>
      </c>
      <c r="E12" s="492">
        <f>WS!J85</f>
        <v>0</v>
      </c>
      <c r="G12" s="492">
        <f>WS!U85</f>
        <v>0</v>
      </c>
      <c r="I12" s="278">
        <f>WS!W85</f>
        <v>512207423</v>
      </c>
      <c r="K12" s="468" t="s">
        <v>34</v>
      </c>
    </row>
    <row r="13" spans="1:11">
      <c r="C13" t="s">
        <v>66</v>
      </c>
      <c r="E13" s="491">
        <f>WS!J87</f>
        <v>0</v>
      </c>
      <c r="G13" s="491">
        <f>WS!U87</f>
        <v>0</v>
      </c>
      <c r="I13" s="482">
        <f>WS!W87</f>
        <v>0</v>
      </c>
      <c r="K13" s="468" t="s">
        <v>66</v>
      </c>
    </row>
    <row r="14" spans="1:11" ht="15" thickBot="1">
      <c r="C14" s="465" t="s">
        <v>740</v>
      </c>
      <c r="E14" s="506">
        <f>SUM(E10:E13)</f>
        <v>91174796671</v>
      </c>
      <c r="G14" s="506">
        <f>SUM(G10:G13)</f>
        <v>94963698422</v>
      </c>
      <c r="I14" s="506">
        <f>SUM(I10:I13)</f>
        <v>133158984576</v>
      </c>
      <c r="K14" s="469" t="s">
        <v>535</v>
      </c>
    </row>
    <row r="15" spans="1:11" s="465" customFormat="1">
      <c r="E15" s="490"/>
      <c r="G15" s="490"/>
      <c r="H15" s="480"/>
      <c r="I15" s="490"/>
      <c r="K15" s="469"/>
    </row>
    <row r="18" spans="3:11">
      <c r="C18" s="465" t="s">
        <v>835</v>
      </c>
      <c r="E18" s="490">
        <f>E14</f>
        <v>91174796671</v>
      </c>
      <c r="G18" s="490">
        <f>G14</f>
        <v>94963698422</v>
      </c>
      <c r="H18" s="278"/>
      <c r="I18" s="490" t="s">
        <v>836</v>
      </c>
      <c r="K18" s="505">
        <f>I14</f>
        <v>133158984576</v>
      </c>
    </row>
    <row r="19" spans="3:11">
      <c r="C19" s="465" t="s">
        <v>518</v>
      </c>
      <c r="E19" s="490">
        <f>WS!J90</f>
        <v>91174796671</v>
      </c>
      <c r="G19" s="490">
        <f>WS!U90</f>
        <v>94963698422</v>
      </c>
      <c r="H19" s="278"/>
      <c r="I19" s="490" t="s">
        <v>518</v>
      </c>
      <c r="K19" s="504">
        <f>WS!W90</f>
        <v>133158984576</v>
      </c>
    </row>
    <row r="20" spans="3:11">
      <c r="E20" s="278">
        <f>E18-E19</f>
        <v>0</v>
      </c>
      <c r="G20" s="278">
        <f>G18-G19</f>
        <v>0</v>
      </c>
      <c r="H20" s="278"/>
      <c r="I20" s="278"/>
      <c r="K20" s="364">
        <f>K18-K19</f>
        <v>0</v>
      </c>
    </row>
    <row r="21" spans="3:11" s="469" customFormat="1">
      <c r="C21" s="465"/>
      <c r="E21" s="493"/>
      <c r="G21" s="493"/>
      <c r="H21" s="493"/>
      <c r="I21" s="493"/>
    </row>
    <row r="22" spans="3:11" s="469" customFormat="1">
      <c r="C22" s="465" t="s">
        <v>1065</v>
      </c>
      <c r="E22" s="490">
        <f>E14</f>
        <v>91174796671</v>
      </c>
      <c r="G22" s="493"/>
      <c r="H22" s="493"/>
      <c r="I22" s="493"/>
    </row>
    <row r="23" spans="3:11">
      <c r="C23" s="465" t="s">
        <v>518</v>
      </c>
      <c r="E23" s="490">
        <f>WS!J90</f>
        <v>91174796671</v>
      </c>
      <c r="G23" s="278"/>
      <c r="H23" s="278"/>
      <c r="I23" s="278"/>
      <c r="K23" s="468"/>
    </row>
    <row r="24" spans="3:11">
      <c r="E24" s="278">
        <f>E22-E23</f>
        <v>0</v>
      </c>
      <c r="G24" s="278"/>
      <c r="H24" s="278"/>
      <c r="I24" s="278"/>
      <c r="K24" s="468"/>
    </row>
    <row r="25" spans="3:11">
      <c r="E25" s="278"/>
      <c r="G25" s="278"/>
      <c r="H25" s="278"/>
      <c r="I25" s="278"/>
      <c r="K25" s="468"/>
    </row>
    <row r="26" spans="3:11">
      <c r="E26" s="278"/>
      <c r="G26" s="278"/>
      <c r="H26" s="278"/>
      <c r="I26" s="278"/>
      <c r="K26" s="468"/>
    </row>
    <row r="27" spans="3:11" s="465" customFormat="1">
      <c r="E27" s="490"/>
      <c r="G27" s="490"/>
      <c r="H27" s="490"/>
      <c r="I27" s="490"/>
      <c r="K27" s="469"/>
    </row>
    <row r="28" spans="3:11">
      <c r="E28" s="278"/>
      <c r="G28" s="278"/>
      <c r="H28" s="278"/>
      <c r="I28" s="27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76EB-2D6C-4795-8527-A9BF6B8FEBB8}">
  <dimension ref="A2:L23"/>
  <sheetViews>
    <sheetView showGridLines="0" workbookViewId="0">
      <selection activeCell="E24" sqref="E24"/>
    </sheetView>
  </sheetViews>
  <sheetFormatPr defaultRowHeight="14.5"/>
  <cols>
    <col min="3" max="3" width="30.453125" bestFit="1" customWidth="1"/>
    <col min="5" max="5" width="20.81640625" customWidth="1"/>
    <col min="7" max="7" width="20.81640625" customWidth="1"/>
    <col min="8" max="8" width="2.81640625" customWidth="1"/>
    <col min="9" max="9" width="20" bestFit="1" customWidth="1"/>
    <col min="10" max="10" width="3" customWidth="1"/>
    <col min="11" max="11" width="20" bestFit="1" customWidth="1"/>
  </cols>
  <sheetData>
    <row r="2" spans="1:12">
      <c r="A2" s="465" t="s">
        <v>749</v>
      </c>
    </row>
    <row r="5" spans="1:12">
      <c r="E5" s="480" t="s">
        <v>1059</v>
      </c>
      <c r="G5" s="480" t="s">
        <v>717</v>
      </c>
      <c r="H5" s="268"/>
      <c r="I5" s="480" t="s">
        <v>716</v>
      </c>
    </row>
    <row r="6" spans="1:12">
      <c r="E6" s="481" t="s">
        <v>1060</v>
      </c>
      <c r="G6" s="481" t="s">
        <v>715</v>
      </c>
      <c r="H6" s="268"/>
      <c r="I6" s="481" t="s">
        <v>718</v>
      </c>
    </row>
    <row r="7" spans="1:12">
      <c r="E7" s="268"/>
      <c r="G7" s="268"/>
      <c r="H7" s="268"/>
      <c r="I7" s="268"/>
    </row>
    <row r="8" spans="1:12">
      <c r="A8" s="469"/>
      <c r="B8" s="469"/>
      <c r="C8" t="s">
        <v>69</v>
      </c>
      <c r="D8" s="469"/>
      <c r="E8" s="487">
        <f>WS!J92</f>
        <v>16305238543</v>
      </c>
      <c r="F8" s="469"/>
      <c r="G8" s="487">
        <f>WS!U92</f>
        <v>20674773552.799999</v>
      </c>
      <c r="H8" s="483"/>
      <c r="I8" s="487">
        <f>WS!W92</f>
        <v>16305238543</v>
      </c>
      <c r="J8" s="469"/>
      <c r="K8" s="468" t="s">
        <v>751</v>
      </c>
      <c r="L8" s="469"/>
    </row>
    <row r="9" spans="1:12">
      <c r="A9" s="469"/>
      <c r="B9" s="469"/>
      <c r="C9" t="s">
        <v>70</v>
      </c>
      <c r="D9" s="469"/>
      <c r="E9" s="487">
        <f>WS!J93</f>
        <v>76848942</v>
      </c>
      <c r="F9" s="469"/>
      <c r="G9" s="487">
        <f>WS!U93</f>
        <v>34860372.939999998</v>
      </c>
      <c r="H9" s="483"/>
      <c r="I9" s="487">
        <f>WS!W93</f>
        <v>76848942</v>
      </c>
      <c r="J9" s="469"/>
      <c r="K9" s="468" t="s">
        <v>750</v>
      </c>
      <c r="L9" s="469"/>
    </row>
    <row r="10" spans="1:12">
      <c r="C10" t="s">
        <v>403</v>
      </c>
      <c r="E10" s="268">
        <f>WS!J94</f>
        <v>97064513093</v>
      </c>
      <c r="G10" s="268">
        <f>WS!U94</f>
        <v>108490508463.89999</v>
      </c>
      <c r="H10" s="268"/>
      <c r="I10" s="487">
        <f>WS!W94</f>
        <v>88132546606</v>
      </c>
      <c r="K10" s="468" t="s">
        <v>753</v>
      </c>
    </row>
    <row r="11" spans="1:12" ht="16">
      <c r="C11" t="s">
        <v>752</v>
      </c>
      <c r="E11" s="488">
        <f>WS!J95</f>
        <v>3808188569</v>
      </c>
      <c r="G11" s="488">
        <f>WS!U95</f>
        <v>6129938496.79</v>
      </c>
      <c r="H11" s="268"/>
      <c r="I11" s="488">
        <f>WS!W95</f>
        <v>3808188569</v>
      </c>
      <c r="K11" s="468" t="s">
        <v>754</v>
      </c>
    </row>
    <row r="12" spans="1:12" ht="8.25" customHeight="1">
      <c r="C12" s="465"/>
      <c r="E12" s="268"/>
      <c r="G12" s="268"/>
      <c r="H12" s="268"/>
      <c r="I12" s="268"/>
      <c r="K12" s="468"/>
    </row>
    <row r="13" spans="1:12" ht="15" thickBot="1">
      <c r="C13" s="465" t="s">
        <v>741</v>
      </c>
      <c r="E13" s="489">
        <f>SUM(E8:E11)</f>
        <v>117254789147</v>
      </c>
      <c r="G13" s="489">
        <f>SUM(G8:G11)</f>
        <v>135330080886.42998</v>
      </c>
      <c r="H13" s="278"/>
      <c r="I13" s="489">
        <f>SUM(I8:I11)</f>
        <v>108322822660</v>
      </c>
      <c r="K13" s="468"/>
    </row>
    <row r="14" spans="1:12">
      <c r="A14" s="465"/>
      <c r="B14" s="465"/>
      <c r="C14" s="465"/>
      <c r="D14" s="465"/>
      <c r="E14" s="490"/>
      <c r="F14" s="465"/>
      <c r="G14" s="490"/>
      <c r="H14" s="490"/>
      <c r="I14" s="490"/>
      <c r="J14" s="465"/>
      <c r="K14" s="469"/>
      <c r="L14" s="465"/>
    </row>
    <row r="15" spans="1:12">
      <c r="E15" s="268"/>
      <c r="G15" s="268"/>
      <c r="H15" s="268"/>
      <c r="I15" s="268"/>
    </row>
    <row r="16" spans="1:12">
      <c r="E16" s="268"/>
      <c r="G16" s="268"/>
      <c r="H16" s="268"/>
      <c r="I16" s="268"/>
    </row>
    <row r="17" spans="3:11">
      <c r="C17" s="465" t="s">
        <v>835</v>
      </c>
      <c r="E17" s="505">
        <f>E13</f>
        <v>117254789147</v>
      </c>
      <c r="G17" s="505">
        <f>G13</f>
        <v>135330080886.42998</v>
      </c>
      <c r="I17" s="465" t="s">
        <v>836</v>
      </c>
      <c r="K17" s="505">
        <f>I13</f>
        <v>108322822660</v>
      </c>
    </row>
    <row r="18" spans="3:11">
      <c r="C18" s="465" t="s">
        <v>518</v>
      </c>
      <c r="E18" s="504">
        <f>WS!J97</f>
        <v>117254789147</v>
      </c>
      <c r="G18" s="504">
        <f>WS!U97</f>
        <v>135330080886.42998</v>
      </c>
      <c r="I18" s="465" t="s">
        <v>518</v>
      </c>
      <c r="K18" s="504">
        <f>WS!W97</f>
        <v>108322822660</v>
      </c>
    </row>
    <row r="19" spans="3:11">
      <c r="E19" s="364">
        <f>E17-E18</f>
        <v>0</v>
      </c>
      <c r="G19" s="364">
        <f>G17-G18</f>
        <v>0</v>
      </c>
      <c r="K19" s="364">
        <f>K17-K18</f>
        <v>0</v>
      </c>
    </row>
    <row r="21" spans="3:11">
      <c r="C21" s="465" t="s">
        <v>1065</v>
      </c>
      <c r="E21" s="505">
        <f>E13</f>
        <v>117254789147</v>
      </c>
    </row>
    <row r="22" spans="3:11">
      <c r="C22" s="465" t="s">
        <v>518</v>
      </c>
      <c r="E22" s="505">
        <f>WS!J97</f>
        <v>117254789147</v>
      </c>
    </row>
    <row r="23" spans="3:11">
      <c r="E23" s="364">
        <f>E21-E22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4DBC-2E98-4E39-88E7-D653343DD67A}">
  <dimension ref="A2:L16"/>
  <sheetViews>
    <sheetView showGridLines="0" topLeftCell="B1" workbookViewId="0">
      <selection activeCell="E9" sqref="E9"/>
    </sheetView>
  </sheetViews>
  <sheetFormatPr defaultRowHeight="14.5"/>
  <cols>
    <col min="3" max="3" width="30.453125" bestFit="1" customWidth="1"/>
    <col min="4" max="4" width="30.453125" customWidth="1"/>
    <col min="5" max="5" width="20.7265625" bestFit="1" customWidth="1"/>
    <col min="7" max="7" width="20.7265625" bestFit="1" customWidth="1"/>
    <col min="8" max="8" width="2.81640625" customWidth="1"/>
    <col min="9" max="9" width="20" bestFit="1" customWidth="1"/>
    <col min="10" max="10" width="3" customWidth="1"/>
  </cols>
  <sheetData>
    <row r="2" spans="1:12">
      <c r="A2" s="465" t="s">
        <v>838</v>
      </c>
    </row>
    <row r="5" spans="1:12">
      <c r="E5" s="480" t="s">
        <v>1059</v>
      </c>
      <c r="G5" s="480" t="s">
        <v>717</v>
      </c>
      <c r="H5" s="268"/>
      <c r="I5" s="480" t="s">
        <v>716</v>
      </c>
    </row>
    <row r="6" spans="1:12">
      <c r="E6" s="493" t="s">
        <v>1060</v>
      </c>
      <c r="G6" s="493" t="s">
        <v>715</v>
      </c>
      <c r="H6" s="268"/>
      <c r="I6" s="481" t="s">
        <v>718</v>
      </c>
    </row>
    <row r="7" spans="1:12">
      <c r="C7" t="s">
        <v>56</v>
      </c>
      <c r="E7" s="278">
        <f>WS!JP141</f>
        <v>0</v>
      </c>
      <c r="G7" s="278">
        <f>WS!U141</f>
        <v>1050000000</v>
      </c>
      <c r="H7" s="268"/>
      <c r="I7" s="268">
        <f>WS!W141</f>
        <v>1050000000</v>
      </c>
      <c r="K7" s="468" t="s">
        <v>56</v>
      </c>
    </row>
    <row r="8" spans="1:12" ht="8.25" customHeight="1">
      <c r="A8" s="469"/>
      <c r="B8" s="469"/>
      <c r="E8" s="491"/>
      <c r="F8" s="469"/>
      <c r="G8" s="491"/>
      <c r="H8" s="483"/>
      <c r="I8" s="491"/>
      <c r="J8" s="469"/>
      <c r="K8" s="468"/>
      <c r="L8" s="469"/>
    </row>
    <row r="9" spans="1:12">
      <c r="A9" s="469"/>
      <c r="B9" s="469"/>
      <c r="C9" s="465" t="s">
        <v>741</v>
      </c>
      <c r="D9" s="465"/>
      <c r="E9" s="480">
        <f>E7</f>
        <v>0</v>
      </c>
      <c r="F9" s="469"/>
      <c r="G9" s="480">
        <f>G7</f>
        <v>1050000000</v>
      </c>
      <c r="H9" s="483"/>
      <c r="I9" s="480">
        <f>I7</f>
        <v>1050000000</v>
      </c>
      <c r="J9" s="469"/>
      <c r="K9" s="469" t="s">
        <v>82</v>
      </c>
      <c r="L9" s="469"/>
    </row>
    <row r="10" spans="1:12">
      <c r="E10" s="268"/>
      <c r="G10" s="268"/>
      <c r="H10" s="268"/>
      <c r="I10" s="487"/>
      <c r="K10" s="468"/>
    </row>
    <row r="11" spans="1:12" ht="16">
      <c r="E11" s="488"/>
      <c r="G11" s="488"/>
      <c r="H11" s="268"/>
      <c r="I11" s="488"/>
      <c r="K11" s="468"/>
    </row>
    <row r="12" spans="1:12" ht="8.25" customHeight="1">
      <c r="C12" s="465"/>
      <c r="D12" s="465"/>
      <c r="E12" s="268"/>
      <c r="G12" s="268"/>
      <c r="H12" s="268"/>
      <c r="I12" s="268"/>
      <c r="K12" s="468"/>
    </row>
    <row r="13" spans="1:12">
      <c r="C13" s="465"/>
      <c r="D13" s="465"/>
      <c r="E13" s="490"/>
      <c r="G13" s="490"/>
      <c r="H13" s="278"/>
      <c r="I13" s="490"/>
      <c r="K13" s="468"/>
    </row>
    <row r="14" spans="1:12">
      <c r="A14" s="465"/>
      <c r="B14" s="465"/>
      <c r="C14" s="465"/>
      <c r="D14" s="465"/>
      <c r="E14" s="490"/>
      <c r="F14" s="465"/>
      <c r="G14" s="490"/>
      <c r="H14" s="490"/>
      <c r="I14" s="490"/>
      <c r="J14" s="465"/>
      <c r="K14" s="469"/>
      <c r="L14" s="465"/>
    </row>
    <row r="15" spans="1:12">
      <c r="E15" s="268"/>
      <c r="G15" s="268"/>
      <c r="H15" s="268"/>
      <c r="I15" s="268"/>
    </row>
    <row r="16" spans="1:12">
      <c r="E16" s="268"/>
      <c r="G16" s="268"/>
      <c r="H16" s="268"/>
      <c r="I16" s="26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C9EC-A9D5-4E38-9B51-930EA19F91D3}">
  <dimension ref="A2:K68"/>
  <sheetViews>
    <sheetView showGridLines="0" zoomScale="75" workbookViewId="0">
      <selection activeCell="I71" sqref="I71"/>
    </sheetView>
  </sheetViews>
  <sheetFormatPr defaultRowHeight="14.5"/>
  <cols>
    <col min="3" max="3" width="45.54296875" bestFit="1" customWidth="1"/>
    <col min="4" max="4" width="3.26953125" customWidth="1"/>
    <col min="5" max="5" width="20.7265625" bestFit="1" customWidth="1"/>
    <col min="6" max="6" width="3.26953125" customWidth="1"/>
    <col min="7" max="7" width="20.7265625" bestFit="1" customWidth="1"/>
    <col min="8" max="8" width="3.453125" customWidth="1"/>
    <col min="9" max="9" width="20" bestFit="1" customWidth="1"/>
    <col min="11" max="11" width="18" bestFit="1" customWidth="1"/>
  </cols>
  <sheetData>
    <row r="2" spans="1:11">
      <c r="A2" s="465" t="s">
        <v>837</v>
      </c>
    </row>
    <row r="4" spans="1:11">
      <c r="E4" s="480" t="s">
        <v>1064</v>
      </c>
      <c r="G4" s="480" t="s">
        <v>717</v>
      </c>
      <c r="I4" s="480" t="s">
        <v>716</v>
      </c>
    </row>
    <row r="5" spans="1:11">
      <c r="E5" s="481" t="s">
        <v>1060</v>
      </c>
      <c r="G5" s="481" t="s">
        <v>715</v>
      </c>
      <c r="I5" s="481" t="s">
        <v>718</v>
      </c>
    </row>
    <row r="6" spans="1:11">
      <c r="C6" t="s">
        <v>146</v>
      </c>
      <c r="E6" s="466">
        <f>WS!J177</f>
        <v>494401450.36000061</v>
      </c>
      <c r="G6" s="466">
        <f>WS!U177</f>
        <v>287627286.03999996</v>
      </c>
      <c r="I6" s="466">
        <f>WS!W177</f>
        <v>0</v>
      </c>
      <c r="K6" s="468" t="s">
        <v>146</v>
      </c>
    </row>
    <row r="7" spans="1:11">
      <c r="C7" t="s">
        <v>147</v>
      </c>
      <c r="E7" s="466">
        <f>WS!J178</f>
        <v>0</v>
      </c>
      <c r="G7" s="466">
        <f>WS!U178</f>
        <v>0</v>
      </c>
      <c r="I7" s="466">
        <f>WS!W178</f>
        <v>1356603529</v>
      </c>
      <c r="K7" s="468" t="s">
        <v>147</v>
      </c>
    </row>
    <row r="8" spans="1:11">
      <c r="C8" t="s">
        <v>148</v>
      </c>
      <c r="E8" s="466">
        <f>WS!J179</f>
        <v>0</v>
      </c>
      <c r="G8" s="466">
        <f>WS!U179</f>
        <v>0</v>
      </c>
      <c r="I8" s="466">
        <f>WS!W179</f>
        <v>0</v>
      </c>
      <c r="K8" s="468" t="s">
        <v>148</v>
      </c>
    </row>
    <row r="9" spans="1:11">
      <c r="C9" t="s">
        <v>149</v>
      </c>
      <c r="E9" s="466">
        <f>WS!J180</f>
        <v>0</v>
      </c>
      <c r="G9" s="466">
        <f>WS!U180</f>
        <v>0</v>
      </c>
      <c r="I9" s="466">
        <f>WS!W180</f>
        <v>0</v>
      </c>
      <c r="K9" s="468" t="s">
        <v>149</v>
      </c>
    </row>
    <row r="10" spans="1:11">
      <c r="C10" t="s">
        <v>150</v>
      </c>
      <c r="E10" s="466">
        <f>WS!J181</f>
        <v>0</v>
      </c>
      <c r="G10" s="466">
        <f>WS!U181</f>
        <v>0</v>
      </c>
      <c r="I10" s="466">
        <f>WS!W181</f>
        <v>668830500</v>
      </c>
      <c r="K10" s="468" t="s">
        <v>150</v>
      </c>
    </row>
    <row r="11" spans="1:11">
      <c r="C11" t="s">
        <v>151</v>
      </c>
      <c r="E11" s="466">
        <f>WS!J182</f>
        <v>0</v>
      </c>
      <c r="G11" s="466">
        <f>WS!U182</f>
        <v>0</v>
      </c>
      <c r="I11" s="466">
        <f>WS!W182</f>
        <v>0</v>
      </c>
      <c r="K11" s="468" t="s">
        <v>151</v>
      </c>
    </row>
    <row r="12" spans="1:11">
      <c r="C12" t="s">
        <v>152</v>
      </c>
      <c r="E12" s="466">
        <f>WS!J183</f>
        <v>338146802.4000001</v>
      </c>
      <c r="G12" s="466">
        <f>WS!U183</f>
        <v>500305832.5</v>
      </c>
      <c r="I12" s="466">
        <f>WS!W183</f>
        <v>304771930</v>
      </c>
      <c r="K12" s="468" t="s">
        <v>152</v>
      </c>
    </row>
    <row r="13" spans="1:11">
      <c r="C13" t="s">
        <v>153</v>
      </c>
      <c r="E13" s="466">
        <f>WS!J184</f>
        <v>0</v>
      </c>
      <c r="G13" s="466">
        <f>WS!U184</f>
        <v>0</v>
      </c>
      <c r="I13" s="466">
        <f>WS!W184</f>
        <v>0</v>
      </c>
      <c r="K13" s="468" t="s">
        <v>153</v>
      </c>
    </row>
    <row r="14" spans="1:11">
      <c r="C14" t="s">
        <v>154</v>
      </c>
      <c r="E14" s="466">
        <f>WS!J185</f>
        <v>0</v>
      </c>
      <c r="G14" s="466">
        <f>WS!U185</f>
        <v>0</v>
      </c>
      <c r="I14" s="466">
        <f>WS!W185</f>
        <v>0</v>
      </c>
      <c r="K14" s="468" t="s">
        <v>154</v>
      </c>
    </row>
    <row r="15" spans="1:11">
      <c r="C15" t="s">
        <v>560</v>
      </c>
      <c r="E15" s="466">
        <f>WS!J186</f>
        <v>0</v>
      </c>
      <c r="G15" s="466">
        <f>WS!U186</f>
        <v>0</v>
      </c>
      <c r="I15" s="466">
        <f>WS!W186</f>
        <v>0</v>
      </c>
      <c r="K15" s="468" t="s">
        <v>560</v>
      </c>
    </row>
    <row r="16" spans="1:11">
      <c r="C16" t="s">
        <v>155</v>
      </c>
      <c r="E16" s="466">
        <f>WS!J187</f>
        <v>0</v>
      </c>
      <c r="G16" s="466">
        <f>WS!U187</f>
        <v>64380000</v>
      </c>
      <c r="I16" s="466">
        <f>WS!W187</f>
        <v>0</v>
      </c>
      <c r="K16" s="468" t="s">
        <v>155</v>
      </c>
    </row>
    <row r="17" spans="3:11">
      <c r="C17" t="s">
        <v>156</v>
      </c>
      <c r="E17" s="466">
        <f>WS!J188</f>
        <v>0</v>
      </c>
      <c r="G17" s="466">
        <f>WS!U188</f>
        <v>0</v>
      </c>
      <c r="I17" s="466">
        <f>WS!W188</f>
        <v>0</v>
      </c>
      <c r="K17" s="468" t="s">
        <v>156</v>
      </c>
    </row>
    <row r="18" spans="3:11">
      <c r="C18" t="s">
        <v>157</v>
      </c>
      <c r="E18" s="466">
        <f>WS!J189</f>
        <v>0</v>
      </c>
      <c r="G18" s="466">
        <f>WS!U189</f>
        <v>158625000</v>
      </c>
      <c r="I18" s="466">
        <f>WS!W189</f>
        <v>0</v>
      </c>
      <c r="K18" s="468" t="s">
        <v>157</v>
      </c>
    </row>
    <row r="19" spans="3:11">
      <c r="C19" t="s">
        <v>158</v>
      </c>
      <c r="E19" s="466">
        <f>WS!J190</f>
        <v>0</v>
      </c>
      <c r="G19" s="466">
        <f>WS!U190</f>
        <v>0</v>
      </c>
      <c r="I19" s="466">
        <f>WS!W190</f>
        <v>1618149192</v>
      </c>
      <c r="K19" s="468" t="s">
        <v>158</v>
      </c>
    </row>
    <row r="20" spans="3:11">
      <c r="C20" t="s">
        <v>159</v>
      </c>
      <c r="E20" s="466">
        <f>WS!J191</f>
        <v>0</v>
      </c>
      <c r="G20" s="466">
        <f>WS!U191</f>
        <v>129507783.42000008</v>
      </c>
      <c r="I20" s="466">
        <f>WS!W191</f>
        <v>0</v>
      </c>
      <c r="K20" s="468" t="s">
        <v>159</v>
      </c>
    </row>
    <row r="21" spans="3:11">
      <c r="C21" t="s">
        <v>160</v>
      </c>
      <c r="E21" s="466">
        <f>WS!J192</f>
        <v>0</v>
      </c>
      <c r="G21" s="466">
        <f>WS!U192</f>
        <v>0</v>
      </c>
      <c r="I21" s="466">
        <f>WS!W192</f>
        <v>0</v>
      </c>
      <c r="K21" s="468" t="s">
        <v>160</v>
      </c>
    </row>
    <row r="22" spans="3:11">
      <c r="C22" t="s">
        <v>161</v>
      </c>
      <c r="E22" s="466">
        <f>WS!J193</f>
        <v>31635000</v>
      </c>
      <c r="G22" s="466">
        <f>WS!U193</f>
        <v>31635000</v>
      </c>
      <c r="I22" s="466">
        <f>WS!W193</f>
        <v>0</v>
      </c>
      <c r="K22" s="468" t="s">
        <v>161</v>
      </c>
    </row>
    <row r="23" spans="3:11">
      <c r="C23" t="s">
        <v>162</v>
      </c>
      <c r="E23" s="466">
        <f>WS!J194</f>
        <v>0</v>
      </c>
      <c r="G23" s="466">
        <f>WS!U194</f>
        <v>0</v>
      </c>
      <c r="I23" s="466">
        <f>WS!W194</f>
        <v>0</v>
      </c>
      <c r="K23" s="468" t="s">
        <v>162</v>
      </c>
    </row>
    <row r="24" spans="3:11">
      <c r="C24" t="s">
        <v>163</v>
      </c>
      <c r="E24" s="466">
        <f>WS!J195</f>
        <v>0</v>
      </c>
      <c r="G24" s="466">
        <f>WS!U195</f>
        <v>0</v>
      </c>
      <c r="I24" s="466">
        <f>WS!W195</f>
        <v>0</v>
      </c>
      <c r="K24" s="468" t="s">
        <v>163</v>
      </c>
    </row>
    <row r="25" spans="3:11">
      <c r="C25" t="s">
        <v>164</v>
      </c>
      <c r="E25" s="466">
        <f>WS!J196</f>
        <v>2070057383.9599991</v>
      </c>
      <c r="G25" s="466">
        <f>WS!U196</f>
        <v>590508165.14999962</v>
      </c>
      <c r="I25" s="466">
        <f>WS!W196</f>
        <v>2634498031</v>
      </c>
      <c r="K25" s="468" t="s">
        <v>164</v>
      </c>
    </row>
    <row r="26" spans="3:11">
      <c r="C26" t="s">
        <v>561</v>
      </c>
      <c r="E26" s="466">
        <f>WS!J197</f>
        <v>0</v>
      </c>
      <c r="G26" s="466">
        <f>WS!U197</f>
        <v>-1.7881393432617188E-7</v>
      </c>
      <c r="I26" s="466">
        <f>WS!W197</f>
        <v>0</v>
      </c>
      <c r="K26" s="468" t="s">
        <v>561</v>
      </c>
    </row>
    <row r="27" spans="3:11">
      <c r="C27" t="s">
        <v>165</v>
      </c>
      <c r="E27" s="466">
        <f>WS!J198</f>
        <v>0</v>
      </c>
      <c r="G27" s="466">
        <f>WS!U198</f>
        <v>0</v>
      </c>
      <c r="I27" s="466">
        <f>WS!W198</f>
        <v>4355506677</v>
      </c>
      <c r="K27" s="468" t="s">
        <v>165</v>
      </c>
    </row>
    <row r="28" spans="3:11">
      <c r="C28" t="s">
        <v>166</v>
      </c>
      <c r="E28" s="466">
        <f>WS!J199</f>
        <v>0</v>
      </c>
      <c r="G28" s="466">
        <f>WS!U199</f>
        <v>0</v>
      </c>
      <c r="I28" s="466">
        <f>WS!W199</f>
        <v>0</v>
      </c>
      <c r="K28" s="468" t="s">
        <v>166</v>
      </c>
    </row>
    <row r="29" spans="3:11">
      <c r="C29" t="s">
        <v>167</v>
      </c>
      <c r="E29" s="466">
        <f>WS!J200</f>
        <v>0</v>
      </c>
      <c r="G29" s="466">
        <f>WS!U200</f>
        <v>250376040</v>
      </c>
      <c r="I29" s="466">
        <f>WS!W200</f>
        <v>75821880</v>
      </c>
      <c r="K29" s="468" t="s">
        <v>167</v>
      </c>
    </row>
    <row r="30" spans="3:11">
      <c r="C30" t="s">
        <v>168</v>
      </c>
      <c r="E30" s="466">
        <f>WS!J201</f>
        <v>59140800</v>
      </c>
      <c r="G30" s="466">
        <f>WS!U201</f>
        <v>70329600</v>
      </c>
      <c r="I30" s="466">
        <f>WS!W201</f>
        <v>40182000</v>
      </c>
      <c r="K30" s="468" t="s">
        <v>168</v>
      </c>
    </row>
    <row r="31" spans="3:11">
      <c r="C31" t="s">
        <v>169</v>
      </c>
      <c r="E31" s="466">
        <f>WS!J202</f>
        <v>32435303</v>
      </c>
      <c r="G31" s="466">
        <f>WS!U202</f>
        <v>0</v>
      </c>
      <c r="I31" s="466">
        <f>WS!W202</f>
        <v>28510258</v>
      </c>
      <c r="K31" s="468" t="s">
        <v>169</v>
      </c>
    </row>
    <row r="32" spans="3:11">
      <c r="C32" t="s">
        <v>170</v>
      </c>
      <c r="E32" s="466">
        <f>WS!J203</f>
        <v>20535000</v>
      </c>
      <c r="G32" s="466">
        <f>WS!U203</f>
        <v>20535000</v>
      </c>
      <c r="I32" s="466">
        <f>WS!W203</f>
        <v>34965000</v>
      </c>
      <c r="K32" s="468" t="s">
        <v>170</v>
      </c>
    </row>
    <row r="33" spans="3:11">
      <c r="C33" t="s">
        <v>171</v>
      </c>
      <c r="E33" s="466">
        <f>WS!J204</f>
        <v>0</v>
      </c>
      <c r="G33" s="466">
        <f>WS!U204</f>
        <v>43330000</v>
      </c>
      <c r="I33" s="466">
        <f>WS!W204</f>
        <v>0</v>
      </c>
      <c r="K33" s="468" t="s">
        <v>171</v>
      </c>
    </row>
    <row r="34" spans="3:11">
      <c r="C34" t="s">
        <v>172</v>
      </c>
      <c r="E34" s="466">
        <f>WS!J205</f>
        <v>0</v>
      </c>
      <c r="G34" s="466">
        <f>WS!U205</f>
        <v>0</v>
      </c>
      <c r="I34" s="466">
        <f>WS!W205</f>
        <v>0</v>
      </c>
      <c r="K34" s="468" t="s">
        <v>172</v>
      </c>
    </row>
    <row r="35" spans="3:11">
      <c r="C35" t="s">
        <v>173</v>
      </c>
      <c r="E35" s="466">
        <f>WS!J206</f>
        <v>0</v>
      </c>
      <c r="G35" s="466">
        <f>WS!U206</f>
        <v>0</v>
      </c>
      <c r="I35" s="466">
        <f>WS!W206</f>
        <v>0</v>
      </c>
      <c r="K35" s="468" t="s">
        <v>173</v>
      </c>
    </row>
    <row r="36" spans="3:11">
      <c r="C36" t="s">
        <v>174</v>
      </c>
      <c r="E36" s="466">
        <f>WS!J207</f>
        <v>0</v>
      </c>
      <c r="G36" s="466">
        <f>WS!U207</f>
        <v>33300000</v>
      </c>
      <c r="I36" s="466">
        <f>WS!W207</f>
        <v>22200000</v>
      </c>
      <c r="K36" s="468" t="s">
        <v>174</v>
      </c>
    </row>
    <row r="37" spans="3:11">
      <c r="C37" t="s">
        <v>175</v>
      </c>
      <c r="E37" s="466">
        <f>WS!J208</f>
        <v>0</v>
      </c>
      <c r="G37" s="466">
        <f>WS!U208</f>
        <v>0</v>
      </c>
      <c r="I37" s="466">
        <f>WS!W208</f>
        <v>0</v>
      </c>
      <c r="K37" s="468" t="s">
        <v>175</v>
      </c>
    </row>
    <row r="38" spans="3:11">
      <c r="C38" t="s">
        <v>176</v>
      </c>
      <c r="E38" s="466">
        <f>WS!J209</f>
        <v>0</v>
      </c>
      <c r="G38" s="466">
        <f>WS!U209</f>
        <v>0</v>
      </c>
      <c r="I38" s="466">
        <f>WS!W209</f>
        <v>0</v>
      </c>
      <c r="K38" s="468" t="s">
        <v>176</v>
      </c>
    </row>
    <row r="39" spans="3:11">
      <c r="C39" t="s">
        <v>177</v>
      </c>
      <c r="E39" s="466">
        <f>WS!J210</f>
        <v>0</v>
      </c>
      <c r="G39" s="466">
        <f>WS!U210</f>
        <v>0</v>
      </c>
      <c r="I39" s="466">
        <f>WS!W210</f>
        <v>0</v>
      </c>
      <c r="K39" s="468" t="s">
        <v>177</v>
      </c>
    </row>
    <row r="40" spans="3:11">
      <c r="C40" t="s">
        <v>178</v>
      </c>
      <c r="E40" s="466">
        <f>WS!J211</f>
        <v>0</v>
      </c>
      <c r="G40" s="466">
        <f>WS!U211</f>
        <v>0</v>
      </c>
      <c r="I40" s="466">
        <f>WS!W211</f>
        <v>0</v>
      </c>
      <c r="K40" s="468" t="s">
        <v>178</v>
      </c>
    </row>
    <row r="41" spans="3:11">
      <c r="C41" t="s">
        <v>179</v>
      </c>
      <c r="E41" s="466">
        <f>WS!J212</f>
        <v>25502000.5</v>
      </c>
      <c r="G41" s="466">
        <f>WS!U212</f>
        <v>0</v>
      </c>
      <c r="I41" s="466">
        <f>WS!W212</f>
        <v>8980462</v>
      </c>
      <c r="K41" s="468" t="s">
        <v>179</v>
      </c>
    </row>
    <row r="42" spans="3:11">
      <c r="C42" t="s">
        <v>180</v>
      </c>
      <c r="E42" s="466">
        <f>WS!J213</f>
        <v>0</v>
      </c>
      <c r="G42" s="466">
        <f>WS!U213</f>
        <v>0</v>
      </c>
      <c r="I42" s="466">
        <f>WS!W213</f>
        <v>11070021</v>
      </c>
      <c r="K42" s="468" t="s">
        <v>180</v>
      </c>
    </row>
    <row r="43" spans="3:11">
      <c r="C43" t="s">
        <v>144</v>
      </c>
      <c r="E43" s="466">
        <f>WS!J214</f>
        <v>17646570</v>
      </c>
      <c r="G43" s="466">
        <f>WS!U214</f>
        <v>245100</v>
      </c>
      <c r="I43" s="466">
        <f>WS!W214</f>
        <v>58393893</v>
      </c>
      <c r="K43" s="468" t="s">
        <v>144</v>
      </c>
    </row>
    <row r="44" spans="3:11">
      <c r="C44" t="s">
        <v>181</v>
      </c>
      <c r="E44" s="466">
        <f>WS!J215</f>
        <v>0</v>
      </c>
      <c r="G44" s="466">
        <f>WS!U215</f>
        <v>9090900</v>
      </c>
      <c r="I44" s="466">
        <f>WS!W215</f>
        <v>121624520</v>
      </c>
      <c r="K44" s="468" t="s">
        <v>181</v>
      </c>
    </row>
    <row r="45" spans="3:11">
      <c r="C45" t="s">
        <v>182</v>
      </c>
      <c r="E45" s="466">
        <f>WS!J216</f>
        <v>0</v>
      </c>
      <c r="G45" s="466">
        <f>WS!U216</f>
        <v>0</v>
      </c>
      <c r="I45" s="466">
        <f>WS!W216</f>
        <v>31635000</v>
      </c>
      <c r="K45" s="468" t="s">
        <v>182</v>
      </c>
    </row>
    <row r="46" spans="3:11">
      <c r="C46" t="s">
        <v>559</v>
      </c>
      <c r="E46" s="466">
        <f>WS!J217</f>
        <v>44379395</v>
      </c>
      <c r="G46" s="466">
        <f>WS!U217</f>
        <v>44379396</v>
      </c>
      <c r="I46" s="466">
        <f>WS!W217</f>
        <v>0</v>
      </c>
      <c r="K46" s="468" t="s">
        <v>559</v>
      </c>
    </row>
    <row r="47" spans="3:11">
      <c r="C47" t="s">
        <v>663</v>
      </c>
      <c r="E47" s="466">
        <f>WS!J218</f>
        <v>0</v>
      </c>
      <c r="G47" s="466">
        <f>WS!U218</f>
        <v>0</v>
      </c>
      <c r="I47" s="466">
        <f>WS!W218</f>
        <v>0</v>
      </c>
      <c r="K47" s="468" t="s">
        <v>663</v>
      </c>
    </row>
    <row r="48" spans="3:11">
      <c r="C48" t="s">
        <v>662</v>
      </c>
      <c r="E48" s="466">
        <f>WS!J220</f>
        <v>0</v>
      </c>
      <c r="G48" s="466">
        <f>WS!U220</f>
        <v>0</v>
      </c>
      <c r="I48" s="466">
        <f>WS!W220</f>
        <v>0</v>
      </c>
      <c r="K48" s="468" t="s">
        <v>662</v>
      </c>
    </row>
    <row r="49" spans="3:11">
      <c r="C49" t="s">
        <v>657</v>
      </c>
      <c r="E49" s="466">
        <f>WS!J221</f>
        <v>199585238.75</v>
      </c>
      <c r="G49" s="466">
        <f>WS!U221</f>
        <v>471004404.69999981</v>
      </c>
      <c r="I49" s="466">
        <f>WS!W221</f>
        <v>0</v>
      </c>
      <c r="K49" s="468" t="s">
        <v>657</v>
      </c>
    </row>
    <row r="50" spans="3:11">
      <c r="C50" t="s">
        <v>658</v>
      </c>
      <c r="E50" s="466">
        <f>WS!J222</f>
        <v>0</v>
      </c>
      <c r="G50" s="466">
        <f>WS!U222</f>
        <v>0</v>
      </c>
      <c r="I50" s="466">
        <f>WS!W222</f>
        <v>0</v>
      </c>
      <c r="K50" s="468" t="s">
        <v>658</v>
      </c>
    </row>
    <row r="51" spans="3:11">
      <c r="C51" t="s">
        <v>659</v>
      </c>
      <c r="E51" s="466">
        <f>WS!J223</f>
        <v>0</v>
      </c>
      <c r="G51" s="466">
        <f>WS!U223</f>
        <v>0</v>
      </c>
      <c r="I51" s="466">
        <f>WS!W223</f>
        <v>0</v>
      </c>
      <c r="K51" s="468" t="s">
        <v>659</v>
      </c>
    </row>
    <row r="52" spans="3:11">
      <c r="C52" t="s">
        <v>660</v>
      </c>
      <c r="E52" s="466">
        <f>WS!J224</f>
        <v>0</v>
      </c>
      <c r="G52" s="466">
        <f>WS!U224</f>
        <v>0</v>
      </c>
      <c r="I52" s="466">
        <f>WS!W224</f>
        <v>0</v>
      </c>
      <c r="K52" s="468" t="s">
        <v>660</v>
      </c>
    </row>
    <row r="53" spans="3:11">
      <c r="C53" t="s">
        <v>661</v>
      </c>
      <c r="E53" s="466">
        <f>WS!J225</f>
        <v>0</v>
      </c>
      <c r="G53" s="466">
        <f>WS!U225</f>
        <v>0</v>
      </c>
      <c r="I53" s="466">
        <f>WS!W225</f>
        <v>0</v>
      </c>
      <c r="K53" s="468" t="s">
        <v>661</v>
      </c>
    </row>
    <row r="54" spans="3:11">
      <c r="C54" t="s">
        <v>183</v>
      </c>
      <c r="E54" s="500">
        <f>WS!J235</f>
        <v>154256572</v>
      </c>
      <c r="G54" s="500">
        <f>WS!U235</f>
        <v>560155511</v>
      </c>
      <c r="I54" s="500">
        <f>WS!W235</f>
        <v>657394820</v>
      </c>
      <c r="K54" s="468" t="s">
        <v>183</v>
      </c>
    </row>
    <row r="55" spans="3:11" ht="7.5" customHeight="1"/>
    <row r="56" spans="3:11" ht="15" thickBot="1">
      <c r="C56" s="465" t="s">
        <v>741</v>
      </c>
      <c r="E56" s="501">
        <f>SUM(E6:E54)</f>
        <v>3487721515.9699998</v>
      </c>
      <c r="G56" s="501">
        <f>SUM(G6:G54)</f>
        <v>3265335018.8099995</v>
      </c>
      <c r="I56" s="501">
        <f>SUM(I6:I54)</f>
        <v>12029137713</v>
      </c>
      <c r="K56" s="469" t="s">
        <v>82</v>
      </c>
    </row>
    <row r="62" spans="3:11">
      <c r="C62" s="465" t="s">
        <v>835</v>
      </c>
      <c r="E62" s="498">
        <f>E56</f>
        <v>3487721515.9699998</v>
      </c>
      <c r="G62" s="498">
        <f>G56</f>
        <v>3265335018.8099995</v>
      </c>
      <c r="I62" s="465" t="s">
        <v>836</v>
      </c>
      <c r="K62" s="498">
        <f>I56</f>
        <v>12029137713</v>
      </c>
    </row>
    <row r="63" spans="3:11">
      <c r="C63" s="465" t="s">
        <v>518</v>
      </c>
      <c r="E63" s="467">
        <f>WS!J237</f>
        <v>4291735758.2199998</v>
      </c>
      <c r="G63" s="467">
        <f>WS!U237</f>
        <v>3709508895.7299995</v>
      </c>
      <c r="I63" s="465" t="s">
        <v>518</v>
      </c>
      <c r="K63" s="467">
        <f>WS!W237</f>
        <v>12029137713</v>
      </c>
    </row>
    <row r="64" spans="3:11">
      <c r="E64" s="497">
        <f>E62-E63</f>
        <v>-804014242.25</v>
      </c>
      <c r="G64" s="497">
        <f>G62-G63</f>
        <v>-444173876.92000008</v>
      </c>
      <c r="K64" s="497">
        <f>K62-K63</f>
        <v>0</v>
      </c>
    </row>
    <row r="66" spans="3:5">
      <c r="C66" s="465" t="s">
        <v>1065</v>
      </c>
      <c r="E66" s="498">
        <f>E56</f>
        <v>3487721515.9699998</v>
      </c>
    </row>
    <row r="67" spans="3:5">
      <c r="C67" s="465" t="s">
        <v>518</v>
      </c>
      <c r="E67" s="467">
        <f>WS!J237</f>
        <v>4291735758.2199998</v>
      </c>
    </row>
    <row r="68" spans="3:5">
      <c r="E68" s="497">
        <f>E66-E67</f>
        <v>-804014242.25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95A0-DE0F-407E-868C-20C9021A105A}">
  <dimension ref="A2:L44"/>
  <sheetViews>
    <sheetView showGridLines="0" zoomScale="80" zoomScaleNormal="80" workbookViewId="0">
      <selection activeCell="G19" sqref="G19"/>
    </sheetView>
  </sheetViews>
  <sheetFormatPr defaultRowHeight="14.5"/>
  <cols>
    <col min="3" max="3" width="30.453125" bestFit="1" customWidth="1"/>
    <col min="5" max="5" width="20.7265625" bestFit="1" customWidth="1"/>
    <col min="7" max="7" width="20.7265625" bestFit="1" customWidth="1"/>
    <col min="8" max="8" width="2.81640625" customWidth="1"/>
    <col min="9" max="9" width="20" bestFit="1" customWidth="1"/>
    <col min="10" max="10" width="3" customWidth="1"/>
    <col min="11" max="11" width="27.54296875" bestFit="1" customWidth="1"/>
  </cols>
  <sheetData>
    <row r="2" spans="1:12">
      <c r="A2" s="465" t="s">
        <v>785</v>
      </c>
    </row>
    <row r="5" spans="1:12">
      <c r="E5" s="480" t="s">
        <v>1059</v>
      </c>
      <c r="G5" s="480" t="s">
        <v>717</v>
      </c>
      <c r="H5" s="268"/>
      <c r="I5" s="480" t="s">
        <v>716</v>
      </c>
    </row>
    <row r="6" spans="1:12">
      <c r="E6" s="481" t="s">
        <v>1060</v>
      </c>
      <c r="G6" s="481" t="s">
        <v>715</v>
      </c>
      <c r="H6" s="268"/>
      <c r="I6" s="481" t="s">
        <v>718</v>
      </c>
    </row>
    <row r="7" spans="1:12">
      <c r="C7" s="465" t="s">
        <v>786</v>
      </c>
      <c r="E7" s="268"/>
      <c r="G7" s="268"/>
      <c r="H7" s="268"/>
      <c r="I7" s="268"/>
      <c r="K7" s="468"/>
    </row>
    <row r="8" spans="1:12">
      <c r="A8" s="469"/>
      <c r="B8" s="469"/>
      <c r="C8" s="465" t="s">
        <v>425</v>
      </c>
      <c r="D8" s="469"/>
      <c r="E8" s="487"/>
      <c r="F8" s="469"/>
      <c r="G8" s="487"/>
      <c r="H8" s="483"/>
      <c r="I8" s="487"/>
      <c r="J8" s="469"/>
      <c r="K8" s="468"/>
      <c r="L8" s="469"/>
    </row>
    <row r="9" spans="1:12">
      <c r="A9" s="469"/>
      <c r="B9" s="469"/>
      <c r="C9" t="s">
        <v>64</v>
      </c>
      <c r="D9" s="469"/>
      <c r="E9" s="487">
        <f>WS!J246</f>
        <v>0</v>
      </c>
      <c r="F9" s="469"/>
      <c r="G9" s="487">
        <f>WS!U246</f>
        <v>0</v>
      </c>
      <c r="H9" s="483"/>
      <c r="I9" s="487">
        <f>WS!W246</f>
        <v>0</v>
      </c>
      <c r="J9" s="469"/>
      <c r="K9" s="468" t="s">
        <v>64</v>
      </c>
      <c r="L9" s="469"/>
    </row>
    <row r="10" spans="1:12">
      <c r="C10" t="s">
        <v>787</v>
      </c>
      <c r="E10" s="491">
        <f>WS!J247</f>
        <v>0</v>
      </c>
      <c r="G10" s="491">
        <f>WS!U247</f>
        <v>0</v>
      </c>
      <c r="H10" s="268"/>
      <c r="I10" s="491">
        <f>WS!W247</f>
        <v>0</v>
      </c>
      <c r="K10" s="468" t="s">
        <v>787</v>
      </c>
    </row>
    <row r="11" spans="1:12" ht="6.75" customHeight="1">
      <c r="E11" s="488"/>
      <c r="G11" s="488"/>
      <c r="H11" s="268"/>
      <c r="I11" s="488"/>
      <c r="K11" s="468"/>
    </row>
    <row r="12" spans="1:12" ht="15.75" customHeight="1" thickBot="1">
      <c r="C12" s="465" t="s">
        <v>534</v>
      </c>
      <c r="E12" s="510">
        <f>SUM(E9+E10)</f>
        <v>0</v>
      </c>
      <c r="G12" s="510">
        <f>SUM(G9+G10)</f>
        <v>0</v>
      </c>
      <c r="H12" s="268"/>
      <c r="I12" s="510">
        <f>I9+I10</f>
        <v>0</v>
      </c>
      <c r="K12" s="469" t="s">
        <v>535</v>
      </c>
    </row>
    <row r="13" spans="1:12">
      <c r="C13" s="465"/>
      <c r="E13" s="490"/>
      <c r="G13" s="490"/>
      <c r="H13" s="278"/>
      <c r="I13" s="490"/>
      <c r="K13" s="468"/>
    </row>
    <row r="14" spans="1:12">
      <c r="A14" s="465"/>
      <c r="B14" s="465"/>
      <c r="C14" s="465"/>
      <c r="D14" s="465"/>
      <c r="E14" s="490"/>
      <c r="F14" s="465"/>
      <c r="G14" s="490"/>
      <c r="H14" s="490"/>
      <c r="I14" s="490"/>
      <c r="J14" s="465"/>
      <c r="K14" s="469"/>
      <c r="L14" s="465"/>
    </row>
    <row r="15" spans="1:12">
      <c r="E15" s="268"/>
      <c r="G15" s="268"/>
      <c r="H15" s="268"/>
      <c r="I15" s="268"/>
    </row>
    <row r="16" spans="1:12">
      <c r="E16" s="268"/>
      <c r="G16" s="268"/>
      <c r="H16" s="268"/>
      <c r="I16" s="268"/>
    </row>
    <row r="44" spans="12:12">
      <c r="L44" s="65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0070-1593-43EA-9445-5949EF1F60D2}">
  <dimension ref="A2:K25"/>
  <sheetViews>
    <sheetView showGridLines="0" workbookViewId="0">
      <selection activeCell="G18" sqref="G18"/>
    </sheetView>
  </sheetViews>
  <sheetFormatPr defaultRowHeight="14.5"/>
  <cols>
    <col min="3" max="3" width="24.81640625" bestFit="1" customWidth="1"/>
    <col min="5" max="5" width="20.7265625" bestFit="1" customWidth="1"/>
    <col min="6" max="6" width="3.1796875" customWidth="1"/>
    <col min="7" max="7" width="20.7265625" bestFit="1" customWidth="1"/>
    <col min="8" max="8" width="3.1796875" customWidth="1"/>
    <col min="9" max="9" width="20" bestFit="1" customWidth="1"/>
    <col min="10" max="10" width="3.7265625" customWidth="1"/>
    <col min="11" max="11" width="15.26953125" bestFit="1" customWidth="1"/>
  </cols>
  <sheetData>
    <row r="2" spans="1:11">
      <c r="A2" s="465" t="s">
        <v>788</v>
      </c>
    </row>
    <row r="6" spans="1:11">
      <c r="E6" s="480" t="s">
        <v>1059</v>
      </c>
      <c r="G6" s="480" t="s">
        <v>717</v>
      </c>
      <c r="I6" s="480" t="s">
        <v>716</v>
      </c>
    </row>
    <row r="7" spans="1:11">
      <c r="E7" s="481" t="s">
        <v>1060</v>
      </c>
      <c r="G7" s="481" t="s">
        <v>715</v>
      </c>
      <c r="I7" s="481" t="s">
        <v>718</v>
      </c>
    </row>
    <row r="8" spans="1:11">
      <c r="C8" t="s">
        <v>204</v>
      </c>
      <c r="E8" s="466">
        <f>WS!J268</f>
        <v>971263804.34999967</v>
      </c>
      <c r="G8" s="466">
        <f>WS!U268</f>
        <v>1455092908.3299999</v>
      </c>
      <c r="I8" s="466">
        <f>WS!W268</f>
        <v>218666237</v>
      </c>
      <c r="K8" s="468" t="s">
        <v>792</v>
      </c>
    </row>
    <row r="9" spans="1:11">
      <c r="C9" t="s">
        <v>601</v>
      </c>
      <c r="E9" s="466">
        <f>WS!J273+WS!J272</f>
        <v>176024983</v>
      </c>
      <c r="G9" s="466">
        <f>WS!U273+WS!U272</f>
        <v>353778404</v>
      </c>
      <c r="I9" s="466">
        <f>WS!W272+WS!W273</f>
        <v>251154963</v>
      </c>
      <c r="K9" s="468" t="s">
        <v>793</v>
      </c>
    </row>
    <row r="10" spans="1:11">
      <c r="C10" t="s">
        <v>205</v>
      </c>
      <c r="E10" s="466">
        <f>WS!J269</f>
        <v>285002677</v>
      </c>
      <c r="G10" s="466">
        <f>WS!U269</f>
        <v>360602937</v>
      </c>
      <c r="I10" s="466">
        <f>WS!W269</f>
        <v>295442667</v>
      </c>
      <c r="K10" s="468" t="s">
        <v>797</v>
      </c>
    </row>
    <row r="11" spans="1:11">
      <c r="C11" t="s">
        <v>789</v>
      </c>
      <c r="E11" s="503">
        <f>WS!J271</f>
        <v>107888220</v>
      </c>
      <c r="G11" s="503">
        <f>WS!U271</f>
        <v>106838220</v>
      </c>
      <c r="I11" s="466">
        <f>WS!W271</f>
        <v>149562738</v>
      </c>
      <c r="K11" s="468" t="s">
        <v>794</v>
      </c>
    </row>
    <row r="12" spans="1:11">
      <c r="C12" t="s">
        <v>206</v>
      </c>
      <c r="E12" s="466">
        <f>WS!J270</f>
        <v>0</v>
      </c>
      <c r="G12" s="466">
        <f>WS!U270</f>
        <v>3330000</v>
      </c>
      <c r="I12" s="466">
        <f>WS!W270</f>
        <v>349650</v>
      </c>
      <c r="K12" s="468" t="s">
        <v>795</v>
      </c>
    </row>
    <row r="13" spans="1:11">
      <c r="C13" t="s">
        <v>790</v>
      </c>
      <c r="E13" s="466">
        <f>WS!J275</f>
        <v>5365000</v>
      </c>
      <c r="G13" s="466">
        <f>WS!U275</f>
        <v>11520000</v>
      </c>
      <c r="I13" s="466">
        <f>WS!W275</f>
        <v>3865000</v>
      </c>
      <c r="K13" s="468" t="s">
        <v>796</v>
      </c>
    </row>
    <row r="14" spans="1:11">
      <c r="C14" t="s">
        <v>791</v>
      </c>
      <c r="E14" s="500">
        <f>WS!J276</f>
        <v>18407701</v>
      </c>
      <c r="G14" s="500">
        <f>WS!U276</f>
        <v>18019201</v>
      </c>
      <c r="I14" s="500">
        <f>WS!W276</f>
        <v>18295786</v>
      </c>
      <c r="K14" s="468" t="s">
        <v>299</v>
      </c>
    </row>
    <row r="15" spans="1:11" ht="6.75" customHeight="1"/>
    <row r="16" spans="1:11" ht="15" thickBot="1">
      <c r="C16" s="465" t="s">
        <v>741</v>
      </c>
      <c r="E16" s="501">
        <f>SUM(E8:E14)</f>
        <v>1563952385.3499997</v>
      </c>
      <c r="G16" s="501">
        <f>SUM(G8:G14)</f>
        <v>2309181670.3299999</v>
      </c>
      <c r="I16" s="501">
        <f>SUM(I8:I14)</f>
        <v>937337041</v>
      </c>
      <c r="K16" s="469" t="s">
        <v>82</v>
      </c>
    </row>
    <row r="19" spans="3:11">
      <c r="C19" s="465" t="s">
        <v>835</v>
      </c>
      <c r="E19" s="498">
        <f>E16</f>
        <v>1563952385.3499997</v>
      </c>
      <c r="G19" s="498">
        <f>G16</f>
        <v>2309181670.3299999</v>
      </c>
      <c r="I19" s="465" t="s">
        <v>836</v>
      </c>
      <c r="K19" s="498">
        <f>I16</f>
        <v>937337041</v>
      </c>
    </row>
    <row r="20" spans="3:11">
      <c r="C20" s="465" t="s">
        <v>518</v>
      </c>
      <c r="E20" s="467">
        <f>WS!J278-WS!J274</f>
        <v>1563952385.3499997</v>
      </c>
      <c r="G20" s="467">
        <f>WS!U278-WS!U274</f>
        <v>2309181670.3299999</v>
      </c>
      <c r="I20" s="465" t="s">
        <v>518</v>
      </c>
      <c r="K20" s="467">
        <f>WS!W278-WS!W274</f>
        <v>937337041</v>
      </c>
    </row>
    <row r="21" spans="3:11">
      <c r="E21" s="497">
        <f>E19-E20</f>
        <v>0</v>
      </c>
      <c r="G21" s="497">
        <f>G19-G20</f>
        <v>0</v>
      </c>
      <c r="K21" s="497">
        <f>K19-K20</f>
        <v>0</v>
      </c>
    </row>
    <row r="23" spans="3:11">
      <c r="C23" s="465" t="s">
        <v>1065</v>
      </c>
      <c r="E23" s="497">
        <f>E16</f>
        <v>1563952385.3499997</v>
      </c>
    </row>
    <row r="24" spans="3:11">
      <c r="C24" s="465" t="s">
        <v>518</v>
      </c>
      <c r="E24" s="467">
        <f>WS!J278-WS!J274</f>
        <v>1563952385.3499997</v>
      </c>
    </row>
    <row r="25" spans="3:11">
      <c r="E25" s="497">
        <f>E23-E24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8C675-2960-4544-849A-7C4DAB167C0B}">
  <dimension ref="A2:M64"/>
  <sheetViews>
    <sheetView showGridLines="0" topLeftCell="A4" workbookViewId="0">
      <selection activeCell="E62" sqref="E62"/>
    </sheetView>
  </sheetViews>
  <sheetFormatPr defaultRowHeight="14.5"/>
  <cols>
    <col min="3" max="3" width="32.54296875" bestFit="1" customWidth="1"/>
    <col min="4" max="4" width="2.81640625" customWidth="1"/>
    <col min="5" max="5" width="20.7265625" bestFit="1" customWidth="1"/>
    <col min="6" max="6" width="2.81640625" customWidth="1"/>
    <col min="7" max="7" width="20.7265625" bestFit="1" customWidth="1"/>
    <col min="8" max="8" width="2.1796875" customWidth="1"/>
    <col min="9" max="9" width="20" bestFit="1" customWidth="1"/>
    <col min="10" max="10" width="2.81640625" customWidth="1"/>
    <col min="11" max="11" width="16.81640625" bestFit="1" customWidth="1"/>
  </cols>
  <sheetData>
    <row r="2" spans="1:11">
      <c r="A2" s="465" t="s">
        <v>758</v>
      </c>
    </row>
    <row r="4" spans="1:11">
      <c r="C4" s="465" t="s">
        <v>759</v>
      </c>
    </row>
    <row r="5" spans="1:11">
      <c r="C5" s="465"/>
    </row>
    <row r="6" spans="1:11">
      <c r="C6" s="465"/>
      <c r="E6" s="480" t="s">
        <v>1059</v>
      </c>
      <c r="G6" s="480" t="s">
        <v>717</v>
      </c>
      <c r="I6" s="480" t="s">
        <v>716</v>
      </c>
    </row>
    <row r="7" spans="1:11">
      <c r="E7" s="481" t="s">
        <v>1060</v>
      </c>
      <c r="G7" s="481" t="s">
        <v>715</v>
      </c>
      <c r="I7" s="481" t="s">
        <v>718</v>
      </c>
    </row>
    <row r="8" spans="1:11">
      <c r="C8" t="s">
        <v>760</v>
      </c>
      <c r="E8" s="268"/>
      <c r="G8" s="268"/>
      <c r="I8" s="268"/>
      <c r="K8" s="465" t="s">
        <v>762</v>
      </c>
    </row>
    <row r="9" spans="1:11">
      <c r="C9" t="s">
        <v>761</v>
      </c>
      <c r="E9" s="491">
        <f>WS!J99</f>
        <v>8286797875.9099998</v>
      </c>
      <c r="G9" s="491">
        <f>WS!U99</f>
        <v>7905640514.8800001</v>
      </c>
      <c r="I9" s="491">
        <f>WS!W99</f>
        <v>6709080953</v>
      </c>
    </row>
    <row r="10" spans="1:11" ht="7.5" customHeight="1">
      <c r="E10" s="487"/>
      <c r="G10" s="487"/>
      <c r="I10" s="487"/>
    </row>
    <row r="11" spans="1:11">
      <c r="C11" s="465" t="s">
        <v>737</v>
      </c>
      <c r="E11" s="508">
        <f>E9</f>
        <v>8286797875.9099998</v>
      </c>
      <c r="G11" s="508">
        <f>G9</f>
        <v>7905640514.8800001</v>
      </c>
      <c r="I11" s="508">
        <f>I9</f>
        <v>6709080953</v>
      </c>
      <c r="K11" s="469" t="s">
        <v>82</v>
      </c>
    </row>
    <row r="12" spans="1:11" ht="16">
      <c r="E12" s="488"/>
      <c r="G12" s="488"/>
      <c r="I12" s="488"/>
    </row>
    <row r="13" spans="1:11">
      <c r="C13" s="465" t="s">
        <v>763</v>
      </c>
      <c r="E13" s="268"/>
      <c r="G13" s="268"/>
      <c r="I13" s="268"/>
    </row>
    <row r="14" spans="1:11">
      <c r="E14" s="480" t="s">
        <v>1059</v>
      </c>
      <c r="G14" s="480" t="s">
        <v>717</v>
      </c>
      <c r="I14" s="480" t="s">
        <v>716</v>
      </c>
    </row>
    <row r="15" spans="1:11">
      <c r="E15" s="481" t="s">
        <v>1060</v>
      </c>
      <c r="G15" s="481" t="s">
        <v>715</v>
      </c>
      <c r="I15" s="481" t="s">
        <v>718</v>
      </c>
    </row>
    <row r="16" spans="1:11">
      <c r="C16" s="494" t="s">
        <v>764</v>
      </c>
      <c r="E16" s="268"/>
      <c r="G16" s="268"/>
      <c r="I16" s="268"/>
      <c r="K16" s="495" t="s">
        <v>766</v>
      </c>
    </row>
    <row r="17" spans="3:13">
      <c r="C17" t="s">
        <v>765</v>
      </c>
      <c r="E17" s="466"/>
      <c r="G17" s="466"/>
      <c r="I17" s="268"/>
      <c r="K17" s="468" t="s">
        <v>767</v>
      </c>
    </row>
    <row r="18" spans="3:13">
      <c r="C18" t="s">
        <v>768</v>
      </c>
      <c r="E18" s="516">
        <f>WS!J250</f>
        <v>0</v>
      </c>
      <c r="G18" s="516">
        <f>WS!U250</f>
        <v>4471644</v>
      </c>
      <c r="I18" s="466">
        <f>WS!W250</f>
        <v>2811914</v>
      </c>
      <c r="K18" s="468" t="s">
        <v>781</v>
      </c>
    </row>
    <row r="19" spans="3:13">
      <c r="C19" t="s">
        <v>698</v>
      </c>
      <c r="E19" s="516">
        <f>WS!J252</f>
        <v>28121848</v>
      </c>
      <c r="G19" s="516">
        <f>WS!U252</f>
        <v>88055762</v>
      </c>
      <c r="I19" s="466">
        <f>WS!W252</f>
        <v>32841996</v>
      </c>
      <c r="K19" s="468" t="s">
        <v>782</v>
      </c>
    </row>
    <row r="20" spans="3:13">
      <c r="C20" t="s">
        <v>769</v>
      </c>
      <c r="E20" s="516">
        <f>WS!J253</f>
        <v>21674005.789999992</v>
      </c>
      <c r="G20" s="516">
        <f>WS!U253</f>
        <v>20541362</v>
      </c>
      <c r="I20" s="466">
        <f>WS!W253</f>
        <v>8898796</v>
      </c>
      <c r="K20" s="468" t="s">
        <v>783</v>
      </c>
    </row>
    <row r="21" spans="3:13">
      <c r="C21" t="s">
        <v>699</v>
      </c>
      <c r="E21" s="516">
        <f>WS!J254</f>
        <v>0</v>
      </c>
      <c r="G21" s="516">
        <f>WS!U254</f>
        <v>52701989</v>
      </c>
      <c r="I21" s="466">
        <f>WS!W254</f>
        <v>13754704</v>
      </c>
      <c r="K21" s="468" t="s">
        <v>784</v>
      </c>
      <c r="M21" t="s">
        <v>62</v>
      </c>
    </row>
    <row r="22" spans="3:13">
      <c r="C22" t="s">
        <v>852</v>
      </c>
      <c r="E22" s="517">
        <f>WS!J255</f>
        <v>1775555.1</v>
      </c>
      <c r="G22" s="517">
        <f>WS!U255</f>
        <v>0</v>
      </c>
      <c r="I22" s="364">
        <f>WS!W255</f>
        <v>0</v>
      </c>
      <c r="K22" s="468" t="s">
        <v>868</v>
      </c>
    </row>
    <row r="23" spans="3:13">
      <c r="C23" t="s">
        <v>770</v>
      </c>
      <c r="E23" s="518"/>
      <c r="G23" s="518"/>
      <c r="K23" s="468" t="s">
        <v>776</v>
      </c>
    </row>
    <row r="24" spans="3:13">
      <c r="C24" t="s">
        <v>771</v>
      </c>
      <c r="E24" s="516">
        <f>WS!J262</f>
        <v>0</v>
      </c>
      <c r="G24" s="516">
        <f>WS!U262</f>
        <v>0</v>
      </c>
      <c r="I24" s="466">
        <f>WS!W262</f>
        <v>0</v>
      </c>
      <c r="K24" s="468" t="s">
        <v>777</v>
      </c>
    </row>
    <row r="25" spans="3:13">
      <c r="C25" t="s">
        <v>772</v>
      </c>
      <c r="E25" s="516">
        <f>WS!J263</f>
        <v>0</v>
      </c>
      <c r="G25" s="516">
        <f>WS!U263</f>
        <v>0</v>
      </c>
      <c r="I25" s="466">
        <f>WS!W263</f>
        <v>1063969216</v>
      </c>
      <c r="K25" s="468" t="s">
        <v>778</v>
      </c>
    </row>
    <row r="26" spans="3:13">
      <c r="C26" t="s">
        <v>773</v>
      </c>
      <c r="E26" s="516">
        <f>WS!J264</f>
        <v>0</v>
      </c>
      <c r="G26" s="516">
        <f>WS!U264</f>
        <v>0</v>
      </c>
      <c r="I26" s="466">
        <f>WS!W264</f>
        <v>577405048.87</v>
      </c>
      <c r="K26" s="468" t="s">
        <v>779</v>
      </c>
    </row>
    <row r="27" spans="3:13">
      <c r="C27" s="496" t="s">
        <v>774</v>
      </c>
      <c r="E27" s="466"/>
      <c r="G27" s="466"/>
      <c r="I27" s="466"/>
      <c r="K27" s="499" t="s">
        <v>774</v>
      </c>
    </row>
    <row r="28" spans="3:13">
      <c r="C28" t="s">
        <v>775</v>
      </c>
      <c r="E28" s="494"/>
      <c r="G28" s="494"/>
      <c r="I28" s="494"/>
      <c r="K28" s="468" t="s">
        <v>780</v>
      </c>
    </row>
    <row r="29" spans="3:13" ht="7.5" customHeight="1"/>
    <row r="30" spans="3:13" ht="15" thickBot="1">
      <c r="C30" s="465" t="s">
        <v>741</v>
      </c>
      <c r="E30" s="501">
        <f>SUM(E18:E27)</f>
        <v>51571408.889999993</v>
      </c>
      <c r="G30" s="501">
        <f>SUM(G18:G27)</f>
        <v>165770757</v>
      </c>
      <c r="I30" s="501">
        <f>SUM(I18:I27)</f>
        <v>1699681674.8699999</v>
      </c>
      <c r="K30" s="469" t="s">
        <v>82</v>
      </c>
    </row>
    <row r="33" spans="3:11">
      <c r="C33" s="465" t="s">
        <v>845</v>
      </c>
    </row>
    <row r="34" spans="3:11">
      <c r="E34" s="480" t="s">
        <v>1059</v>
      </c>
      <c r="G34" s="480" t="s">
        <v>717</v>
      </c>
      <c r="I34" s="480" t="s">
        <v>716</v>
      </c>
    </row>
    <row r="35" spans="3:11">
      <c r="E35" s="481" t="s">
        <v>1060</v>
      </c>
      <c r="G35" s="481" t="s">
        <v>715</v>
      </c>
      <c r="I35" s="481" t="s">
        <v>718</v>
      </c>
    </row>
    <row r="36" spans="3:11">
      <c r="C36" t="s">
        <v>846</v>
      </c>
      <c r="E36" s="497">
        <f>WS!J489</f>
        <v>1135531100</v>
      </c>
      <c r="G36" s="497">
        <f>WS!U489</f>
        <v>1066942140</v>
      </c>
      <c r="I36" s="505">
        <f>WS!W489</f>
        <v>673327819.87</v>
      </c>
      <c r="K36" s="468" t="s">
        <v>849</v>
      </c>
    </row>
    <row r="37" spans="3:11">
      <c r="C37" t="s">
        <v>847</v>
      </c>
      <c r="E37" s="466"/>
      <c r="G37" s="466"/>
      <c r="I37" s="465"/>
      <c r="K37" s="468" t="s">
        <v>850</v>
      </c>
    </row>
    <row r="38" spans="3:11">
      <c r="C38" t="s">
        <v>848</v>
      </c>
      <c r="E38" s="514">
        <f>WS!J492</f>
        <v>0</v>
      </c>
      <c r="G38" s="514">
        <f>WS!U492</f>
        <v>0</v>
      </c>
      <c r="I38" s="512">
        <f>WS!W492</f>
        <v>-61828680.772033125</v>
      </c>
      <c r="K38" s="468" t="s">
        <v>851</v>
      </c>
    </row>
    <row r="39" spans="3:11" ht="7.5" customHeight="1">
      <c r="K39" s="468"/>
    </row>
    <row r="40" spans="3:11" ht="15" thickBot="1">
      <c r="C40" s="465" t="s">
        <v>741</v>
      </c>
      <c r="E40" s="501">
        <f>SUM(E36:E38)</f>
        <v>1135531100</v>
      </c>
      <c r="G40" s="501">
        <f>SUM(G36:G38)</f>
        <v>1066942140</v>
      </c>
      <c r="I40" s="515">
        <f>SUM(I36:I38)</f>
        <v>611499139.09796691</v>
      </c>
      <c r="K40" s="469" t="s">
        <v>82</v>
      </c>
    </row>
    <row r="43" spans="3:11">
      <c r="E43" s="497"/>
      <c r="G43" s="497"/>
    </row>
    <row r="44" spans="3:11">
      <c r="C44" s="465" t="s">
        <v>853</v>
      </c>
      <c r="E44" s="505">
        <f>E11</f>
        <v>8286797875.9099998</v>
      </c>
      <c r="G44" s="505">
        <f>G11</f>
        <v>7905640514.8800001</v>
      </c>
      <c r="I44" s="465" t="s">
        <v>836</v>
      </c>
      <c r="K44" s="505">
        <f>I11</f>
        <v>6709080953</v>
      </c>
    </row>
    <row r="45" spans="3:11">
      <c r="C45" s="465" t="s">
        <v>518</v>
      </c>
      <c r="E45" s="505">
        <f>WS!U99</f>
        <v>7905640514.8800001</v>
      </c>
      <c r="G45" s="505">
        <f>WS!W99</f>
        <v>6709080953</v>
      </c>
      <c r="I45" s="465" t="s">
        <v>518</v>
      </c>
      <c r="K45" s="505">
        <f>WS!W99</f>
        <v>6709080953</v>
      </c>
    </row>
    <row r="46" spans="3:11">
      <c r="E46" s="364">
        <f>E44-E45</f>
        <v>381157361.02999973</v>
      </c>
      <c r="G46" s="364">
        <f>G44-G45</f>
        <v>1196559561.8800001</v>
      </c>
      <c r="I46" s="465"/>
      <c r="K46" s="364">
        <f>K44-K45</f>
        <v>0</v>
      </c>
    </row>
    <row r="47" spans="3:11">
      <c r="I47" s="465"/>
    </row>
    <row r="48" spans="3:11">
      <c r="C48" s="465" t="s">
        <v>854</v>
      </c>
      <c r="E48" s="519">
        <f>E30</f>
        <v>51571408.889999993</v>
      </c>
      <c r="G48" s="519">
        <f>G30</f>
        <v>165770757</v>
      </c>
      <c r="I48" s="465" t="s">
        <v>836</v>
      </c>
      <c r="K48" s="519">
        <f>I30</f>
        <v>1699681674.8699999</v>
      </c>
    </row>
    <row r="49" spans="3:11">
      <c r="C49" s="465" t="s">
        <v>518</v>
      </c>
      <c r="E49" s="505">
        <f>WS!U266</f>
        <v>4063881308.9400001</v>
      </c>
      <c r="G49" s="505">
        <f>WS!W266</f>
        <v>1699681674.8699999</v>
      </c>
      <c r="I49" s="465" t="s">
        <v>518</v>
      </c>
      <c r="K49" s="505">
        <f>WS!W266</f>
        <v>1699681674.8699999</v>
      </c>
    </row>
    <row r="50" spans="3:11">
      <c r="E50" s="426">
        <f>E48-E49</f>
        <v>-4012309900.0500002</v>
      </c>
      <c r="G50" s="426">
        <f>G48-G49</f>
        <v>-1533910917.8699999</v>
      </c>
      <c r="I50" s="465"/>
      <c r="K50" s="426">
        <f>K48-K49</f>
        <v>0</v>
      </c>
    </row>
    <row r="51" spans="3:11">
      <c r="I51" s="465"/>
    </row>
    <row r="52" spans="3:11">
      <c r="C52" s="465" t="s">
        <v>855</v>
      </c>
      <c r="E52" s="497">
        <f>E40</f>
        <v>1135531100</v>
      </c>
      <c r="G52" s="497">
        <f>G40</f>
        <v>1066942140</v>
      </c>
      <c r="I52" s="465" t="s">
        <v>836</v>
      </c>
      <c r="K52" s="505">
        <f>I40</f>
        <v>611499139.09796691</v>
      </c>
    </row>
    <row r="53" spans="3:11">
      <c r="C53" s="465" t="s">
        <v>518</v>
      </c>
      <c r="E53" s="364">
        <f>WS!S493</f>
        <v>0</v>
      </c>
      <c r="G53" s="364">
        <f>WS!U493</f>
        <v>1066942140</v>
      </c>
      <c r="I53" s="465" t="s">
        <v>518</v>
      </c>
      <c r="K53" s="505">
        <f>WS!W493</f>
        <v>611499139.09796691</v>
      </c>
    </row>
    <row r="54" spans="3:11">
      <c r="E54" s="497">
        <f>E52-E53</f>
        <v>1135531100</v>
      </c>
      <c r="G54" s="497">
        <f>G52-G53</f>
        <v>0</v>
      </c>
      <c r="K54" s="364">
        <f>K52-K53</f>
        <v>0</v>
      </c>
    </row>
    <row r="55" spans="3:11">
      <c r="C55" s="465" t="s">
        <v>1066</v>
      </c>
      <c r="E55" s="498">
        <f>E30</f>
        <v>51571408.889999993</v>
      </c>
    </row>
    <row r="56" spans="3:11">
      <c r="C56" s="465" t="s">
        <v>518</v>
      </c>
      <c r="E56" s="467">
        <f>WS!J266</f>
        <v>731397456.79999995</v>
      </c>
    </row>
    <row r="57" spans="3:11">
      <c r="E57" s="497">
        <f>E55-E56</f>
        <v>-679826047.90999997</v>
      </c>
    </row>
    <row r="59" spans="3:11">
      <c r="C59" s="465" t="s">
        <v>1067</v>
      </c>
      <c r="E59" s="497">
        <f>E30</f>
        <v>51571408.889999993</v>
      </c>
    </row>
    <row r="60" spans="3:11">
      <c r="C60" s="465" t="s">
        <v>518</v>
      </c>
      <c r="E60" s="466">
        <f>WS!J266</f>
        <v>731397456.79999995</v>
      </c>
    </row>
    <row r="61" spans="3:11">
      <c r="E61" s="497">
        <f>E59-E60</f>
        <v>-679826047.90999997</v>
      </c>
    </row>
    <row r="63" spans="3:11">
      <c r="C63" s="465" t="s">
        <v>1068</v>
      </c>
      <c r="E63" s="497">
        <f>E40</f>
        <v>1135531100</v>
      </c>
    </row>
    <row r="64" spans="3:11">
      <c r="C64" s="465" t="s">
        <v>518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94F5-C386-4A5A-8FAF-79BB2C4FA237}">
  <dimension ref="A2:K27"/>
  <sheetViews>
    <sheetView showGridLines="0" workbookViewId="0">
      <selection activeCell="E26" sqref="E26"/>
    </sheetView>
  </sheetViews>
  <sheetFormatPr defaultRowHeight="14.5"/>
  <cols>
    <col min="3" max="3" width="27" bestFit="1" customWidth="1"/>
    <col min="4" max="4" width="3.26953125" customWidth="1"/>
    <col min="5" max="5" width="20.7265625" bestFit="1" customWidth="1"/>
    <col min="6" max="6" width="3.26953125" customWidth="1"/>
    <col min="7" max="7" width="20.7265625" bestFit="1" customWidth="1"/>
    <col min="8" max="8" width="3.453125" customWidth="1"/>
    <col min="9" max="9" width="20" bestFit="1" customWidth="1"/>
    <col min="10" max="10" width="3.26953125" customWidth="1"/>
    <col min="11" max="11" width="19" bestFit="1" customWidth="1"/>
  </cols>
  <sheetData>
    <row r="2" spans="1:11">
      <c r="A2" s="465" t="s">
        <v>798</v>
      </c>
    </row>
    <row r="5" spans="1:11">
      <c r="C5" s="465" t="s">
        <v>799</v>
      </c>
    </row>
    <row r="7" spans="1:11">
      <c r="C7" s="465" t="s">
        <v>673</v>
      </c>
    </row>
    <row r="8" spans="1:11">
      <c r="C8" s="465"/>
    </row>
    <row r="9" spans="1:11">
      <c r="B9" s="465"/>
      <c r="C9" s="465"/>
      <c r="E9" s="480" t="s">
        <v>1059</v>
      </c>
      <c r="G9" s="480" t="s">
        <v>717</v>
      </c>
      <c r="I9" s="480" t="s">
        <v>716</v>
      </c>
    </row>
    <row r="10" spans="1:11">
      <c r="E10" s="481" t="s">
        <v>1060</v>
      </c>
      <c r="G10" s="481" t="s">
        <v>715</v>
      </c>
      <c r="I10" s="481" t="s">
        <v>718</v>
      </c>
    </row>
    <row r="11" spans="1:11">
      <c r="B11" s="465"/>
      <c r="C11" t="s">
        <v>136</v>
      </c>
      <c r="E11" s="466">
        <f>WS!J169</f>
        <v>44349698871</v>
      </c>
      <c r="G11" s="466">
        <f>WS!U169</f>
        <v>24548186154</v>
      </c>
      <c r="I11" s="466">
        <f>WS!W169</f>
        <v>27745785208</v>
      </c>
      <c r="K11" s="468" t="s">
        <v>136</v>
      </c>
    </row>
    <row r="12" spans="1:11">
      <c r="C12" t="s">
        <v>137</v>
      </c>
      <c r="E12" s="466">
        <f>WS!J170</f>
        <v>0</v>
      </c>
      <c r="G12" s="466">
        <f>WS!U170</f>
        <v>0</v>
      </c>
      <c r="I12" s="466">
        <f>WS!W170</f>
        <v>33713322258</v>
      </c>
      <c r="K12" s="468" t="s">
        <v>137</v>
      </c>
    </row>
    <row r="13" spans="1:11">
      <c r="C13" t="s">
        <v>138</v>
      </c>
      <c r="E13" s="466">
        <f>WS!J171</f>
        <v>0</v>
      </c>
      <c r="G13" s="466">
        <f>WS!U171</f>
        <v>0</v>
      </c>
      <c r="I13" s="466">
        <f>WS!W171</f>
        <v>29290400000</v>
      </c>
      <c r="K13" s="468" t="s">
        <v>138</v>
      </c>
    </row>
    <row r="14" spans="1:11">
      <c r="C14" t="s">
        <v>139</v>
      </c>
      <c r="E14" s="466">
        <f>WS!J172</f>
        <v>27588534000</v>
      </c>
      <c r="G14" s="466">
        <f>WS!U172</f>
        <v>30967888000</v>
      </c>
      <c r="I14" s="466">
        <f>WS!W172</f>
        <v>15924728000</v>
      </c>
      <c r="K14" s="468" t="s">
        <v>139</v>
      </c>
    </row>
    <row r="15" spans="1:11">
      <c r="C15" t="s">
        <v>140</v>
      </c>
      <c r="E15" s="466">
        <f>WS!J173</f>
        <v>32324000000</v>
      </c>
      <c r="G15" s="466">
        <f>WS!U173</f>
        <v>22648665000</v>
      </c>
      <c r="I15" s="466">
        <f>WS!W173</f>
        <v>20494030400</v>
      </c>
      <c r="K15" s="468" t="s">
        <v>140</v>
      </c>
    </row>
    <row r="16" spans="1:11">
      <c r="C16" t="s">
        <v>141</v>
      </c>
      <c r="E16" s="500">
        <f>WS!J174</f>
        <v>22350000000</v>
      </c>
      <c r="G16" s="500">
        <f>WS!U174</f>
        <v>22000000000</v>
      </c>
      <c r="I16" s="500">
        <f>WS!W174</f>
        <v>8600000000</v>
      </c>
      <c r="K16" s="468" t="s">
        <v>141</v>
      </c>
    </row>
    <row r="17" spans="3:11" ht="6.75" customHeight="1">
      <c r="C17" s="465"/>
    </row>
    <row r="18" spans="3:11" ht="15" thickBot="1">
      <c r="C18" s="465" t="s">
        <v>534</v>
      </c>
      <c r="E18" s="501">
        <f>SUM(E11:E16)</f>
        <v>126612232871</v>
      </c>
      <c r="G18" s="501">
        <f>SUM(G11:G16)</f>
        <v>100164739154</v>
      </c>
      <c r="I18" s="501">
        <f>SUM(I11:I16)</f>
        <v>135768265866</v>
      </c>
      <c r="K18" s="469" t="s">
        <v>535</v>
      </c>
    </row>
    <row r="21" spans="3:11">
      <c r="C21" s="465" t="s">
        <v>835</v>
      </c>
      <c r="E21" s="498">
        <f>E18</f>
        <v>126612232871</v>
      </c>
      <c r="G21" s="498">
        <f>G18</f>
        <v>100164739154</v>
      </c>
      <c r="I21" s="465" t="s">
        <v>836</v>
      </c>
      <c r="K21" s="498">
        <f>I18</f>
        <v>135768265866</v>
      </c>
    </row>
    <row r="22" spans="3:11">
      <c r="C22" s="465" t="s">
        <v>518</v>
      </c>
      <c r="E22" s="467">
        <f>WS!S175</f>
        <v>0</v>
      </c>
      <c r="G22" s="467">
        <f>WS!U175</f>
        <v>100164739154</v>
      </c>
      <c r="I22" s="465" t="s">
        <v>518</v>
      </c>
      <c r="K22" s="467">
        <f>WS!W175</f>
        <v>135768265866</v>
      </c>
    </row>
    <row r="23" spans="3:11">
      <c r="E23" s="466">
        <f>E21-E22</f>
        <v>126612232871</v>
      </c>
      <c r="G23" s="466">
        <f>G21-G22</f>
        <v>0</v>
      </c>
    </row>
    <row r="25" spans="3:11">
      <c r="C25" s="465" t="s">
        <v>1065</v>
      </c>
      <c r="E25" s="498">
        <f>E18</f>
        <v>126612232871</v>
      </c>
    </row>
    <row r="26" spans="3:11">
      <c r="C26" s="465" t="s">
        <v>518</v>
      </c>
      <c r="E26" s="467">
        <f>WS!J175</f>
        <v>126612232871</v>
      </c>
    </row>
    <row r="27" spans="3:11">
      <c r="E27" s="497">
        <f>E25-E26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312A-C666-423E-BABB-44F4941B5F7A}">
  <dimension ref="A2:K22"/>
  <sheetViews>
    <sheetView showGridLines="0" topLeftCell="B1" workbookViewId="0">
      <selection activeCell="F22" sqref="F22"/>
    </sheetView>
  </sheetViews>
  <sheetFormatPr defaultRowHeight="14.5"/>
  <cols>
    <col min="3" max="3" width="38" bestFit="1" customWidth="1"/>
    <col min="4" max="4" width="2.453125" customWidth="1"/>
    <col min="5" max="5" width="20.7265625" bestFit="1" customWidth="1"/>
    <col min="6" max="6" width="2.453125" customWidth="1"/>
    <col min="7" max="7" width="20.7265625" bestFit="1" customWidth="1"/>
    <col min="8" max="8" width="2.453125" customWidth="1"/>
    <col min="9" max="9" width="20" bestFit="1" customWidth="1"/>
    <col min="10" max="10" width="3.1796875" customWidth="1"/>
    <col min="11" max="11" width="12.54296875" bestFit="1" customWidth="1"/>
  </cols>
  <sheetData>
    <row r="2" spans="1:11">
      <c r="A2" s="465" t="s">
        <v>839</v>
      </c>
    </row>
    <row r="6" spans="1:11">
      <c r="E6" s="480" t="s">
        <v>1059</v>
      </c>
      <c r="G6" s="480" t="s">
        <v>717</v>
      </c>
      <c r="I6" s="480" t="s">
        <v>716</v>
      </c>
      <c r="J6" s="480"/>
    </row>
    <row r="7" spans="1:11">
      <c r="E7" s="481" t="s">
        <v>1060</v>
      </c>
      <c r="G7" s="481" t="s">
        <v>715</v>
      </c>
      <c r="I7" s="481" t="s">
        <v>718</v>
      </c>
      <c r="J7" s="493"/>
    </row>
    <row r="8" spans="1:11">
      <c r="C8" t="s">
        <v>840</v>
      </c>
      <c r="E8" s="364">
        <f>WS!J146</f>
        <v>143502898.41999999</v>
      </c>
      <c r="G8" s="364">
        <f>WS!U146</f>
        <v>143502898.41999999</v>
      </c>
      <c r="I8" s="364">
        <f>WS!W146</f>
        <v>143502898.41999999</v>
      </c>
      <c r="K8" s="468" t="s">
        <v>856</v>
      </c>
    </row>
    <row r="9" spans="1:11">
      <c r="C9" t="s">
        <v>841</v>
      </c>
      <c r="E9" s="364">
        <f>WS!J145</f>
        <v>150529856.17453313</v>
      </c>
      <c r="G9" s="364">
        <f>WS!U145</f>
        <v>150529856.17453313</v>
      </c>
      <c r="I9" s="364">
        <f>WS!W145</f>
        <v>150529856.17453313</v>
      </c>
      <c r="K9" s="468" t="s">
        <v>857</v>
      </c>
    </row>
    <row r="10" spans="1:11">
      <c r="C10" t="s">
        <v>832</v>
      </c>
      <c r="E10" s="511">
        <f>-WS!J148</f>
        <v>-51462969.5625</v>
      </c>
      <c r="G10" s="511">
        <f>-WS!U148</f>
        <v>-51462969.5625</v>
      </c>
      <c r="I10" s="512">
        <f>-WS!W148</f>
        <v>-51462969.5625</v>
      </c>
      <c r="K10" s="468" t="s">
        <v>292</v>
      </c>
    </row>
    <row r="11" spans="1:11" ht="6.75" customHeight="1">
      <c r="C11" s="465"/>
    </row>
    <row r="12" spans="1:11" ht="15" thickBot="1">
      <c r="C12" s="465" t="s">
        <v>453</v>
      </c>
      <c r="E12" s="520">
        <f>SUM(E8:E9)+E10</f>
        <v>242569785.03203309</v>
      </c>
      <c r="G12" s="520">
        <f>SUM(G8:G9)+G10</f>
        <v>242569785.03203309</v>
      </c>
      <c r="I12" s="520">
        <f>SUM(I8:I9)+I10</f>
        <v>242569785.03203309</v>
      </c>
      <c r="K12" s="468" t="s">
        <v>113</v>
      </c>
    </row>
    <row r="13" spans="1:11" ht="15" thickTop="1"/>
    <row r="16" spans="1:11">
      <c r="C16" s="467" t="s">
        <v>835</v>
      </c>
      <c r="E16" s="505">
        <f>E12</f>
        <v>242569785.03203309</v>
      </c>
      <c r="G16" s="505">
        <f>G12</f>
        <v>242569785.03203309</v>
      </c>
      <c r="I16" s="465" t="s">
        <v>836</v>
      </c>
      <c r="K16" s="505">
        <f>I12</f>
        <v>242569785.03203309</v>
      </c>
    </row>
    <row r="17" spans="3:11">
      <c r="C17" s="467" t="s">
        <v>518</v>
      </c>
      <c r="E17" s="505">
        <f>WS!S149</f>
        <v>0</v>
      </c>
      <c r="G17" s="505">
        <f>WS!U149</f>
        <v>242569785.03203309</v>
      </c>
      <c r="I17" s="465" t="s">
        <v>518</v>
      </c>
      <c r="K17" s="505">
        <f>WS!W149</f>
        <v>242569785.03203309</v>
      </c>
    </row>
    <row r="18" spans="3:11">
      <c r="C18" s="466"/>
      <c r="E18" s="364">
        <f>E16-E17</f>
        <v>242569785.03203309</v>
      </c>
      <c r="G18" s="364">
        <f>G16-G17</f>
        <v>0</v>
      </c>
      <c r="K18" s="364">
        <f>K16-K17</f>
        <v>0</v>
      </c>
    </row>
    <row r="19" spans="3:11">
      <c r="C19" s="497"/>
    </row>
    <row r="20" spans="3:11">
      <c r="C20" s="465" t="s">
        <v>1065</v>
      </c>
      <c r="E20" s="505">
        <f>E12</f>
        <v>242569785.03203309</v>
      </c>
    </row>
    <row r="21" spans="3:11">
      <c r="C21" s="465" t="s">
        <v>518</v>
      </c>
      <c r="E21" s="505">
        <f>WS!J149</f>
        <v>242569785.03203309</v>
      </c>
    </row>
    <row r="22" spans="3:11">
      <c r="E22" s="364">
        <f>E20-E21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9748-9979-4C81-A907-002357CE7FEF}">
  <dimension ref="A2:K48"/>
  <sheetViews>
    <sheetView showGridLines="0" workbookViewId="0">
      <selection activeCell="F12" sqref="F12"/>
    </sheetView>
  </sheetViews>
  <sheetFormatPr defaultRowHeight="14.5"/>
  <cols>
    <col min="3" max="3" width="28" bestFit="1" customWidth="1"/>
    <col min="4" max="4" width="4.453125" customWidth="1"/>
    <col min="5" max="5" width="20.7265625" bestFit="1" customWidth="1"/>
    <col min="6" max="6" width="4.453125" customWidth="1"/>
    <col min="7" max="7" width="20.7265625" bestFit="1" customWidth="1"/>
    <col min="8" max="8" width="3.453125" customWidth="1"/>
    <col min="9" max="9" width="20" bestFit="1" customWidth="1"/>
    <col min="10" max="10" width="2.453125" customWidth="1"/>
    <col min="11" max="11" width="37" bestFit="1" customWidth="1"/>
  </cols>
  <sheetData>
    <row r="2" spans="1:11">
      <c r="A2" s="465" t="s">
        <v>800</v>
      </c>
      <c r="E2" s="480"/>
      <c r="G2" s="480"/>
    </row>
    <row r="3" spans="1:11">
      <c r="E3" s="493"/>
      <c r="G3" s="493"/>
    </row>
    <row r="5" spans="1:11">
      <c r="E5" s="480" t="s">
        <v>1059</v>
      </c>
      <c r="G5" s="480" t="s">
        <v>717</v>
      </c>
      <c r="I5" s="480" t="s">
        <v>716</v>
      </c>
    </row>
    <row r="6" spans="1:11">
      <c r="E6" s="481" t="s">
        <v>1060</v>
      </c>
      <c r="G6" s="481" t="s">
        <v>715</v>
      </c>
      <c r="I6" s="481" t="s">
        <v>718</v>
      </c>
    </row>
    <row r="7" spans="1:11">
      <c r="C7" s="465" t="s">
        <v>801</v>
      </c>
      <c r="K7" s="468" t="s">
        <v>802</v>
      </c>
    </row>
    <row r="8" spans="1:11">
      <c r="C8" t="s">
        <v>320</v>
      </c>
      <c r="E8" s="466">
        <f>WS!J419</f>
        <v>313949059</v>
      </c>
      <c r="G8" s="466">
        <f>WS!U419</f>
        <v>270332060</v>
      </c>
      <c r="I8" s="466">
        <f>WS!W419</f>
        <v>326651463</v>
      </c>
      <c r="K8" s="468" t="s">
        <v>320</v>
      </c>
    </row>
    <row r="9" spans="1:11">
      <c r="C9" t="s">
        <v>321</v>
      </c>
      <c r="E9" s="466">
        <f>WS!J420</f>
        <v>3962378187</v>
      </c>
      <c r="G9" s="466">
        <f>WS!U420</f>
        <v>2892243979</v>
      </c>
      <c r="I9" s="466">
        <f>WS!W420</f>
        <v>3836346543</v>
      </c>
      <c r="K9" s="468" t="s">
        <v>858</v>
      </c>
    </row>
    <row r="10" spans="1:11">
      <c r="C10" t="s">
        <v>322</v>
      </c>
      <c r="E10" s="466">
        <f>WS!J421</f>
        <v>332597853</v>
      </c>
      <c r="G10" s="466">
        <f>WS!U421</f>
        <v>332597853</v>
      </c>
      <c r="I10" s="466">
        <f>WS!W421</f>
        <v>341934529</v>
      </c>
      <c r="K10" s="468" t="s">
        <v>859</v>
      </c>
    </row>
    <row r="11" spans="1:11">
      <c r="C11" t="s">
        <v>323</v>
      </c>
      <c r="E11" s="466">
        <f>WS!J422</f>
        <v>432045000</v>
      </c>
      <c r="G11" s="466">
        <f>WS!U422</f>
        <v>339109000</v>
      </c>
      <c r="I11" s="466">
        <f>WS!W422</f>
        <v>381155000</v>
      </c>
      <c r="K11" s="468" t="s">
        <v>820</v>
      </c>
    </row>
    <row r="12" spans="1:11">
      <c r="C12" t="s">
        <v>324</v>
      </c>
      <c r="E12" s="466">
        <f>WS!J423</f>
        <v>0</v>
      </c>
      <c r="G12" s="466">
        <f>WS!U423</f>
        <v>0</v>
      </c>
      <c r="I12" s="466">
        <f>WS!W423</f>
        <v>0</v>
      </c>
      <c r="K12" s="468" t="s">
        <v>860</v>
      </c>
    </row>
    <row r="13" spans="1:11">
      <c r="C13" t="s">
        <v>832</v>
      </c>
      <c r="E13" s="466">
        <f>WS!J456+WS!J457+WS!J458+WS!J459+WS!J460+WS!J461+WS!J462+WS!J463+WS!J464</f>
        <v>10112250</v>
      </c>
      <c r="G13" s="466">
        <f>WS!U456+WS!U457+WS!U458+WS!U459+WS!U460+WS!U461+WS!U462+WS!U463+WS!U464</f>
        <v>166647958.89682782</v>
      </c>
      <c r="I13" s="466">
        <f>WS!W456+WS!W457+WS!W458+WS!W459+WS!W460+WS!W461+WS!W462+WS!W463+WS!W464</f>
        <v>223075091</v>
      </c>
      <c r="K13" s="468" t="s">
        <v>292</v>
      </c>
    </row>
    <row r="14" spans="1:11">
      <c r="C14" t="s">
        <v>326</v>
      </c>
      <c r="E14" s="466">
        <f>WS!J425</f>
        <v>1343058</v>
      </c>
      <c r="G14" s="466">
        <f>WS!U425</f>
        <v>1293058</v>
      </c>
      <c r="I14" s="466">
        <f>WS!W425</f>
        <v>570000</v>
      </c>
      <c r="K14" s="468" t="s">
        <v>861</v>
      </c>
    </row>
    <row r="15" spans="1:11">
      <c r="C15" t="s">
        <v>833</v>
      </c>
      <c r="E15" s="466">
        <f>WS!S449+WS!S450+WS!S451+WS!S452+WS!S453+WS!S454</f>
        <v>0</v>
      </c>
      <c r="G15" s="466">
        <f>WS!U449+WS!U450+WS!U451+WS!U452+WS!U453+WS!U454</f>
        <v>395807726</v>
      </c>
      <c r="I15" s="466">
        <f>WS!W449+WS!W450+WS!W451+WS!W452+WS!W453+WS!W454</f>
        <v>537341899</v>
      </c>
      <c r="K15" s="468" t="s">
        <v>834</v>
      </c>
    </row>
    <row r="16" spans="1:11">
      <c r="C16" t="s">
        <v>803</v>
      </c>
      <c r="E16" s="466">
        <f>WS!J426</f>
        <v>20121300</v>
      </c>
      <c r="G16" s="466">
        <f>WS!U426</f>
        <v>16530500</v>
      </c>
      <c r="I16" s="466">
        <f>WS!W426</f>
        <v>27120300</v>
      </c>
      <c r="K16" s="468" t="s">
        <v>804</v>
      </c>
    </row>
    <row r="17" spans="3:11">
      <c r="C17" t="s">
        <v>328</v>
      </c>
      <c r="E17" s="466">
        <f>WS!J427</f>
        <v>111024837</v>
      </c>
      <c r="G17" s="466">
        <f>WS!U427</f>
        <v>80745336</v>
      </c>
      <c r="I17" s="466">
        <f>WS!W427</f>
        <v>137236872</v>
      </c>
      <c r="K17" s="468" t="s">
        <v>805</v>
      </c>
    </row>
    <row r="18" spans="3:11">
      <c r="C18" t="s">
        <v>329</v>
      </c>
      <c r="E18" s="466">
        <f>WS!J428</f>
        <v>144047264</v>
      </c>
      <c r="G18" s="466">
        <f>WS!U428</f>
        <v>105481619</v>
      </c>
      <c r="I18" s="466">
        <f>WS!W428</f>
        <v>138181751</v>
      </c>
      <c r="K18" s="468" t="s">
        <v>806</v>
      </c>
    </row>
    <row r="19" spans="3:11">
      <c r="C19" t="s">
        <v>330</v>
      </c>
      <c r="E19" s="466">
        <f>WS!J429</f>
        <v>1750000</v>
      </c>
      <c r="G19" s="466">
        <f>WS!U429</f>
        <v>1750000</v>
      </c>
      <c r="I19" s="466">
        <f>WS!W429</f>
        <v>4610000</v>
      </c>
      <c r="K19" s="468" t="s">
        <v>818</v>
      </c>
    </row>
    <row r="20" spans="3:11">
      <c r="C20" t="s">
        <v>331</v>
      </c>
      <c r="E20" s="466">
        <f>WS!J430</f>
        <v>494527864</v>
      </c>
      <c r="G20" s="466">
        <f>WS!U430</f>
        <v>370520898</v>
      </c>
      <c r="I20" s="466">
        <f>WS!W430</f>
        <v>487203054</v>
      </c>
      <c r="K20" s="468" t="s">
        <v>862</v>
      </c>
    </row>
    <row r="21" spans="3:11">
      <c r="C21" t="s">
        <v>332</v>
      </c>
      <c r="E21" s="466">
        <f>WS!J431</f>
        <v>1985000</v>
      </c>
      <c r="G21" s="466">
        <f>WS!U431</f>
        <v>2690000</v>
      </c>
      <c r="I21" s="466">
        <f>WS!W431</f>
        <v>0</v>
      </c>
      <c r="K21" s="468" t="s">
        <v>817</v>
      </c>
    </row>
    <row r="22" spans="3:11">
      <c r="C22" t="s">
        <v>333</v>
      </c>
      <c r="E22" s="466">
        <f>WS!J432</f>
        <v>66151774</v>
      </c>
      <c r="G22" s="466">
        <f>WS!U432</f>
        <v>45624644</v>
      </c>
      <c r="I22" s="466">
        <f>WS!W432</f>
        <v>60574758</v>
      </c>
      <c r="K22" s="468" t="s">
        <v>333</v>
      </c>
    </row>
    <row r="23" spans="3:11">
      <c r="C23" t="s">
        <v>334</v>
      </c>
      <c r="E23" s="466">
        <f>WS!J433</f>
        <v>95443972</v>
      </c>
      <c r="G23" s="466">
        <f>WS!U433</f>
        <v>70172940</v>
      </c>
      <c r="I23" s="466">
        <f>WS!W433</f>
        <v>114566201</v>
      </c>
      <c r="K23" s="468" t="s">
        <v>811</v>
      </c>
    </row>
    <row r="24" spans="3:11">
      <c r="C24" t="s">
        <v>335</v>
      </c>
      <c r="E24" s="466">
        <f>WS!J434</f>
        <v>5869396531</v>
      </c>
      <c r="G24" s="466">
        <f>WS!U434</f>
        <v>5864554452.1100006</v>
      </c>
      <c r="I24" s="466">
        <f>WS!W434</f>
        <v>59045957</v>
      </c>
      <c r="K24" s="468" t="s">
        <v>812</v>
      </c>
    </row>
    <row r="25" spans="3:11">
      <c r="C25" t="s">
        <v>336</v>
      </c>
      <c r="E25" s="466">
        <f>WS!J435</f>
        <v>48008000</v>
      </c>
      <c r="G25" s="466">
        <f>WS!U435</f>
        <v>36022500</v>
      </c>
      <c r="I25" s="466">
        <f>WS!W435</f>
        <v>27965250</v>
      </c>
      <c r="K25" s="468" t="s">
        <v>807</v>
      </c>
    </row>
    <row r="26" spans="3:11">
      <c r="C26" t="s">
        <v>337</v>
      </c>
      <c r="E26" s="466">
        <f>WS!J436</f>
        <v>9081632.1500000004</v>
      </c>
      <c r="G26" s="466">
        <f>WS!U436</f>
        <v>0</v>
      </c>
      <c r="I26" s="466">
        <f>WS!W436</f>
        <v>0</v>
      </c>
      <c r="K26" s="468" t="s">
        <v>813</v>
      </c>
    </row>
    <row r="27" spans="3:11">
      <c r="C27" t="s">
        <v>338</v>
      </c>
      <c r="E27" s="466">
        <f>WS!J437</f>
        <v>0</v>
      </c>
      <c r="G27" s="466">
        <f>WS!U437</f>
        <v>0</v>
      </c>
      <c r="I27" s="466">
        <f>WS!W437</f>
        <v>0</v>
      </c>
      <c r="K27" s="468" t="s">
        <v>814</v>
      </c>
    </row>
    <row r="28" spans="3:11">
      <c r="C28" t="s">
        <v>339</v>
      </c>
      <c r="E28" s="466">
        <f>WS!J438</f>
        <v>29120505</v>
      </c>
      <c r="G28" s="466">
        <f>WS!U438</f>
        <v>23213065</v>
      </c>
      <c r="I28" s="466">
        <f>WS!W438</f>
        <v>18194800</v>
      </c>
      <c r="K28" s="468" t="s">
        <v>810</v>
      </c>
    </row>
    <row r="29" spans="3:11">
      <c r="C29" t="s">
        <v>340</v>
      </c>
      <c r="E29" s="466">
        <f>WS!J439</f>
        <v>1940000</v>
      </c>
      <c r="G29" s="466">
        <f>WS!U439</f>
        <v>1940000</v>
      </c>
      <c r="I29" s="466">
        <f>WS!W439</f>
        <v>75000</v>
      </c>
      <c r="K29" s="468" t="s">
        <v>808</v>
      </c>
    </row>
    <row r="30" spans="3:11">
      <c r="C30" t="s">
        <v>341</v>
      </c>
      <c r="E30" s="466">
        <f>WS!J440</f>
        <v>708567754</v>
      </c>
      <c r="G30" s="466">
        <f>WS!U440</f>
        <v>399285816</v>
      </c>
      <c r="I30" s="466">
        <f>WS!W440</f>
        <v>659384289</v>
      </c>
      <c r="K30" s="468" t="s">
        <v>863</v>
      </c>
    </row>
    <row r="31" spans="3:11">
      <c r="C31" t="s">
        <v>342</v>
      </c>
      <c r="E31" s="466">
        <f>WS!J441</f>
        <v>18004700</v>
      </c>
      <c r="G31" s="466">
        <f>WS!U441</f>
        <v>10757450</v>
      </c>
      <c r="I31" s="466">
        <f>WS!W441</f>
        <v>43731750</v>
      </c>
      <c r="K31" s="468" t="s">
        <v>815</v>
      </c>
    </row>
    <row r="32" spans="3:11">
      <c r="C32" t="s">
        <v>343</v>
      </c>
      <c r="E32" s="466">
        <f>WS!J442</f>
        <v>986155206</v>
      </c>
      <c r="G32" s="466">
        <f>WS!U442</f>
        <v>933155206</v>
      </c>
      <c r="I32" s="466">
        <f>WS!W442</f>
        <v>39331210</v>
      </c>
      <c r="K32" s="468" t="s">
        <v>816</v>
      </c>
    </row>
    <row r="33" spans="3:11">
      <c r="C33" t="s">
        <v>344</v>
      </c>
      <c r="E33" s="466">
        <f>WS!J443</f>
        <v>20197065</v>
      </c>
      <c r="G33" s="466">
        <f>WS!U443</f>
        <v>14677914</v>
      </c>
      <c r="I33" s="466">
        <f>WS!W443</f>
        <v>22673862</v>
      </c>
      <c r="K33" s="468" t="s">
        <v>344</v>
      </c>
    </row>
    <row r="34" spans="3:11">
      <c r="C34" t="s">
        <v>345</v>
      </c>
      <c r="E34" s="466">
        <f>WS!J444</f>
        <v>634079028</v>
      </c>
      <c r="G34" s="466">
        <f>WS!U444</f>
        <v>574668461</v>
      </c>
      <c r="I34" s="466">
        <f>WS!W444</f>
        <v>815105815</v>
      </c>
      <c r="K34" s="468" t="s">
        <v>794</v>
      </c>
    </row>
    <row r="35" spans="3:11">
      <c r="C35" t="s">
        <v>346</v>
      </c>
      <c r="E35" s="466">
        <f>WS!J445</f>
        <v>0</v>
      </c>
      <c r="G35" s="466">
        <f>WS!U445</f>
        <v>209687496</v>
      </c>
      <c r="I35" s="466">
        <f>WS!W445</f>
        <v>279583328</v>
      </c>
      <c r="K35" s="468" t="s">
        <v>820</v>
      </c>
    </row>
    <row r="36" spans="3:11">
      <c r="C36" t="s">
        <v>347</v>
      </c>
      <c r="E36" s="466">
        <f>WS!J446</f>
        <v>405000</v>
      </c>
      <c r="G36" s="466">
        <f>WS!U446</f>
        <v>305000</v>
      </c>
      <c r="I36" s="466">
        <f>WS!W446</f>
        <v>140000</v>
      </c>
      <c r="K36" s="468" t="s">
        <v>809</v>
      </c>
    </row>
    <row r="37" spans="3:11">
      <c r="C37" t="s">
        <v>348</v>
      </c>
      <c r="E37" s="500">
        <f>WS!J447</f>
        <v>0</v>
      </c>
      <c r="G37" s="500">
        <f>WS!U447</f>
        <v>0</v>
      </c>
      <c r="I37" s="500">
        <f>WS!W447</f>
        <v>0</v>
      </c>
      <c r="K37" s="468" t="s">
        <v>819</v>
      </c>
    </row>
    <row r="39" spans="3:11" ht="15" thickBot="1">
      <c r="C39" s="465" t="s">
        <v>737</v>
      </c>
      <c r="E39" s="502">
        <f>SUM(E8:E37)</f>
        <v>14312432839.15</v>
      </c>
      <c r="G39" s="502">
        <f>SUM(G8:G37)</f>
        <v>13159814932.006828</v>
      </c>
      <c r="I39" s="501">
        <f>SUM(I8:I37)</f>
        <v>8581798722</v>
      </c>
      <c r="K39" s="469" t="s">
        <v>82</v>
      </c>
    </row>
    <row r="43" spans="3:11">
      <c r="C43" s="465" t="s">
        <v>835</v>
      </c>
      <c r="E43" s="466">
        <f>E39</f>
        <v>14312432839.15</v>
      </c>
      <c r="G43" s="466">
        <f>G39</f>
        <v>13159814932.006828</v>
      </c>
      <c r="I43" s="465" t="s">
        <v>836</v>
      </c>
      <c r="K43" s="498">
        <f>I39</f>
        <v>8581798722</v>
      </c>
    </row>
    <row r="44" spans="3:11">
      <c r="C44" s="465" t="s">
        <v>518</v>
      </c>
      <c r="E44" s="466">
        <f>WS!S465</f>
        <v>0</v>
      </c>
      <c r="G44" s="466">
        <f>WS!U465</f>
        <v>13159814932.006828</v>
      </c>
      <c r="I44" s="465" t="s">
        <v>518</v>
      </c>
      <c r="K44" s="467">
        <f>WS!W465</f>
        <v>8581798722</v>
      </c>
    </row>
    <row r="45" spans="3:11">
      <c r="E45" s="466">
        <f>E43-E44</f>
        <v>14312432839.15</v>
      </c>
      <c r="G45" s="466">
        <f>G43-G44</f>
        <v>0</v>
      </c>
      <c r="K45" s="497">
        <f>K43-K44</f>
        <v>0</v>
      </c>
    </row>
    <row r="47" spans="3:11">
      <c r="C47" s="465" t="s">
        <v>1065</v>
      </c>
      <c r="E47" s="497">
        <f>E39</f>
        <v>14312432839.15</v>
      </c>
    </row>
    <row r="48" spans="3:11">
      <c r="C48" s="465" t="s">
        <v>518</v>
      </c>
      <c r="E48" s="36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9174-D01E-459A-8174-448403D05E4D}">
  <dimension ref="A2:K27"/>
  <sheetViews>
    <sheetView showGridLines="0" zoomScale="90" workbookViewId="0">
      <selection activeCell="E27" sqref="E27"/>
    </sheetView>
  </sheetViews>
  <sheetFormatPr defaultRowHeight="14.5"/>
  <cols>
    <col min="3" max="3" width="39.453125" bestFit="1" customWidth="1"/>
    <col min="4" max="4" width="4" customWidth="1"/>
    <col min="5" max="5" width="20.7265625" bestFit="1" customWidth="1"/>
    <col min="6" max="6" width="4" customWidth="1"/>
    <col min="7" max="7" width="20.7265625" bestFit="1" customWidth="1"/>
    <col min="8" max="8" width="3.1796875" customWidth="1"/>
    <col min="9" max="9" width="20" bestFit="1" customWidth="1"/>
    <col min="11" max="11" width="47.54296875" bestFit="1" customWidth="1"/>
  </cols>
  <sheetData>
    <row r="2" spans="1:11">
      <c r="A2" s="465" t="s">
        <v>824</v>
      </c>
    </row>
    <row r="6" spans="1:11">
      <c r="E6" s="480" t="s">
        <v>1059</v>
      </c>
      <c r="G6" s="480" t="s">
        <v>717</v>
      </c>
      <c r="I6" s="480" t="s">
        <v>716</v>
      </c>
    </row>
    <row r="7" spans="1:11">
      <c r="E7" s="481" t="s">
        <v>1060</v>
      </c>
      <c r="G7" s="481" t="s">
        <v>715</v>
      </c>
      <c r="I7" s="481" t="s">
        <v>718</v>
      </c>
    </row>
    <row r="8" spans="1:11">
      <c r="C8" t="s">
        <v>377</v>
      </c>
      <c r="E8" s="466">
        <f>WS!J476</f>
        <v>74572923</v>
      </c>
      <c r="G8" s="466">
        <f>WS!U476</f>
        <v>49376357</v>
      </c>
      <c r="I8" s="466">
        <f>WS!W476</f>
        <v>180322105.63999999</v>
      </c>
      <c r="K8" s="468" t="s">
        <v>825</v>
      </c>
    </row>
    <row r="9" spans="1:11">
      <c r="C9" t="s">
        <v>378</v>
      </c>
      <c r="E9" s="466">
        <f>WS!J477</f>
        <v>14686912.57</v>
      </c>
      <c r="G9" s="466">
        <f>WS!U477</f>
        <v>14108708.98</v>
      </c>
      <c r="I9" s="466">
        <f>WS!W477</f>
        <v>13516147</v>
      </c>
      <c r="K9" s="468" t="s">
        <v>870</v>
      </c>
    </row>
    <row r="10" spans="1:11">
      <c r="C10" t="s">
        <v>379</v>
      </c>
      <c r="E10" s="466">
        <f>WS!J478</f>
        <v>169215000</v>
      </c>
      <c r="G10" s="466">
        <f>WS!U478</f>
        <v>0</v>
      </c>
      <c r="I10" s="466">
        <f>WS!W478</f>
        <v>0</v>
      </c>
      <c r="K10" s="468" t="s">
        <v>827</v>
      </c>
    </row>
    <row r="11" spans="1:11">
      <c r="C11" t="s">
        <v>380</v>
      </c>
      <c r="E11" s="466">
        <f>WS!J479</f>
        <v>0</v>
      </c>
      <c r="G11" s="466">
        <f>WS!U479</f>
        <v>0</v>
      </c>
      <c r="I11" s="466">
        <f>WS!W479</f>
        <v>0</v>
      </c>
      <c r="K11" s="468" t="s">
        <v>829</v>
      </c>
    </row>
    <row r="12" spans="1:11">
      <c r="C12" t="s">
        <v>381</v>
      </c>
      <c r="E12" s="466">
        <f>WS!J480</f>
        <v>0</v>
      </c>
      <c r="G12" s="466">
        <f>WS!U480</f>
        <v>0</v>
      </c>
      <c r="I12" s="466">
        <f>WS!W480</f>
        <v>0</v>
      </c>
      <c r="K12" s="468" t="s">
        <v>864</v>
      </c>
    </row>
    <row r="13" spans="1:11">
      <c r="C13" t="s">
        <v>382</v>
      </c>
      <c r="E13" s="466">
        <f>WS!J481</f>
        <v>9984777061</v>
      </c>
      <c r="G13" s="466">
        <f>WS!U481</f>
        <v>6639200650</v>
      </c>
      <c r="I13" s="466">
        <f>WS!W481</f>
        <v>9144417786</v>
      </c>
      <c r="K13" s="468" t="s">
        <v>828</v>
      </c>
    </row>
    <row r="14" spans="1:11">
      <c r="C14" t="s">
        <v>383</v>
      </c>
      <c r="E14" s="466">
        <f>WS!J482</f>
        <v>5239977</v>
      </c>
      <c r="G14" s="466">
        <f>WS!U482</f>
        <v>4288654</v>
      </c>
      <c r="I14" s="466">
        <f>WS!W482</f>
        <v>14124706</v>
      </c>
      <c r="K14" s="468" t="s">
        <v>826</v>
      </c>
    </row>
    <row r="15" spans="1:11">
      <c r="C15" t="s">
        <v>373</v>
      </c>
      <c r="E15" s="466">
        <f>WS!J483</f>
        <v>-824199778.11700904</v>
      </c>
      <c r="G15" s="466">
        <f>WS!U483</f>
        <v>0</v>
      </c>
      <c r="I15" s="466">
        <f>WS!W483</f>
        <v>0</v>
      </c>
      <c r="K15" s="468" t="s">
        <v>831</v>
      </c>
    </row>
    <row r="16" spans="1:11">
      <c r="C16" t="s">
        <v>384</v>
      </c>
      <c r="E16" s="500">
        <f>WS!J484</f>
        <v>0</v>
      </c>
      <c r="G16" s="500">
        <f>WS!U484</f>
        <v>0</v>
      </c>
      <c r="I16" s="500">
        <f>WS!W484</f>
        <v>0</v>
      </c>
      <c r="K16" s="468" t="s">
        <v>830</v>
      </c>
    </row>
    <row r="17" spans="3:11">
      <c r="K17" s="468"/>
    </row>
    <row r="18" spans="3:11" ht="15" thickBot="1">
      <c r="C18" s="465" t="s">
        <v>741</v>
      </c>
      <c r="E18" s="502">
        <f>SUM(E8:E16)</f>
        <v>9424292095.4529915</v>
      </c>
      <c r="G18" s="502">
        <f>SUM(G8:G16)</f>
        <v>6706974369.9799995</v>
      </c>
      <c r="I18" s="501">
        <f>SUM(I8:I16)</f>
        <v>9352380744.6399994</v>
      </c>
      <c r="K18" s="469" t="s">
        <v>82</v>
      </c>
    </row>
    <row r="21" spans="3:11">
      <c r="C21" s="465" t="s">
        <v>835</v>
      </c>
      <c r="E21" s="467">
        <f>E18</f>
        <v>9424292095.4529915</v>
      </c>
      <c r="G21" s="467">
        <f>G18</f>
        <v>6706974369.9799995</v>
      </c>
      <c r="I21" s="465" t="s">
        <v>836</v>
      </c>
      <c r="K21" s="498">
        <f>I18</f>
        <v>9352380744.6399994</v>
      </c>
    </row>
    <row r="22" spans="3:11">
      <c r="C22" s="465" t="s">
        <v>518</v>
      </c>
      <c r="E22" s="466">
        <f>WS!S485</f>
        <v>0</v>
      </c>
      <c r="G22" s="466">
        <f>WS!U485</f>
        <v>6706974369.9799995</v>
      </c>
      <c r="I22" s="465" t="s">
        <v>518</v>
      </c>
      <c r="K22" s="467">
        <f>WS!W485</f>
        <v>9352380744.6399994</v>
      </c>
    </row>
    <row r="23" spans="3:11">
      <c r="E23" s="497">
        <f>E21-E22</f>
        <v>9424292095.4529915</v>
      </c>
      <c r="G23" s="497">
        <f>G21-G22</f>
        <v>0</v>
      </c>
      <c r="K23" s="497">
        <f>K21-K22</f>
        <v>0</v>
      </c>
    </row>
    <row r="26" spans="3:11">
      <c r="C26" s="465" t="s">
        <v>1065</v>
      </c>
      <c r="E26" s="497">
        <f>E18</f>
        <v>9424292095.4529915</v>
      </c>
    </row>
    <row r="27" spans="3:11">
      <c r="C27" s="465" t="s">
        <v>518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15C3-D9FC-407E-B9F4-6CE7C992DA24}">
  <dimension ref="A2:K20"/>
  <sheetViews>
    <sheetView showGridLines="0" topLeftCell="B1" workbookViewId="0">
      <selection activeCell="E19" sqref="E19"/>
    </sheetView>
  </sheetViews>
  <sheetFormatPr defaultRowHeight="14.5"/>
  <cols>
    <col min="3" max="3" width="39.453125" bestFit="1" customWidth="1"/>
    <col min="4" max="4" width="3.7265625" customWidth="1"/>
    <col min="5" max="5" width="20.7265625" bestFit="1" customWidth="1"/>
    <col min="6" max="6" width="3.7265625" customWidth="1"/>
    <col min="7" max="7" width="20.7265625" bestFit="1" customWidth="1"/>
    <col min="8" max="8" width="4" customWidth="1"/>
    <col min="9" max="9" width="20" bestFit="1" customWidth="1"/>
    <col min="10" max="10" width="2.81640625" customWidth="1"/>
    <col min="11" max="11" width="16" bestFit="1" customWidth="1"/>
  </cols>
  <sheetData>
    <row r="2" spans="1:11">
      <c r="A2" s="465" t="s">
        <v>821</v>
      </c>
    </row>
    <row r="4" spans="1:11">
      <c r="E4" s="480" t="s">
        <v>1059</v>
      </c>
      <c r="G4" s="480" t="s">
        <v>717</v>
      </c>
      <c r="I4" s="480" t="s">
        <v>716</v>
      </c>
    </row>
    <row r="5" spans="1:11">
      <c r="E5" s="481" t="s">
        <v>1060</v>
      </c>
      <c r="G5" s="481" t="s">
        <v>715</v>
      </c>
      <c r="I5" s="481" t="s">
        <v>718</v>
      </c>
    </row>
    <row r="6" spans="1:11">
      <c r="C6" t="s">
        <v>371</v>
      </c>
      <c r="E6" s="466">
        <f>WS!J470</f>
        <v>70634245.090000004</v>
      </c>
      <c r="G6" s="466">
        <f>WS!U470</f>
        <v>69022353.189999998</v>
      </c>
      <c r="I6" s="466">
        <f>WS!W470</f>
        <v>65659825</v>
      </c>
      <c r="K6" s="468" t="s">
        <v>822</v>
      </c>
    </row>
    <row r="7" spans="1:11">
      <c r="C7" t="s">
        <v>372</v>
      </c>
      <c r="E7" s="466">
        <f>WS!J471</f>
        <v>-1674956528.5</v>
      </c>
      <c r="G7" s="466">
        <f>WS!U471</f>
        <v>1578595518.5</v>
      </c>
      <c r="I7" s="509">
        <f>WS!W471</f>
        <v>-566637806</v>
      </c>
      <c r="K7" s="468" t="s">
        <v>869</v>
      </c>
    </row>
    <row r="8" spans="1:11">
      <c r="C8" t="s">
        <v>373</v>
      </c>
      <c r="E8" s="466">
        <f>WS!J472</f>
        <v>0</v>
      </c>
      <c r="G8" s="466">
        <f>WS!U472</f>
        <v>0</v>
      </c>
      <c r="I8" s="466">
        <f>WS!W472</f>
        <v>-119304064</v>
      </c>
      <c r="K8" s="468" t="s">
        <v>872</v>
      </c>
    </row>
    <row r="9" spans="1:11">
      <c r="C9" t="s">
        <v>374</v>
      </c>
      <c r="E9" s="500">
        <f>WS!J473</f>
        <v>-8183754</v>
      </c>
      <c r="G9" s="500">
        <f>WS!U473</f>
        <v>0</v>
      </c>
      <c r="I9" s="500">
        <f>WS!W473</f>
        <v>19197314</v>
      </c>
      <c r="K9" s="468" t="s">
        <v>823</v>
      </c>
    </row>
    <row r="10" spans="1:11" ht="8.25" customHeight="1"/>
    <row r="11" spans="1:11" ht="15" thickBot="1">
      <c r="C11" s="465" t="s">
        <v>741</v>
      </c>
      <c r="E11" s="502">
        <f>SUM(E6:E9)</f>
        <v>-1612506037.4100001</v>
      </c>
      <c r="G11" s="502">
        <f>SUM(G6:G9)</f>
        <v>1647617871.6900001</v>
      </c>
      <c r="I11" s="501">
        <f>SUM(I6:I9)</f>
        <v>-601084731</v>
      </c>
    </row>
    <row r="15" spans="1:11">
      <c r="C15" s="465" t="s">
        <v>835</v>
      </c>
      <c r="E15" s="466">
        <f>E11</f>
        <v>-1612506037.4100001</v>
      </c>
      <c r="G15" s="466">
        <f>G11</f>
        <v>1647617871.6900001</v>
      </c>
      <c r="I15" s="498" t="s">
        <v>836</v>
      </c>
      <c r="K15" s="498">
        <f>I11</f>
        <v>-601084731</v>
      </c>
    </row>
    <row r="16" spans="1:11">
      <c r="C16" s="465" t="s">
        <v>518</v>
      </c>
      <c r="E16" s="466">
        <f>WS!S474</f>
        <v>0</v>
      </c>
      <c r="G16" s="466">
        <f>WS!U474</f>
        <v>1647617871.6900001</v>
      </c>
      <c r="I16" s="467" t="s">
        <v>518</v>
      </c>
      <c r="K16" s="467">
        <f>WS!W474</f>
        <v>-601084731</v>
      </c>
    </row>
    <row r="17" spans="3:11">
      <c r="E17" s="497">
        <f>E15-E16</f>
        <v>-1612506037.4100001</v>
      </c>
      <c r="G17" s="497">
        <f>G15-G16</f>
        <v>0</v>
      </c>
      <c r="I17" s="497"/>
      <c r="K17" s="497">
        <f>K15-K16</f>
        <v>0</v>
      </c>
    </row>
    <row r="19" spans="3:11">
      <c r="C19" s="465" t="s">
        <v>1065</v>
      </c>
      <c r="E19" s="497">
        <f>E11</f>
        <v>-1612506037.4100001</v>
      </c>
    </row>
    <row r="20" spans="3:11">
      <c r="C20" s="465" t="s">
        <v>518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3B08-914E-47E9-949F-0BF148C1D5A7}">
  <dimension ref="A2:K10"/>
  <sheetViews>
    <sheetView showGridLines="0" workbookViewId="0">
      <selection activeCell="E9" sqref="E9"/>
    </sheetView>
  </sheetViews>
  <sheetFormatPr defaultRowHeight="14.5"/>
  <cols>
    <col min="3" max="3" width="27.453125" bestFit="1" customWidth="1"/>
    <col min="5" max="5" width="20.7265625" bestFit="1" customWidth="1"/>
    <col min="6" max="6" width="3" customWidth="1"/>
    <col min="7" max="7" width="20.7265625" bestFit="1" customWidth="1"/>
    <col min="8" max="8" width="3" customWidth="1"/>
    <col min="9" max="9" width="20" bestFit="1" customWidth="1"/>
  </cols>
  <sheetData>
    <row r="2" spans="1:11">
      <c r="A2" s="465" t="s">
        <v>843</v>
      </c>
    </row>
    <row r="6" spans="1:11">
      <c r="E6" s="480" t="s">
        <v>1059</v>
      </c>
      <c r="G6" s="480" t="s">
        <v>717</v>
      </c>
      <c r="I6" s="480" t="s">
        <v>716</v>
      </c>
    </row>
    <row r="7" spans="1:11">
      <c r="E7" s="493" t="s">
        <v>1060</v>
      </c>
      <c r="G7" s="493" t="s">
        <v>715</v>
      </c>
      <c r="I7" s="493" t="s">
        <v>718</v>
      </c>
    </row>
    <row r="8" spans="1:11">
      <c r="C8" t="s">
        <v>842</v>
      </c>
      <c r="E8" s="364">
        <f>WS!J291</f>
        <v>2647745936</v>
      </c>
      <c r="G8" s="364">
        <f>WS!U291</f>
        <v>2857433432</v>
      </c>
      <c r="I8" s="364">
        <f>WS!W291</f>
        <v>2647745936</v>
      </c>
      <c r="K8" s="468" t="s">
        <v>866</v>
      </c>
    </row>
    <row r="9" spans="1:11" ht="8.25" customHeight="1">
      <c r="E9" s="494"/>
      <c r="G9" s="494"/>
      <c r="I9" s="494"/>
    </row>
    <row r="10" spans="1:11">
      <c r="C10" s="465" t="s">
        <v>865</v>
      </c>
      <c r="E10" s="505">
        <f>E8</f>
        <v>2647745936</v>
      </c>
      <c r="F10" s="465"/>
      <c r="G10" s="505">
        <f>G8</f>
        <v>2857433432</v>
      </c>
      <c r="H10" s="465"/>
      <c r="I10" s="505">
        <f>I8</f>
        <v>2647745936</v>
      </c>
      <c r="K10" s="469" t="s">
        <v>867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849F-F4A9-40F8-A99E-0757FE6A9C7B}">
  <dimension ref="A2:K26"/>
  <sheetViews>
    <sheetView showGridLines="0" workbookViewId="0">
      <selection activeCell="I8" sqref="I8"/>
    </sheetView>
  </sheetViews>
  <sheetFormatPr defaultRowHeight="14.5"/>
  <cols>
    <col min="3" max="3" width="56" bestFit="1" customWidth="1"/>
    <col min="4" max="4" width="13.453125" bestFit="1" customWidth="1"/>
    <col min="5" max="5" width="20.7265625" bestFit="1" customWidth="1"/>
    <col min="6" max="6" width="3.26953125" hidden="1" customWidth="1"/>
    <col min="7" max="7" width="20.7265625" hidden="1" customWidth="1"/>
    <col min="8" max="8" width="3.26953125" customWidth="1"/>
    <col min="9" max="9" width="20" bestFit="1" customWidth="1"/>
    <col min="10" max="10" width="2.81640625" customWidth="1"/>
  </cols>
  <sheetData>
    <row r="2" spans="1:11">
      <c r="A2" s="465" t="s">
        <v>844</v>
      </c>
    </row>
    <row r="6" spans="1:11">
      <c r="E6" s="480" t="s">
        <v>1059</v>
      </c>
      <c r="G6" s="480" t="s">
        <v>717</v>
      </c>
      <c r="I6" s="480" t="s">
        <v>716</v>
      </c>
    </row>
    <row r="7" spans="1:11">
      <c r="E7" s="481" t="s">
        <v>1060</v>
      </c>
      <c r="G7" s="481" t="s">
        <v>715</v>
      </c>
      <c r="I7" s="481" t="s">
        <v>718</v>
      </c>
    </row>
    <row r="9" spans="1:11">
      <c r="C9" t="str">
        <f>WS!B325</f>
        <v>Pengukuran Kembali Program Imbalan Pasti</v>
      </c>
      <c r="E9" s="364">
        <f>WS!J325</f>
        <v>-478590506</v>
      </c>
      <c r="G9" s="364">
        <f>WS!U325</f>
        <v>-478590506</v>
      </c>
      <c r="I9" s="364">
        <f>WS!W325</f>
        <v>-478590506</v>
      </c>
      <c r="K9" s="468" t="s">
        <v>547</v>
      </c>
    </row>
    <row r="10" spans="1:11">
      <c r="C10" t="str">
        <f>WS!B324</f>
        <v>Penghasilan Komprehensif Lain Surplus Revaluasi Aset Tetap</v>
      </c>
      <c r="E10" s="512">
        <f>WS!J324</f>
        <v>-4195684.74</v>
      </c>
      <c r="G10" s="512">
        <f>WS!U324</f>
        <v>-4195684.74</v>
      </c>
      <c r="I10" s="512">
        <f>WS!W324</f>
        <v>-4195684.74</v>
      </c>
      <c r="K10" s="468" t="s">
        <v>871</v>
      </c>
    </row>
    <row r="11" spans="1:11" ht="8.25" customHeight="1"/>
    <row r="12" spans="1:11">
      <c r="C12" s="465" t="s">
        <v>741</v>
      </c>
      <c r="E12" s="505">
        <f>SUM(E9:E10)</f>
        <v>-482786190.74000001</v>
      </c>
      <c r="G12" s="505">
        <f>SUM(G9:G10)</f>
        <v>-482786190.74000001</v>
      </c>
      <c r="I12" s="505">
        <f>SUM(I9:I10)</f>
        <v>-482786190.74000001</v>
      </c>
      <c r="K12" s="469" t="s">
        <v>82</v>
      </c>
    </row>
    <row r="16" spans="1:11">
      <c r="C16" s="465" t="s">
        <v>1065</v>
      </c>
      <c r="D16" s="505">
        <f>E12</f>
        <v>-482786190.74000001</v>
      </c>
    </row>
    <row r="17" spans="3:4">
      <c r="C17" s="465" t="s">
        <v>518</v>
      </c>
      <c r="D17" s="505">
        <f>WS!J326</f>
        <v>-482786190.74000001</v>
      </c>
    </row>
    <row r="18" spans="3:4">
      <c r="D18" s="364">
        <f>D16-D17</f>
        <v>0</v>
      </c>
    </row>
    <row r="20" spans="3:4">
      <c r="C20" s="465" t="s">
        <v>835</v>
      </c>
      <c r="D20" s="505">
        <f>G12</f>
        <v>-482786190.74000001</v>
      </c>
    </row>
    <row r="21" spans="3:4">
      <c r="C21" s="465" t="s">
        <v>518</v>
      </c>
      <c r="D21" s="505">
        <f>WS!U326</f>
        <v>-482786190.74000001</v>
      </c>
    </row>
    <row r="22" spans="3:4">
      <c r="D22" s="505">
        <f>D20-D21</f>
        <v>0</v>
      </c>
    </row>
    <row r="23" spans="3:4">
      <c r="D23" s="465"/>
    </row>
    <row r="24" spans="3:4">
      <c r="C24" s="465" t="s">
        <v>836</v>
      </c>
      <c r="D24" s="505">
        <f>I12</f>
        <v>-482786190.74000001</v>
      </c>
    </row>
    <row r="25" spans="3:4">
      <c r="C25" s="465" t="s">
        <v>518</v>
      </c>
      <c r="D25" s="505">
        <f>WS!W326</f>
        <v>-482786190.74000001</v>
      </c>
    </row>
    <row r="26" spans="3:4">
      <c r="D26" s="505">
        <f>D24-D25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AJE CAJE Juni 23</vt:lpstr>
      <vt:lpstr>AJE CAJE Juni 24</vt:lpstr>
      <vt:lpstr>AJE CAJE Sept 23</vt:lpstr>
      <vt:lpstr>AJE CAJE Sept 24</vt:lpstr>
      <vt:lpstr>AJE CAJE Des 24</vt:lpstr>
      <vt:lpstr>WS</vt:lpstr>
      <vt:lpstr>BS</vt:lpstr>
      <vt:lpstr>PL</vt:lpstr>
      <vt:lpstr>LPE</vt:lpstr>
      <vt:lpstr>CF</vt:lpstr>
      <vt:lpstr>CF 2024</vt:lpstr>
      <vt:lpstr>CF 2023</vt:lpstr>
      <vt:lpstr>COGS</vt:lpstr>
      <vt:lpstr>Korfis IAS Des 24</vt:lpstr>
      <vt:lpstr>SPT Badan</vt:lpstr>
      <vt:lpstr>Kas dan Bank</vt:lpstr>
      <vt:lpstr>Piutang Usaha</vt:lpstr>
      <vt:lpstr>Piutang Lain-lain</vt:lpstr>
      <vt:lpstr>Persediaan</vt:lpstr>
      <vt:lpstr>Investasi Pada Entitas Asosiasi</vt:lpstr>
      <vt:lpstr>Utang Usaha</vt:lpstr>
      <vt:lpstr>Utang Lain-lain</vt:lpstr>
      <vt:lpstr>Beban Akrual</vt:lpstr>
      <vt:lpstr>Pajak</vt:lpstr>
      <vt:lpstr>Utang Bank</vt:lpstr>
      <vt:lpstr>Pajak Tangguhan</vt:lpstr>
      <vt:lpstr>Beban Umum &amp; Administrasi</vt:lpstr>
      <vt:lpstr>Beban Bunga dan Keuangan</vt:lpstr>
      <vt:lpstr>Pendapatan</vt:lpstr>
      <vt:lpstr>Liabilitas Imbalan PascaKerja</vt:lpstr>
      <vt:lpstr>Penghasilan Komprehensif Lain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SQS Consulting</dc:creator>
  <cp:lastModifiedBy>SQS Consulting</cp:lastModifiedBy>
  <dcterms:created xsi:type="dcterms:W3CDTF">2024-07-03T07:44:43Z</dcterms:created>
  <dcterms:modified xsi:type="dcterms:W3CDTF">2025-02-12T09:45:10Z</dcterms:modified>
</cp:coreProperties>
</file>